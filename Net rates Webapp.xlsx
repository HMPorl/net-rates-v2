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v2/"/>
    </mc:Choice>
  </mc:AlternateContent>
  <xr:revisionPtr revIDLastSave="208" documentId="8_{D1BDF8B0-F1C0-4BC4-96B5-7FA9A3819E6B}" xr6:coauthVersionLast="47" xr6:coauthVersionMax="47" xr10:uidLastSave="{18941B27-8657-4F2A-BC6A-D8B23CC68B0E}"/>
  <bookViews>
    <workbookView xWindow="-120" yWindow="-120" windowWidth="38640" windowHeight="21120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externalReferences>
    <externalReference r:id="rId10"/>
  </externalReferences>
  <definedNames>
    <definedName name="_xlnm._FilterDatabase" localSheetId="0" hidden="1">Import!$A$1:$R$1307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9" i="6" l="1"/>
  <c r="E209" i="6"/>
  <c r="E215" i="6"/>
  <c r="E217" i="6"/>
  <c r="Q221" i="6"/>
  <c r="E221" i="6"/>
  <c r="E229" i="6"/>
  <c r="Q68" i="6"/>
  <c r="Q69" i="6"/>
  <c r="Q70" i="6"/>
  <c r="Q71" i="6"/>
  <c r="Q72" i="6"/>
  <c r="E68" i="6"/>
  <c r="E69" i="6"/>
  <c r="E70" i="6"/>
  <c r="E71" i="6"/>
  <c r="E72" i="6"/>
  <c r="Q1307" i="6"/>
  <c r="L1307" i="6"/>
  <c r="E1307" i="6"/>
  <c r="Q1306" i="6"/>
  <c r="L1306" i="6"/>
  <c r="E1306" i="6"/>
  <c r="Q1305" i="6"/>
  <c r="L1305" i="6"/>
  <c r="E1305" i="6"/>
  <c r="Q1304" i="6"/>
  <c r="L1304" i="6"/>
  <c r="E1304" i="6"/>
  <c r="Q1303" i="6"/>
  <c r="L1303" i="6"/>
  <c r="E1303" i="6"/>
  <c r="Q1302" i="6"/>
  <c r="L1302" i="6"/>
  <c r="E1302" i="6"/>
  <c r="Q1301" i="6"/>
  <c r="L1301" i="6"/>
  <c r="E1301" i="6"/>
  <c r="Q1300" i="6"/>
  <c r="L1300" i="6"/>
  <c r="E1300" i="6"/>
  <c r="Q1299" i="6"/>
  <c r="L1299" i="6"/>
  <c r="E1299" i="6"/>
  <c r="Q1298" i="6"/>
  <c r="L1298" i="6"/>
  <c r="E1298" i="6"/>
  <c r="Q1297" i="6"/>
  <c r="L1297" i="6"/>
  <c r="E1297" i="6"/>
  <c r="Q1296" i="6"/>
  <c r="L1296" i="6"/>
  <c r="E1296" i="6"/>
  <c r="Q1295" i="6"/>
  <c r="L1295" i="6"/>
  <c r="E1295" i="6"/>
  <c r="Q1294" i="6"/>
  <c r="L1294" i="6"/>
  <c r="E1294" i="6"/>
  <c r="Q1293" i="6"/>
  <c r="L1293" i="6"/>
  <c r="E1293" i="6"/>
  <c r="Q1292" i="6"/>
  <c r="L1292" i="6"/>
  <c r="E1292" i="6"/>
  <c r="Q1291" i="6"/>
  <c r="L1291" i="6"/>
  <c r="E1291" i="6"/>
  <c r="Q1290" i="6"/>
  <c r="L1290" i="6"/>
  <c r="E1290" i="6"/>
  <c r="Q1289" i="6"/>
  <c r="L1289" i="6"/>
  <c r="E1289" i="6"/>
  <c r="Q1288" i="6"/>
  <c r="L1288" i="6"/>
  <c r="E1288" i="6"/>
  <c r="Q1287" i="6"/>
  <c r="L1287" i="6"/>
  <c r="E1287" i="6"/>
  <c r="Q1286" i="6"/>
  <c r="L1286" i="6"/>
  <c r="E1286" i="6"/>
  <c r="Q1285" i="6"/>
  <c r="L1285" i="6"/>
  <c r="E1285" i="6"/>
  <c r="Q1284" i="6"/>
  <c r="L1284" i="6"/>
  <c r="E1284" i="6"/>
  <c r="Q1283" i="6"/>
  <c r="L1283" i="6"/>
  <c r="E1283" i="6"/>
  <c r="Q1282" i="6"/>
  <c r="L1282" i="6"/>
  <c r="E1282" i="6"/>
  <c r="Q1281" i="6"/>
  <c r="L1281" i="6"/>
  <c r="E1281" i="6"/>
  <c r="Q1280" i="6"/>
  <c r="L1280" i="6"/>
  <c r="E1280" i="6"/>
  <c r="Q1279" i="6"/>
  <c r="L1279" i="6"/>
  <c r="E1279" i="6"/>
  <c r="Q1278" i="6"/>
  <c r="L1278" i="6"/>
  <c r="E1278" i="6"/>
  <c r="Q1277" i="6"/>
  <c r="L1277" i="6"/>
  <c r="E1277" i="6"/>
  <c r="Q1276" i="6"/>
  <c r="L1276" i="6"/>
  <c r="E1276" i="6"/>
  <c r="Q1275" i="6"/>
  <c r="L1275" i="6"/>
  <c r="E1275" i="6"/>
  <c r="Q1274" i="6"/>
  <c r="L1274" i="6"/>
  <c r="E1274" i="6"/>
  <c r="Q1273" i="6"/>
  <c r="L1273" i="6"/>
  <c r="E1273" i="6"/>
  <c r="Q1272" i="6"/>
  <c r="L1272" i="6"/>
  <c r="E1272" i="6"/>
  <c r="Q1271" i="6"/>
  <c r="L1271" i="6"/>
  <c r="E1271" i="6"/>
  <c r="Q1270" i="6"/>
  <c r="L1270" i="6"/>
  <c r="E1270" i="6"/>
  <c r="Q1269" i="6"/>
  <c r="L1269" i="6"/>
  <c r="E1269" i="6"/>
  <c r="Q1268" i="6"/>
  <c r="L1268" i="6"/>
  <c r="E1268" i="6"/>
  <c r="Q1267" i="6"/>
  <c r="L1267" i="6"/>
  <c r="E1267" i="6"/>
  <c r="Q1266" i="6"/>
  <c r="L1266" i="6"/>
  <c r="E1266" i="6"/>
  <c r="Q1265" i="6"/>
  <c r="L1265" i="6"/>
  <c r="E1265" i="6"/>
  <c r="Q1264" i="6"/>
  <c r="L1264" i="6"/>
  <c r="E1264" i="6"/>
  <c r="Q1263" i="6"/>
  <c r="L1263" i="6"/>
  <c r="E1263" i="6"/>
  <c r="Q1262" i="6"/>
  <c r="L1262" i="6"/>
  <c r="E1262" i="6"/>
  <c r="Q1261" i="6"/>
  <c r="L1261" i="6"/>
  <c r="E1261" i="6"/>
  <c r="Q1260" i="6"/>
  <c r="L1260" i="6"/>
  <c r="E1260" i="6"/>
  <c r="Q1259" i="6"/>
  <c r="L1259" i="6"/>
  <c r="E1259" i="6"/>
  <c r="Q1258" i="6"/>
  <c r="L1258" i="6"/>
  <c r="E1258" i="6"/>
  <c r="Q1257" i="6"/>
  <c r="L1257" i="6"/>
  <c r="E1257" i="6"/>
  <c r="Q1256" i="6"/>
  <c r="L1256" i="6"/>
  <c r="E1256" i="6"/>
  <c r="Q1255" i="6"/>
  <c r="L1255" i="6"/>
  <c r="E1255" i="6"/>
  <c r="Q1254" i="6"/>
  <c r="L1254" i="6"/>
  <c r="E1254" i="6"/>
  <c r="Q1253" i="6"/>
  <c r="L1253" i="6"/>
  <c r="E1253" i="6"/>
  <c r="Q1252" i="6"/>
  <c r="L1252" i="6"/>
  <c r="E1252" i="6"/>
  <c r="Q1251" i="6"/>
  <c r="L1251" i="6"/>
  <c r="E1251" i="6"/>
  <c r="Q1250" i="6"/>
  <c r="L1250" i="6"/>
  <c r="E1250" i="6"/>
  <c r="Q1249" i="6"/>
  <c r="L1249" i="6"/>
  <c r="E1249" i="6"/>
  <c r="Q1248" i="6"/>
  <c r="L1248" i="6"/>
  <c r="E1248" i="6"/>
  <c r="Q1247" i="6"/>
  <c r="L1247" i="6"/>
  <c r="E1247" i="6"/>
  <c r="Q1246" i="6"/>
  <c r="L1246" i="6"/>
  <c r="E1246" i="6"/>
  <c r="Q1245" i="6"/>
  <c r="L1245" i="6"/>
  <c r="E1245" i="6"/>
  <c r="Q1244" i="6"/>
  <c r="L1244" i="6"/>
  <c r="E1244" i="6"/>
  <c r="Q1243" i="6"/>
  <c r="L1243" i="6"/>
  <c r="E1243" i="6"/>
  <c r="Q1242" i="6"/>
  <c r="L1242" i="6"/>
  <c r="E1242" i="6"/>
  <c r="Q1241" i="6"/>
  <c r="L1241" i="6"/>
  <c r="E1241" i="6"/>
  <c r="Q1240" i="6"/>
  <c r="L1240" i="6"/>
  <c r="E1240" i="6"/>
  <c r="Q1239" i="6"/>
  <c r="L1239" i="6"/>
  <c r="E1239" i="6"/>
  <c r="Q1238" i="6"/>
  <c r="L1238" i="6"/>
  <c r="E1238" i="6"/>
  <c r="Q1237" i="6"/>
  <c r="L1237" i="6"/>
  <c r="E1237" i="6"/>
  <c r="Q1236" i="6"/>
  <c r="L1236" i="6"/>
  <c r="E1236" i="6"/>
  <c r="Q1235" i="6"/>
  <c r="L1235" i="6"/>
  <c r="E1235" i="6"/>
  <c r="Q1234" i="6"/>
  <c r="L1234" i="6"/>
  <c r="E1234" i="6"/>
  <c r="Q1233" i="6"/>
  <c r="L1233" i="6"/>
  <c r="E1233" i="6"/>
  <c r="Q1232" i="6"/>
  <c r="L1232" i="6"/>
  <c r="E1232" i="6"/>
  <c r="Q1231" i="6"/>
  <c r="L1231" i="6"/>
  <c r="E1231" i="6"/>
  <c r="Q1230" i="6"/>
  <c r="L1230" i="6"/>
  <c r="E1230" i="6"/>
  <c r="Q1229" i="6"/>
  <c r="L1229" i="6"/>
  <c r="E1229" i="6"/>
  <c r="Q1228" i="6"/>
  <c r="L1228" i="6"/>
  <c r="E1228" i="6"/>
  <c r="Q1227" i="6"/>
  <c r="L1227" i="6"/>
  <c r="E1227" i="6"/>
  <c r="Q1226" i="6"/>
  <c r="L1226" i="6"/>
  <c r="E1226" i="6"/>
  <c r="Q1225" i="6"/>
  <c r="L1225" i="6"/>
  <c r="E1225" i="6"/>
  <c r="Q1224" i="6"/>
  <c r="L1224" i="6"/>
  <c r="E1224" i="6"/>
  <c r="Q1223" i="6"/>
  <c r="L1223" i="6"/>
  <c r="E1223" i="6"/>
  <c r="Q1222" i="6"/>
  <c r="L1222" i="6"/>
  <c r="E1222" i="6"/>
  <c r="Q1221" i="6"/>
  <c r="L1221" i="6"/>
  <c r="E1221" i="6"/>
  <c r="Q1220" i="6"/>
  <c r="L1220" i="6"/>
  <c r="E1220" i="6"/>
  <c r="Q1219" i="6"/>
  <c r="L1219" i="6"/>
  <c r="E1219" i="6"/>
  <c r="Q1218" i="6"/>
  <c r="L1218" i="6"/>
  <c r="E1218" i="6"/>
  <c r="Q1217" i="6"/>
  <c r="L1217" i="6"/>
  <c r="E1217" i="6"/>
  <c r="Q1216" i="6"/>
  <c r="L1216" i="6"/>
  <c r="E1216" i="6"/>
  <c r="Q1215" i="6"/>
  <c r="L1215" i="6"/>
  <c r="E1215" i="6"/>
  <c r="Q1214" i="6"/>
  <c r="L1214" i="6"/>
  <c r="E1214" i="6"/>
  <c r="Q1213" i="6"/>
  <c r="L1213" i="6"/>
  <c r="E1213" i="6"/>
  <c r="Q1212" i="6"/>
  <c r="L1212" i="6"/>
  <c r="E1212" i="6"/>
  <c r="Q1211" i="6"/>
  <c r="L1211" i="6"/>
  <c r="E1211" i="6"/>
  <c r="Q1210" i="6"/>
  <c r="L1210" i="6"/>
  <c r="E1210" i="6"/>
  <c r="Q1209" i="6"/>
  <c r="L1209" i="6"/>
  <c r="E1209" i="6"/>
  <c r="Q1208" i="6"/>
  <c r="L1208" i="6"/>
  <c r="E1208" i="6"/>
  <c r="Q1207" i="6"/>
  <c r="L1207" i="6"/>
  <c r="E1207" i="6"/>
  <c r="Q1206" i="6"/>
  <c r="L1206" i="6"/>
  <c r="E1206" i="6"/>
  <c r="Q1205" i="6"/>
  <c r="L1205" i="6"/>
  <c r="E1205" i="6"/>
  <c r="Q1204" i="6"/>
  <c r="L1204" i="6"/>
  <c r="E1204" i="6"/>
  <c r="Q1203" i="6"/>
  <c r="L1203" i="6"/>
  <c r="E1203" i="6"/>
  <c r="Q1202" i="6"/>
  <c r="L1202" i="6"/>
  <c r="E1202" i="6"/>
  <c r="Q1201" i="6"/>
  <c r="L1201" i="6"/>
  <c r="E1201" i="6"/>
  <c r="Q1200" i="6"/>
  <c r="L1200" i="6"/>
  <c r="E1200" i="6"/>
  <c r="Q1199" i="6"/>
  <c r="L1199" i="6"/>
  <c r="E1199" i="6"/>
  <c r="Q1198" i="6"/>
  <c r="L1198" i="6"/>
  <c r="E1198" i="6"/>
  <c r="Q1197" i="6"/>
  <c r="L1197" i="6"/>
  <c r="E1197" i="6"/>
  <c r="Q1196" i="6"/>
  <c r="L1196" i="6"/>
  <c r="E1196" i="6"/>
  <c r="Q1195" i="6"/>
  <c r="L1195" i="6"/>
  <c r="E1195" i="6"/>
  <c r="Q1194" i="6"/>
  <c r="L1194" i="6"/>
  <c r="E1194" i="6"/>
  <c r="Q1193" i="6"/>
  <c r="L1193" i="6"/>
  <c r="E1193" i="6"/>
  <c r="Q1192" i="6"/>
  <c r="L1192" i="6"/>
  <c r="E1192" i="6"/>
  <c r="Q1191" i="6"/>
  <c r="L1191" i="6"/>
  <c r="E1191" i="6"/>
  <c r="Q1190" i="6"/>
  <c r="L1190" i="6"/>
  <c r="E1190" i="6"/>
  <c r="Q1189" i="6"/>
  <c r="L1189" i="6"/>
  <c r="E1189" i="6"/>
  <c r="Q1188" i="6"/>
  <c r="L1188" i="6"/>
  <c r="E1188" i="6"/>
  <c r="Q1187" i="6"/>
  <c r="L1187" i="6"/>
  <c r="E1187" i="6"/>
  <c r="Q1186" i="6"/>
  <c r="L1186" i="6"/>
  <c r="E1186" i="6"/>
  <c r="Q1185" i="6"/>
  <c r="L1185" i="6"/>
  <c r="E1185" i="6"/>
  <c r="Q1184" i="6"/>
  <c r="L1184" i="6"/>
  <c r="E1184" i="6"/>
  <c r="Q1183" i="6"/>
  <c r="L1183" i="6"/>
  <c r="E1183" i="6"/>
  <c r="Q1182" i="6"/>
  <c r="L1182" i="6"/>
  <c r="E1182" i="6"/>
  <c r="Q1181" i="6"/>
  <c r="L1181" i="6"/>
  <c r="E1181" i="6"/>
  <c r="Q1180" i="6"/>
  <c r="L1180" i="6"/>
  <c r="E1180" i="6"/>
  <c r="Q1179" i="6"/>
  <c r="L1179" i="6"/>
  <c r="E1179" i="6"/>
  <c r="Q1178" i="6"/>
  <c r="L1178" i="6"/>
  <c r="E1178" i="6"/>
  <c r="Q1177" i="6"/>
  <c r="L1177" i="6"/>
  <c r="E1177" i="6"/>
  <c r="Q1176" i="6"/>
  <c r="L1176" i="6"/>
  <c r="E1176" i="6"/>
  <c r="Q1175" i="6"/>
  <c r="L1175" i="6"/>
  <c r="E1175" i="6"/>
  <c r="Q1174" i="6"/>
  <c r="L1174" i="6"/>
  <c r="E1174" i="6"/>
  <c r="Q1173" i="6"/>
  <c r="L1173" i="6"/>
  <c r="E1173" i="6"/>
  <c r="Q1172" i="6"/>
  <c r="L1172" i="6"/>
  <c r="E1172" i="6"/>
  <c r="Q1171" i="6"/>
  <c r="L1171" i="6"/>
  <c r="E1171" i="6"/>
  <c r="Q1170" i="6"/>
  <c r="L1170" i="6"/>
  <c r="E1170" i="6"/>
  <c r="Q1169" i="6"/>
  <c r="L1169" i="6"/>
  <c r="E1169" i="6"/>
  <c r="Q1168" i="6"/>
  <c r="L1168" i="6"/>
  <c r="E1168" i="6"/>
  <c r="Q1167" i="6"/>
  <c r="L1167" i="6"/>
  <c r="E1167" i="6"/>
  <c r="Q1166" i="6"/>
  <c r="L1166" i="6"/>
  <c r="E1166" i="6"/>
  <c r="Q1165" i="6"/>
  <c r="L1165" i="6"/>
  <c r="E1165" i="6"/>
  <c r="Q1164" i="6"/>
  <c r="L1164" i="6"/>
  <c r="E1164" i="6"/>
  <c r="Q1163" i="6"/>
  <c r="L1163" i="6"/>
  <c r="E1163" i="6"/>
  <c r="Q1162" i="6"/>
  <c r="L1162" i="6"/>
  <c r="E1162" i="6"/>
  <c r="Q1161" i="6"/>
  <c r="L1161" i="6"/>
  <c r="E1161" i="6"/>
  <c r="Q1160" i="6"/>
  <c r="L1160" i="6"/>
  <c r="E1160" i="6"/>
  <c r="Q1159" i="6"/>
  <c r="L1159" i="6"/>
  <c r="E1159" i="6"/>
  <c r="Q1158" i="6"/>
  <c r="L1158" i="6"/>
  <c r="E1158" i="6"/>
  <c r="Q1157" i="6"/>
  <c r="L1157" i="6"/>
  <c r="E1157" i="6"/>
  <c r="Q1156" i="6"/>
  <c r="L1156" i="6"/>
  <c r="E1156" i="6"/>
  <c r="Q1155" i="6"/>
  <c r="L1155" i="6"/>
  <c r="E1155" i="6"/>
  <c r="Q1154" i="6"/>
  <c r="L1154" i="6"/>
  <c r="E1154" i="6"/>
  <c r="Q1153" i="6"/>
  <c r="L1153" i="6"/>
  <c r="E1153" i="6"/>
  <c r="Q1152" i="6"/>
  <c r="L1152" i="6"/>
  <c r="E1152" i="6"/>
  <c r="Q1151" i="6"/>
  <c r="L1151" i="6"/>
  <c r="E1151" i="6"/>
  <c r="Q1150" i="6"/>
  <c r="L1150" i="6"/>
  <c r="E1150" i="6"/>
  <c r="Q1149" i="6"/>
  <c r="L1149" i="6"/>
  <c r="E1149" i="6"/>
  <c r="Q1148" i="6"/>
  <c r="L1148" i="6"/>
  <c r="E1148" i="6"/>
  <c r="Q1147" i="6"/>
  <c r="L1147" i="6"/>
  <c r="E1147" i="6"/>
  <c r="Q1146" i="6"/>
  <c r="L1146" i="6"/>
  <c r="E1146" i="6"/>
  <c r="Q1145" i="6"/>
  <c r="L1145" i="6"/>
  <c r="E1145" i="6"/>
  <c r="Q1144" i="6"/>
  <c r="L1144" i="6"/>
  <c r="E1144" i="6"/>
  <c r="Q1143" i="6"/>
  <c r="L1143" i="6"/>
  <c r="E1143" i="6"/>
  <c r="Q1142" i="6"/>
  <c r="L1142" i="6"/>
  <c r="E1142" i="6"/>
  <c r="Q1141" i="6"/>
  <c r="L1141" i="6"/>
  <c r="E1141" i="6"/>
  <c r="Q1140" i="6"/>
  <c r="L1140" i="6"/>
  <c r="E1140" i="6"/>
  <c r="Q1139" i="6"/>
  <c r="L1139" i="6"/>
  <c r="E1139" i="6"/>
  <c r="Q1138" i="6"/>
  <c r="L1138" i="6"/>
  <c r="E1138" i="6"/>
  <c r="Q1137" i="6"/>
  <c r="L1137" i="6"/>
  <c r="E1137" i="6"/>
  <c r="Q1136" i="6"/>
  <c r="L1136" i="6"/>
  <c r="E1136" i="6"/>
  <c r="Q1135" i="6"/>
  <c r="L1135" i="6"/>
  <c r="E1135" i="6"/>
  <c r="Q1134" i="6"/>
  <c r="L1134" i="6"/>
  <c r="E1134" i="6"/>
  <c r="Q1133" i="6"/>
  <c r="L1133" i="6"/>
  <c r="E1133" i="6"/>
  <c r="Q1132" i="6"/>
  <c r="L1132" i="6"/>
  <c r="E1132" i="6"/>
  <c r="Q1131" i="6"/>
  <c r="L1131" i="6"/>
  <c r="E1131" i="6"/>
  <c r="Q1130" i="6"/>
  <c r="L1130" i="6"/>
  <c r="E1130" i="6"/>
  <c r="Q1129" i="6"/>
  <c r="L1129" i="6"/>
  <c r="E1129" i="6"/>
  <c r="Q1128" i="6"/>
  <c r="L1128" i="6"/>
  <c r="E1128" i="6"/>
  <c r="Q1127" i="6"/>
  <c r="L1127" i="6"/>
  <c r="E1127" i="6"/>
  <c r="Q1126" i="6"/>
  <c r="L1126" i="6"/>
  <c r="E1126" i="6"/>
  <c r="Q1125" i="6"/>
  <c r="L1125" i="6"/>
  <c r="E1125" i="6"/>
  <c r="Q1124" i="6"/>
  <c r="L1124" i="6"/>
  <c r="E1124" i="6"/>
  <c r="Q1123" i="6"/>
  <c r="L1123" i="6"/>
  <c r="E1123" i="6"/>
  <c r="Q1122" i="6"/>
  <c r="L1122" i="6"/>
  <c r="E1122" i="6"/>
  <c r="Q1121" i="6"/>
  <c r="L1121" i="6"/>
  <c r="E1121" i="6"/>
  <c r="Q1120" i="6"/>
  <c r="L1120" i="6"/>
  <c r="E1120" i="6"/>
  <c r="Q1119" i="6"/>
  <c r="L1119" i="6"/>
  <c r="E1119" i="6"/>
  <c r="Q1118" i="6"/>
  <c r="L1118" i="6"/>
  <c r="E1118" i="6"/>
  <c r="Q1117" i="6"/>
  <c r="L1117" i="6"/>
  <c r="E1117" i="6"/>
  <c r="Q1116" i="6"/>
  <c r="L1116" i="6"/>
  <c r="E1116" i="6"/>
  <c r="Q1115" i="6"/>
  <c r="L1115" i="6"/>
  <c r="E1115" i="6"/>
  <c r="Q1114" i="6"/>
  <c r="L1114" i="6"/>
  <c r="E1114" i="6"/>
  <c r="Q1113" i="6"/>
  <c r="L1113" i="6"/>
  <c r="E1113" i="6"/>
  <c r="Q1112" i="6"/>
  <c r="L1112" i="6"/>
  <c r="E1112" i="6"/>
  <c r="Q1111" i="6"/>
  <c r="L1111" i="6"/>
  <c r="E1111" i="6"/>
  <c r="Q1110" i="6"/>
  <c r="L1110" i="6"/>
  <c r="E1110" i="6"/>
  <c r="Q1109" i="6"/>
  <c r="L1109" i="6"/>
  <c r="E1109" i="6"/>
  <c r="Q1108" i="6"/>
  <c r="L1108" i="6"/>
  <c r="E1108" i="6"/>
  <c r="Q1107" i="6"/>
  <c r="L1107" i="6"/>
  <c r="E1107" i="6"/>
  <c r="Q1106" i="6"/>
  <c r="L1106" i="6"/>
  <c r="E1106" i="6"/>
  <c r="Q1105" i="6"/>
  <c r="L1105" i="6"/>
  <c r="E1105" i="6"/>
  <c r="Q1104" i="6"/>
  <c r="L1104" i="6"/>
  <c r="E1104" i="6"/>
  <c r="Q1103" i="6"/>
  <c r="L1103" i="6"/>
  <c r="E1103" i="6"/>
  <c r="Q1102" i="6"/>
  <c r="L1102" i="6"/>
  <c r="E1102" i="6"/>
  <c r="Q1101" i="6"/>
  <c r="L1101" i="6"/>
  <c r="E1101" i="6"/>
  <c r="Q1100" i="6"/>
  <c r="L1100" i="6"/>
  <c r="E1100" i="6"/>
  <c r="Q1099" i="6"/>
  <c r="L1099" i="6"/>
  <c r="E1099" i="6"/>
  <c r="Q1098" i="6"/>
  <c r="L1098" i="6"/>
  <c r="E1098" i="6"/>
  <c r="Q1097" i="6"/>
  <c r="L1097" i="6"/>
  <c r="E1097" i="6"/>
  <c r="Q1096" i="6"/>
  <c r="L1096" i="6"/>
  <c r="E1096" i="6"/>
  <c r="Q1095" i="6"/>
  <c r="L1095" i="6"/>
  <c r="E1095" i="6"/>
  <c r="Q1094" i="6"/>
  <c r="L1094" i="6"/>
  <c r="E1094" i="6"/>
  <c r="Q1093" i="6"/>
  <c r="L1093" i="6"/>
  <c r="E1093" i="6"/>
  <c r="Q1092" i="6"/>
  <c r="L1092" i="6"/>
  <c r="E1092" i="6"/>
  <c r="Q1091" i="6"/>
  <c r="L1091" i="6"/>
  <c r="E1091" i="6"/>
  <c r="Q1090" i="6"/>
  <c r="L1090" i="6"/>
  <c r="E1090" i="6"/>
  <c r="Q1089" i="6"/>
  <c r="L1089" i="6"/>
  <c r="E1089" i="6"/>
  <c r="Q1088" i="6"/>
  <c r="L1088" i="6"/>
  <c r="E1088" i="6"/>
  <c r="Q1087" i="6"/>
  <c r="L1087" i="6"/>
  <c r="E1087" i="6"/>
  <c r="Q1086" i="6"/>
  <c r="L1086" i="6"/>
  <c r="E1086" i="6"/>
  <c r="Q1085" i="6"/>
  <c r="L1085" i="6"/>
  <c r="E1085" i="6"/>
  <c r="Q1084" i="6"/>
  <c r="L1084" i="6"/>
  <c r="E1084" i="6"/>
  <c r="Q1083" i="6"/>
  <c r="L1083" i="6"/>
  <c r="E1083" i="6"/>
  <c r="Q1082" i="6"/>
  <c r="L1082" i="6"/>
  <c r="E1082" i="6"/>
  <c r="Q1081" i="6"/>
  <c r="L1081" i="6"/>
  <c r="E1081" i="6"/>
  <c r="Q1080" i="6"/>
  <c r="L1080" i="6"/>
  <c r="E1080" i="6"/>
  <c r="Q1079" i="6"/>
  <c r="L1079" i="6"/>
  <c r="E1079" i="6"/>
  <c r="Q1078" i="6"/>
  <c r="L1078" i="6"/>
  <c r="E1078" i="6"/>
  <c r="Q1077" i="6"/>
  <c r="L1077" i="6"/>
  <c r="E1077" i="6"/>
  <c r="Q1076" i="6"/>
  <c r="L1076" i="6"/>
  <c r="E1076" i="6"/>
  <c r="Q1075" i="6"/>
  <c r="L1075" i="6"/>
  <c r="E1075" i="6"/>
  <c r="Q1074" i="6"/>
  <c r="L1074" i="6"/>
  <c r="E1074" i="6"/>
  <c r="Q1073" i="6"/>
  <c r="L1073" i="6"/>
  <c r="E1073" i="6"/>
  <c r="Q1072" i="6"/>
  <c r="L1072" i="6"/>
  <c r="E1072" i="6"/>
  <c r="Q1071" i="6"/>
  <c r="L1071" i="6"/>
  <c r="E1071" i="6"/>
  <c r="Q1070" i="6"/>
  <c r="L1070" i="6"/>
  <c r="E1070" i="6"/>
  <c r="Q1069" i="6"/>
  <c r="L1069" i="6"/>
  <c r="E1069" i="6"/>
  <c r="Q1068" i="6"/>
  <c r="L1068" i="6"/>
  <c r="E1068" i="6"/>
  <c r="Q1067" i="6"/>
  <c r="L1067" i="6"/>
  <c r="E1067" i="6"/>
  <c r="Q1066" i="6"/>
  <c r="L1066" i="6"/>
  <c r="E1066" i="6"/>
  <c r="Q1065" i="6"/>
  <c r="L1065" i="6"/>
  <c r="E1065" i="6"/>
  <c r="Q1064" i="6"/>
  <c r="L1064" i="6"/>
  <c r="E1064" i="6"/>
  <c r="Q1063" i="6"/>
  <c r="L1063" i="6"/>
  <c r="E1063" i="6"/>
  <c r="Q1062" i="6"/>
  <c r="L1062" i="6"/>
  <c r="E1062" i="6"/>
  <c r="Q1061" i="6"/>
  <c r="L1061" i="6"/>
  <c r="E1061" i="6"/>
  <c r="Q1060" i="6"/>
  <c r="L1060" i="6"/>
  <c r="E1060" i="6"/>
  <c r="Q1059" i="6"/>
  <c r="L1059" i="6"/>
  <c r="E1059" i="6"/>
  <c r="Q1058" i="6"/>
  <c r="L1058" i="6"/>
  <c r="E1058" i="6"/>
  <c r="Q1057" i="6"/>
  <c r="L1057" i="6"/>
  <c r="E1057" i="6"/>
  <c r="Q1056" i="6"/>
  <c r="L1056" i="6"/>
  <c r="E1056" i="6"/>
  <c r="Q1055" i="6"/>
  <c r="L1055" i="6"/>
  <c r="E1055" i="6"/>
  <c r="Q1054" i="6"/>
  <c r="L1054" i="6"/>
  <c r="E1054" i="6"/>
  <c r="Q1053" i="6"/>
  <c r="L1053" i="6"/>
  <c r="E1053" i="6"/>
  <c r="Q1052" i="6"/>
  <c r="L1052" i="6"/>
  <c r="E1052" i="6"/>
  <c r="Q1051" i="6"/>
  <c r="L1051" i="6"/>
  <c r="E1051" i="6"/>
  <c r="Q1050" i="6"/>
  <c r="L1050" i="6"/>
  <c r="E1050" i="6"/>
  <c r="Q1049" i="6"/>
  <c r="L1049" i="6"/>
  <c r="E1049" i="6"/>
  <c r="Q1048" i="6"/>
  <c r="L1048" i="6"/>
  <c r="E1048" i="6"/>
  <c r="Q1047" i="6"/>
  <c r="L1047" i="6"/>
  <c r="E1047" i="6"/>
  <c r="Q1046" i="6"/>
  <c r="L1046" i="6"/>
  <c r="E1046" i="6"/>
  <c r="Q1045" i="6"/>
  <c r="L1045" i="6"/>
  <c r="E1045" i="6"/>
  <c r="Q1044" i="6"/>
  <c r="L1044" i="6"/>
  <c r="E1044" i="6"/>
  <c r="Q1043" i="6"/>
  <c r="L1043" i="6"/>
  <c r="E1043" i="6"/>
  <c r="Q1042" i="6"/>
  <c r="L1042" i="6"/>
  <c r="E1042" i="6"/>
  <c r="Q1041" i="6"/>
  <c r="L1041" i="6"/>
  <c r="E1041" i="6"/>
  <c r="Q1040" i="6"/>
  <c r="L1040" i="6"/>
  <c r="E1040" i="6"/>
  <c r="Q1039" i="6"/>
  <c r="L1039" i="6"/>
  <c r="E1039" i="6"/>
  <c r="Q1038" i="6"/>
  <c r="L1038" i="6"/>
  <c r="E1038" i="6"/>
  <c r="Q1037" i="6"/>
  <c r="L1037" i="6"/>
  <c r="E1037" i="6"/>
  <c r="Q1036" i="6"/>
  <c r="L1036" i="6"/>
  <c r="E1036" i="6"/>
  <c r="Q1035" i="6"/>
  <c r="L1035" i="6"/>
  <c r="E1035" i="6"/>
  <c r="Q1034" i="6"/>
  <c r="L1034" i="6"/>
  <c r="E1034" i="6"/>
  <c r="Q1033" i="6"/>
  <c r="L1033" i="6"/>
  <c r="E1033" i="6"/>
  <c r="Q1032" i="6"/>
  <c r="L1032" i="6"/>
  <c r="E1032" i="6"/>
  <c r="Q1031" i="6"/>
  <c r="L1031" i="6"/>
  <c r="E1031" i="6"/>
  <c r="Q1030" i="6"/>
  <c r="L1030" i="6"/>
  <c r="E1030" i="6"/>
  <c r="Q1029" i="6"/>
  <c r="L1029" i="6"/>
  <c r="E1029" i="6"/>
  <c r="Q1028" i="6"/>
  <c r="L1028" i="6"/>
  <c r="E1028" i="6"/>
  <c r="Q1027" i="6"/>
  <c r="L1027" i="6"/>
  <c r="E1027" i="6"/>
  <c r="Q1026" i="6"/>
  <c r="L1026" i="6"/>
  <c r="E1026" i="6"/>
  <c r="Q1025" i="6"/>
  <c r="L1025" i="6"/>
  <c r="E1025" i="6"/>
  <c r="Q1024" i="6"/>
  <c r="L1024" i="6"/>
  <c r="E1024" i="6"/>
  <c r="Q1023" i="6"/>
  <c r="L1023" i="6"/>
  <c r="E1023" i="6"/>
  <c r="Q1022" i="6"/>
  <c r="L1022" i="6"/>
  <c r="E1022" i="6"/>
  <c r="Q1021" i="6"/>
  <c r="L1021" i="6"/>
  <c r="E1021" i="6"/>
  <c r="Q1020" i="6"/>
  <c r="L1020" i="6"/>
  <c r="E1020" i="6"/>
  <c r="Q1019" i="6"/>
  <c r="L1019" i="6"/>
  <c r="E1019" i="6"/>
  <c r="Q1018" i="6"/>
  <c r="L1018" i="6"/>
  <c r="E1018" i="6"/>
  <c r="Q1017" i="6"/>
  <c r="L1017" i="6"/>
  <c r="E1017" i="6"/>
  <c r="Q1016" i="6"/>
  <c r="L1016" i="6"/>
  <c r="E1016" i="6"/>
  <c r="Q1015" i="6"/>
  <c r="L1015" i="6"/>
  <c r="E1015" i="6"/>
  <c r="Q1014" i="6"/>
  <c r="L1014" i="6"/>
  <c r="E1014" i="6"/>
  <c r="Q1013" i="6"/>
  <c r="L1013" i="6"/>
  <c r="E1013" i="6"/>
  <c r="Q1012" i="6"/>
  <c r="L1012" i="6"/>
  <c r="E1012" i="6"/>
  <c r="Q1011" i="6"/>
  <c r="L1011" i="6"/>
  <c r="E1011" i="6"/>
  <c r="Q1010" i="6"/>
  <c r="L1010" i="6"/>
  <c r="E1010" i="6"/>
  <c r="Q1009" i="6"/>
  <c r="L1009" i="6"/>
  <c r="E1009" i="6"/>
  <c r="Q1008" i="6"/>
  <c r="L1008" i="6"/>
  <c r="E1008" i="6"/>
  <c r="Q1007" i="6"/>
  <c r="L1007" i="6"/>
  <c r="E1007" i="6"/>
  <c r="Q1006" i="6"/>
  <c r="L1006" i="6"/>
  <c r="E1006" i="6"/>
  <c r="Q1005" i="6"/>
  <c r="L1005" i="6"/>
  <c r="E1005" i="6"/>
  <c r="Q1004" i="6"/>
  <c r="L1004" i="6"/>
  <c r="E1004" i="6"/>
  <c r="Q1003" i="6"/>
  <c r="L1003" i="6"/>
  <c r="E1003" i="6"/>
  <c r="Q1002" i="6"/>
  <c r="L1002" i="6"/>
  <c r="E1002" i="6"/>
  <c r="Q1001" i="6"/>
  <c r="L1001" i="6"/>
  <c r="E1001" i="6"/>
  <c r="Q1000" i="6"/>
  <c r="L1000" i="6"/>
  <c r="E1000" i="6"/>
  <c r="Q999" i="6"/>
  <c r="L999" i="6"/>
  <c r="E999" i="6"/>
  <c r="Q998" i="6"/>
  <c r="L998" i="6"/>
  <c r="E998" i="6"/>
  <c r="Q997" i="6"/>
  <c r="L997" i="6"/>
  <c r="E997" i="6"/>
  <c r="Q996" i="6"/>
  <c r="L996" i="6"/>
  <c r="E996" i="6"/>
  <c r="Q995" i="6"/>
  <c r="L995" i="6"/>
  <c r="E995" i="6"/>
  <c r="Q994" i="6"/>
  <c r="L994" i="6"/>
  <c r="E994" i="6"/>
  <c r="Q993" i="6"/>
  <c r="L993" i="6"/>
  <c r="E993" i="6"/>
  <c r="Q992" i="6"/>
  <c r="L992" i="6"/>
  <c r="E992" i="6"/>
  <c r="Q991" i="6"/>
  <c r="L991" i="6"/>
  <c r="E991" i="6"/>
  <c r="Q990" i="6"/>
  <c r="L990" i="6"/>
  <c r="E990" i="6"/>
  <c r="Q989" i="6"/>
  <c r="L989" i="6"/>
  <c r="E989" i="6"/>
  <c r="Q988" i="6"/>
  <c r="L988" i="6"/>
  <c r="E988" i="6"/>
  <c r="Q987" i="6"/>
  <c r="L987" i="6"/>
  <c r="E987" i="6"/>
  <c r="Q986" i="6"/>
  <c r="L986" i="6"/>
  <c r="E986" i="6"/>
  <c r="Q985" i="6"/>
  <c r="L985" i="6"/>
  <c r="E985" i="6"/>
  <c r="Q984" i="6"/>
  <c r="L984" i="6"/>
  <c r="E984" i="6"/>
  <c r="Q983" i="6"/>
  <c r="L983" i="6"/>
  <c r="E983" i="6"/>
  <c r="Q982" i="6"/>
  <c r="L982" i="6"/>
  <c r="E982" i="6"/>
  <c r="Q981" i="6"/>
  <c r="L981" i="6"/>
  <c r="E981" i="6"/>
  <c r="Q980" i="6"/>
  <c r="L980" i="6"/>
  <c r="E980" i="6"/>
  <c r="Q979" i="6"/>
  <c r="L979" i="6"/>
  <c r="E979" i="6"/>
  <c r="Q978" i="6"/>
  <c r="L978" i="6"/>
  <c r="E978" i="6"/>
  <c r="Q977" i="6"/>
  <c r="L977" i="6"/>
  <c r="E977" i="6"/>
  <c r="Q976" i="6"/>
  <c r="L976" i="6"/>
  <c r="E976" i="6"/>
  <c r="Q975" i="6"/>
  <c r="L975" i="6"/>
  <c r="E975" i="6"/>
  <c r="Q974" i="6"/>
  <c r="L974" i="6"/>
  <c r="E974" i="6"/>
  <c r="Q973" i="6"/>
  <c r="L973" i="6"/>
  <c r="E973" i="6"/>
  <c r="Q972" i="6"/>
  <c r="L972" i="6"/>
  <c r="E972" i="6"/>
  <c r="Q971" i="6"/>
  <c r="L971" i="6"/>
  <c r="E971" i="6"/>
  <c r="Q970" i="6"/>
  <c r="L970" i="6"/>
  <c r="E970" i="6"/>
  <c r="Q969" i="6"/>
  <c r="L969" i="6"/>
  <c r="E969" i="6"/>
  <c r="Q968" i="6"/>
  <c r="L968" i="6"/>
  <c r="E968" i="6"/>
  <c r="Q967" i="6"/>
  <c r="L967" i="6"/>
  <c r="E967" i="6"/>
  <c r="Q966" i="6"/>
  <c r="L966" i="6"/>
  <c r="E966" i="6"/>
  <c r="Q965" i="6"/>
  <c r="L965" i="6"/>
  <c r="E965" i="6"/>
  <c r="Q964" i="6"/>
  <c r="L964" i="6"/>
  <c r="E964" i="6"/>
  <c r="Q963" i="6"/>
  <c r="L963" i="6"/>
  <c r="E963" i="6"/>
  <c r="Q962" i="6"/>
  <c r="L962" i="6"/>
  <c r="E962" i="6"/>
  <c r="Q961" i="6"/>
  <c r="L961" i="6"/>
  <c r="E961" i="6"/>
  <c r="Q960" i="6"/>
  <c r="L960" i="6"/>
  <c r="E960" i="6"/>
  <c r="Q959" i="6"/>
  <c r="L959" i="6"/>
  <c r="E959" i="6"/>
  <c r="Q958" i="6"/>
  <c r="L958" i="6"/>
  <c r="E958" i="6"/>
  <c r="Q957" i="6"/>
  <c r="L957" i="6"/>
  <c r="E957" i="6"/>
  <c r="Q956" i="6"/>
  <c r="L956" i="6"/>
  <c r="E956" i="6"/>
  <c r="Q955" i="6"/>
  <c r="L955" i="6"/>
  <c r="E955" i="6"/>
  <c r="Q954" i="6"/>
  <c r="L954" i="6"/>
  <c r="E954" i="6"/>
  <c r="Q953" i="6"/>
  <c r="L953" i="6"/>
  <c r="E953" i="6"/>
  <c r="Q952" i="6"/>
  <c r="L952" i="6"/>
  <c r="E952" i="6"/>
  <c r="Q951" i="6"/>
  <c r="L951" i="6"/>
  <c r="E951" i="6"/>
  <c r="Q950" i="6"/>
  <c r="L950" i="6"/>
  <c r="E950" i="6"/>
  <c r="Q949" i="6"/>
  <c r="L949" i="6"/>
  <c r="E949" i="6"/>
  <c r="Q948" i="6"/>
  <c r="L948" i="6"/>
  <c r="E948" i="6"/>
  <c r="Q947" i="6"/>
  <c r="L947" i="6"/>
  <c r="E947" i="6"/>
  <c r="Q946" i="6"/>
  <c r="L946" i="6"/>
  <c r="E946" i="6"/>
  <c r="Q945" i="6"/>
  <c r="L945" i="6"/>
  <c r="E945" i="6"/>
  <c r="Q944" i="6"/>
  <c r="L944" i="6"/>
  <c r="E944" i="6"/>
  <c r="Q943" i="6"/>
  <c r="L943" i="6"/>
  <c r="E943" i="6"/>
  <c r="Q942" i="6"/>
  <c r="L942" i="6"/>
  <c r="E942" i="6"/>
  <c r="Q941" i="6"/>
  <c r="L941" i="6"/>
  <c r="E941" i="6"/>
  <c r="Q940" i="6"/>
  <c r="L940" i="6"/>
  <c r="E940" i="6"/>
  <c r="Q939" i="6"/>
  <c r="L939" i="6"/>
  <c r="E939" i="6"/>
  <c r="Q938" i="6"/>
  <c r="L938" i="6"/>
  <c r="E938" i="6"/>
  <c r="Q937" i="6"/>
  <c r="L937" i="6"/>
  <c r="E937" i="6"/>
  <c r="Q936" i="6"/>
  <c r="L936" i="6"/>
  <c r="E936" i="6"/>
  <c r="Q935" i="6"/>
  <c r="L935" i="6"/>
  <c r="E935" i="6"/>
  <c r="Q934" i="6"/>
  <c r="L934" i="6"/>
  <c r="E934" i="6"/>
  <c r="Q933" i="6"/>
  <c r="L933" i="6"/>
  <c r="E933" i="6"/>
  <c r="Q932" i="6"/>
  <c r="L932" i="6"/>
  <c r="E932" i="6"/>
  <c r="Q931" i="6"/>
  <c r="L931" i="6"/>
  <c r="E931" i="6"/>
  <c r="Q930" i="6"/>
  <c r="L930" i="6"/>
  <c r="E930" i="6"/>
  <c r="Q929" i="6"/>
  <c r="L929" i="6"/>
  <c r="E929" i="6"/>
  <c r="Q928" i="6"/>
  <c r="L928" i="6"/>
  <c r="E928" i="6"/>
  <c r="Q927" i="6"/>
  <c r="L927" i="6"/>
  <c r="E927" i="6"/>
  <c r="Q926" i="6"/>
  <c r="L926" i="6"/>
  <c r="E926" i="6"/>
  <c r="Q925" i="6"/>
  <c r="L925" i="6"/>
  <c r="E925" i="6"/>
  <c r="Q924" i="6"/>
  <c r="L924" i="6"/>
  <c r="E924" i="6"/>
  <c r="Q923" i="6"/>
  <c r="L923" i="6"/>
  <c r="E923" i="6"/>
  <c r="Q922" i="6"/>
  <c r="L922" i="6"/>
  <c r="E922" i="6"/>
  <c r="Q921" i="6"/>
  <c r="L921" i="6"/>
  <c r="E921" i="6"/>
  <c r="Q920" i="6"/>
  <c r="L920" i="6"/>
  <c r="E920" i="6"/>
  <c r="Q919" i="6"/>
  <c r="L919" i="6"/>
  <c r="E919" i="6"/>
  <c r="Q918" i="6"/>
  <c r="L918" i="6"/>
  <c r="E918" i="6"/>
  <c r="Q917" i="6"/>
  <c r="L917" i="6"/>
  <c r="E917" i="6"/>
  <c r="Q916" i="6"/>
  <c r="L916" i="6"/>
  <c r="E916" i="6"/>
  <c r="Q915" i="6"/>
  <c r="L915" i="6"/>
  <c r="E915" i="6"/>
  <c r="Q914" i="6"/>
  <c r="L914" i="6"/>
  <c r="E914" i="6"/>
  <c r="Q913" i="6"/>
  <c r="L913" i="6"/>
  <c r="E913" i="6"/>
  <c r="Q912" i="6"/>
  <c r="L912" i="6"/>
  <c r="E912" i="6"/>
  <c r="Q911" i="6"/>
  <c r="L911" i="6"/>
  <c r="E911" i="6"/>
  <c r="Q910" i="6"/>
  <c r="L910" i="6"/>
  <c r="E910" i="6"/>
  <c r="Q909" i="6"/>
  <c r="L909" i="6"/>
  <c r="E909" i="6"/>
  <c r="Q908" i="6"/>
  <c r="L908" i="6"/>
  <c r="E908" i="6"/>
  <c r="Q907" i="6"/>
  <c r="L907" i="6"/>
  <c r="E907" i="6"/>
  <c r="Q906" i="6"/>
  <c r="L906" i="6"/>
  <c r="E906" i="6"/>
  <c r="Q905" i="6"/>
  <c r="L905" i="6"/>
  <c r="E905" i="6"/>
  <c r="Q904" i="6"/>
  <c r="L904" i="6"/>
  <c r="E904" i="6"/>
  <c r="Q903" i="6"/>
  <c r="L903" i="6"/>
  <c r="E903" i="6"/>
  <c r="Q902" i="6"/>
  <c r="L902" i="6"/>
  <c r="E902" i="6"/>
  <c r="Q901" i="6"/>
  <c r="L901" i="6"/>
  <c r="E901" i="6"/>
  <c r="Q900" i="6"/>
  <c r="L900" i="6"/>
  <c r="E900" i="6"/>
  <c r="Q899" i="6"/>
  <c r="L899" i="6"/>
  <c r="E899" i="6"/>
  <c r="Q898" i="6"/>
  <c r="L898" i="6"/>
  <c r="E898" i="6"/>
  <c r="Q897" i="6"/>
  <c r="L897" i="6"/>
  <c r="E897" i="6"/>
  <c r="Q896" i="6"/>
  <c r="L896" i="6"/>
  <c r="E896" i="6"/>
  <c r="Q895" i="6"/>
  <c r="L895" i="6"/>
  <c r="E895" i="6"/>
  <c r="Q894" i="6"/>
  <c r="L894" i="6"/>
  <c r="E894" i="6"/>
  <c r="Q893" i="6"/>
  <c r="L893" i="6"/>
  <c r="E893" i="6"/>
  <c r="Q892" i="6"/>
  <c r="L892" i="6"/>
  <c r="E892" i="6"/>
  <c r="Q891" i="6"/>
  <c r="L891" i="6"/>
  <c r="E891" i="6"/>
  <c r="Q890" i="6"/>
  <c r="L890" i="6"/>
  <c r="E890" i="6"/>
  <c r="Q889" i="6"/>
  <c r="L889" i="6"/>
  <c r="E889" i="6"/>
  <c r="Q888" i="6"/>
  <c r="L888" i="6"/>
  <c r="E888" i="6"/>
  <c r="Q887" i="6"/>
  <c r="L887" i="6"/>
  <c r="E887" i="6"/>
  <c r="Q886" i="6"/>
  <c r="L886" i="6"/>
  <c r="E886" i="6"/>
  <c r="Q885" i="6"/>
  <c r="L885" i="6"/>
  <c r="E885" i="6"/>
  <c r="Q884" i="6"/>
  <c r="L884" i="6"/>
  <c r="E884" i="6"/>
  <c r="Q883" i="6"/>
  <c r="L883" i="6"/>
  <c r="E883" i="6"/>
  <c r="Q882" i="6"/>
  <c r="L882" i="6"/>
  <c r="E882" i="6"/>
  <c r="Q881" i="6"/>
  <c r="L881" i="6"/>
  <c r="E881" i="6"/>
  <c r="Q880" i="6"/>
  <c r="L880" i="6"/>
  <c r="E880" i="6"/>
  <c r="Q879" i="6"/>
  <c r="L879" i="6"/>
  <c r="E879" i="6"/>
  <c r="Q878" i="6"/>
  <c r="L878" i="6"/>
  <c r="E878" i="6"/>
  <c r="Q877" i="6"/>
  <c r="L877" i="6"/>
  <c r="E877" i="6"/>
  <c r="Q876" i="6"/>
  <c r="L876" i="6"/>
  <c r="E876" i="6"/>
  <c r="Q875" i="6"/>
  <c r="L875" i="6"/>
  <c r="E875" i="6"/>
  <c r="Q874" i="6"/>
  <c r="L874" i="6"/>
  <c r="E874" i="6"/>
  <c r="Q873" i="6"/>
  <c r="L873" i="6"/>
  <c r="E873" i="6"/>
  <c r="Q872" i="6"/>
  <c r="L872" i="6"/>
  <c r="E872" i="6"/>
  <c r="Q871" i="6"/>
  <c r="L871" i="6"/>
  <c r="E871" i="6"/>
  <c r="Q870" i="6"/>
  <c r="L870" i="6"/>
  <c r="E870" i="6"/>
  <c r="Q869" i="6"/>
  <c r="L869" i="6"/>
  <c r="E869" i="6"/>
  <c r="Q868" i="6"/>
  <c r="L868" i="6"/>
  <c r="E868" i="6"/>
  <c r="Q867" i="6"/>
  <c r="L867" i="6"/>
  <c r="E867" i="6"/>
  <c r="Q866" i="6"/>
  <c r="L866" i="6"/>
  <c r="E866" i="6"/>
  <c r="Q865" i="6"/>
  <c r="L865" i="6"/>
  <c r="E865" i="6"/>
  <c r="Q864" i="6"/>
  <c r="L864" i="6"/>
  <c r="E864" i="6"/>
  <c r="Q863" i="6"/>
  <c r="L863" i="6"/>
  <c r="E863" i="6"/>
  <c r="Q862" i="6"/>
  <c r="L862" i="6"/>
  <c r="E862" i="6"/>
  <c r="Q861" i="6"/>
  <c r="L861" i="6"/>
  <c r="E861" i="6"/>
  <c r="Q860" i="6"/>
  <c r="L860" i="6"/>
  <c r="E860" i="6"/>
  <c r="Q859" i="6"/>
  <c r="L859" i="6"/>
  <c r="E859" i="6"/>
  <c r="Q858" i="6"/>
  <c r="L858" i="6"/>
  <c r="E858" i="6"/>
  <c r="Q857" i="6"/>
  <c r="L857" i="6"/>
  <c r="E857" i="6"/>
  <c r="Q856" i="6"/>
  <c r="L856" i="6"/>
  <c r="E856" i="6"/>
  <c r="Q855" i="6"/>
  <c r="L855" i="6"/>
  <c r="E855" i="6"/>
  <c r="Q854" i="6"/>
  <c r="L854" i="6"/>
  <c r="E854" i="6"/>
  <c r="Q853" i="6"/>
  <c r="L853" i="6"/>
  <c r="E853" i="6"/>
  <c r="Q852" i="6"/>
  <c r="L852" i="6"/>
  <c r="E852" i="6"/>
  <c r="Q851" i="6"/>
  <c r="L851" i="6"/>
  <c r="E851" i="6"/>
  <c r="Q850" i="6"/>
  <c r="L850" i="6"/>
  <c r="E850" i="6"/>
  <c r="Q849" i="6"/>
  <c r="L849" i="6"/>
  <c r="E849" i="6"/>
  <c r="Q848" i="6"/>
  <c r="L848" i="6"/>
  <c r="E848" i="6"/>
  <c r="Q847" i="6"/>
  <c r="L847" i="6"/>
  <c r="E847" i="6"/>
  <c r="Q846" i="6"/>
  <c r="L846" i="6"/>
  <c r="E846" i="6"/>
  <c r="Q845" i="6"/>
  <c r="L845" i="6"/>
  <c r="E845" i="6"/>
  <c r="Q844" i="6"/>
  <c r="L844" i="6"/>
  <c r="E844" i="6"/>
  <c r="Q843" i="6"/>
  <c r="L843" i="6"/>
  <c r="E843" i="6"/>
  <c r="Q842" i="6"/>
  <c r="L842" i="6"/>
  <c r="E842" i="6"/>
  <c r="Q841" i="6"/>
  <c r="L841" i="6"/>
  <c r="E841" i="6"/>
  <c r="Q840" i="6"/>
  <c r="L840" i="6"/>
  <c r="E840" i="6"/>
  <c r="Q839" i="6"/>
  <c r="L839" i="6"/>
  <c r="E839" i="6"/>
  <c r="Q838" i="6"/>
  <c r="L838" i="6"/>
  <c r="E838" i="6"/>
  <c r="Q837" i="6"/>
  <c r="L837" i="6"/>
  <c r="E837" i="6"/>
  <c r="Q836" i="6"/>
  <c r="L836" i="6"/>
  <c r="E836" i="6"/>
  <c r="Q835" i="6"/>
  <c r="L835" i="6"/>
  <c r="E835" i="6"/>
  <c r="Q834" i="6"/>
  <c r="L834" i="6"/>
  <c r="E834" i="6"/>
  <c r="Q833" i="6"/>
  <c r="L833" i="6"/>
  <c r="E833" i="6"/>
  <c r="Q832" i="6"/>
  <c r="L832" i="6"/>
  <c r="E832" i="6"/>
  <c r="Q831" i="6"/>
  <c r="L831" i="6"/>
  <c r="E831" i="6"/>
  <c r="Q830" i="6"/>
  <c r="L830" i="6"/>
  <c r="E830" i="6"/>
  <c r="Q829" i="6"/>
  <c r="L829" i="6"/>
  <c r="E829" i="6"/>
  <c r="Q828" i="6"/>
  <c r="L828" i="6"/>
  <c r="E828" i="6"/>
  <c r="Q827" i="6"/>
  <c r="L827" i="6"/>
  <c r="E827" i="6"/>
  <c r="Q826" i="6"/>
  <c r="L826" i="6"/>
  <c r="E826" i="6"/>
  <c r="Q825" i="6"/>
  <c r="L825" i="6"/>
  <c r="E825" i="6"/>
  <c r="Q824" i="6"/>
  <c r="L824" i="6"/>
  <c r="E824" i="6"/>
  <c r="Q823" i="6"/>
  <c r="L823" i="6"/>
  <c r="E823" i="6"/>
  <c r="Q822" i="6"/>
  <c r="L822" i="6"/>
  <c r="E822" i="6"/>
  <c r="Q821" i="6"/>
  <c r="L821" i="6"/>
  <c r="E821" i="6"/>
  <c r="Q820" i="6"/>
  <c r="L820" i="6"/>
  <c r="E820" i="6"/>
  <c r="Q819" i="6"/>
  <c r="L819" i="6"/>
  <c r="E819" i="6"/>
  <c r="Q818" i="6"/>
  <c r="L818" i="6"/>
  <c r="E818" i="6"/>
  <c r="Q817" i="6"/>
  <c r="L817" i="6"/>
  <c r="E817" i="6"/>
  <c r="Q816" i="6"/>
  <c r="L816" i="6"/>
  <c r="E816" i="6"/>
  <c r="Q815" i="6"/>
  <c r="L815" i="6"/>
  <c r="E815" i="6"/>
  <c r="Q814" i="6"/>
  <c r="L814" i="6"/>
  <c r="E814" i="6"/>
  <c r="Q813" i="6"/>
  <c r="L813" i="6"/>
  <c r="E813" i="6"/>
  <c r="Q812" i="6"/>
  <c r="L812" i="6"/>
  <c r="E812" i="6"/>
  <c r="Q811" i="6"/>
  <c r="L811" i="6"/>
  <c r="E811" i="6"/>
  <c r="Q810" i="6"/>
  <c r="L810" i="6"/>
  <c r="E810" i="6"/>
  <c r="Q809" i="6"/>
  <c r="L809" i="6"/>
  <c r="E809" i="6"/>
  <c r="Q808" i="6"/>
  <c r="L808" i="6"/>
  <c r="E808" i="6"/>
  <c r="Q807" i="6"/>
  <c r="L807" i="6"/>
  <c r="E807" i="6"/>
  <c r="Q806" i="6"/>
  <c r="L806" i="6"/>
  <c r="E806" i="6"/>
  <c r="Q805" i="6"/>
  <c r="L805" i="6"/>
  <c r="E805" i="6"/>
  <c r="Q804" i="6"/>
  <c r="L804" i="6"/>
  <c r="E804" i="6"/>
  <c r="Q803" i="6"/>
  <c r="L803" i="6"/>
  <c r="E803" i="6"/>
  <c r="Q802" i="6"/>
  <c r="L802" i="6"/>
  <c r="E802" i="6"/>
  <c r="Q801" i="6"/>
  <c r="L801" i="6"/>
  <c r="E801" i="6"/>
  <c r="Q800" i="6"/>
  <c r="L800" i="6"/>
  <c r="E800" i="6"/>
  <c r="Q799" i="6"/>
  <c r="L799" i="6"/>
  <c r="E799" i="6"/>
  <c r="Q798" i="6"/>
  <c r="L798" i="6"/>
  <c r="E798" i="6"/>
  <c r="Q797" i="6"/>
  <c r="L797" i="6"/>
  <c r="E797" i="6"/>
  <c r="Q796" i="6"/>
  <c r="L796" i="6"/>
  <c r="E796" i="6"/>
  <c r="Q795" i="6"/>
  <c r="L795" i="6"/>
  <c r="E795" i="6"/>
  <c r="Q794" i="6"/>
  <c r="L794" i="6"/>
  <c r="E794" i="6"/>
  <c r="Q793" i="6"/>
  <c r="L793" i="6"/>
  <c r="E793" i="6"/>
  <c r="Q792" i="6"/>
  <c r="L792" i="6"/>
  <c r="E792" i="6"/>
  <c r="Q791" i="6"/>
  <c r="L791" i="6"/>
  <c r="E791" i="6"/>
  <c r="Q790" i="6"/>
  <c r="L790" i="6"/>
  <c r="E790" i="6"/>
  <c r="Q789" i="6"/>
  <c r="L789" i="6"/>
  <c r="E789" i="6"/>
  <c r="Q788" i="6"/>
  <c r="L788" i="6"/>
  <c r="E788" i="6"/>
  <c r="Q787" i="6"/>
  <c r="L787" i="6"/>
  <c r="E787" i="6"/>
  <c r="Q786" i="6"/>
  <c r="L786" i="6"/>
  <c r="E786" i="6"/>
  <c r="Q785" i="6"/>
  <c r="L785" i="6"/>
  <c r="E785" i="6"/>
  <c r="Q784" i="6"/>
  <c r="L784" i="6"/>
  <c r="E784" i="6"/>
  <c r="Q783" i="6"/>
  <c r="L783" i="6"/>
  <c r="E783" i="6"/>
  <c r="Q782" i="6"/>
  <c r="L782" i="6"/>
  <c r="E782" i="6"/>
  <c r="Q781" i="6"/>
  <c r="L781" i="6"/>
  <c r="E781" i="6"/>
  <c r="Q780" i="6"/>
  <c r="L780" i="6"/>
  <c r="E780" i="6"/>
  <c r="Q779" i="6"/>
  <c r="L779" i="6"/>
  <c r="E779" i="6"/>
  <c r="Q778" i="6"/>
  <c r="L778" i="6"/>
  <c r="E778" i="6"/>
  <c r="Q777" i="6"/>
  <c r="L777" i="6"/>
  <c r="E777" i="6"/>
  <c r="Q776" i="6"/>
  <c r="L776" i="6"/>
  <c r="E776" i="6"/>
  <c r="Q775" i="6"/>
  <c r="L775" i="6"/>
  <c r="E775" i="6"/>
  <c r="Q774" i="6"/>
  <c r="L774" i="6"/>
  <c r="E774" i="6"/>
  <c r="Q773" i="6"/>
  <c r="L773" i="6"/>
  <c r="E773" i="6"/>
  <c r="Q772" i="6"/>
  <c r="L772" i="6"/>
  <c r="E772" i="6"/>
  <c r="Q771" i="6"/>
  <c r="L771" i="6"/>
  <c r="E771" i="6"/>
  <c r="Q770" i="6"/>
  <c r="L770" i="6"/>
  <c r="E770" i="6"/>
  <c r="Q769" i="6"/>
  <c r="L769" i="6"/>
  <c r="E769" i="6"/>
  <c r="Q768" i="6"/>
  <c r="L768" i="6"/>
  <c r="E768" i="6"/>
  <c r="Q767" i="6"/>
  <c r="L767" i="6"/>
  <c r="E767" i="6"/>
  <c r="Q766" i="6"/>
  <c r="L766" i="6"/>
  <c r="E766" i="6"/>
  <c r="Q765" i="6"/>
  <c r="L765" i="6"/>
  <c r="E765" i="6"/>
  <c r="Q764" i="6"/>
  <c r="L764" i="6"/>
  <c r="E764" i="6"/>
  <c r="Q763" i="6"/>
  <c r="L763" i="6"/>
  <c r="E763" i="6"/>
  <c r="Q762" i="6"/>
  <c r="L762" i="6"/>
  <c r="E762" i="6"/>
  <c r="Q761" i="6"/>
  <c r="L761" i="6"/>
  <c r="E761" i="6"/>
  <c r="Q760" i="6"/>
  <c r="L760" i="6"/>
  <c r="E760" i="6"/>
  <c r="Q759" i="6"/>
  <c r="L759" i="6"/>
  <c r="E759" i="6"/>
  <c r="Q758" i="6"/>
  <c r="L758" i="6"/>
  <c r="E758" i="6"/>
  <c r="Q757" i="6"/>
  <c r="L757" i="6"/>
  <c r="E757" i="6"/>
  <c r="Q756" i="6"/>
  <c r="L756" i="6"/>
  <c r="E756" i="6"/>
  <c r="Q755" i="6"/>
  <c r="L755" i="6"/>
  <c r="E755" i="6"/>
  <c r="Q754" i="6"/>
  <c r="L754" i="6"/>
  <c r="E754" i="6"/>
  <c r="Q753" i="6"/>
  <c r="L753" i="6"/>
  <c r="E753" i="6"/>
  <c r="Q752" i="6"/>
  <c r="L752" i="6"/>
  <c r="E752" i="6"/>
  <c r="Q751" i="6"/>
  <c r="L751" i="6"/>
  <c r="E751" i="6"/>
  <c r="Q750" i="6"/>
  <c r="L750" i="6"/>
  <c r="E750" i="6"/>
  <c r="Q749" i="6"/>
  <c r="L749" i="6"/>
  <c r="E749" i="6"/>
  <c r="Q748" i="6"/>
  <c r="L748" i="6"/>
  <c r="E748" i="6"/>
  <c r="Q747" i="6"/>
  <c r="L747" i="6"/>
  <c r="E747" i="6"/>
  <c r="Q746" i="6"/>
  <c r="L746" i="6"/>
  <c r="E746" i="6"/>
  <c r="Q745" i="6"/>
  <c r="L745" i="6"/>
  <c r="E745" i="6"/>
  <c r="Q744" i="6"/>
  <c r="L744" i="6"/>
  <c r="E744" i="6"/>
  <c r="Q743" i="6"/>
  <c r="L743" i="6"/>
  <c r="E743" i="6"/>
  <c r="Q742" i="6"/>
  <c r="L742" i="6"/>
  <c r="E742" i="6"/>
  <c r="Q741" i="6"/>
  <c r="L741" i="6"/>
  <c r="E741" i="6"/>
  <c r="Q740" i="6"/>
  <c r="L740" i="6"/>
  <c r="E740" i="6"/>
  <c r="Q739" i="6"/>
  <c r="L739" i="6"/>
  <c r="E739" i="6"/>
  <c r="Q738" i="6"/>
  <c r="L738" i="6"/>
  <c r="E738" i="6"/>
  <c r="Q737" i="6"/>
  <c r="L737" i="6"/>
  <c r="E737" i="6"/>
  <c r="Q736" i="6"/>
  <c r="L736" i="6"/>
  <c r="E736" i="6"/>
  <c r="Q735" i="6"/>
  <c r="L735" i="6"/>
  <c r="E735" i="6"/>
  <c r="Q734" i="6"/>
  <c r="L734" i="6"/>
  <c r="E734" i="6"/>
  <c r="Q733" i="6"/>
  <c r="L733" i="6"/>
  <c r="E733" i="6"/>
  <c r="Q732" i="6"/>
  <c r="L732" i="6"/>
  <c r="E732" i="6"/>
  <c r="Q731" i="6"/>
  <c r="L731" i="6"/>
  <c r="E731" i="6"/>
  <c r="Q730" i="6"/>
  <c r="L730" i="6"/>
  <c r="E730" i="6"/>
  <c r="Q729" i="6"/>
  <c r="L729" i="6"/>
  <c r="E729" i="6"/>
  <c r="Q728" i="6"/>
  <c r="L728" i="6"/>
  <c r="E728" i="6"/>
  <c r="Q727" i="6"/>
  <c r="L727" i="6"/>
  <c r="E727" i="6"/>
  <c r="Q726" i="6"/>
  <c r="L726" i="6"/>
  <c r="E726" i="6"/>
  <c r="Q725" i="6"/>
  <c r="L725" i="6"/>
  <c r="E725" i="6"/>
  <c r="Q724" i="6"/>
  <c r="L724" i="6"/>
  <c r="E724" i="6"/>
  <c r="Q723" i="6"/>
  <c r="L723" i="6"/>
  <c r="E723" i="6"/>
  <c r="Q722" i="6"/>
  <c r="L722" i="6"/>
  <c r="E722" i="6"/>
  <c r="Q721" i="6"/>
  <c r="L721" i="6"/>
  <c r="E721" i="6"/>
  <c r="Q720" i="6"/>
  <c r="L720" i="6"/>
  <c r="E720" i="6"/>
  <c r="Q719" i="6"/>
  <c r="L719" i="6"/>
  <c r="E719" i="6"/>
  <c r="Q718" i="6"/>
  <c r="L718" i="6"/>
  <c r="E718" i="6"/>
  <c r="Q717" i="6"/>
  <c r="L717" i="6"/>
  <c r="E717" i="6"/>
  <c r="Q716" i="6"/>
  <c r="L716" i="6"/>
  <c r="E716" i="6"/>
  <c r="Q715" i="6"/>
  <c r="L715" i="6"/>
  <c r="E715" i="6"/>
  <c r="Q714" i="6"/>
  <c r="L714" i="6"/>
  <c r="E714" i="6"/>
  <c r="Q713" i="6"/>
  <c r="L713" i="6"/>
  <c r="E713" i="6"/>
  <c r="Q712" i="6"/>
  <c r="L712" i="6"/>
  <c r="E712" i="6"/>
  <c r="Q711" i="6"/>
  <c r="L711" i="6"/>
  <c r="E711" i="6"/>
  <c r="Q710" i="6"/>
  <c r="L710" i="6"/>
  <c r="E710" i="6"/>
  <c r="Q709" i="6"/>
  <c r="L709" i="6"/>
  <c r="E709" i="6"/>
  <c r="Q708" i="6"/>
  <c r="L708" i="6"/>
  <c r="E708" i="6"/>
  <c r="Q707" i="6"/>
  <c r="L707" i="6"/>
  <c r="E707" i="6"/>
  <c r="Q706" i="6"/>
  <c r="L706" i="6"/>
  <c r="E706" i="6"/>
  <c r="Q705" i="6"/>
  <c r="L705" i="6"/>
  <c r="E705" i="6"/>
  <c r="Q704" i="6"/>
  <c r="L704" i="6"/>
  <c r="E704" i="6"/>
  <c r="Q703" i="6"/>
  <c r="L703" i="6"/>
  <c r="E703" i="6"/>
  <c r="Q702" i="6"/>
  <c r="L702" i="6"/>
  <c r="E702" i="6"/>
  <c r="Q701" i="6"/>
  <c r="L701" i="6"/>
  <c r="E701" i="6"/>
  <c r="Q700" i="6"/>
  <c r="L700" i="6"/>
  <c r="E700" i="6"/>
  <c r="Q699" i="6"/>
  <c r="L699" i="6"/>
  <c r="E699" i="6"/>
  <c r="Q698" i="6"/>
  <c r="L698" i="6"/>
  <c r="E698" i="6"/>
  <c r="Q697" i="6"/>
  <c r="L697" i="6"/>
  <c r="E697" i="6"/>
  <c r="Q696" i="6"/>
  <c r="L696" i="6"/>
  <c r="E696" i="6"/>
  <c r="Q695" i="6"/>
  <c r="L695" i="6"/>
  <c r="E695" i="6"/>
  <c r="Q694" i="6"/>
  <c r="L694" i="6"/>
  <c r="E694" i="6"/>
  <c r="Q693" i="6"/>
  <c r="L693" i="6"/>
  <c r="E693" i="6"/>
  <c r="Q692" i="6"/>
  <c r="L692" i="6"/>
  <c r="E692" i="6"/>
  <c r="Q691" i="6"/>
  <c r="L691" i="6"/>
  <c r="E691" i="6"/>
  <c r="Q690" i="6"/>
  <c r="L690" i="6"/>
  <c r="E690" i="6"/>
  <c r="Q689" i="6"/>
  <c r="L689" i="6"/>
  <c r="E689" i="6"/>
  <c r="Q688" i="6"/>
  <c r="L688" i="6"/>
  <c r="E688" i="6"/>
  <c r="Q687" i="6"/>
  <c r="L687" i="6"/>
  <c r="E687" i="6"/>
  <c r="Q686" i="6"/>
  <c r="L686" i="6"/>
  <c r="E686" i="6"/>
  <c r="Q685" i="6"/>
  <c r="L685" i="6"/>
  <c r="E685" i="6"/>
  <c r="Q684" i="6"/>
  <c r="L684" i="6"/>
  <c r="E684" i="6"/>
  <c r="Q683" i="6"/>
  <c r="L683" i="6"/>
  <c r="E683" i="6"/>
  <c r="Q682" i="6"/>
  <c r="L682" i="6"/>
  <c r="E682" i="6"/>
  <c r="Q681" i="6"/>
  <c r="L681" i="6"/>
  <c r="E681" i="6"/>
  <c r="Q680" i="6"/>
  <c r="L680" i="6"/>
  <c r="E680" i="6"/>
  <c r="Q679" i="6"/>
  <c r="L679" i="6"/>
  <c r="E679" i="6"/>
  <c r="Q678" i="6"/>
  <c r="L678" i="6"/>
  <c r="E678" i="6"/>
  <c r="Q677" i="6"/>
  <c r="L677" i="6"/>
  <c r="E677" i="6"/>
  <c r="Q676" i="6"/>
  <c r="L676" i="6"/>
  <c r="E676" i="6"/>
  <c r="Q675" i="6"/>
  <c r="L675" i="6"/>
  <c r="E675" i="6"/>
  <c r="Q674" i="6"/>
  <c r="L674" i="6"/>
  <c r="E674" i="6"/>
  <c r="Q673" i="6"/>
  <c r="L673" i="6"/>
  <c r="E673" i="6"/>
  <c r="Q672" i="6"/>
  <c r="L672" i="6"/>
  <c r="E672" i="6"/>
  <c r="Q671" i="6"/>
  <c r="L671" i="6"/>
  <c r="E671" i="6"/>
  <c r="Q670" i="6"/>
  <c r="L670" i="6"/>
  <c r="E670" i="6"/>
  <c r="Q669" i="6"/>
  <c r="L669" i="6"/>
  <c r="E669" i="6"/>
  <c r="Q668" i="6"/>
  <c r="L668" i="6"/>
  <c r="E668" i="6"/>
  <c r="Q667" i="6"/>
  <c r="L667" i="6"/>
  <c r="E667" i="6"/>
  <c r="Q666" i="6"/>
  <c r="L666" i="6"/>
  <c r="E666" i="6"/>
  <c r="Q665" i="6"/>
  <c r="L665" i="6"/>
  <c r="E665" i="6"/>
  <c r="Q664" i="6"/>
  <c r="L664" i="6"/>
  <c r="E664" i="6"/>
  <c r="Q663" i="6"/>
  <c r="L663" i="6"/>
  <c r="E663" i="6"/>
  <c r="Q662" i="6"/>
  <c r="L662" i="6"/>
  <c r="E662" i="6"/>
  <c r="Q661" i="6"/>
  <c r="L661" i="6"/>
  <c r="E661" i="6"/>
  <c r="Q660" i="6"/>
  <c r="L660" i="6"/>
  <c r="E660" i="6"/>
  <c r="Q659" i="6"/>
  <c r="L659" i="6"/>
  <c r="E659" i="6"/>
  <c r="Q658" i="6"/>
  <c r="L658" i="6"/>
  <c r="E658" i="6"/>
  <c r="Q657" i="6"/>
  <c r="L657" i="6"/>
  <c r="E657" i="6"/>
  <c r="Q656" i="6"/>
  <c r="L656" i="6"/>
  <c r="E656" i="6"/>
  <c r="Q655" i="6"/>
  <c r="L655" i="6"/>
  <c r="E655" i="6"/>
  <c r="Q654" i="6"/>
  <c r="L654" i="6"/>
  <c r="E654" i="6"/>
  <c r="Q653" i="6"/>
  <c r="L653" i="6"/>
  <c r="E653" i="6"/>
  <c r="Q652" i="6"/>
  <c r="L652" i="6"/>
  <c r="E652" i="6"/>
  <c r="Q651" i="6"/>
  <c r="L651" i="6"/>
  <c r="E651" i="6"/>
  <c r="Q650" i="6"/>
  <c r="L650" i="6"/>
  <c r="E650" i="6"/>
  <c r="Q649" i="6"/>
  <c r="L649" i="6"/>
  <c r="E649" i="6"/>
  <c r="Q648" i="6"/>
  <c r="L648" i="6"/>
  <c r="E648" i="6"/>
  <c r="Q647" i="6"/>
  <c r="L647" i="6"/>
  <c r="E647" i="6"/>
  <c r="Q646" i="6"/>
  <c r="L646" i="6"/>
  <c r="E646" i="6"/>
  <c r="Q645" i="6"/>
  <c r="L645" i="6"/>
  <c r="E645" i="6"/>
  <c r="Q644" i="6"/>
  <c r="L644" i="6"/>
  <c r="E644" i="6"/>
  <c r="Q643" i="6"/>
  <c r="L643" i="6"/>
  <c r="E643" i="6"/>
  <c r="Q642" i="6"/>
  <c r="L642" i="6"/>
  <c r="E642" i="6"/>
  <c r="Q641" i="6"/>
  <c r="L641" i="6"/>
  <c r="E641" i="6"/>
  <c r="Q640" i="6"/>
  <c r="L640" i="6"/>
  <c r="E640" i="6"/>
  <c r="Q639" i="6"/>
  <c r="L639" i="6"/>
  <c r="E639" i="6"/>
  <c r="Q638" i="6"/>
  <c r="L638" i="6"/>
  <c r="E638" i="6"/>
  <c r="Q637" i="6"/>
  <c r="L637" i="6"/>
  <c r="E637" i="6"/>
  <c r="Q636" i="6"/>
  <c r="L636" i="6"/>
  <c r="E636" i="6"/>
  <c r="Q635" i="6"/>
  <c r="L635" i="6"/>
  <c r="E635" i="6"/>
  <c r="Q634" i="6"/>
  <c r="L634" i="6"/>
  <c r="E634" i="6"/>
  <c r="Q633" i="6"/>
  <c r="L633" i="6"/>
  <c r="E633" i="6"/>
  <c r="Q632" i="6"/>
  <c r="L632" i="6"/>
  <c r="E632" i="6"/>
  <c r="Q631" i="6"/>
  <c r="L631" i="6"/>
  <c r="E631" i="6"/>
  <c r="Q630" i="6"/>
  <c r="L630" i="6"/>
  <c r="E630" i="6"/>
  <c r="Q629" i="6"/>
  <c r="L629" i="6"/>
  <c r="E629" i="6"/>
  <c r="Q628" i="6"/>
  <c r="L628" i="6"/>
  <c r="E628" i="6"/>
  <c r="Q627" i="6"/>
  <c r="L627" i="6"/>
  <c r="E627" i="6"/>
  <c r="Q626" i="6"/>
  <c r="L626" i="6"/>
  <c r="E626" i="6"/>
  <c r="Q625" i="6"/>
  <c r="L625" i="6"/>
  <c r="E625" i="6"/>
  <c r="Q624" i="6"/>
  <c r="L624" i="6"/>
  <c r="E624" i="6"/>
  <c r="Q623" i="6"/>
  <c r="L623" i="6"/>
  <c r="E623" i="6"/>
  <c r="Q622" i="6"/>
  <c r="L622" i="6"/>
  <c r="E622" i="6"/>
  <c r="Q621" i="6"/>
  <c r="L621" i="6"/>
  <c r="E621" i="6"/>
  <c r="Q620" i="6"/>
  <c r="L620" i="6"/>
  <c r="E620" i="6"/>
  <c r="Q619" i="6"/>
  <c r="L619" i="6"/>
  <c r="E619" i="6"/>
  <c r="Q618" i="6"/>
  <c r="L618" i="6"/>
  <c r="E618" i="6"/>
  <c r="Q617" i="6"/>
  <c r="L617" i="6"/>
  <c r="E617" i="6"/>
  <c r="Q616" i="6"/>
  <c r="L616" i="6"/>
  <c r="E616" i="6"/>
  <c r="Q615" i="6"/>
  <c r="L615" i="6"/>
  <c r="E615" i="6"/>
  <c r="Q614" i="6"/>
  <c r="L614" i="6"/>
  <c r="E614" i="6"/>
  <c r="Q613" i="6"/>
  <c r="L613" i="6"/>
  <c r="E613" i="6"/>
  <c r="Q612" i="6"/>
  <c r="L612" i="6"/>
  <c r="E612" i="6"/>
  <c r="Q611" i="6"/>
  <c r="L611" i="6"/>
  <c r="E611" i="6"/>
  <c r="Q610" i="6"/>
  <c r="L610" i="6"/>
  <c r="E610" i="6"/>
  <c r="Q609" i="6"/>
  <c r="L609" i="6"/>
  <c r="E609" i="6"/>
  <c r="Q608" i="6"/>
  <c r="L608" i="6"/>
  <c r="E608" i="6"/>
  <c r="Q607" i="6"/>
  <c r="L607" i="6"/>
  <c r="E607" i="6"/>
  <c r="Q606" i="6"/>
  <c r="L606" i="6"/>
  <c r="E606" i="6"/>
  <c r="Q605" i="6"/>
  <c r="L605" i="6"/>
  <c r="E605" i="6"/>
  <c r="Q604" i="6"/>
  <c r="L604" i="6"/>
  <c r="E604" i="6"/>
  <c r="Q603" i="6"/>
  <c r="L603" i="6"/>
  <c r="E603" i="6"/>
  <c r="Q602" i="6"/>
  <c r="L602" i="6"/>
  <c r="E602" i="6"/>
  <c r="Q601" i="6"/>
  <c r="L601" i="6"/>
  <c r="E601" i="6"/>
  <c r="Q600" i="6"/>
  <c r="L600" i="6"/>
  <c r="E600" i="6"/>
  <c r="Q599" i="6"/>
  <c r="L599" i="6"/>
  <c r="E599" i="6"/>
  <c r="Q598" i="6"/>
  <c r="L598" i="6"/>
  <c r="E598" i="6"/>
  <c r="Q597" i="6"/>
  <c r="L597" i="6"/>
  <c r="E597" i="6"/>
  <c r="Q596" i="6"/>
  <c r="L596" i="6"/>
  <c r="E596" i="6"/>
  <c r="Q595" i="6"/>
  <c r="L595" i="6"/>
  <c r="E595" i="6"/>
  <c r="Q594" i="6"/>
  <c r="L594" i="6"/>
  <c r="E594" i="6"/>
  <c r="Q593" i="6"/>
  <c r="L593" i="6"/>
  <c r="E593" i="6"/>
  <c r="Q592" i="6"/>
  <c r="L592" i="6"/>
  <c r="E592" i="6"/>
  <c r="Q591" i="6"/>
  <c r="L591" i="6"/>
  <c r="E591" i="6"/>
  <c r="Q590" i="6"/>
  <c r="L590" i="6"/>
  <c r="E590" i="6"/>
  <c r="Q589" i="6"/>
  <c r="L589" i="6"/>
  <c r="E589" i="6"/>
  <c r="Q588" i="6"/>
  <c r="L588" i="6"/>
  <c r="E588" i="6"/>
  <c r="Q587" i="6"/>
  <c r="L587" i="6"/>
  <c r="E587" i="6"/>
  <c r="Q586" i="6"/>
  <c r="L586" i="6"/>
  <c r="E586" i="6"/>
  <c r="Q585" i="6"/>
  <c r="L585" i="6"/>
  <c r="E585" i="6"/>
  <c r="Q584" i="6"/>
  <c r="L584" i="6"/>
  <c r="E584" i="6"/>
  <c r="Q583" i="6"/>
  <c r="L583" i="6"/>
  <c r="E583" i="6"/>
  <c r="Q582" i="6"/>
  <c r="L582" i="6"/>
  <c r="E582" i="6"/>
  <c r="Q581" i="6"/>
  <c r="L581" i="6"/>
  <c r="E581" i="6"/>
  <c r="Q580" i="6"/>
  <c r="L580" i="6"/>
  <c r="E580" i="6"/>
  <c r="Q579" i="6"/>
  <c r="L579" i="6"/>
  <c r="E579" i="6"/>
  <c r="Q578" i="6"/>
  <c r="L578" i="6"/>
  <c r="E578" i="6"/>
  <c r="Q577" i="6"/>
  <c r="L577" i="6"/>
  <c r="E577" i="6"/>
  <c r="Q576" i="6"/>
  <c r="L576" i="6"/>
  <c r="E576" i="6"/>
  <c r="Q575" i="6"/>
  <c r="L575" i="6"/>
  <c r="E575" i="6"/>
  <c r="Q574" i="6"/>
  <c r="L574" i="6"/>
  <c r="E574" i="6"/>
  <c r="Q573" i="6"/>
  <c r="L573" i="6"/>
  <c r="E573" i="6"/>
  <c r="Q572" i="6"/>
  <c r="L572" i="6"/>
  <c r="E572" i="6"/>
  <c r="Q571" i="6"/>
  <c r="L571" i="6"/>
  <c r="E571" i="6"/>
  <c r="Q570" i="6"/>
  <c r="L570" i="6"/>
  <c r="E570" i="6"/>
  <c r="Q569" i="6"/>
  <c r="L569" i="6"/>
  <c r="E569" i="6"/>
  <c r="Q568" i="6"/>
  <c r="L568" i="6"/>
  <c r="E568" i="6"/>
  <c r="Q567" i="6"/>
  <c r="L567" i="6"/>
  <c r="E567" i="6"/>
  <c r="Q566" i="6"/>
  <c r="L566" i="6"/>
  <c r="E566" i="6"/>
  <c r="Q565" i="6"/>
  <c r="L565" i="6"/>
  <c r="E565" i="6"/>
  <c r="Q564" i="6"/>
  <c r="L564" i="6"/>
  <c r="E564" i="6"/>
  <c r="Q563" i="6"/>
  <c r="L563" i="6"/>
  <c r="E563" i="6"/>
  <c r="Q562" i="6"/>
  <c r="L562" i="6"/>
  <c r="E562" i="6"/>
  <c r="Q561" i="6"/>
  <c r="L561" i="6"/>
  <c r="E561" i="6"/>
  <c r="Q560" i="6"/>
  <c r="L560" i="6"/>
  <c r="E560" i="6"/>
  <c r="Q559" i="6"/>
  <c r="L559" i="6"/>
  <c r="E559" i="6"/>
  <c r="Q558" i="6"/>
  <c r="L558" i="6"/>
  <c r="E558" i="6"/>
  <c r="Q557" i="6"/>
  <c r="L557" i="6"/>
  <c r="E557" i="6"/>
  <c r="Q556" i="6"/>
  <c r="L556" i="6"/>
  <c r="E556" i="6"/>
  <c r="Q555" i="6"/>
  <c r="L555" i="6"/>
  <c r="E555" i="6"/>
  <c r="Q554" i="6"/>
  <c r="L554" i="6"/>
  <c r="E554" i="6"/>
  <c r="Q553" i="6"/>
  <c r="L553" i="6"/>
  <c r="E553" i="6"/>
  <c r="Q552" i="6"/>
  <c r="L552" i="6"/>
  <c r="E552" i="6"/>
  <c r="Q551" i="6"/>
  <c r="L551" i="6"/>
  <c r="E551" i="6"/>
  <c r="Q550" i="6"/>
  <c r="L550" i="6"/>
  <c r="E550" i="6"/>
  <c r="Q549" i="6"/>
  <c r="L549" i="6"/>
  <c r="E549" i="6"/>
  <c r="Q548" i="6"/>
  <c r="L548" i="6"/>
  <c r="E548" i="6"/>
  <c r="Q547" i="6"/>
  <c r="L547" i="6"/>
  <c r="E547" i="6"/>
  <c r="Q546" i="6"/>
  <c r="L546" i="6"/>
  <c r="E546" i="6"/>
  <c r="Q545" i="6"/>
  <c r="L545" i="6"/>
  <c r="E545" i="6"/>
  <c r="Q544" i="6"/>
  <c r="L544" i="6"/>
  <c r="E544" i="6"/>
  <c r="Q543" i="6"/>
  <c r="L543" i="6"/>
  <c r="E543" i="6"/>
  <c r="Q542" i="6"/>
  <c r="L542" i="6"/>
  <c r="E542" i="6"/>
  <c r="Q541" i="6"/>
  <c r="L541" i="6"/>
  <c r="E541" i="6"/>
  <c r="Q540" i="6"/>
  <c r="L540" i="6"/>
  <c r="E540" i="6"/>
  <c r="Q539" i="6"/>
  <c r="L539" i="6"/>
  <c r="E539" i="6"/>
  <c r="Q538" i="6"/>
  <c r="L538" i="6"/>
  <c r="E538" i="6"/>
  <c r="Q537" i="6"/>
  <c r="L537" i="6"/>
  <c r="E537" i="6"/>
  <c r="Q536" i="6"/>
  <c r="L536" i="6"/>
  <c r="E536" i="6"/>
  <c r="Q535" i="6"/>
  <c r="L535" i="6"/>
  <c r="E535" i="6"/>
  <c r="Q534" i="6"/>
  <c r="L534" i="6"/>
  <c r="E534" i="6"/>
  <c r="Q533" i="6"/>
  <c r="L533" i="6"/>
  <c r="E533" i="6"/>
  <c r="Q532" i="6"/>
  <c r="L532" i="6"/>
  <c r="E532" i="6"/>
  <c r="Q531" i="6"/>
  <c r="L531" i="6"/>
  <c r="E531" i="6"/>
  <c r="Q530" i="6"/>
  <c r="L530" i="6"/>
  <c r="E530" i="6"/>
  <c r="Q529" i="6"/>
  <c r="L529" i="6"/>
  <c r="E529" i="6"/>
  <c r="Q528" i="6"/>
  <c r="L528" i="6"/>
  <c r="E528" i="6"/>
  <c r="Q527" i="6"/>
  <c r="L527" i="6"/>
  <c r="E527" i="6"/>
  <c r="Q526" i="6"/>
  <c r="L526" i="6"/>
  <c r="E526" i="6"/>
  <c r="Q525" i="6"/>
  <c r="L525" i="6"/>
  <c r="E525" i="6"/>
  <c r="Q524" i="6"/>
  <c r="L524" i="6"/>
  <c r="E524" i="6"/>
  <c r="Q523" i="6"/>
  <c r="L523" i="6"/>
  <c r="E523" i="6"/>
  <c r="Q522" i="6"/>
  <c r="L522" i="6"/>
  <c r="E522" i="6"/>
  <c r="Q521" i="6"/>
  <c r="L521" i="6"/>
  <c r="E521" i="6"/>
  <c r="Q520" i="6"/>
  <c r="L520" i="6"/>
  <c r="E520" i="6"/>
  <c r="Q519" i="6"/>
  <c r="L519" i="6"/>
  <c r="E519" i="6"/>
  <c r="Q518" i="6"/>
  <c r="L518" i="6"/>
  <c r="E518" i="6"/>
  <c r="Q517" i="6"/>
  <c r="L517" i="6"/>
  <c r="E517" i="6"/>
  <c r="Q516" i="6"/>
  <c r="L516" i="6"/>
  <c r="E516" i="6"/>
  <c r="Q515" i="6"/>
  <c r="L515" i="6"/>
  <c r="E515" i="6"/>
  <c r="Q514" i="6"/>
  <c r="L514" i="6"/>
  <c r="E514" i="6"/>
  <c r="Q513" i="6"/>
  <c r="L513" i="6"/>
  <c r="E513" i="6"/>
  <c r="Q512" i="6"/>
  <c r="L512" i="6"/>
  <c r="E512" i="6"/>
  <c r="Q511" i="6"/>
  <c r="L511" i="6"/>
  <c r="E511" i="6"/>
  <c r="Q510" i="6"/>
  <c r="L510" i="6"/>
  <c r="E510" i="6"/>
  <c r="Q509" i="6"/>
  <c r="L509" i="6"/>
  <c r="E509" i="6"/>
  <c r="Q508" i="6"/>
  <c r="L508" i="6"/>
  <c r="E508" i="6"/>
  <c r="Q507" i="6"/>
  <c r="L507" i="6"/>
  <c r="E507" i="6"/>
  <c r="Q506" i="6"/>
  <c r="L506" i="6"/>
  <c r="E506" i="6"/>
  <c r="Q505" i="6"/>
  <c r="L505" i="6"/>
  <c r="E505" i="6"/>
  <c r="Q504" i="6"/>
  <c r="L504" i="6"/>
  <c r="E504" i="6"/>
  <c r="Q503" i="6"/>
  <c r="L503" i="6"/>
  <c r="E503" i="6"/>
  <c r="Q502" i="6"/>
  <c r="L502" i="6"/>
  <c r="E502" i="6"/>
  <c r="Q501" i="6"/>
  <c r="L501" i="6"/>
  <c r="E501" i="6"/>
  <c r="Q500" i="6"/>
  <c r="L500" i="6"/>
  <c r="E500" i="6"/>
  <c r="Q499" i="6"/>
  <c r="L499" i="6"/>
  <c r="E499" i="6"/>
  <c r="Q498" i="6"/>
  <c r="L498" i="6"/>
  <c r="E498" i="6"/>
  <c r="Q497" i="6"/>
  <c r="L497" i="6"/>
  <c r="E497" i="6"/>
  <c r="Q496" i="6"/>
  <c r="L496" i="6"/>
  <c r="E496" i="6"/>
  <c r="Q495" i="6"/>
  <c r="L495" i="6"/>
  <c r="E495" i="6"/>
  <c r="Q494" i="6"/>
  <c r="L494" i="6"/>
  <c r="E494" i="6"/>
  <c r="Q493" i="6"/>
  <c r="L493" i="6"/>
  <c r="E493" i="6"/>
  <c r="Q492" i="6"/>
  <c r="L492" i="6"/>
  <c r="E492" i="6"/>
  <c r="Q491" i="6"/>
  <c r="L491" i="6"/>
  <c r="E491" i="6"/>
  <c r="Q490" i="6"/>
  <c r="L490" i="6"/>
  <c r="E490" i="6"/>
  <c r="Q489" i="6"/>
  <c r="L489" i="6"/>
  <c r="E489" i="6"/>
  <c r="Q488" i="6"/>
  <c r="L488" i="6"/>
  <c r="E488" i="6"/>
  <c r="Q487" i="6"/>
  <c r="L487" i="6"/>
  <c r="E487" i="6"/>
  <c r="Q486" i="6"/>
  <c r="L486" i="6"/>
  <c r="E486" i="6"/>
  <c r="Q485" i="6"/>
  <c r="L485" i="6"/>
  <c r="E485" i="6"/>
  <c r="Q484" i="6"/>
  <c r="L484" i="6"/>
  <c r="E484" i="6"/>
  <c r="Q483" i="6"/>
  <c r="L483" i="6"/>
  <c r="E483" i="6"/>
  <c r="Q482" i="6"/>
  <c r="L482" i="6"/>
  <c r="E482" i="6"/>
  <c r="Q481" i="6"/>
  <c r="L481" i="6"/>
  <c r="E481" i="6"/>
  <c r="Q480" i="6"/>
  <c r="L480" i="6"/>
  <c r="E480" i="6"/>
  <c r="Q479" i="6"/>
  <c r="L479" i="6"/>
  <c r="E479" i="6"/>
  <c r="Q478" i="6"/>
  <c r="L478" i="6"/>
  <c r="E478" i="6"/>
  <c r="Q477" i="6"/>
  <c r="L477" i="6"/>
  <c r="E477" i="6"/>
  <c r="Q476" i="6"/>
  <c r="L476" i="6"/>
  <c r="E476" i="6"/>
  <c r="Q475" i="6"/>
  <c r="L475" i="6"/>
  <c r="E475" i="6"/>
  <c r="Q474" i="6"/>
  <c r="L474" i="6"/>
  <c r="E474" i="6"/>
  <c r="Q473" i="6"/>
  <c r="L473" i="6"/>
  <c r="E473" i="6"/>
  <c r="Q472" i="6"/>
  <c r="L472" i="6"/>
  <c r="E472" i="6"/>
  <c r="Q471" i="6"/>
  <c r="L471" i="6"/>
  <c r="E471" i="6"/>
  <c r="Q470" i="6"/>
  <c r="L470" i="6"/>
  <c r="E470" i="6"/>
  <c r="Q469" i="6"/>
  <c r="L469" i="6"/>
  <c r="E469" i="6"/>
  <c r="Q468" i="6"/>
  <c r="L468" i="6"/>
  <c r="E468" i="6"/>
  <c r="Q467" i="6"/>
  <c r="L467" i="6"/>
  <c r="E467" i="6"/>
  <c r="Q466" i="6"/>
  <c r="L466" i="6"/>
  <c r="E466" i="6"/>
  <c r="Q465" i="6"/>
  <c r="L465" i="6"/>
  <c r="E465" i="6"/>
  <c r="Q464" i="6"/>
  <c r="L464" i="6"/>
  <c r="E464" i="6"/>
  <c r="Q463" i="6"/>
  <c r="L463" i="6"/>
  <c r="E463" i="6"/>
  <c r="Q462" i="6"/>
  <c r="L462" i="6"/>
  <c r="E462" i="6"/>
  <c r="Q461" i="6"/>
  <c r="L461" i="6"/>
  <c r="E461" i="6"/>
  <c r="Q460" i="6"/>
  <c r="L460" i="6"/>
  <c r="E460" i="6"/>
  <c r="Q459" i="6"/>
  <c r="L459" i="6"/>
  <c r="E459" i="6"/>
  <c r="Q458" i="6"/>
  <c r="L458" i="6"/>
  <c r="E458" i="6"/>
  <c r="Q457" i="6"/>
  <c r="L457" i="6"/>
  <c r="E457" i="6"/>
  <c r="Q456" i="6"/>
  <c r="L456" i="6"/>
  <c r="E456" i="6"/>
  <c r="Q455" i="6"/>
  <c r="L455" i="6"/>
  <c r="E455" i="6"/>
  <c r="Q454" i="6"/>
  <c r="L454" i="6"/>
  <c r="E454" i="6"/>
  <c r="Q453" i="6"/>
  <c r="L453" i="6"/>
  <c r="E453" i="6"/>
  <c r="Q452" i="6"/>
  <c r="L452" i="6"/>
  <c r="E452" i="6"/>
  <c r="Q451" i="6"/>
  <c r="L451" i="6"/>
  <c r="E451" i="6"/>
  <c r="Q450" i="6"/>
  <c r="L450" i="6"/>
  <c r="E450" i="6"/>
  <c r="Q449" i="6"/>
  <c r="L449" i="6"/>
  <c r="E449" i="6"/>
  <c r="Q448" i="6"/>
  <c r="L448" i="6"/>
  <c r="E448" i="6"/>
  <c r="Q447" i="6"/>
  <c r="L447" i="6"/>
  <c r="E447" i="6"/>
  <c r="Q446" i="6"/>
  <c r="L446" i="6"/>
  <c r="E446" i="6"/>
  <c r="Q445" i="6"/>
  <c r="L445" i="6"/>
  <c r="E445" i="6"/>
  <c r="Q444" i="6"/>
  <c r="L444" i="6"/>
  <c r="E444" i="6"/>
  <c r="Q443" i="6"/>
  <c r="L443" i="6"/>
  <c r="E443" i="6"/>
  <c r="Q442" i="6"/>
  <c r="L442" i="6"/>
  <c r="E442" i="6"/>
  <c r="Q441" i="6"/>
  <c r="L441" i="6"/>
  <c r="E441" i="6"/>
  <c r="Q440" i="6"/>
  <c r="L440" i="6"/>
  <c r="E440" i="6"/>
  <c r="Q439" i="6"/>
  <c r="L439" i="6"/>
  <c r="E439" i="6"/>
  <c r="Q438" i="6"/>
  <c r="L438" i="6"/>
  <c r="E438" i="6"/>
  <c r="Q437" i="6"/>
  <c r="L437" i="6"/>
  <c r="E437" i="6"/>
  <c r="Q436" i="6"/>
  <c r="L436" i="6"/>
  <c r="E436" i="6"/>
  <c r="Q435" i="6"/>
  <c r="L435" i="6"/>
  <c r="E435" i="6"/>
  <c r="Q434" i="6"/>
  <c r="L434" i="6"/>
  <c r="E434" i="6"/>
  <c r="Q433" i="6"/>
  <c r="L433" i="6"/>
  <c r="E433" i="6"/>
  <c r="Q432" i="6"/>
  <c r="L432" i="6"/>
  <c r="E432" i="6"/>
  <c r="Q431" i="6"/>
  <c r="L431" i="6"/>
  <c r="E431" i="6"/>
  <c r="Q430" i="6"/>
  <c r="L430" i="6"/>
  <c r="E430" i="6"/>
  <c r="Q429" i="6"/>
  <c r="L429" i="6"/>
  <c r="E429" i="6"/>
  <c r="Q428" i="6"/>
  <c r="L428" i="6"/>
  <c r="E428" i="6"/>
  <c r="Q427" i="6"/>
  <c r="L427" i="6"/>
  <c r="E427" i="6"/>
  <c r="Q426" i="6"/>
  <c r="L426" i="6"/>
  <c r="E426" i="6"/>
  <c r="Q425" i="6"/>
  <c r="L425" i="6"/>
  <c r="E425" i="6"/>
  <c r="Q424" i="6"/>
  <c r="L424" i="6"/>
  <c r="E424" i="6"/>
  <c r="Q423" i="6"/>
  <c r="L423" i="6"/>
  <c r="E423" i="6"/>
  <c r="Q422" i="6"/>
  <c r="L422" i="6"/>
  <c r="E422" i="6"/>
  <c r="Q421" i="6"/>
  <c r="L421" i="6"/>
  <c r="E421" i="6"/>
  <c r="Q420" i="6"/>
  <c r="L420" i="6"/>
  <c r="E420" i="6"/>
  <c r="Q419" i="6"/>
  <c r="L419" i="6"/>
  <c r="E419" i="6"/>
  <c r="Q418" i="6"/>
  <c r="L418" i="6"/>
  <c r="E418" i="6"/>
  <c r="Q417" i="6"/>
  <c r="L417" i="6"/>
  <c r="E417" i="6"/>
  <c r="Q416" i="6"/>
  <c r="L416" i="6"/>
  <c r="E416" i="6"/>
  <c r="Q415" i="6"/>
  <c r="L415" i="6"/>
  <c r="E415" i="6"/>
  <c r="Q414" i="6"/>
  <c r="L414" i="6"/>
  <c r="E414" i="6"/>
  <c r="Q413" i="6"/>
  <c r="L413" i="6"/>
  <c r="E413" i="6"/>
  <c r="Q412" i="6"/>
  <c r="L412" i="6"/>
  <c r="E412" i="6"/>
  <c r="Q411" i="6"/>
  <c r="L411" i="6"/>
  <c r="E411" i="6"/>
  <c r="Q410" i="6"/>
  <c r="L410" i="6"/>
  <c r="E410" i="6"/>
  <c r="Q409" i="6"/>
  <c r="L409" i="6"/>
  <c r="E409" i="6"/>
  <c r="Q408" i="6"/>
  <c r="L408" i="6"/>
  <c r="E408" i="6"/>
  <c r="Q407" i="6"/>
  <c r="L407" i="6"/>
  <c r="E407" i="6"/>
  <c r="Q406" i="6"/>
  <c r="L406" i="6"/>
  <c r="E406" i="6"/>
  <c r="Q405" i="6"/>
  <c r="L405" i="6"/>
  <c r="E405" i="6"/>
  <c r="Q404" i="6"/>
  <c r="L404" i="6"/>
  <c r="E404" i="6"/>
  <c r="Q403" i="6"/>
  <c r="L403" i="6"/>
  <c r="E403" i="6"/>
  <c r="Q402" i="6"/>
  <c r="L402" i="6"/>
  <c r="E402" i="6"/>
  <c r="Q401" i="6"/>
  <c r="L401" i="6"/>
  <c r="E401" i="6"/>
  <c r="Q400" i="6"/>
  <c r="L400" i="6"/>
  <c r="E400" i="6"/>
  <c r="Q399" i="6"/>
  <c r="L399" i="6"/>
  <c r="E399" i="6"/>
  <c r="Q398" i="6"/>
  <c r="L398" i="6"/>
  <c r="E398" i="6"/>
  <c r="Q397" i="6"/>
  <c r="L397" i="6"/>
  <c r="E397" i="6"/>
  <c r="Q396" i="6"/>
  <c r="L396" i="6"/>
  <c r="E396" i="6"/>
  <c r="Q395" i="6"/>
  <c r="L395" i="6"/>
  <c r="E395" i="6"/>
  <c r="Q394" i="6"/>
  <c r="L394" i="6"/>
  <c r="E394" i="6"/>
  <c r="Q393" i="6"/>
  <c r="L393" i="6"/>
  <c r="E393" i="6"/>
  <c r="Q392" i="6"/>
  <c r="L392" i="6"/>
  <c r="E392" i="6"/>
  <c r="Q391" i="6"/>
  <c r="L391" i="6"/>
  <c r="E391" i="6"/>
  <c r="Q390" i="6"/>
  <c r="L390" i="6"/>
  <c r="E390" i="6"/>
  <c r="Q389" i="6"/>
  <c r="L389" i="6"/>
  <c r="E389" i="6"/>
  <c r="Q388" i="6"/>
  <c r="L388" i="6"/>
  <c r="E388" i="6"/>
  <c r="Q387" i="6"/>
  <c r="L387" i="6"/>
  <c r="E387" i="6"/>
  <c r="Q386" i="6"/>
  <c r="L386" i="6"/>
  <c r="E386" i="6"/>
  <c r="Q385" i="6"/>
  <c r="L385" i="6"/>
  <c r="E385" i="6"/>
  <c r="Q384" i="6"/>
  <c r="L384" i="6"/>
  <c r="E384" i="6"/>
  <c r="Q383" i="6"/>
  <c r="L383" i="6"/>
  <c r="E383" i="6"/>
  <c r="Q382" i="6"/>
  <c r="L382" i="6"/>
  <c r="E382" i="6"/>
  <c r="Q381" i="6"/>
  <c r="L381" i="6"/>
  <c r="E381" i="6"/>
  <c r="Q380" i="6"/>
  <c r="L380" i="6"/>
  <c r="E380" i="6"/>
  <c r="Q379" i="6"/>
  <c r="L379" i="6"/>
  <c r="E379" i="6"/>
  <c r="Q378" i="6"/>
  <c r="L378" i="6"/>
  <c r="E378" i="6"/>
  <c r="Q377" i="6"/>
  <c r="L377" i="6"/>
  <c r="E377" i="6"/>
  <c r="Q376" i="6"/>
  <c r="L376" i="6"/>
  <c r="E376" i="6"/>
  <c r="Q375" i="6"/>
  <c r="L375" i="6"/>
  <c r="E375" i="6"/>
  <c r="Q374" i="6"/>
  <c r="L374" i="6"/>
  <c r="E374" i="6"/>
  <c r="Q373" i="6"/>
  <c r="L373" i="6"/>
  <c r="E373" i="6"/>
  <c r="Q372" i="6"/>
  <c r="L372" i="6"/>
  <c r="E372" i="6"/>
  <c r="Q371" i="6"/>
  <c r="L371" i="6"/>
  <c r="E371" i="6"/>
  <c r="Q370" i="6"/>
  <c r="L370" i="6"/>
  <c r="E370" i="6"/>
  <c r="Q369" i="6"/>
  <c r="L369" i="6"/>
  <c r="E369" i="6"/>
  <c r="Q368" i="6"/>
  <c r="L368" i="6"/>
  <c r="E368" i="6"/>
  <c r="Q367" i="6"/>
  <c r="L367" i="6"/>
  <c r="E367" i="6"/>
  <c r="Q366" i="6"/>
  <c r="L366" i="6"/>
  <c r="E366" i="6"/>
  <c r="Q365" i="6"/>
  <c r="L365" i="6"/>
  <c r="E365" i="6"/>
  <c r="Q364" i="6"/>
  <c r="L364" i="6"/>
  <c r="E364" i="6"/>
  <c r="Q363" i="6"/>
  <c r="L363" i="6"/>
  <c r="E363" i="6"/>
  <c r="Q362" i="6"/>
  <c r="L362" i="6"/>
  <c r="E362" i="6"/>
  <c r="Q361" i="6"/>
  <c r="L361" i="6"/>
  <c r="E361" i="6"/>
  <c r="Q360" i="6"/>
  <c r="L360" i="6"/>
  <c r="E360" i="6"/>
  <c r="Q359" i="6"/>
  <c r="L359" i="6"/>
  <c r="E359" i="6"/>
  <c r="Q358" i="6"/>
  <c r="L358" i="6"/>
  <c r="E358" i="6"/>
  <c r="Q357" i="6"/>
  <c r="L357" i="6"/>
  <c r="E357" i="6"/>
  <c r="Q356" i="6"/>
  <c r="L356" i="6"/>
  <c r="E356" i="6"/>
  <c r="Q355" i="6"/>
  <c r="L355" i="6"/>
  <c r="E355" i="6"/>
  <c r="Q354" i="6"/>
  <c r="L354" i="6"/>
  <c r="E354" i="6"/>
  <c r="Q353" i="6"/>
  <c r="L353" i="6"/>
  <c r="E353" i="6"/>
  <c r="Q352" i="6"/>
  <c r="L352" i="6"/>
  <c r="E352" i="6"/>
  <c r="Q351" i="6"/>
  <c r="L351" i="6"/>
  <c r="E351" i="6"/>
  <c r="Q350" i="6"/>
  <c r="L350" i="6"/>
  <c r="E350" i="6"/>
  <c r="Q349" i="6"/>
  <c r="L349" i="6"/>
  <c r="E349" i="6"/>
  <c r="Q348" i="6"/>
  <c r="L348" i="6"/>
  <c r="E348" i="6"/>
  <c r="Q347" i="6"/>
  <c r="L347" i="6"/>
  <c r="E347" i="6"/>
  <c r="Q346" i="6"/>
  <c r="L346" i="6"/>
  <c r="E346" i="6"/>
  <c r="Q345" i="6"/>
  <c r="L345" i="6"/>
  <c r="E345" i="6"/>
  <c r="Q344" i="6"/>
  <c r="L344" i="6"/>
  <c r="E344" i="6"/>
  <c r="Q343" i="6"/>
  <c r="L343" i="6"/>
  <c r="E343" i="6"/>
  <c r="Q342" i="6"/>
  <c r="L342" i="6"/>
  <c r="E342" i="6"/>
  <c r="Q341" i="6"/>
  <c r="L341" i="6"/>
  <c r="E341" i="6"/>
  <c r="Q340" i="6"/>
  <c r="L340" i="6"/>
  <c r="E340" i="6"/>
  <c r="Q339" i="6"/>
  <c r="L339" i="6"/>
  <c r="E339" i="6"/>
  <c r="Q338" i="6"/>
  <c r="L338" i="6"/>
  <c r="E338" i="6"/>
  <c r="Q337" i="6"/>
  <c r="L337" i="6"/>
  <c r="E337" i="6"/>
  <c r="Q336" i="6"/>
  <c r="L336" i="6"/>
  <c r="E336" i="6"/>
  <c r="Q335" i="6"/>
  <c r="L335" i="6"/>
  <c r="E335" i="6"/>
  <c r="Q334" i="6"/>
  <c r="L334" i="6"/>
  <c r="E334" i="6"/>
  <c r="Q333" i="6"/>
  <c r="L333" i="6"/>
  <c r="E333" i="6"/>
  <c r="Q332" i="6"/>
  <c r="L332" i="6"/>
  <c r="E332" i="6"/>
  <c r="Q331" i="6"/>
  <c r="L331" i="6"/>
  <c r="E331" i="6"/>
  <c r="Q330" i="6"/>
  <c r="L330" i="6"/>
  <c r="E330" i="6"/>
  <c r="Q329" i="6"/>
  <c r="L329" i="6"/>
  <c r="E329" i="6"/>
  <c r="Q328" i="6"/>
  <c r="L328" i="6"/>
  <c r="E328" i="6"/>
  <c r="Q327" i="6"/>
  <c r="L327" i="6"/>
  <c r="E327" i="6"/>
  <c r="Q326" i="6"/>
  <c r="L326" i="6"/>
  <c r="E326" i="6"/>
  <c r="Q325" i="6"/>
  <c r="L325" i="6"/>
  <c r="E325" i="6"/>
  <c r="Q324" i="6"/>
  <c r="L324" i="6"/>
  <c r="Q323" i="6"/>
  <c r="L323" i="6"/>
  <c r="Q322" i="6"/>
  <c r="L322" i="6"/>
  <c r="Q321" i="6"/>
  <c r="L321" i="6"/>
  <c r="Q320" i="6"/>
  <c r="L320" i="6"/>
  <c r="Q319" i="6"/>
  <c r="L319" i="6"/>
  <c r="Q318" i="6"/>
  <c r="L318" i="6"/>
  <c r="Q317" i="6"/>
  <c r="L317" i="6"/>
  <c r="Q316" i="6"/>
  <c r="L316" i="6"/>
  <c r="Q315" i="6"/>
  <c r="L315" i="6"/>
  <c r="Q314" i="6"/>
  <c r="L314" i="6"/>
  <c r="Q313" i="6"/>
  <c r="L313" i="6"/>
  <c r="E313" i="6"/>
  <c r="Q312" i="6"/>
  <c r="L312" i="6"/>
  <c r="E312" i="6"/>
  <c r="Q311" i="6"/>
  <c r="L311" i="6"/>
  <c r="E311" i="6"/>
  <c r="Q310" i="6"/>
  <c r="L310" i="6"/>
  <c r="E310" i="6"/>
  <c r="Q309" i="6"/>
  <c r="L309" i="6"/>
  <c r="E309" i="6"/>
  <c r="Q308" i="6"/>
  <c r="L308" i="6"/>
  <c r="E308" i="6"/>
  <c r="Q307" i="6"/>
  <c r="L307" i="6"/>
  <c r="E307" i="6"/>
  <c r="Q306" i="6"/>
  <c r="L306" i="6"/>
  <c r="E306" i="6"/>
  <c r="Q305" i="6"/>
  <c r="L305" i="6"/>
  <c r="E305" i="6"/>
  <c r="Q304" i="6"/>
  <c r="L304" i="6"/>
  <c r="E304" i="6"/>
  <c r="Q303" i="6"/>
  <c r="L303" i="6"/>
  <c r="E303" i="6"/>
  <c r="Q302" i="6"/>
  <c r="L302" i="6"/>
  <c r="E302" i="6"/>
  <c r="Q301" i="6"/>
  <c r="L301" i="6"/>
  <c r="E301" i="6"/>
  <c r="Q300" i="6"/>
  <c r="L300" i="6"/>
  <c r="E300" i="6"/>
  <c r="Q299" i="6"/>
  <c r="L299" i="6"/>
  <c r="E299" i="6"/>
  <c r="Q298" i="6"/>
  <c r="L298" i="6"/>
  <c r="E298" i="6"/>
  <c r="Q297" i="6"/>
  <c r="L297" i="6"/>
  <c r="E297" i="6"/>
  <c r="Q296" i="6"/>
  <c r="L296" i="6"/>
  <c r="E296" i="6"/>
  <c r="Q295" i="6"/>
  <c r="L295" i="6"/>
  <c r="E295" i="6"/>
  <c r="Q294" i="6"/>
  <c r="L294" i="6"/>
  <c r="E294" i="6"/>
  <c r="Q293" i="6"/>
  <c r="L293" i="6"/>
  <c r="E293" i="6"/>
  <c r="Q292" i="6"/>
  <c r="L292" i="6"/>
  <c r="E292" i="6"/>
  <c r="Q291" i="6"/>
  <c r="L291" i="6"/>
  <c r="E291" i="6"/>
  <c r="Q290" i="6"/>
  <c r="L290" i="6"/>
  <c r="E290" i="6"/>
  <c r="Q289" i="6"/>
  <c r="L289" i="6"/>
  <c r="E289" i="6"/>
  <c r="Q288" i="6"/>
  <c r="L288" i="6"/>
  <c r="E288" i="6"/>
  <c r="Q287" i="6"/>
  <c r="L287" i="6"/>
  <c r="E287" i="6"/>
  <c r="Q286" i="6"/>
  <c r="L286" i="6"/>
  <c r="Q285" i="6"/>
  <c r="L285" i="6"/>
  <c r="Q284" i="6"/>
  <c r="L284" i="6"/>
  <c r="Q283" i="6"/>
  <c r="L283" i="6"/>
  <c r="Q282" i="6"/>
  <c r="L282" i="6"/>
  <c r="Q281" i="6"/>
  <c r="L281" i="6"/>
  <c r="Q280" i="6"/>
  <c r="L280" i="6"/>
  <c r="Q279" i="6"/>
  <c r="L279" i="6"/>
  <c r="Q278" i="6"/>
  <c r="L278" i="6"/>
  <c r="Q277" i="6"/>
  <c r="L277" i="6"/>
  <c r="Q276" i="6"/>
  <c r="L276" i="6"/>
  <c r="Q275" i="6"/>
  <c r="L275" i="6"/>
  <c r="Q274" i="6"/>
  <c r="L274" i="6"/>
  <c r="Q273" i="6"/>
  <c r="L273" i="6"/>
  <c r="Q272" i="6"/>
  <c r="L272" i="6"/>
  <c r="Q271" i="6"/>
  <c r="L271" i="6"/>
  <c r="Q270" i="6"/>
  <c r="L270" i="6"/>
  <c r="Q269" i="6"/>
  <c r="L269" i="6"/>
  <c r="Q268" i="6"/>
  <c r="L268" i="6"/>
  <c r="Q267" i="6"/>
  <c r="L267" i="6"/>
  <c r="Q266" i="6"/>
  <c r="L266" i="6"/>
  <c r="Q265" i="6"/>
  <c r="L265" i="6"/>
  <c r="Q264" i="6"/>
  <c r="L264" i="6"/>
  <c r="Q263" i="6"/>
  <c r="L263" i="6"/>
  <c r="Q262" i="6"/>
  <c r="L262" i="6"/>
  <c r="E262" i="6"/>
  <c r="Q261" i="6"/>
  <c r="L261" i="6"/>
  <c r="E261" i="6"/>
  <c r="Q260" i="6"/>
  <c r="L260" i="6"/>
  <c r="E260" i="6"/>
  <c r="Q259" i="6"/>
  <c r="L259" i="6"/>
  <c r="E259" i="6"/>
  <c r="Q258" i="6"/>
  <c r="L258" i="6"/>
  <c r="E258" i="6"/>
  <c r="Q257" i="6"/>
  <c r="L257" i="6"/>
  <c r="E257" i="6"/>
  <c r="Q256" i="6"/>
  <c r="L256" i="6"/>
  <c r="E256" i="6"/>
  <c r="Q255" i="6"/>
  <c r="L255" i="6"/>
  <c r="E255" i="6"/>
  <c r="Q254" i="6"/>
  <c r="L254" i="6"/>
  <c r="E254" i="6"/>
  <c r="Q253" i="6"/>
  <c r="L253" i="6"/>
  <c r="E253" i="6"/>
  <c r="Q252" i="6"/>
  <c r="L252" i="6"/>
  <c r="E252" i="6"/>
  <c r="Q251" i="6"/>
  <c r="L251" i="6"/>
  <c r="E251" i="6"/>
  <c r="Q250" i="6"/>
  <c r="L250" i="6"/>
  <c r="E250" i="6"/>
  <c r="Q248" i="6"/>
  <c r="L248" i="6"/>
  <c r="E248" i="6"/>
  <c r="Q247" i="6"/>
  <c r="L247" i="6"/>
  <c r="E247" i="6"/>
  <c r="Q246" i="6"/>
  <c r="L246" i="6"/>
  <c r="E246" i="6"/>
  <c r="Q245" i="6"/>
  <c r="L245" i="6"/>
  <c r="E245" i="6"/>
  <c r="Q244" i="6"/>
  <c r="L244" i="6"/>
  <c r="E244" i="6"/>
  <c r="Q243" i="6"/>
  <c r="L243" i="6"/>
  <c r="E243" i="6"/>
  <c r="Q242" i="6"/>
  <c r="L242" i="6"/>
  <c r="E242" i="6"/>
  <c r="Q241" i="6"/>
  <c r="L241" i="6"/>
  <c r="E241" i="6"/>
  <c r="Q240" i="6"/>
  <c r="L240" i="6"/>
  <c r="E240" i="6"/>
  <c r="Q239" i="6"/>
  <c r="L239" i="6"/>
  <c r="E239" i="6"/>
  <c r="Q238" i="6"/>
  <c r="L238" i="6"/>
  <c r="E238" i="6"/>
  <c r="Q237" i="6"/>
  <c r="L237" i="6"/>
  <c r="E237" i="6"/>
  <c r="Q236" i="6"/>
  <c r="L236" i="6"/>
  <c r="E236" i="6"/>
  <c r="Q235" i="6"/>
  <c r="L235" i="6"/>
  <c r="E235" i="6"/>
  <c r="Q234" i="6"/>
  <c r="L234" i="6"/>
  <c r="E234" i="6"/>
  <c r="Q233" i="6"/>
  <c r="L233" i="6"/>
  <c r="E233" i="6"/>
  <c r="Q232" i="6"/>
  <c r="L232" i="6"/>
  <c r="E232" i="6"/>
  <c r="Q231" i="6"/>
  <c r="L231" i="6"/>
  <c r="E231" i="6"/>
  <c r="Q230" i="6"/>
  <c r="L230" i="6"/>
  <c r="E230" i="6"/>
  <c r="Q228" i="6"/>
  <c r="L228" i="6"/>
  <c r="E228" i="6"/>
  <c r="Q227" i="6"/>
  <c r="L227" i="6"/>
  <c r="E227" i="6"/>
  <c r="Q226" i="6"/>
  <c r="L226" i="6"/>
  <c r="E226" i="6"/>
  <c r="Q225" i="6"/>
  <c r="L225" i="6"/>
  <c r="E225" i="6"/>
  <c r="Q224" i="6"/>
  <c r="L224" i="6"/>
  <c r="E224" i="6"/>
  <c r="Q223" i="6"/>
  <c r="L223" i="6"/>
  <c r="E223" i="6"/>
  <c r="Q222" i="6"/>
  <c r="L222" i="6"/>
  <c r="E222" i="6"/>
  <c r="Q220" i="6"/>
  <c r="L220" i="6"/>
  <c r="E220" i="6"/>
  <c r="Q219" i="6"/>
  <c r="L219" i="6"/>
  <c r="E219" i="6"/>
  <c r="Q218" i="6"/>
  <c r="L218" i="6"/>
  <c r="E218" i="6"/>
  <c r="Q216" i="6"/>
  <c r="L216" i="6"/>
  <c r="E216" i="6"/>
  <c r="Q214" i="6"/>
  <c r="L214" i="6"/>
  <c r="E214" i="6"/>
  <c r="Q213" i="6"/>
  <c r="L213" i="6"/>
  <c r="E213" i="6"/>
  <c r="Q212" i="6"/>
  <c r="L212" i="6"/>
  <c r="E212" i="6"/>
  <c r="Q211" i="6"/>
  <c r="L211" i="6"/>
  <c r="E211" i="6"/>
  <c r="Q210" i="6"/>
  <c r="L210" i="6"/>
  <c r="E210" i="6"/>
  <c r="Q208" i="6"/>
  <c r="L208" i="6"/>
  <c r="E208" i="6"/>
  <c r="Q207" i="6"/>
  <c r="L207" i="6"/>
  <c r="Q206" i="6"/>
  <c r="L206" i="6"/>
  <c r="Q205" i="6"/>
  <c r="L205" i="6"/>
  <c r="Q204" i="6"/>
  <c r="L204" i="6"/>
  <c r="Q203" i="6"/>
  <c r="L203" i="6"/>
  <c r="E203" i="6"/>
  <c r="Q202" i="6"/>
  <c r="L202" i="6"/>
  <c r="E202" i="6"/>
  <c r="Q201" i="6"/>
  <c r="L201" i="6"/>
  <c r="E201" i="6"/>
  <c r="Q200" i="6"/>
  <c r="L200" i="6"/>
  <c r="E200" i="6"/>
  <c r="Q199" i="6"/>
  <c r="L199" i="6"/>
  <c r="E199" i="6"/>
  <c r="Q198" i="6"/>
  <c r="L198" i="6"/>
  <c r="E198" i="6"/>
  <c r="Q197" i="6"/>
  <c r="L197" i="6"/>
  <c r="E197" i="6"/>
  <c r="Q196" i="6"/>
  <c r="L196" i="6"/>
  <c r="E196" i="6"/>
  <c r="Q195" i="6"/>
  <c r="L195" i="6"/>
  <c r="E195" i="6"/>
  <c r="Q194" i="6"/>
  <c r="L194" i="6"/>
  <c r="E194" i="6"/>
  <c r="Q193" i="6"/>
  <c r="L193" i="6"/>
  <c r="E193" i="6"/>
  <c r="Q192" i="6"/>
  <c r="L192" i="6"/>
  <c r="E192" i="6"/>
  <c r="Q191" i="6"/>
  <c r="L191" i="6"/>
  <c r="E191" i="6"/>
  <c r="Q190" i="6"/>
  <c r="L190" i="6"/>
  <c r="E190" i="6"/>
  <c r="Q189" i="6"/>
  <c r="L189" i="6"/>
  <c r="E189" i="6"/>
  <c r="Q188" i="6"/>
  <c r="L188" i="6"/>
  <c r="E188" i="6"/>
  <c r="Q187" i="6"/>
  <c r="L187" i="6"/>
  <c r="E187" i="6"/>
  <c r="Q186" i="6"/>
  <c r="L186" i="6"/>
  <c r="E186" i="6"/>
  <c r="Q185" i="6"/>
  <c r="L185" i="6"/>
  <c r="E185" i="6"/>
  <c r="Q184" i="6"/>
  <c r="L184" i="6"/>
  <c r="E184" i="6"/>
  <c r="Q183" i="6"/>
  <c r="L183" i="6"/>
  <c r="E183" i="6"/>
  <c r="Q182" i="6"/>
  <c r="L182" i="6"/>
  <c r="E182" i="6"/>
  <c r="Q181" i="6"/>
  <c r="L181" i="6"/>
  <c r="E181" i="6"/>
  <c r="Q180" i="6"/>
  <c r="L180" i="6"/>
  <c r="E180" i="6"/>
  <c r="Q179" i="6"/>
  <c r="L179" i="6"/>
  <c r="E179" i="6"/>
  <c r="Q178" i="6"/>
  <c r="L178" i="6"/>
  <c r="E178" i="6"/>
  <c r="Q177" i="6"/>
  <c r="L177" i="6"/>
  <c r="E177" i="6"/>
  <c r="Q176" i="6"/>
  <c r="L176" i="6"/>
  <c r="E176" i="6"/>
  <c r="Q175" i="6"/>
  <c r="L175" i="6"/>
  <c r="E175" i="6"/>
  <c r="Q174" i="6"/>
  <c r="L174" i="6"/>
  <c r="E174" i="6"/>
  <c r="Q173" i="6"/>
  <c r="L173" i="6"/>
  <c r="E173" i="6"/>
  <c r="Q172" i="6"/>
  <c r="L172" i="6"/>
  <c r="E172" i="6"/>
  <c r="Q171" i="6"/>
  <c r="L171" i="6"/>
  <c r="E171" i="6"/>
  <c r="Q170" i="6"/>
  <c r="L170" i="6"/>
  <c r="E170" i="6"/>
  <c r="Q169" i="6"/>
  <c r="L169" i="6"/>
  <c r="E169" i="6"/>
  <c r="Q168" i="6"/>
  <c r="L168" i="6"/>
  <c r="E168" i="6"/>
  <c r="Q167" i="6"/>
  <c r="L167" i="6"/>
  <c r="E167" i="6"/>
  <c r="Q166" i="6"/>
  <c r="L166" i="6"/>
  <c r="E166" i="6"/>
  <c r="Q165" i="6"/>
  <c r="L165" i="6"/>
  <c r="E165" i="6"/>
  <c r="Q164" i="6"/>
  <c r="L164" i="6"/>
  <c r="E164" i="6"/>
  <c r="Q163" i="6"/>
  <c r="L163" i="6"/>
  <c r="E163" i="6"/>
  <c r="Q162" i="6"/>
  <c r="L162" i="6"/>
  <c r="E162" i="6"/>
  <c r="Q161" i="6"/>
  <c r="L161" i="6"/>
  <c r="E161" i="6"/>
  <c r="Q160" i="6"/>
  <c r="L160" i="6"/>
  <c r="E160" i="6"/>
  <c r="Q159" i="6"/>
  <c r="L159" i="6"/>
  <c r="E159" i="6"/>
  <c r="Q158" i="6"/>
  <c r="L158" i="6"/>
  <c r="E158" i="6"/>
  <c r="Q157" i="6"/>
  <c r="L157" i="6"/>
  <c r="E157" i="6"/>
  <c r="Q156" i="6"/>
  <c r="L156" i="6"/>
  <c r="E156" i="6"/>
  <c r="Q155" i="6"/>
  <c r="L155" i="6"/>
  <c r="E155" i="6"/>
  <c r="Q154" i="6"/>
  <c r="L154" i="6"/>
  <c r="E154" i="6"/>
  <c r="Q153" i="6"/>
  <c r="L153" i="6"/>
  <c r="E153" i="6"/>
  <c r="Q152" i="6"/>
  <c r="L152" i="6"/>
  <c r="E152" i="6"/>
  <c r="Q151" i="6"/>
  <c r="L151" i="6"/>
  <c r="E151" i="6"/>
  <c r="Q150" i="6"/>
  <c r="L150" i="6"/>
  <c r="E150" i="6"/>
  <c r="Q149" i="6"/>
  <c r="L149" i="6"/>
  <c r="E149" i="6"/>
  <c r="Q148" i="6"/>
  <c r="L148" i="6"/>
  <c r="E148" i="6"/>
  <c r="Q147" i="6"/>
  <c r="L147" i="6"/>
  <c r="E147" i="6"/>
  <c r="Q146" i="6"/>
  <c r="L146" i="6"/>
  <c r="E146" i="6"/>
  <c r="Q145" i="6"/>
  <c r="L145" i="6"/>
  <c r="E145" i="6"/>
  <c r="Q144" i="6"/>
  <c r="L144" i="6"/>
  <c r="E144" i="6"/>
  <c r="Q143" i="6"/>
  <c r="L143" i="6"/>
  <c r="E143" i="6"/>
  <c r="Q142" i="6"/>
  <c r="L142" i="6"/>
  <c r="E142" i="6"/>
  <c r="Q141" i="6"/>
  <c r="L141" i="6"/>
  <c r="E141" i="6"/>
  <c r="Q140" i="6"/>
  <c r="L140" i="6"/>
  <c r="E140" i="6"/>
  <c r="Q139" i="6"/>
  <c r="L139" i="6"/>
  <c r="E139" i="6"/>
  <c r="Q138" i="6"/>
  <c r="L138" i="6"/>
  <c r="E138" i="6"/>
  <c r="Q137" i="6"/>
  <c r="L137" i="6"/>
  <c r="E137" i="6"/>
  <c r="Q136" i="6"/>
  <c r="L136" i="6"/>
  <c r="E136" i="6"/>
  <c r="Q135" i="6"/>
  <c r="L135" i="6"/>
  <c r="E135" i="6"/>
  <c r="Q134" i="6"/>
  <c r="L134" i="6"/>
  <c r="E134" i="6"/>
  <c r="Q133" i="6"/>
  <c r="L133" i="6"/>
  <c r="E133" i="6"/>
  <c r="Q132" i="6"/>
  <c r="L132" i="6"/>
  <c r="E132" i="6"/>
  <c r="Q131" i="6"/>
  <c r="L131" i="6"/>
  <c r="E131" i="6"/>
  <c r="Q130" i="6"/>
  <c r="L130" i="6"/>
  <c r="E130" i="6"/>
  <c r="Q129" i="6"/>
  <c r="L129" i="6"/>
  <c r="E129" i="6"/>
  <c r="Q128" i="6"/>
  <c r="L128" i="6"/>
  <c r="E128" i="6"/>
  <c r="Q127" i="6"/>
  <c r="L127" i="6"/>
  <c r="E127" i="6"/>
  <c r="Q126" i="6"/>
  <c r="L126" i="6"/>
  <c r="E126" i="6"/>
  <c r="Q125" i="6"/>
  <c r="L125" i="6"/>
  <c r="E125" i="6"/>
  <c r="Q124" i="6"/>
  <c r="L124" i="6"/>
  <c r="E124" i="6"/>
  <c r="Q123" i="6"/>
  <c r="L123" i="6"/>
  <c r="E123" i="6"/>
  <c r="Q122" i="6"/>
  <c r="L122" i="6"/>
  <c r="E122" i="6"/>
  <c r="Q121" i="6"/>
  <c r="L121" i="6"/>
  <c r="E121" i="6"/>
  <c r="Q120" i="6"/>
  <c r="L120" i="6"/>
  <c r="E120" i="6"/>
  <c r="Q119" i="6"/>
  <c r="L119" i="6"/>
  <c r="E119" i="6"/>
  <c r="Q118" i="6"/>
  <c r="L118" i="6"/>
  <c r="E118" i="6"/>
  <c r="Q117" i="6"/>
  <c r="L117" i="6"/>
  <c r="E117" i="6"/>
  <c r="Q116" i="6"/>
  <c r="L116" i="6"/>
  <c r="E116" i="6"/>
  <c r="Q115" i="6"/>
  <c r="L115" i="6"/>
  <c r="E115" i="6"/>
  <c r="Q114" i="6"/>
  <c r="L114" i="6"/>
  <c r="E114" i="6"/>
  <c r="Q113" i="6"/>
  <c r="L113" i="6"/>
  <c r="E113" i="6"/>
  <c r="Q112" i="6"/>
  <c r="L112" i="6"/>
  <c r="E112" i="6"/>
  <c r="Q111" i="6"/>
  <c r="L111" i="6"/>
  <c r="E111" i="6"/>
  <c r="Q110" i="6"/>
  <c r="L110" i="6"/>
  <c r="E110" i="6"/>
  <c r="Q109" i="6"/>
  <c r="L109" i="6"/>
  <c r="E109" i="6"/>
  <c r="Q108" i="6"/>
  <c r="L108" i="6"/>
  <c r="E108" i="6"/>
  <c r="Q107" i="6"/>
  <c r="L107" i="6"/>
  <c r="E107" i="6"/>
  <c r="Q106" i="6"/>
  <c r="L106" i="6"/>
  <c r="E106" i="6"/>
  <c r="Q105" i="6"/>
  <c r="L105" i="6"/>
  <c r="E105" i="6"/>
  <c r="Q104" i="6"/>
  <c r="L104" i="6"/>
  <c r="E104" i="6"/>
  <c r="Q103" i="6"/>
  <c r="L103" i="6"/>
  <c r="E103" i="6"/>
  <c r="Q102" i="6"/>
  <c r="L102" i="6"/>
  <c r="E102" i="6"/>
  <c r="Q101" i="6"/>
  <c r="L101" i="6"/>
  <c r="E101" i="6"/>
  <c r="Q100" i="6"/>
  <c r="L100" i="6"/>
  <c r="E100" i="6"/>
  <c r="Q99" i="6"/>
  <c r="L99" i="6"/>
  <c r="E99" i="6"/>
  <c r="Q98" i="6"/>
  <c r="L98" i="6"/>
  <c r="E98" i="6"/>
  <c r="Q97" i="6"/>
  <c r="L97" i="6"/>
  <c r="E97" i="6"/>
  <c r="Q96" i="6"/>
  <c r="L96" i="6"/>
  <c r="E96" i="6"/>
  <c r="Q95" i="6"/>
  <c r="L95" i="6"/>
  <c r="E95" i="6"/>
  <c r="Q94" i="6"/>
  <c r="L94" i="6"/>
  <c r="E94" i="6"/>
  <c r="Q93" i="6"/>
  <c r="L93" i="6"/>
  <c r="E93" i="6"/>
  <c r="Q92" i="6"/>
  <c r="L92" i="6"/>
  <c r="E92" i="6"/>
  <c r="Q91" i="6"/>
  <c r="L91" i="6"/>
  <c r="E91" i="6"/>
  <c r="Q90" i="6"/>
  <c r="L90" i="6"/>
  <c r="E90" i="6"/>
  <c r="Q89" i="6"/>
  <c r="L89" i="6"/>
  <c r="E89" i="6"/>
  <c r="Q88" i="6"/>
  <c r="L88" i="6"/>
  <c r="E88" i="6"/>
  <c r="Q87" i="6"/>
  <c r="L87" i="6"/>
  <c r="E87" i="6"/>
  <c r="Q86" i="6"/>
  <c r="L86" i="6"/>
  <c r="E86" i="6"/>
  <c r="Q85" i="6"/>
  <c r="L85" i="6"/>
  <c r="E85" i="6"/>
  <c r="Q84" i="6"/>
  <c r="L84" i="6"/>
  <c r="E84" i="6"/>
  <c r="Q83" i="6"/>
  <c r="L83" i="6"/>
  <c r="E83" i="6"/>
  <c r="Q82" i="6"/>
  <c r="L82" i="6"/>
  <c r="E82" i="6"/>
  <c r="Q81" i="6"/>
  <c r="L81" i="6"/>
  <c r="E81" i="6"/>
  <c r="Q80" i="6"/>
  <c r="L80" i="6"/>
  <c r="E80" i="6"/>
  <c r="Q79" i="6"/>
  <c r="L79" i="6"/>
  <c r="E79" i="6"/>
  <c r="Q78" i="6"/>
  <c r="L78" i="6"/>
  <c r="E78" i="6"/>
  <c r="Q77" i="6"/>
  <c r="L77" i="6"/>
  <c r="E77" i="6"/>
  <c r="Q76" i="6"/>
  <c r="L76" i="6"/>
  <c r="E76" i="6"/>
  <c r="Q75" i="6"/>
  <c r="L75" i="6"/>
  <c r="E75" i="6"/>
  <c r="Q74" i="6"/>
  <c r="L74" i="6"/>
  <c r="E74" i="6"/>
  <c r="Q73" i="6"/>
  <c r="L73" i="6"/>
  <c r="E73" i="6"/>
  <c r="Q67" i="6"/>
  <c r="L67" i="6"/>
  <c r="E67" i="6"/>
  <c r="Q66" i="6"/>
  <c r="L66" i="6"/>
  <c r="E66" i="6"/>
  <c r="Q65" i="6"/>
  <c r="L65" i="6"/>
  <c r="E65" i="6"/>
  <c r="Q64" i="6"/>
  <c r="L64" i="6"/>
  <c r="E64" i="6"/>
  <c r="Q63" i="6"/>
  <c r="L63" i="6"/>
  <c r="E63" i="6"/>
  <c r="Q62" i="6"/>
  <c r="L62" i="6"/>
  <c r="E62" i="6"/>
  <c r="Q61" i="6"/>
  <c r="L61" i="6"/>
  <c r="E61" i="6"/>
  <c r="Q60" i="6"/>
  <c r="L60" i="6"/>
  <c r="E60" i="6"/>
  <c r="Q59" i="6"/>
  <c r="L59" i="6"/>
  <c r="E59" i="6"/>
  <c r="Q58" i="6"/>
  <c r="L58" i="6"/>
  <c r="E58" i="6"/>
  <c r="Q57" i="6"/>
  <c r="L57" i="6"/>
  <c r="E57" i="6"/>
  <c r="Q56" i="6"/>
  <c r="L56" i="6"/>
  <c r="E56" i="6"/>
  <c r="Q55" i="6"/>
  <c r="L55" i="6"/>
  <c r="E55" i="6"/>
  <c r="Q54" i="6"/>
  <c r="L54" i="6"/>
  <c r="E54" i="6"/>
  <c r="Q53" i="6"/>
  <c r="L53" i="6"/>
  <c r="E53" i="6"/>
  <c r="Q52" i="6"/>
  <c r="L52" i="6"/>
  <c r="E52" i="6"/>
  <c r="Q51" i="6"/>
  <c r="L51" i="6"/>
  <c r="E51" i="6"/>
  <c r="Q50" i="6"/>
  <c r="L50" i="6"/>
  <c r="E50" i="6"/>
  <c r="Q49" i="6"/>
  <c r="L49" i="6"/>
  <c r="E49" i="6"/>
  <c r="Q48" i="6"/>
  <c r="L48" i="6"/>
  <c r="E48" i="6"/>
  <c r="Q47" i="6"/>
  <c r="L47" i="6"/>
  <c r="E47" i="6"/>
  <c r="Q46" i="6"/>
  <c r="L46" i="6"/>
  <c r="E46" i="6"/>
  <c r="Q45" i="6"/>
  <c r="L45" i="6"/>
  <c r="E45" i="6"/>
  <c r="Q44" i="6"/>
  <c r="L44" i="6"/>
  <c r="E44" i="6"/>
  <c r="Q43" i="6"/>
  <c r="L43" i="6"/>
  <c r="E43" i="6"/>
  <c r="Q42" i="6"/>
  <c r="L42" i="6"/>
  <c r="E42" i="6"/>
  <c r="Q41" i="6"/>
  <c r="L41" i="6"/>
  <c r="E41" i="6"/>
  <c r="Q40" i="6"/>
  <c r="L40" i="6"/>
  <c r="E40" i="6"/>
  <c r="Q39" i="6"/>
  <c r="L39" i="6"/>
  <c r="E39" i="6"/>
  <c r="Q38" i="6"/>
  <c r="L38" i="6"/>
  <c r="E38" i="6"/>
  <c r="Q37" i="6"/>
  <c r="L37" i="6"/>
  <c r="E37" i="6"/>
  <c r="Q36" i="6"/>
  <c r="L36" i="6"/>
  <c r="E36" i="6"/>
  <c r="Q35" i="6"/>
  <c r="L35" i="6"/>
  <c r="E35" i="6"/>
  <c r="Q34" i="6"/>
  <c r="L34" i="6"/>
  <c r="E34" i="6"/>
  <c r="Q33" i="6"/>
  <c r="L33" i="6"/>
  <c r="E33" i="6"/>
  <c r="Q32" i="6"/>
  <c r="L32" i="6"/>
  <c r="E32" i="6"/>
  <c r="Q31" i="6"/>
  <c r="L31" i="6"/>
  <c r="E31" i="6"/>
  <c r="Q30" i="6"/>
  <c r="L30" i="6"/>
  <c r="E30" i="6"/>
  <c r="Q29" i="6"/>
  <c r="L29" i="6"/>
  <c r="E29" i="6"/>
  <c r="Q28" i="6"/>
  <c r="L28" i="6"/>
  <c r="E28" i="6"/>
  <c r="Q27" i="6"/>
  <c r="L27" i="6"/>
  <c r="E27" i="6"/>
  <c r="Q26" i="6"/>
  <c r="L26" i="6"/>
  <c r="E26" i="6"/>
  <c r="Q25" i="6"/>
  <c r="L25" i="6"/>
  <c r="E25" i="6"/>
  <c r="Q24" i="6"/>
  <c r="L24" i="6"/>
  <c r="E24" i="6"/>
  <c r="Q23" i="6"/>
  <c r="L23" i="6"/>
  <c r="E23" i="6"/>
  <c r="Q22" i="6"/>
  <c r="L22" i="6"/>
  <c r="E22" i="6"/>
  <c r="Q21" i="6"/>
  <c r="L21" i="6"/>
  <c r="E21" i="6"/>
  <c r="Q20" i="6"/>
  <c r="L20" i="6"/>
  <c r="E20" i="6"/>
  <c r="Q19" i="6"/>
  <c r="L19" i="6"/>
  <c r="E19" i="6"/>
  <c r="Q18" i="6"/>
  <c r="L18" i="6"/>
  <c r="E18" i="6"/>
  <c r="Q17" i="6"/>
  <c r="L17" i="6"/>
  <c r="E17" i="6"/>
  <c r="Q16" i="6"/>
  <c r="L16" i="6"/>
  <c r="E16" i="6"/>
  <c r="Q15" i="6"/>
  <c r="L15" i="6"/>
  <c r="E15" i="6"/>
  <c r="Q14" i="6"/>
  <c r="L14" i="6"/>
  <c r="E14" i="6"/>
  <c r="Q13" i="6"/>
  <c r="L13" i="6"/>
  <c r="E13" i="6"/>
  <c r="Q12" i="6"/>
  <c r="L12" i="6"/>
  <c r="E12" i="6"/>
  <c r="Q11" i="6"/>
  <c r="L11" i="6"/>
  <c r="E11" i="6"/>
  <c r="Q10" i="6"/>
  <c r="L10" i="6"/>
  <c r="E10" i="6"/>
  <c r="Q9" i="6"/>
  <c r="L9" i="6"/>
  <c r="E9" i="6"/>
  <c r="Q8" i="6"/>
  <c r="L8" i="6"/>
  <c r="E8" i="6"/>
  <c r="Q7" i="6"/>
  <c r="L7" i="6"/>
  <c r="E7" i="6"/>
  <c r="Q6" i="6"/>
  <c r="L6" i="6"/>
  <c r="E6" i="6"/>
  <c r="Q5" i="6"/>
  <c r="L5" i="6"/>
  <c r="E5" i="6"/>
  <c r="Q4" i="6"/>
  <c r="L4" i="6"/>
  <c r="E4" i="6"/>
  <c r="Q3" i="6"/>
  <c r="L3" i="6"/>
  <c r="E3" i="6"/>
  <c r="Q2" i="6"/>
  <c r="L2" i="6"/>
  <c r="E2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<sst xmlns="http://schemas.openxmlformats.org/spreadsheetml/2006/main" count="37908" uniqueCount="3973">
  <si>
    <t>ItemCategory</t>
  </si>
  <si>
    <t>EquipmentName</t>
  </si>
  <si>
    <t>HireRateWeekly</t>
  </si>
  <si>
    <t>GroupName</t>
  </si>
  <si>
    <t>Sub Section</t>
  </si>
  <si>
    <t>Max Discount</t>
  </si>
  <si>
    <t>ExcludeFromGlobalDiscount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</si>
  <si>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</si>
  <si>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</si>
  <si>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</si>
  <si>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</si>
  <si>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</si>
  <si>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</si>
  <si>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</si>
  <si>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</si>
  <si>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</si>
  <si>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</si>
  <si>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</si>
  <si>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01/556</t>
  </si>
  <si>
    <t>Pecolift Anti-Climb Side Guards</t>
  </si>
  <si>
    <t>01. Access</t>
  </si>
  <si>
    <t>01</t>
  </si>
  <si>
    <t/>
  </si>
  <si>
    <t>Non-powered Access</t>
  </si>
  <si>
    <t>01/596</t>
  </si>
  <si>
    <t>Ecolift X, Manual Access Platform, up to 2.2m plat. Height</t>
  </si>
  <si>
    <t>01/630</t>
  </si>
  <si>
    <t>IQ Lift Pro7, 2.1m platform height</t>
  </si>
  <si>
    <t>01/635</t>
  </si>
  <si>
    <t>IQ Lift Pro7 Anti-Climb Side Guards</t>
  </si>
  <si>
    <t>01/617</t>
  </si>
  <si>
    <t>Navigator 4.5, Manual Access Platform, up to 2.5m plat.</t>
  </si>
  <si>
    <t>05</t>
  </si>
  <si>
    <t>Navigator 4.5, Manual Access Platform, 2.5m plat.</t>
  </si>
  <si>
    <t>01/615</t>
  </si>
  <si>
    <t>Navigator 6.0 Manual Access Platform, up to 4m plat.</t>
  </si>
  <si>
    <t>06</t>
  </si>
  <si>
    <t>Navigator 6.0, Wind Rated, Manual Access Platform, 4m plat.</t>
  </si>
  <si>
    <t>01/555</t>
  </si>
  <si>
    <t>Pecolift Manual Access Platform, up to 1.5m platform height</t>
  </si>
  <si>
    <t>07</t>
  </si>
  <si>
    <t>Pecolift Manual Access Platform, 1.5m platform height</t>
  </si>
  <si>
    <t>01/557</t>
  </si>
  <si>
    <t>Ecolift Manual Access Platform, up to 2.2m platform height</t>
  </si>
  <si>
    <t>08</t>
  </si>
  <si>
    <t>Ecolift Manual Access Platform, 2.2m platform height</t>
  </si>
  <si>
    <t>01/595</t>
  </si>
  <si>
    <t>Ecolift, Wind Rated, 0.95m wide, up to 2.2m platform height</t>
  </si>
  <si>
    <t>09</t>
  </si>
  <si>
    <t>01/558</t>
  </si>
  <si>
    <t>Ecolift Anti-Climb Side Guards</t>
  </si>
  <si>
    <t>Pecolift/Ecolift Anti-Climb Side Guards</t>
  </si>
  <si>
    <t>01/620</t>
  </si>
  <si>
    <t>Micro Powered Access Platform, 3m plat., Snorkel S3010P</t>
  </si>
  <si>
    <t>02</t>
  </si>
  <si>
    <t>Powered Access</t>
  </si>
  <si>
    <t>01/700</t>
  </si>
  <si>
    <t>Self-propelled Electric Scissor Lift, 5.14m</t>
  </si>
  <si>
    <t>01/906</t>
  </si>
  <si>
    <t>Electric Scissor Lift, 7.79m working height, JLG ES1932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</si>
  <si>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</si>
  <si>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</si>
  <si>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</si>
  <si>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</si>
  <si>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</si>
  <si>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</si>
  <si>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</si>
  <si>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</si>
  <si>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</si>
  <si>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</si>
  <si>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</si>
  <si>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</si>
  <si>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</si>
  <si>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</si>
  <si>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</si>
  <si>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</si>
  <si>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</si>
  <si>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</si>
  <si>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</si>
  <si>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</si>
  <si>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</si>
  <si>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</si>
  <si>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</si>
  <si>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01/550</t>
  </si>
  <si>
    <t>Micro Powered Access Platform, 3.1m plat. Power Tower</t>
  </si>
  <si>
    <t>03</t>
  </si>
  <si>
    <t>Power Tower, 3.1m platform height</t>
  </si>
  <si>
    <t>01/625</t>
  </si>
  <si>
    <t>Micro Powered Access Platform, 3.5m plat., ELS 5.5 Junior WR</t>
  </si>
  <si>
    <t>04</t>
  </si>
  <si>
    <t>Micro Powered Access Platform, 3m or 3.5m plat.</t>
  </si>
  <si>
    <t>01/917</t>
  </si>
  <si>
    <t>Towable trailer to suit S2755RT</t>
  </si>
  <si>
    <t>Self-Propelled Powered Access</t>
  </si>
  <si>
    <t>01/900</t>
  </si>
  <si>
    <t>Self-propelled Mini Scissor lift, 5m working height, Snorkel</t>
  </si>
  <si>
    <t>Snorkel S3010E, Self-propelled Electric Scissor Lift, 5m Working Height</t>
  </si>
  <si>
    <t>01/902</t>
  </si>
  <si>
    <t>Electric Scissor Lift, 5.79m working height, Snorkel S3013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</si>
  <si>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</si>
  <si>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</si>
  <si>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</si>
  <si>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</si>
  <si>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</si>
  <si>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</si>
  <si>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</si>
  <si>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</si>
  <si>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</si>
  <si>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</si>
  <si>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T/S002.1</t>
  </si>
  <si>
    <t>0.5m (2'4") x 2.0m (6'7"), up to 7.91m (25'11")</t>
  </si>
  <si>
    <t>Aluminium Tower (WxL)</t>
  </si>
  <si>
    <t>T/S002.2</t>
  </si>
  <si>
    <t>0.5m (2'4") x 2.5m (8'2"), up to 7.91m (25'11")</t>
  </si>
  <si>
    <t>T/S002.3</t>
  </si>
  <si>
    <t>0.5m (2'4") x 3.0m (9'10"), up to 7.91m (25'11")</t>
  </si>
  <si>
    <t>T/S002</t>
  </si>
  <si>
    <t>0.7m (2'4") x 2.0m (6'7"), up to 7.91m (25'11")</t>
  </si>
  <si>
    <t>T/S003</t>
  </si>
  <si>
    <t>0.7m (2'4") x 2.5m (8'2"), up to 7.91m (25'11")</t>
  </si>
  <si>
    <t>T/S004</t>
  </si>
  <si>
    <t>0.7m (2'4") x 3.0m (9'10"), up to 7.91m (25'11")</t>
  </si>
  <si>
    <t>T/D002</t>
  </si>
  <si>
    <t>1.3m (4'3") x 2.0m (6'7"), up to 12.09m (39.8")</t>
  </si>
  <si>
    <t>T/D003</t>
  </si>
  <si>
    <t>1.3m (4'3") x 2.5m (8'2"), up to 12.09m (39.8")</t>
  </si>
  <si>
    <t>T/D004</t>
  </si>
  <si>
    <t>1.3m (4'3") x 3.0m (9'10"), up to 12.09m (39.8")</t>
  </si>
  <si>
    <t>T/GS01</t>
  </si>
  <si>
    <t>Aluminium Tower - AGR (WxL)</t>
  </si>
  <si>
    <t>T/GS02</t>
  </si>
  <si>
    <t>T/GD01</t>
  </si>
  <si>
    <t>1.3m (4'3") x 2.0m (6'7"), up to 12.09m (39'8")</t>
  </si>
  <si>
    <t>T/GD02</t>
  </si>
  <si>
    <t>1.3m (4'3") x 2.5m (8'2"), up to 12.09m (39'8")</t>
  </si>
  <si>
    <t>T/B001</t>
  </si>
  <si>
    <t>2.0m (6'7")</t>
  </si>
  <si>
    <t>Aluminium Tower Bridging Deck c/w handrail (L)</t>
  </si>
  <si>
    <t>T/B002</t>
  </si>
  <si>
    <t>2.5m (8'2")</t>
  </si>
  <si>
    <t>T/B003</t>
  </si>
  <si>
    <t>3.0m (9'10")</t>
  </si>
  <si>
    <t>T/B004</t>
  </si>
  <si>
    <t>3.6m (11'10")</t>
  </si>
  <si>
    <t>T/A001</t>
  </si>
  <si>
    <t>2.0m (6'7"), 1.8m (5'11")</t>
  </si>
  <si>
    <t>Deskspan Access Platforms (LxPl./H)</t>
  </si>
  <si>
    <t>T/A003</t>
  </si>
  <si>
    <t>2.5m (8'2"), 1.8m (5'11")</t>
  </si>
  <si>
    <t>T/A002</t>
  </si>
  <si>
    <t>3.0m (9'10"), 1.8m (5'11")</t>
  </si>
  <si>
    <t>T/G001</t>
  </si>
  <si>
    <t>0.85m (2'9") x 1.8m (5'11"), up to 12.2m(40')</t>
  </si>
  <si>
    <t>Non-conductive GRP Tower (WxL)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</si>
  <si>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</si>
  <si>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</si>
  <si>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</si>
  <si>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</si>
  <si>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</si>
  <si>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</si>
  <si>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</si>
  <si>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</si>
  <si>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</si>
  <si>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</si>
  <si>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</si>
  <si>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T/SA001</t>
  </si>
  <si>
    <t>Stair Access Tower, 2.25m plat.(3.50m handrail)</t>
  </si>
  <si>
    <t>T/SA002</t>
  </si>
  <si>
    <t>Stair Access Tower, 4.10m plat.(5.35m handrail)</t>
  </si>
  <si>
    <t>T/SA003</t>
  </si>
  <si>
    <t>Stair Access Tower, 5.96m plat.(7.21m handrail)</t>
  </si>
  <si>
    <t>T/SA004</t>
  </si>
  <si>
    <t>Stair Access Tower, 7.81m plat.(9.06m handrail)</t>
  </si>
  <si>
    <t>T/SA005</t>
  </si>
  <si>
    <t>Stair Access Tower, 9.67m plat.(10.92m handrail)</t>
  </si>
  <si>
    <t>T/S001</t>
  </si>
  <si>
    <t>0.7m (2'4") x 1.2m (3'11"), up to 7.91m (25'11") price per meter</t>
  </si>
  <si>
    <t>0.7m (2'4") x 1.2m (3'11"), up to 7.91m (25'11")</t>
  </si>
  <si>
    <t>Lift Shaft Aluminium Tower (WxL)</t>
  </si>
  <si>
    <t>T/D001</t>
  </si>
  <si>
    <t>1.3m (4'3") x 1.2m (3'11"), up to 12.09m (39.8") price per meter</t>
  </si>
  <si>
    <t>1.3m (4'3") x 1.2m (3'11"), up to 12.09m (39.8")</t>
  </si>
  <si>
    <t>01/576</t>
  </si>
  <si>
    <t>1 Person Mobile Tower, 0.7m x 1.5m, up to 4.1m plat. Height</t>
  </si>
  <si>
    <t>Tower (WxLxH)</t>
  </si>
  <si>
    <t>01/610</t>
  </si>
  <si>
    <t>MiTower, 1 Person Mobile Tower, 0.7x1.2m, up to 4m plat.</t>
  </si>
  <si>
    <t>01/565</t>
  </si>
  <si>
    <t>1 Person Mobile Tower, 0.7m x 1.3m, up to 4.1m plat. Height</t>
  </si>
  <si>
    <t>0.7m (2'4") x 2.0m (6'7"), up to 4.1m (13'4")</t>
  </si>
  <si>
    <t>01/575</t>
  </si>
  <si>
    <t>1 Person Mobile Tower, 0.7m x 1.3m, up to 6.1m plat. Height</t>
  </si>
  <si>
    <t>0.7m (2'4") x 1.5m (4'11"), up to 6m (19'7")</t>
  </si>
  <si>
    <t>01/570</t>
  </si>
  <si>
    <t>Minifolding Tower 0.7m x 1.5m, up to 1.7m</t>
  </si>
  <si>
    <t>0.7m (2'4") x 1.5m (4'11"), 0.2m (0'8") to 1.7m (5'7")</t>
  </si>
  <si>
    <t>01/580</t>
  </si>
  <si>
    <t>Klikfolding Tower 0.7m x 2.0m, 0.2m to 1.7m</t>
  </si>
  <si>
    <t>0.7m (2'4") x 2.0m (6'7"), 0.2m (0'8") to 1.7m (5'7")</t>
  </si>
  <si>
    <t>01/512</t>
  </si>
  <si>
    <t>Podium Step, up to 1.2m plat.(Fixed Sides)</t>
  </si>
  <si>
    <t>Podiums &amp; Platforms</t>
  </si>
  <si>
    <t>01/513</t>
  </si>
  <si>
    <t>Podium Step, up to 1.2m plat. (Swing Gate)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</si>
  <si>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</si>
  <si>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</si>
  <si>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</si>
  <si>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</si>
  <si>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</si>
  <si>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</si>
  <si>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01/586</t>
  </si>
  <si>
    <t>Euro Deck Work Platform, 0.72m x 1.27m, 0.67m to 0.82m</t>
  </si>
  <si>
    <t>01/640</t>
  </si>
  <si>
    <t>Deskglider, 2.0m Platform</t>
  </si>
  <si>
    <t>01/535</t>
  </si>
  <si>
    <t>Stairpod Podium 0.5m plat.</t>
  </si>
  <si>
    <t>Stairpod 0.6m (1'11") x 0.6m (1'11"), up to 0.5m (1'7")</t>
  </si>
  <si>
    <t>01/505</t>
  </si>
  <si>
    <t>Podium Step, up to 0.5m plat.</t>
  </si>
  <si>
    <t>0.6m (1'11") x 0.6m (1'11"), up to 0.5m (1'7")</t>
  </si>
  <si>
    <t>01/510</t>
  </si>
  <si>
    <t>Podium Step, up to 1.2m plat.(Interlink)</t>
  </si>
  <si>
    <t>0.65m (2'2") x 1.2m (3'11"), up to 1.2m (3'11")</t>
  </si>
  <si>
    <t>01/522</t>
  </si>
  <si>
    <t>Podium Step, up to 1.5m plat. (Euro Tower)</t>
  </si>
  <si>
    <t>0.9m (2'11") x 1.2m (3'11"), up to 1.5m (4'11")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</si>
  <si>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</si>
  <si>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</si>
  <si>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</si>
  <si>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</si>
  <si>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</si>
  <si>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</si>
  <si>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</si>
  <si>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</si>
  <si>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</si>
  <si>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</si>
  <si>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</si>
  <si>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</si>
  <si>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</si>
  <si>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</si>
  <si>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</si>
  <si>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01/585</t>
  </si>
  <si>
    <t>Deltadeck Work Platform, 0.76m x 1.12m, 0.45m to 0.87m</t>
  </si>
  <si>
    <t xml:space="preserve">0.76m (2'5") x 1.2m (3'11"), 0.45m (1'5") to 0.87m (2'10") </t>
  </si>
  <si>
    <t>01/192</t>
  </si>
  <si>
    <t>6 Tread GRP Adjustable Steps, 1.67m</t>
  </si>
  <si>
    <t>Steps</t>
  </si>
  <si>
    <t>01/193</t>
  </si>
  <si>
    <t>8 Tread GRP Adjustable Steps, 2.23m</t>
  </si>
  <si>
    <t>01/010</t>
  </si>
  <si>
    <t>6 Tread Aluminium Steps, 1.3m</t>
  </si>
  <si>
    <t>6 Tread, 1.3m (4'3")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</si>
  <si>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</si>
  <si>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</si>
  <si>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</si>
  <si>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</si>
  <si>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</si>
  <si>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</si>
  <si>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</si>
  <si>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</si>
  <si>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</si>
  <si>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</si>
  <si>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</si>
  <si>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</si>
  <si>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</si>
  <si>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</si>
  <si>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</si>
  <si>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</si>
  <si>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</si>
  <si>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</si>
  <si>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</si>
  <si>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</si>
  <si>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</si>
  <si>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</si>
  <si>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</si>
  <si>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</si>
  <si>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</si>
  <si>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</si>
  <si>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</si>
  <si>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</si>
  <si>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</si>
  <si>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</si>
  <si>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</si>
  <si>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</si>
  <si>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</si>
  <si>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</si>
  <si>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</si>
  <si>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</si>
  <si>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01/600</t>
  </si>
  <si>
    <t>8 Tread, 2.24m plat. GRP Platform Steps</t>
  </si>
  <si>
    <t>8 Tread, 2.7m (8'10")</t>
  </si>
  <si>
    <t>01/470</t>
  </si>
  <si>
    <t>4-6 Tread Sherpascopic Steps, 1.06-1.52m</t>
  </si>
  <si>
    <t>4-6 Tread, 1.06m (3'6") to 1.52m (5'0")</t>
  </si>
  <si>
    <t>01/280</t>
  </si>
  <si>
    <t>2 Section Aluminium Roof Ladder, 4.5-7.5m</t>
  </si>
  <si>
    <t>Ladders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</si>
  <si>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</si>
  <si>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</si>
  <si>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</si>
  <si>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</si>
  <si>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</si>
  <si>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</si>
  <si>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</si>
  <si>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</si>
  <si>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</si>
  <si>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</si>
  <si>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</si>
  <si>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</si>
  <si>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</si>
  <si>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</si>
  <si>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</si>
  <si>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</si>
  <si>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</si>
  <si>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</si>
  <si>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</si>
  <si>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</si>
  <si>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</si>
  <si>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</si>
  <si>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</si>
  <si>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</si>
  <si>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01/290</t>
  </si>
  <si>
    <t>3 Section Aluminium Ladder, 2.5-5.5m</t>
  </si>
  <si>
    <t>2.5m (8'2"), extends to 5.5m (18'1")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</si>
  <si>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</si>
  <si>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</si>
  <si>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</si>
  <si>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</si>
  <si>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</si>
  <si>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</si>
  <si>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</si>
  <si>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</si>
  <si>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</si>
  <si>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B0101005</t>
  </si>
  <si>
    <t>Ladder Stay</t>
  </si>
  <si>
    <t xml:space="preserve">Ladder Stay </t>
  </si>
  <si>
    <t>B0101110</t>
  </si>
  <si>
    <t>Ladder Safety Foot</t>
  </si>
  <si>
    <t>01/050</t>
  </si>
  <si>
    <t>3 Section Combination Ladder, 2.5-5.5m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</si>
  <si>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</si>
  <si>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</si>
  <si>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</si>
  <si>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</si>
  <si>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</si>
  <si>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</si>
  <si>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</si>
  <si>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</si>
  <si>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</si>
  <si>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</si>
  <si>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</si>
  <si>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</si>
  <si>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</si>
  <si>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</si>
  <si>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</si>
  <si>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</si>
  <si>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</si>
  <si>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</si>
  <si>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</si>
  <si>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</si>
  <si>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</si>
  <si>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</si>
  <si>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</si>
  <si>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</si>
  <si>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</si>
  <si>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</si>
  <si>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</si>
  <si>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B0101025</t>
  </si>
  <si>
    <t>Plastic Trestle</t>
  </si>
  <si>
    <t>Staging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</si>
  <si>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</si>
  <si>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</si>
  <si>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</si>
  <si>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</si>
  <si>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</si>
  <si>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</si>
  <si>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</si>
  <si>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</si>
  <si>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</si>
  <si>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</si>
  <si>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</si>
  <si>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</si>
  <si>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</si>
  <si>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</si>
  <si>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</si>
  <si>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</si>
  <si>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</si>
  <si>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</si>
  <si>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B0101105</t>
  </si>
  <si>
    <t>Access Frame Bumpers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</si>
  <si>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</si>
  <si>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</si>
  <si>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</si>
  <si>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</si>
  <si>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</si>
  <si>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</si>
  <si>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</si>
  <si>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</si>
  <si>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</si>
  <si>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</si>
  <si>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</si>
  <si>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</si>
  <si>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</si>
  <si>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</si>
  <si>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</si>
  <si>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</si>
  <si>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</si>
  <si>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</si>
  <si>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</si>
  <si>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</si>
  <si>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</si>
  <si>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01/350</t>
  </si>
  <si>
    <t>Lightweight Staging, 2.4mx450mm</t>
  </si>
  <si>
    <t>2.4m (7'10")</t>
  </si>
  <si>
    <t>01/360</t>
  </si>
  <si>
    <t>Lightweight Staging, 3.0mx450mm</t>
  </si>
  <si>
    <t>01/370</t>
  </si>
  <si>
    <t>Lightweight Staging, 3.6mx450mm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</si>
  <si>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</si>
  <si>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</si>
  <si>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</si>
  <si>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</si>
  <si>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</si>
  <si>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</si>
  <si>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</si>
  <si>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</si>
  <si>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</si>
  <si>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</si>
  <si>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</si>
  <si>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</si>
  <si>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</si>
  <si>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</si>
  <si>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</si>
  <si>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</si>
  <si>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</si>
  <si>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</si>
  <si>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</si>
  <si>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B0103005</t>
  </si>
  <si>
    <t>Single Side Hand Rail System, 2.4m</t>
  </si>
  <si>
    <t>B0103015</t>
  </si>
  <si>
    <t>Single Side Hand Rail System, 3.0m</t>
  </si>
  <si>
    <t>B0103020</t>
  </si>
  <si>
    <t>Single Side Hand Rail System, 3.6m</t>
  </si>
  <si>
    <t>B0103035</t>
  </si>
  <si>
    <t>Single Side Hand Rail System, 4.2m</t>
  </si>
  <si>
    <t>B0103045</t>
  </si>
  <si>
    <t>Single Side Hand Rail System, 4.8m</t>
  </si>
  <si>
    <t>B0103055</t>
  </si>
  <si>
    <t>Single Side Hand Rail System, 5.4m</t>
  </si>
  <si>
    <t>B0103065</t>
  </si>
  <si>
    <t>Single Side Hand Rail System, 6.0m</t>
  </si>
  <si>
    <t>B0103010</t>
  </si>
  <si>
    <t>Double Side Hand Rail System, 2.4m</t>
  </si>
  <si>
    <t>B0103025</t>
  </si>
  <si>
    <t>Double Side Hand Rail System, 3.0m</t>
  </si>
  <si>
    <t>B0103030</t>
  </si>
  <si>
    <t>Double Side Hand Rail System, 3.6m</t>
  </si>
  <si>
    <t>B0103040</t>
  </si>
  <si>
    <t>Double Side Hand Rail System, 4.2m</t>
  </si>
  <si>
    <t>B0103050</t>
  </si>
  <si>
    <t>Double Side Hand Rail System, 4.8m</t>
  </si>
  <si>
    <t>B0103060</t>
  </si>
  <si>
    <t>Double Side Hand Rail System, 5.4m</t>
  </si>
  <si>
    <t>B0103070</t>
  </si>
  <si>
    <t>Double Side Hand Rail System, 6.0m</t>
  </si>
  <si>
    <t>02/200</t>
  </si>
  <si>
    <t>Two Tool Air Compressor, up to 148cfm - Diesel</t>
  </si>
  <si>
    <t>02. Air Tools</t>
  </si>
  <si>
    <t>Two Tool Portable Compressor, 148cfm - Diesel</t>
  </si>
  <si>
    <t>Compressors</t>
  </si>
  <si>
    <t>02/205</t>
  </si>
  <si>
    <t>Two Tool Air Compressor, up to 106cfm, Stage V - Diesel</t>
  </si>
  <si>
    <t>02/240</t>
  </si>
  <si>
    <t>Safety Wheel Clamp to suit Two Tool Compressor</t>
  </si>
  <si>
    <t>Safety Wheel Clamp for Air Compressors</t>
  </si>
  <si>
    <t>02/230</t>
  </si>
  <si>
    <t>9cfm Portable Air Compressor, 10 bar - 110V</t>
  </si>
  <si>
    <t>B0201005</t>
  </si>
  <si>
    <t>Air Hose, 19mm x 15m</t>
  </si>
  <si>
    <t>Air Hose, 19mmx15m</t>
  </si>
  <si>
    <t>B0201010</t>
  </si>
  <si>
    <t>Inline Oiler</t>
  </si>
  <si>
    <t>02/055</t>
  </si>
  <si>
    <t>CP FL22SVR, Clay Digger/Pick, 10.4kg - Air</t>
  </si>
  <si>
    <t>Clay Digger/Pick, 10.4kg - Air (CP FL22VR)</t>
  </si>
  <si>
    <t>Picks, Breakers &amp; Drills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</si>
  <si>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</si>
  <si>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</si>
  <si>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</si>
  <si>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</si>
  <si>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</si>
  <si>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</si>
  <si>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</si>
  <si>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</si>
  <si>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</si>
  <si>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</si>
  <si>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</si>
  <si>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</si>
  <si>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02/250</t>
  </si>
  <si>
    <t>Blow Out Lance</t>
  </si>
  <si>
    <t xml:space="preserve">Blow Out Lance </t>
  </si>
  <si>
    <t>02/150</t>
  </si>
  <si>
    <t>Single Head Hand Scabbler - Air</t>
  </si>
  <si>
    <t>Hand Scabbler, Single Head  - Air</t>
  </si>
  <si>
    <t>Scrabblers</t>
  </si>
  <si>
    <t>02/160</t>
  </si>
  <si>
    <t>Triple Head Hand Scabbler - Air</t>
  </si>
  <si>
    <t>Hand Scabbler, Triple Head  - Air</t>
  </si>
  <si>
    <t>02/140</t>
  </si>
  <si>
    <t>Pole Scabbler/Compactor - Air</t>
  </si>
  <si>
    <t>02/165</t>
  </si>
  <si>
    <t>11 Head Floor Scabbler - Air</t>
  </si>
  <si>
    <t>Multi-head Concrete Floor Scabbler,  11 Heads - Air</t>
  </si>
  <si>
    <t>02/020</t>
  </si>
  <si>
    <t>Air Poker Flex, 50mm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</si>
  <si>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</si>
  <si>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</si>
  <si>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</si>
  <si>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</si>
  <si>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</si>
  <si>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02/115</t>
  </si>
  <si>
    <t>Impact Wrench, 12.7mm (½") - Air</t>
  </si>
  <si>
    <t>Tools</t>
  </si>
  <si>
    <t>02/180</t>
  </si>
  <si>
    <t>Finish Nailer, 16 gauge brads - Air</t>
  </si>
  <si>
    <t>02/170</t>
  </si>
  <si>
    <t>Stapler, type 90/40 staples - Air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</si>
  <si>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</si>
  <si>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</si>
  <si>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</si>
  <si>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</si>
  <si>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</si>
  <si>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</si>
  <si>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02/260</t>
  </si>
  <si>
    <t>Long Reach Scraper/Chisel/Scaler - Air</t>
  </si>
  <si>
    <t>B0301025</t>
  </si>
  <si>
    <t>Extension Rod For Diamond Drill Rig, 250mm</t>
  </si>
  <si>
    <t xml:space="preserve">   Extension Rod For Diamond Drill, 250mm</t>
  </si>
  <si>
    <t xml:space="preserve">Specialty </t>
  </si>
  <si>
    <t>03/040</t>
  </si>
  <si>
    <t>Hilti TE500-AVR, Light Breaker, 5.7kg - 110V</t>
  </si>
  <si>
    <t>03. Breaking and Drilling</t>
  </si>
  <si>
    <t>Light Breaker, 5.7kg - 110V (Hilti TE500-AVR)</t>
  </si>
  <si>
    <t>03/045</t>
  </si>
  <si>
    <t>Cordless Breaker, Hilti TE500-A36</t>
  </si>
  <si>
    <t>03/055</t>
  </si>
  <si>
    <t>Makita HM1111C, Light/Medium Breaker, 7.7kg - 110V</t>
  </si>
  <si>
    <t>Medium Breaker, 7.7Kg - 110V</t>
  </si>
  <si>
    <t>03/050</t>
  </si>
  <si>
    <t>Hilti TE700-AVR, Medium Breaker, 7.9kg - 110V</t>
  </si>
  <si>
    <t>Medium Breaker, 7.2kg - 110V (Hilti TE706-AVR)</t>
  </si>
  <si>
    <t>03/135</t>
  </si>
  <si>
    <t>Makita HM1213C Light/Medium Demolition Breaker, 9.9kg - 110V</t>
  </si>
  <si>
    <t>Medium/Light Demolition Breaker, 9.9kg - 110V (Makita HM1213C)</t>
  </si>
  <si>
    <t>03/090</t>
  </si>
  <si>
    <t>Hilti TE1000-AVR, Medium Demolition Breaker, 11.8kg - 110V</t>
  </si>
  <si>
    <t>Medium Demolition Breaker, 11.8kg - 110V (Hilti TE1000-AVR)</t>
  </si>
  <si>
    <t>03/096</t>
  </si>
  <si>
    <t>Hilti TE2000-AVR, Heavy Demolition Breaker, 14.5kg - 110V</t>
  </si>
  <si>
    <t>Heavy Demolition Breaker, 14.5kg (Hilti TE2000-AVR)</t>
  </si>
  <si>
    <t>03/115</t>
  </si>
  <si>
    <t>Makita HM1317CB, Heavy Demolition Breaker, 19kg - 110V</t>
  </si>
  <si>
    <t>Heavy Demolition Breaker, 17.9kg-19kg - 110V</t>
  </si>
  <si>
    <t>03/110</t>
  </si>
  <si>
    <t>Makita HM1812, Heavy Floor Breaker, 31.3kg - 110V</t>
  </si>
  <si>
    <t>Heavy Breaker, 22.4kg - 110V</t>
  </si>
  <si>
    <t>03/655</t>
  </si>
  <si>
    <t>Hilti TE3000-AVR, Heavy Floor Breaker, 29.9kg - 110V</t>
  </si>
  <si>
    <t>Heavy Floor Breaker, 29.5kg - 110V (Hilti TE 3000-AVR)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</si>
  <si>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</si>
  <si>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</si>
  <si>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</si>
  <si>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</si>
  <si>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</si>
  <si>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</si>
  <si>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</si>
  <si>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</si>
  <si>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Combi-hammers</t>
  </si>
  <si>
    <t>B0301005</t>
  </si>
  <si>
    <t>Needle Gun Attachment For Hilti TE300</t>
  </si>
  <si>
    <t>Needle Gun Attachment For Hilti TE300-AVR</t>
  </si>
  <si>
    <t>03/130</t>
  </si>
  <si>
    <t>Makita HR4013C, Light Combi-Hammer, 6.8kg - 110V</t>
  </si>
  <si>
    <t>Light Combi-Hammer, 6.7-6.8kg - 110V</t>
  </si>
  <si>
    <t>03/160</t>
  </si>
  <si>
    <t>Makita HR4511C, Medium Combi-Hammer, 9kg - 110V</t>
  </si>
  <si>
    <t>Medium Combi-Hammer, 8.2-9kg - 110V</t>
  </si>
  <si>
    <t>03/195</t>
  </si>
  <si>
    <t>Hilti TE70 AVR, Heavy Combi-Hammer, 8.3kg - 110V</t>
  </si>
  <si>
    <t>Heavy Combi-Hammer, 8.3kg - 110V (Hilti TE70 AVR)</t>
  </si>
  <si>
    <t>03/800</t>
  </si>
  <si>
    <t>40V SDS-Plus Cordless Combination Hammer Drill, HR007G</t>
  </si>
  <si>
    <t>Light 40V Cordless Combi-Hammer Drill, 4.8kg</t>
  </si>
  <si>
    <t>Drilling</t>
  </si>
  <si>
    <t>03/825</t>
  </si>
  <si>
    <t>40V Rotary Demolition Hammer Drill, HR005G</t>
  </si>
  <si>
    <t>Medium 40V Rotary Demolition Hammer Drill, 8.2kg (Makita HR005G)</t>
  </si>
  <si>
    <t>03/810</t>
  </si>
  <si>
    <t>80V Max (Twin 40VMax) Cordless Rotary Hammer Drill, HR006G</t>
  </si>
  <si>
    <t>Heavy 80V Max Cordless Rotary Hammer Drill, 14.5kg (Makita HR006G)</t>
  </si>
  <si>
    <t>03/400</t>
  </si>
  <si>
    <t>Percussion Drill, 13mm chuck - 110V</t>
  </si>
  <si>
    <t>03/360</t>
  </si>
  <si>
    <t>Cordless Right-Angle Drill, 10mm chuck</t>
  </si>
  <si>
    <t>03/380</t>
  </si>
  <si>
    <t>Right-Angle Drill, 13mm keyed chuck - 110V</t>
  </si>
  <si>
    <t>03/310</t>
  </si>
  <si>
    <t>18V Cordless Percussion Drill/Driver, 13mm Chuck - Makita</t>
  </si>
  <si>
    <t>18V Cordless Percussion Drill/Driver, 13mm chuck</t>
  </si>
  <si>
    <t>03/820</t>
  </si>
  <si>
    <t>40V Cordless Combi Hammer Driver Drill, HP002G</t>
  </si>
  <si>
    <t>40V Cordless Percussion Drill, 13mm chuck</t>
  </si>
  <si>
    <t>03/805</t>
  </si>
  <si>
    <t>40V Cordless Combi Drill, HP001G</t>
  </si>
  <si>
    <t>40V Cordless Combi Drill, 20mm chuck</t>
  </si>
  <si>
    <t>03/320</t>
  </si>
  <si>
    <t>18V Cordless Impact Driver</t>
  </si>
  <si>
    <t>03/815</t>
  </si>
  <si>
    <t>40V Cordless Impact Driver, TD001G</t>
  </si>
  <si>
    <t>40V Cordless Impact Driver</t>
  </si>
  <si>
    <t>03/315</t>
  </si>
  <si>
    <t>Hilti SFH 22-A, 22V Cordless Hammer Drill, 13mm Chuck</t>
  </si>
  <si>
    <t>22V Cordless Hammer Drill (Hilti SFH22-A)</t>
  </si>
  <si>
    <t>B0302030</t>
  </si>
  <si>
    <t>18V-22V Spare Battery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</si>
  <si>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</si>
  <si>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</si>
  <si>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</si>
  <si>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</si>
  <si>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</si>
  <si>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</si>
  <si>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</si>
  <si>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</si>
  <si>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</si>
  <si>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B0302040</t>
  </si>
  <si>
    <t>24V-36V Spare Battery</t>
  </si>
  <si>
    <t>03/525</t>
  </si>
  <si>
    <t>Makita HR3210FCT, Medium Multi Hammer Drill, 4.9kg - 110V</t>
  </si>
  <si>
    <t>Medium SDS-Plus Multi-functional Hammer Drill, 3.6kg - 110V</t>
  </si>
  <si>
    <t>03/660</t>
  </si>
  <si>
    <t>Hilti TE30-C-AVR, Medium SDS-Plus Hammer Drill, 4.2kg - 110V</t>
  </si>
  <si>
    <t>Medium SDS-Plus Hammer Drill, 4.2kg - 110V  Hilti (TE30-C-AVR)</t>
  </si>
  <si>
    <t>03/610</t>
  </si>
  <si>
    <t>Hilti TE40-AVR, Heavy SDS-Plus Hammer Drill, 5.6kg - 110V</t>
  </si>
  <si>
    <t>Heavy SDS-Plus Hammer Drill, 5.6kg - 110V (Hilti TE40-AVR)</t>
  </si>
  <si>
    <t>B0302070</t>
  </si>
  <si>
    <t>22V Spare Battery</t>
  </si>
  <si>
    <t>03/430</t>
  </si>
  <si>
    <t>Dry Diamond Drill, up to 162mm - 110V</t>
  </si>
  <si>
    <t>Dry Diamond Drill, up to 152mm in masonry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</si>
  <si>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</si>
  <si>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</si>
  <si>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</si>
  <si>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</si>
  <si>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</si>
  <si>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</si>
  <si>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03/440</t>
  </si>
  <si>
    <t>Hilti DD110-D, Dry Diamond Drill, 162mm - 110V</t>
  </si>
  <si>
    <t>Dry/Wet Diamond Drill, up to 162mm - 110V (Hilti DD110-D)</t>
  </si>
  <si>
    <t>B0301020</t>
  </si>
  <si>
    <t>Water Swivel Head For Hilti DD110-D</t>
  </si>
  <si>
    <t xml:space="preserve">   Water Swivel Head For Hilti DD110-D</t>
  </si>
  <si>
    <t>03/450</t>
  </si>
  <si>
    <t>Wet Diamond Drilling Rig, 250mm - 110V</t>
  </si>
  <si>
    <t>Wet Diamond Drilling Rig, up to 250mm  - 110V</t>
  </si>
  <si>
    <t>03/710</t>
  </si>
  <si>
    <t>Vac Pump For Wet Diamond Drilling Rig - 110V</t>
  </si>
  <si>
    <t xml:space="preserve">   Vac Pump For Wet Diamond Drilling Rig</t>
  </si>
  <si>
    <t>03/460</t>
  </si>
  <si>
    <t>Water Supply Unit, 14L - Manual</t>
  </si>
  <si>
    <t xml:space="preserve">   Water Supply Unit, 10L - Manual</t>
  </si>
  <si>
    <t>03/570</t>
  </si>
  <si>
    <t>Magnetic Drilling Machine, up to 42mm - 110V</t>
  </si>
  <si>
    <t>03/575</t>
  </si>
  <si>
    <t>Magnetic Drilling Machine, up to 50mm - 110V</t>
  </si>
  <si>
    <t>03/091</t>
  </si>
  <si>
    <t>DeWalt D25911K-LX, Medium Demolition Breaker, 12.8kg - 110V</t>
  </si>
  <si>
    <t>03/097</t>
  </si>
  <si>
    <t>DeWalt D25966K-LX, Heavy Demolition Breaker, 18.8kg - 110V</t>
  </si>
  <si>
    <t>03/653</t>
  </si>
  <si>
    <t>Makita HM004G, 40V Heavy Floor Breaker</t>
  </si>
  <si>
    <t>03/657</t>
  </si>
  <si>
    <t>DeWalt D25981-LX, Heavy Floor Breaker, 31kg - 110V</t>
  </si>
  <si>
    <t>03/030</t>
  </si>
  <si>
    <t>Makita HM0871C, Light Breaker, 5.6kg - 110V</t>
  </si>
  <si>
    <t>Light Breaker, 5.6-6.2kg - 110V</t>
  </si>
  <si>
    <t>03/085</t>
  </si>
  <si>
    <t>Makita HM1214C, Medium Demolition Breaker, 11.7kg - 110V</t>
  </si>
  <si>
    <t>Medium Breaker, 11.7Kg - 110V</t>
  </si>
  <si>
    <t>03/656</t>
  </si>
  <si>
    <t>Hilti TE3000-AVR (TE-H), Heavy Floor Breaker, 27.1kg - 110V</t>
  </si>
  <si>
    <t>Heavy Floor Breaker, 27.1kg - 110V (Hilti TE 3000-AVR (TE-H)</t>
  </si>
  <si>
    <t>03/155</t>
  </si>
  <si>
    <t>Makita HR3541FC, Medium Rotary Hammer, 5.6kg</t>
  </si>
  <si>
    <t>03/185</t>
  </si>
  <si>
    <t>Hilti TE50-AVR, Medium Combi-Hammer, 6.1kg - 110V</t>
  </si>
  <si>
    <t>03/190</t>
  </si>
  <si>
    <t>Hilti TE80-ATC AVR, Heavy Combi-Hammer, 10.2kg - 110V</t>
  </si>
  <si>
    <t>03/355</t>
  </si>
  <si>
    <t>Angular Chuck to suit TE6</t>
  </si>
  <si>
    <t>03/365</t>
  </si>
  <si>
    <t>Hilti NURON TE6-22 Cordless SDS-Plus Hammer Drill, 22V</t>
  </si>
  <si>
    <t>03/370</t>
  </si>
  <si>
    <t>Right-Angle Drill, 10mm chuck - 110V</t>
  </si>
  <si>
    <t>03/663</t>
  </si>
  <si>
    <t>Makita HR009G, Medium SDS-Plus Hammer Drill, 40V</t>
  </si>
  <si>
    <t>03/830</t>
  </si>
  <si>
    <t>40V Cordless Combination Hammer Drill, HR004G</t>
  </si>
  <si>
    <t>03/325</t>
  </si>
  <si>
    <t>18V Cordless SDS-Plus Hammer Drill</t>
  </si>
  <si>
    <t>03/500</t>
  </si>
  <si>
    <t>Light SDS-Plus Hammer Drill, 2.8kg - 110V Makita HR2631FT</t>
  </si>
  <si>
    <t>Light SDS-Plus Hammer Drill, 2.8-2.9kg - 110V</t>
  </si>
  <si>
    <t>03/350</t>
  </si>
  <si>
    <t>Hilti TEDRS-6-A Dust Removal Attachment</t>
  </si>
  <si>
    <t>Dust Control</t>
  </si>
  <si>
    <t>03/665</t>
  </si>
  <si>
    <t>Hilti Dust Removal System for SDS-Plus (DRS-C)</t>
  </si>
  <si>
    <t>03/670</t>
  </si>
  <si>
    <t>TE DRS-3000 Dust removal system to suit Hilti TE3000</t>
  </si>
  <si>
    <t>B0302</t>
  </si>
  <si>
    <t>54V DeWalt Spare Battery</t>
  </si>
  <si>
    <t>General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</si>
  <si>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</si>
  <si>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</si>
  <si>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</si>
  <si>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</si>
  <si>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</si>
  <si>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</si>
  <si>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</si>
  <si>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</si>
  <si>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</si>
  <si>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</si>
  <si>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</si>
  <si>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03/585</t>
  </si>
  <si>
    <t>18V Cordless Magnetic Drilling Machine, up to 50mm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</si>
  <si>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</si>
  <si>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</si>
  <si>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</si>
  <si>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</si>
  <si>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</si>
  <si>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</si>
  <si>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</si>
  <si>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</si>
  <si>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</si>
  <si>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</si>
  <si>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</si>
  <si>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04/105</t>
  </si>
  <si>
    <t>25.9V M-Class Battery Backpack Vacuum Cleaner</t>
  </si>
  <si>
    <t>18V H-Class Cordless Backpack Vacuum Cleaner, Makita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</si>
  <si>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</si>
  <si>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</si>
  <si>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</si>
  <si>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</si>
  <si>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</si>
  <si>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04/100</t>
  </si>
  <si>
    <t>Dust Extractor - 110V Makita 447M/1 M</t>
  </si>
  <si>
    <t>Dry/Wet Dust Extractor, M-class filter - 110V</t>
  </si>
  <si>
    <t>04/085</t>
  </si>
  <si>
    <t>Hilti VC 40M-X (32A), M-Class Dust Extraction Unit - 110V</t>
  </si>
  <si>
    <t>M-Class Dust Extraction Unit - 110V (Hilti VC 40M-X (16A or 32A))</t>
  </si>
  <si>
    <t>04/220</t>
  </si>
  <si>
    <t>Air Cube, H-Class, 500m3/h - 110V</t>
  </si>
  <si>
    <t>Air Cube Cleaner, H-Class, 500m3/hr - 110V</t>
  </si>
  <si>
    <t>Air Cleaners</t>
  </si>
  <si>
    <t>04/225</t>
  </si>
  <si>
    <t>Air Cleaner, H-Class, 1000m3/h - 110V</t>
  </si>
  <si>
    <t>04/215</t>
  </si>
  <si>
    <t>Large Air Cleaner, H-Class, 2000m3/h - 110V</t>
  </si>
  <si>
    <t>04/210</t>
  </si>
  <si>
    <t>Fume Extractor, 300mm - 110V</t>
  </si>
  <si>
    <t>B0401005</t>
  </si>
  <si>
    <t>5m Length of Flexible Ducting</t>
  </si>
  <si>
    <t>Flexible Ducting For Fume Extractor, 5m</t>
  </si>
  <si>
    <t>04/230</t>
  </si>
  <si>
    <t>Hot Water/Steam Pressure Cleaner, 100bar/1500psi -110V (32A)</t>
  </si>
  <si>
    <t>Hot Water/Steam Pressure Cleaner, 100bar/1500psi - 110V (32A)</t>
  </si>
  <si>
    <t>Pressure Washers</t>
  </si>
  <si>
    <t>04/240</t>
  </si>
  <si>
    <t>Reel of High Pressure Hose, 50m (Hot Water)</t>
  </si>
  <si>
    <t xml:space="preserve">   Reel of High Pressure Hose, 50m (Hot Water)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</si>
  <si>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</si>
  <si>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</si>
  <si>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</si>
  <si>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</si>
  <si>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</si>
  <si>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04/185</t>
  </si>
  <si>
    <t>Industrial Pressure Washer, 207bar/3000psi, Stage V - Diesel</t>
  </si>
  <si>
    <t xml:space="preserve">Industrial Pressure Washer, 207bar/3000psi - Diesel - Stage V </t>
  </si>
  <si>
    <t>04/180</t>
  </si>
  <si>
    <t>Industrial Pressure Washer, 207bar/3000psi - Diesel</t>
  </si>
  <si>
    <t>04/245</t>
  </si>
  <si>
    <t>125L Mini Bowser Pressure Washer, 140bar/2000psi - Petrol</t>
  </si>
  <si>
    <t>04/255</t>
  </si>
  <si>
    <t>940L Bowser Pressure Washer, 207bar/3000psi - Stage V</t>
  </si>
  <si>
    <t>04/250</t>
  </si>
  <si>
    <t>940L Bowser Pressure Washer, 207bar/3000psi - Diesel</t>
  </si>
  <si>
    <t>04/265</t>
  </si>
  <si>
    <t>Water Powered Dust Supression Unit</t>
  </si>
  <si>
    <t>04/190</t>
  </si>
  <si>
    <t>Reel Of High Pressure Hose, 50m (Cold Water)</t>
  </si>
  <si>
    <t xml:space="preserve">   Reel of High Pressure Hose, 50m (Cold Water)</t>
  </si>
  <si>
    <t>B0401015</t>
  </si>
  <si>
    <t>Turbo Nozzle</t>
  </si>
  <si>
    <t>Turbo Nozzle For Industrial Pressure Washers</t>
  </si>
  <si>
    <t>04/110</t>
  </si>
  <si>
    <t>Floor Scrubber/Polisher, 500mm - 110V</t>
  </si>
  <si>
    <t>Floor Care</t>
  </si>
  <si>
    <t>04/120</t>
  </si>
  <si>
    <t>Carpet Cleaner/Shampooer - 240V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</si>
  <si>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</si>
  <si>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</si>
  <si>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</si>
  <si>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</si>
  <si>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</si>
  <si>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</si>
  <si>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04/195</t>
  </si>
  <si>
    <t>Drain Reel 30m (Cold Water)</t>
  </si>
  <si>
    <t>04/020</t>
  </si>
  <si>
    <t>Single Motor Dry Vacuum, 9L - 240V</t>
  </si>
  <si>
    <t>Vacuums &amp; Extraction</t>
  </si>
  <si>
    <t>Dust Extractor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</si>
  <si>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</si>
  <si>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</si>
  <si>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</si>
  <si>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</si>
  <si>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</si>
  <si>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</si>
  <si>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04/095</t>
  </si>
  <si>
    <t>Hilti VC 40M-X (16A), M-Class Dust Extraction Unit - 110V</t>
  </si>
  <si>
    <t>04/097</t>
  </si>
  <si>
    <t>Hilti VC-CB Continuous Bag</t>
  </si>
  <si>
    <t>04/115</t>
  </si>
  <si>
    <t>06/050</t>
  </si>
  <si>
    <t>Plate Compactor, 500mm - Petrol</t>
  </si>
  <si>
    <t>05. Concreting and Compaction</t>
  </si>
  <si>
    <t>Compactors</t>
  </si>
  <si>
    <t>06/075</t>
  </si>
  <si>
    <t>54V Battery Plate Compactor, 400mm - DeWalt</t>
  </si>
  <si>
    <t>06/115</t>
  </si>
  <si>
    <t>Power Float, 600mm - Petrol</t>
  </si>
  <si>
    <t>Concreting</t>
  </si>
  <si>
    <t>06/295</t>
  </si>
  <si>
    <t>Manual Rebar Bender</t>
  </si>
  <si>
    <t>XCONCRE</t>
  </si>
  <si>
    <t>5/3 Diesel Mixer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</si>
  <si>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</si>
  <si>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</si>
  <si>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</si>
  <si>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</si>
  <si>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</si>
  <si>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</si>
  <si>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</si>
  <si>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06/185</t>
  </si>
  <si>
    <t>Poker Flex, 50mm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</si>
  <si>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</si>
  <si>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</si>
  <si>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</si>
  <si>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</si>
  <si>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</si>
  <si>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</si>
  <si>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</si>
  <si>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</si>
  <si>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</si>
  <si>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</si>
  <si>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</si>
  <si>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</si>
  <si>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</si>
  <si>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06/255</t>
  </si>
  <si>
    <t>5/3 Site Mixer - 110V</t>
  </si>
  <si>
    <t>06/240</t>
  </si>
  <si>
    <t>Forced Action Mixer, 32L - 110V</t>
  </si>
  <si>
    <t>06/245</t>
  </si>
  <si>
    <t>Forced Action Mixer, 110L - 110V</t>
  </si>
  <si>
    <t>06/235</t>
  </si>
  <si>
    <t>Forced Action Mixer, 200L - 110V (32A)</t>
  </si>
  <si>
    <t>Forced Action Mixer, 200L - 110V</t>
  </si>
  <si>
    <t>06/157</t>
  </si>
  <si>
    <t>30mm High Frequency Drive Unit and Poker - 110V</t>
  </si>
  <si>
    <t>High Frequency Drive Unit and Poker, 30-57mm - 110V</t>
  </si>
  <si>
    <t>Poker, Vibrator &amp; Drive Units</t>
  </si>
  <si>
    <t>06/350</t>
  </si>
  <si>
    <t>06/163</t>
  </si>
  <si>
    <t>65mm High Frequency Drive Unit and Poker - 110V</t>
  </si>
  <si>
    <t>High Frequency Drive Unit and Poker, 65mm - 110V</t>
  </si>
  <si>
    <t>06/370</t>
  </si>
  <si>
    <t>External Shuttering Poker Vibrator, 110V</t>
  </si>
  <si>
    <t>External Shuttering Vibrator, 110V</t>
  </si>
  <si>
    <t>06/140</t>
  </si>
  <si>
    <t>Drive Unit, 1.1kW - 110V</t>
  </si>
  <si>
    <t>06/150</t>
  </si>
  <si>
    <t>Drive Unit, 3kW - Petrol</t>
  </si>
  <si>
    <t>06/165</t>
  </si>
  <si>
    <t>Poker Flex, 25mm</t>
  </si>
  <si>
    <t>06/180</t>
  </si>
  <si>
    <t>Poker Flex, 44mm</t>
  </si>
  <si>
    <t>06/190</t>
  </si>
  <si>
    <t>Poker Flex, 55mm</t>
  </si>
  <si>
    <t>06/310</t>
  </si>
  <si>
    <t>Single Beam Screeding Machine - Petrol</t>
  </si>
  <si>
    <t>Single Beam Screeding Machine, 3m c/w beam - Petrol</t>
  </si>
  <si>
    <t>Laying &amp; Finishing</t>
  </si>
  <si>
    <t>06/120</t>
  </si>
  <si>
    <t>Power Float, 900mm - Petrol</t>
  </si>
  <si>
    <t>B0601005</t>
  </si>
  <si>
    <t>Float Pan For Power Float</t>
  </si>
  <si>
    <t>06/110</t>
  </si>
  <si>
    <t>Easy/Bull Float, W1200xD200mm</t>
  </si>
  <si>
    <t>06/100</t>
  </si>
  <si>
    <t>Big Blue Glider Trowel, W1200xD300mm</t>
  </si>
  <si>
    <t>06/260</t>
  </si>
  <si>
    <t>Fresno Broom</t>
  </si>
  <si>
    <t>06/090</t>
  </si>
  <si>
    <t>Concrete Curing Tank, L900xW700xH650mm - 110V</t>
  </si>
  <si>
    <t>B0601010</t>
  </si>
  <si>
    <t>Test Cube Mould, 100mm</t>
  </si>
  <si>
    <t>Test Cube Mould, 100mm/150mm c/w rammer</t>
  </si>
  <si>
    <t>B0601020</t>
  </si>
  <si>
    <t>Slump Cone</t>
  </si>
  <si>
    <t>06/285</t>
  </si>
  <si>
    <t>Rebar Bender and Straightener, 32mm capacity - 110V (16A)</t>
  </si>
  <si>
    <t>Rebar Bender and Straightener, 32mm capacity - 110V (32A)</t>
  </si>
  <si>
    <t>B0601030</t>
  </si>
  <si>
    <t>Rebar Bender, 12-25mm - Manual</t>
  </si>
  <si>
    <t>06/010</t>
  </si>
  <si>
    <t>Narrow Plate Compactor, 330mm - Petrol</t>
  </si>
  <si>
    <t>Narrow Plate Compactor, 356mm - Petrol</t>
  </si>
  <si>
    <t>06/020</t>
  </si>
  <si>
    <t>Plate Compactor, 400mm - Petrol</t>
  </si>
  <si>
    <t>Plate Compactor, 400-500mm - Petrol</t>
  </si>
  <si>
    <t>B0601025</t>
  </si>
  <si>
    <t>Rubber Pad For Petrol Plate Compactor</t>
  </si>
  <si>
    <t xml:space="preserve">   Rubber Pad For Petrol Plate Compactor</t>
  </si>
  <si>
    <t>06/040</t>
  </si>
  <si>
    <t>Plate Compactor, 500mm - Diesel</t>
  </si>
  <si>
    <t>06/065</t>
  </si>
  <si>
    <t>Forward/Reverse Plate Compactor, 400mm - Diesel</t>
  </si>
  <si>
    <t>06/055</t>
  </si>
  <si>
    <t>Forward/Reverse Plate Compactor, 500mm (225kg) - Diesel</t>
  </si>
  <si>
    <t>Forward/Reverse Plate Compactor, 500mm - Diesel (225kg)</t>
  </si>
  <si>
    <t>06/070</t>
  </si>
  <si>
    <t>Trench Rammer, 280mm - Petrol</t>
  </si>
  <si>
    <t>07/065</t>
  </si>
  <si>
    <t>Dust Extraction Hood (Grinding) For Hilti 125mm Grinder</t>
  </si>
  <si>
    <t>06. Cutting and Grinding</t>
  </si>
  <si>
    <t>Accessories</t>
  </si>
  <si>
    <t>07/075</t>
  </si>
  <si>
    <t>Dust Extraction Attachment For Wet/Dry Disc Cutter, 350mm</t>
  </si>
  <si>
    <t>07/085</t>
  </si>
  <si>
    <t>Dust Extraction Hood (Cutting) For Makita 125mm Grinder</t>
  </si>
  <si>
    <t>Dust Extraction Hood (Cutting) For Hilti 125mm Grinder</t>
  </si>
  <si>
    <t>07/086</t>
  </si>
  <si>
    <t>Dust Extraction Hood (Grinding) For Makita 125mm Grinder</t>
  </si>
  <si>
    <t>16/045</t>
  </si>
  <si>
    <t>22V Cordless Circular Saw, 190mm Hilti SC 70W-A22</t>
  </si>
  <si>
    <t>Circular and Mitre Saws</t>
  </si>
  <si>
    <t>16/075</t>
  </si>
  <si>
    <t>40V Cordless Circular Saw, 260mm - Makita RS002G</t>
  </si>
  <si>
    <t>16/081</t>
  </si>
  <si>
    <t>40V Cordless Circular Saw, 165mm - Makita HS012G</t>
  </si>
  <si>
    <t>16/376</t>
  </si>
  <si>
    <t>Festool Long-Reach Dry Wall Sander, 225mm - 110V</t>
  </si>
  <si>
    <t>16/400</t>
  </si>
  <si>
    <t>40V Cordless 305mm Slide Compound Mitre Saw</t>
  </si>
  <si>
    <t>16/110</t>
  </si>
  <si>
    <t>Flip-Over Mitre Saw, 250mm - 110V</t>
  </si>
  <si>
    <t>Flip-Over Mitre Saw, 250mm c/w TCT blade - 110V</t>
  </si>
  <si>
    <t>07/097</t>
  </si>
  <si>
    <t>18V Disc Cutter, 125mm</t>
  </si>
  <si>
    <t>Cutting</t>
  </si>
  <si>
    <t>07/115</t>
  </si>
  <si>
    <t>Hilti Cut-Off Saw, 300mm - 2-Stroke</t>
  </si>
  <si>
    <t>07/123</t>
  </si>
  <si>
    <t>40V Cut-Off Saw, 305mm</t>
  </si>
  <si>
    <t>07/135</t>
  </si>
  <si>
    <t>36V Stihl Battery Cut-Off Saw, 300mm</t>
  </si>
  <si>
    <t>07/141</t>
  </si>
  <si>
    <t>Tray to Suit Masonry Saw Bench</t>
  </si>
  <si>
    <t>07/217</t>
  </si>
  <si>
    <t>1200mm Bridge/Slab Saw (350mm Blade) - 110V</t>
  </si>
  <si>
    <t>07/218</t>
  </si>
  <si>
    <t>1500mm Bridge/Slab Saw (350mm Blade) 110V</t>
  </si>
  <si>
    <t>07/285</t>
  </si>
  <si>
    <t>Hilti Cordless Oscillating Multitool - SMT6-22</t>
  </si>
  <si>
    <t>07/465</t>
  </si>
  <si>
    <t>Cutting Station - 110V</t>
  </si>
  <si>
    <t>16/085</t>
  </si>
  <si>
    <t>22V Cordless Cold Cut Circular Saw, 136mm</t>
  </si>
  <si>
    <t>07/087</t>
  </si>
  <si>
    <t>Dust Extraction Hood For Makita 230mm Grinder</t>
  </si>
  <si>
    <t>07/017</t>
  </si>
  <si>
    <t>18V Cordless Angle Grinder, 125mm</t>
  </si>
  <si>
    <t>Grinding</t>
  </si>
  <si>
    <t>07/055</t>
  </si>
  <si>
    <t>Hilti AG230-24D, Angle Grinder, 230mm - 110V</t>
  </si>
  <si>
    <t>16/245</t>
  </si>
  <si>
    <t>Site Table Saw, 250mm - 110V</t>
  </si>
  <si>
    <t>Material Cutting</t>
  </si>
  <si>
    <t>16/380</t>
  </si>
  <si>
    <t>18V Cordless Multi Tool - DTM50Z</t>
  </si>
  <si>
    <t>07/015</t>
  </si>
  <si>
    <t>18V Cordless Angle Grinder, 115mm</t>
  </si>
  <si>
    <t>07/020</t>
  </si>
  <si>
    <t>Angle Grinder, 125mm - 110V</t>
  </si>
  <si>
    <t>07/030</t>
  </si>
  <si>
    <t>Hilti DCG125-S, Angle Grinder, 125mm - 110V</t>
  </si>
  <si>
    <t>Angle Grinder, 125mm - 110V (Hilti DCG125-S)</t>
  </si>
  <si>
    <t>07/060</t>
  </si>
  <si>
    <t xml:space="preserve">   Dust Extraction Hood For Hilti 125mm Grinder</t>
  </si>
  <si>
    <t>07/010</t>
  </si>
  <si>
    <t>40V Cordless Angle Grinder, 115mm</t>
  </si>
  <si>
    <t>07/005</t>
  </si>
  <si>
    <t>40V Cordless Angle Grinder, 125mm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</si>
  <si>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</si>
  <si>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</si>
  <si>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</si>
  <si>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</si>
  <si>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</si>
  <si>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07/070</t>
  </si>
  <si>
    <t>Dust Extraction Hood For Hilti 230mm Grinder</t>
  </si>
  <si>
    <t xml:space="preserve">   Dust Extraction Hood For Hilti 230mm Grinder</t>
  </si>
  <si>
    <t>07/025</t>
  </si>
  <si>
    <t>40V Cordless Angle Grinder, 230mm</t>
  </si>
  <si>
    <t>07/110</t>
  </si>
  <si>
    <t>Cut-Off Saw, 300mm - 2-Stroke</t>
  </si>
  <si>
    <t>Cut-Off Saw/Disc Cutter, 300mm - Two-Stroke</t>
  </si>
  <si>
    <t>Masonry Cutting</t>
  </si>
  <si>
    <t>07/130</t>
  </si>
  <si>
    <t>Floor Trolley For Cut-Off Saw</t>
  </si>
  <si>
    <t xml:space="preserve">   Floor Trolley For Cut-Off Saw</t>
  </si>
  <si>
    <t>07/185</t>
  </si>
  <si>
    <t>Cut-Off Saw, 350mm - 2-Stroke</t>
  </si>
  <si>
    <t>07/125</t>
  </si>
  <si>
    <t>40V Cut-Off Saw, 355mm</t>
  </si>
  <si>
    <t>07/330</t>
  </si>
  <si>
    <t>Diamond Cutter, 120mm depth - 110V (32A) Hilti DCH 300</t>
  </si>
  <si>
    <t>Diamond Cutter, 120mm cutting depth - 110V (Hilti DCH 300)</t>
  </si>
  <si>
    <t>07/350</t>
  </si>
  <si>
    <t>Wet/Dry Disc Cutter, 350mm - 110V</t>
  </si>
  <si>
    <t>07/340</t>
  </si>
  <si>
    <t>Arbortech Brick and Mortar Saw - 110V</t>
  </si>
  <si>
    <t>07/230</t>
  </si>
  <si>
    <t>Hilti DC-SE20, Wall Chasing Machine - 110V</t>
  </si>
  <si>
    <t>Wall Chasing Machine - 110V (Hilti DC-SE20)</t>
  </si>
  <si>
    <t>07/160</t>
  </si>
  <si>
    <t>Masonry Table Saw, 350mm - 110V</t>
  </si>
  <si>
    <t>07/140</t>
  </si>
  <si>
    <t>Masonry Saw Bench, 500mm - 110V</t>
  </si>
  <si>
    <t>07/150</t>
  </si>
  <si>
    <t>Masonry Saw Bench, 500mm - Petrol</t>
  </si>
  <si>
    <t>07/215</t>
  </si>
  <si>
    <t>1000mm Bridge/Slab Saw (350mm Blade) - 110V</t>
  </si>
  <si>
    <t>Bridge/Slab Saw, 350mm - 110V</t>
  </si>
  <si>
    <t>07/090</t>
  </si>
  <si>
    <t>Block/Slab Splitter, 650mm - Hydraulic</t>
  </si>
  <si>
    <t>07/080</t>
  </si>
  <si>
    <t>Block Splitter, 400mm - Manual</t>
  </si>
  <si>
    <t>Block Splitter, 300mm - Manual</t>
  </si>
  <si>
    <t>B0601035</t>
  </si>
  <si>
    <t>Block Saw - Manual</t>
  </si>
  <si>
    <t>07/280</t>
  </si>
  <si>
    <t>Tile Cutter, 660mm - Manual</t>
  </si>
  <si>
    <t>Tile Cutting</t>
  </si>
  <si>
    <t>07/200</t>
  </si>
  <si>
    <t>Tile Saw, 200mm - 110V</t>
  </si>
  <si>
    <t>07/165</t>
  </si>
  <si>
    <t>Large Tile Saw Bench, 600mm - 110V</t>
  </si>
  <si>
    <t>07/170</t>
  </si>
  <si>
    <t>Tile Cutter, 400mm - Manual</t>
  </si>
  <si>
    <t>07/100</t>
  </si>
  <si>
    <t>Abrasive Cut-Off Machine, 355mm - 110V</t>
  </si>
  <si>
    <t>Abrasive Cut-off Machine, 355mm - 110V (for bench or floor use)</t>
  </si>
  <si>
    <t>Metal Cutting</t>
  </si>
  <si>
    <t>07/180</t>
  </si>
  <si>
    <t>TCT Cut-Off Machine, 305mm - 110V</t>
  </si>
  <si>
    <t>TCT Cut-off Machine, 305mm - 110V (for bench or floor use)</t>
  </si>
  <si>
    <t>07/315</t>
  </si>
  <si>
    <t>Steel Cutting Circular Saw, 180mm - 110V</t>
  </si>
  <si>
    <t>Steel Cutting Circular Saw, 180mm c/w TCT blade - 110V</t>
  </si>
  <si>
    <t>07/310</t>
  </si>
  <si>
    <t>Steel Cutting Mitre Saw, 250mm - 110V</t>
  </si>
  <si>
    <t>Steel Cutting Mitre Saw, 250mm c/w TCT blade - 110V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</si>
  <si>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</si>
  <si>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</si>
  <si>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</si>
  <si>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</si>
  <si>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</si>
  <si>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</si>
  <si>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</si>
  <si>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</si>
  <si>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</si>
  <si>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07/250</t>
  </si>
  <si>
    <t>Bolt Cropper, 900mm - Manual</t>
  </si>
  <si>
    <t>16/070</t>
  </si>
  <si>
    <t>Crosscut and Mitre Saw (Single Bevel), 216mm - 110V</t>
  </si>
  <si>
    <t>Crosscut &amp; Mitre Saw (Single Bevel), 216mm c/w TCT blade - 110V</t>
  </si>
  <si>
    <t>Wood Cutting</t>
  </si>
  <si>
    <t>16/090</t>
  </si>
  <si>
    <t>260mm Slide Compound Mitre Saw (Double Bevel) - 110V</t>
  </si>
  <si>
    <t>Slide Compound Mitre Saw (Double Bevel), 260mm c/w TCT blade - 110V</t>
  </si>
  <si>
    <t>16/105</t>
  </si>
  <si>
    <t>305mm Slide Compound Mitre Saw (Dewalt, Double Bevel) - 110V</t>
  </si>
  <si>
    <t>16/100</t>
  </si>
  <si>
    <t>305mm Slide Compound Mitre Saw (Makita, Double Bevel) - 110V</t>
  </si>
  <si>
    <t>Slide Compound Mitre Saw (Double Bevel), 305mm c/w TCT blade - 110V</t>
  </si>
  <si>
    <t>16/360</t>
  </si>
  <si>
    <t>Stand for 305mm Slide Compound Mitre Saw</t>
  </si>
  <si>
    <t xml:space="preserve">   Stand For 305mm Slide Compound Saw</t>
  </si>
  <si>
    <t>16/405</t>
  </si>
  <si>
    <t>40V Cordless 216mm Slide Compound Mitre Saw</t>
  </si>
  <si>
    <t>Slide Compound Mitre Saw 216mm or 305mm, c/w TCT Blade - 40V Cordless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</si>
  <si>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</si>
  <si>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</si>
  <si>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</si>
  <si>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</si>
  <si>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</si>
  <si>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</si>
  <si>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</si>
  <si>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</si>
  <si>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</si>
  <si>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</si>
  <si>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</si>
  <si>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</si>
  <si>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16/080</t>
  </si>
  <si>
    <t>40V Cordless Circular Saw, 235mm - Makita HS009G</t>
  </si>
  <si>
    <t>40V Cordless Circular Saw, 235mm or 260mm - (Makita HS009G)</t>
  </si>
  <si>
    <t>16/320</t>
  </si>
  <si>
    <t>Plunge Cut Saw, 165mm - 110V</t>
  </si>
  <si>
    <t>Plunge Cut Saw, 165mm c/w TCT blade - 110V</t>
  </si>
  <si>
    <t>16/325</t>
  </si>
  <si>
    <t>40V Plunge Cut Saw, 165mm</t>
  </si>
  <si>
    <t>07/320</t>
  </si>
  <si>
    <t>Table Bandsaw, 150mm max. height - 110V</t>
  </si>
  <si>
    <t>Table Bandsaw, 150mm max. Height - 110V</t>
  </si>
  <si>
    <t>07/105</t>
  </si>
  <si>
    <t>40V Portable Band Saw</t>
  </si>
  <si>
    <t>16/250</t>
  </si>
  <si>
    <t>Site Table Saw, 315mm - 110V</t>
  </si>
  <si>
    <t>Site Table Saw, 315mm c/w TCT blade - 110V</t>
  </si>
  <si>
    <t>07/455</t>
  </si>
  <si>
    <t>Cutting Station, SS7 - 110V</t>
  </si>
  <si>
    <t>07/460</t>
  </si>
  <si>
    <t>Cutting Station c/w Ducting - 110V</t>
  </si>
  <si>
    <t>16/160</t>
  </si>
  <si>
    <t>Jigsaw - 110V</t>
  </si>
  <si>
    <t>General Purpose Saws</t>
  </si>
  <si>
    <t>16/290</t>
  </si>
  <si>
    <t>18V Cordless Jigsaw</t>
  </si>
  <si>
    <t xml:space="preserve">18V Cordless Jigsaw </t>
  </si>
  <si>
    <t>16/350</t>
  </si>
  <si>
    <t>Reciprocating Saw, 255mm - 110V</t>
  </si>
  <si>
    <t>16/305</t>
  </si>
  <si>
    <t>18V Cordless Reciprocating Saw - Makita DJR182</t>
  </si>
  <si>
    <t>18V Cordless Reciprocating Saw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</si>
  <si>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</si>
  <si>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</si>
  <si>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</si>
  <si>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</si>
  <si>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</si>
  <si>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</si>
  <si>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16/315</t>
  </si>
  <si>
    <t>40V Cordless Reciprocating Saw - Makita JR001G</t>
  </si>
  <si>
    <t xml:space="preserve">40V Cordless Reciprocating Saw </t>
  </si>
  <si>
    <t>07/275</t>
  </si>
  <si>
    <t>Multi-tool - 110V</t>
  </si>
  <si>
    <t>16/130</t>
  </si>
  <si>
    <t>Door Trimming Saw - 110V</t>
  </si>
  <si>
    <t>Door Trimming Saw c/w TCT blade - 110V</t>
  </si>
  <si>
    <t>16/010</t>
  </si>
  <si>
    <t>Alligator Saw, 430mm - 110V</t>
  </si>
  <si>
    <t>Alligator Saw, 350mm - 110V</t>
  </si>
  <si>
    <t>16/270</t>
  </si>
  <si>
    <t>Worktop Jig</t>
  </si>
  <si>
    <t>Worktop Jig c/w speed clamps</t>
  </si>
  <si>
    <t>16/170</t>
  </si>
  <si>
    <t>Laminate Trimmer - 110V</t>
  </si>
  <si>
    <t>16/020</t>
  </si>
  <si>
    <t>Biscuit Jointer - 110V</t>
  </si>
  <si>
    <t>09/137</t>
  </si>
  <si>
    <t>18V Cordless Metal Screwdriver (TEK) - Makita</t>
  </si>
  <si>
    <t>07. Fixing</t>
  </si>
  <si>
    <t>Impact and Screwdrivers</t>
  </si>
  <si>
    <t>09/143</t>
  </si>
  <si>
    <t>Impact Wrench, 19mm (¾") - 110V</t>
  </si>
  <si>
    <t>09/013</t>
  </si>
  <si>
    <t>Paslode IM65A - Angled Gas Brad Nailer (2nd Fix)</t>
  </si>
  <si>
    <t>Nailers, Brads and Staplers</t>
  </si>
  <si>
    <t>09/015</t>
  </si>
  <si>
    <t>Makita GF600SE - Gas Brad Nailer (2nd Fix), 16-63mm brads</t>
  </si>
  <si>
    <t>09/041</t>
  </si>
  <si>
    <t>Cartridge Tool Hilti DX6</t>
  </si>
  <si>
    <t>09/055</t>
  </si>
  <si>
    <t>18V Brushless 18 Gauge Crown Stapler - DeWalt</t>
  </si>
  <si>
    <t>09/090</t>
  </si>
  <si>
    <t>14V Cordless Rivet Gun</t>
  </si>
  <si>
    <t>09/190</t>
  </si>
  <si>
    <t>Hit Gun Kit Hilti HDM500</t>
  </si>
  <si>
    <t>09/225</t>
  </si>
  <si>
    <t>NURON 22V Cordless Concrete Nailer, BX 4-22</t>
  </si>
  <si>
    <t>09/040</t>
  </si>
  <si>
    <t>Cartridge Tool Hilti DX460/DX5</t>
  </si>
  <si>
    <t>Cartridge Tool, single or multi-shot (Hilti DX460)</t>
  </si>
  <si>
    <t>B0901015</t>
  </si>
  <si>
    <t>Extension Arm For Hilti DX460, 1.5m</t>
  </si>
  <si>
    <t>09/220</t>
  </si>
  <si>
    <t>Gas Interior Finishing Tool Hilti GX120/GX3</t>
  </si>
  <si>
    <t>Gas Interior Finishing Tool, 14-39mm nails (Hilti GX 120)</t>
  </si>
  <si>
    <t>09/070</t>
  </si>
  <si>
    <t>Paslode IM350 Gas Framing Nailer (1st Fix), 51-90mm nails</t>
  </si>
  <si>
    <t>Gas Framing Nailer (1st Fix), 51-90mm nails (Paslode IM350)</t>
  </si>
  <si>
    <t>09/010</t>
  </si>
  <si>
    <t>Paslode IM65 - Gas Brad Nailer (2nd Fix), 16-63mm brads</t>
  </si>
  <si>
    <t>Gas Brad Nailer (2nd Fix), 16-63mm brads (Paslode IM65)</t>
  </si>
  <si>
    <t>B0901010</t>
  </si>
  <si>
    <t>9.6V Spare Paslode Battery</t>
  </si>
  <si>
    <t xml:space="preserve">   9.6V Spare Battery For Gas Nailers</t>
  </si>
  <si>
    <t>09/060</t>
  </si>
  <si>
    <t>Gas Stapler, 16-50mm staples (Paslode IM200)</t>
  </si>
  <si>
    <t>09/050</t>
  </si>
  <si>
    <t>Cordless Stapler, 10-22mm staples</t>
  </si>
  <si>
    <t>Cordless Stapler, 6-22mm staples (Makita BST221RFE)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</si>
  <si>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</si>
  <si>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</si>
  <si>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</si>
  <si>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</si>
  <si>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</si>
  <si>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</si>
  <si>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09/160</t>
  </si>
  <si>
    <t>Drywall Screwdriver - 110V Hilti SD 2500</t>
  </si>
  <si>
    <t>Dry Wall Screwdriver - 110V (Hilti SD2500)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</si>
  <si>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</si>
  <si>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</si>
  <si>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</si>
  <si>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</si>
  <si>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</si>
  <si>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</si>
  <si>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09/139</t>
  </si>
  <si>
    <t>18V Cordless Impact Wrench, 12.7mm (½")</t>
  </si>
  <si>
    <t>Impact Wrench, 12.7mm (½") square drive - Cordless 18V (Makita DTW251)</t>
  </si>
  <si>
    <t>09/138</t>
  </si>
  <si>
    <t>22V Cordless Impact Wrench, 12.7mm (½")</t>
  </si>
  <si>
    <t>Impact Wrench, 12.7mm (½") square drive - Cordless 22V (Hilti SIW22T-A)</t>
  </si>
  <si>
    <t>09/250</t>
  </si>
  <si>
    <t>40V Cordless Impact Wrench, 12.7mm (½")</t>
  </si>
  <si>
    <t>Impact Wrench, 12.7mm (½") square drive - Cordless 40V (Makita GD203)</t>
  </si>
  <si>
    <t>09/140</t>
  </si>
  <si>
    <t>Impact Wrench, 12.7mm (½") - 110V</t>
  </si>
  <si>
    <t>Impact Wrench, 12.7mm (½") square drive - 110V</t>
  </si>
  <si>
    <t>09/255</t>
  </si>
  <si>
    <t>40V Cordless Impact Wrench, 19mm (¾")</t>
  </si>
  <si>
    <t>Impact Wrench, 19mm (¾") square drive - Cordless 40V (Makita GD202)</t>
  </si>
  <si>
    <t>09/145</t>
  </si>
  <si>
    <t>Impact Wrench, 25mm (1") - 110V</t>
  </si>
  <si>
    <t>05/085</t>
  </si>
  <si>
    <t>Compact Dehumidifier, 110V</t>
  </si>
  <si>
    <t>08. Heating, Cooling and Drying</t>
  </si>
  <si>
    <t>Dehumidifiers</t>
  </si>
  <si>
    <t>05/230</t>
  </si>
  <si>
    <t>Industrial Fan Heater, 3kW - 240V</t>
  </si>
  <si>
    <t>Heaters</t>
  </si>
  <si>
    <t>05/250</t>
  </si>
  <si>
    <t>Propane Space Heater, 181,000 Btu - 110V</t>
  </si>
  <si>
    <t>05/300</t>
  </si>
  <si>
    <t>Propane Space Heater, 235,000 Btu - Dual Voltage</t>
  </si>
  <si>
    <t>05/305</t>
  </si>
  <si>
    <t>Direct Space Heater, Dual Voltage, 150,000BTU - Diesel</t>
  </si>
  <si>
    <t>05/410</t>
  </si>
  <si>
    <t>Infra-Red Heater, 3kW - 240V</t>
  </si>
  <si>
    <t>05/455</t>
  </si>
  <si>
    <t>Indirect Space Heater, Dual Voltage, 116,000 BTU</t>
  </si>
  <si>
    <t>05/270</t>
  </si>
  <si>
    <t>Propane Space Heater, 181,000 BTU - Dual Voltage</t>
  </si>
  <si>
    <t>Propane Space Heater, 150,000 BTU - Dual Voltage</t>
  </si>
  <si>
    <t>Space Heaters</t>
  </si>
  <si>
    <t>05/190</t>
  </si>
  <si>
    <t>Dustbin Heater, 84,000 BTU - Propane</t>
  </si>
  <si>
    <t>05/180</t>
  </si>
  <si>
    <t>Cabinet Heater - Butane</t>
  </si>
  <si>
    <t xml:space="preserve">Cabinet Heater - Butane </t>
  </si>
  <si>
    <t>05/450</t>
  </si>
  <si>
    <t>Indirect Space Heater, Dual Voltage, 71,700 BTU - Diesel</t>
  </si>
  <si>
    <t>Indirect Space Heater, Dual Voltage, 71,700 BTU - Diesel/HVO</t>
  </si>
  <si>
    <t>05/399</t>
  </si>
  <si>
    <t>Infra-Red Heater, 1.5kW - 110V (16A)</t>
  </si>
  <si>
    <t>Infra-Red Heater, 1.5kW - 110V</t>
  </si>
  <si>
    <t>Electric Heaters</t>
  </si>
  <si>
    <t>05/400</t>
  </si>
  <si>
    <t>Infra-Red Heater, 3kW - 110V (32A)</t>
  </si>
  <si>
    <t>Infra-Red Heater, 3kW - 110V/240V</t>
  </si>
  <si>
    <t>05/220</t>
  </si>
  <si>
    <t>Industrial Fan Heater, 3kW - 110V (32A)</t>
  </si>
  <si>
    <t>Industrial Fan Heater, 3kW - 110V/240V</t>
  </si>
  <si>
    <t>05/231</t>
  </si>
  <si>
    <t>Industrial Fan Heater, 18kW - 3 Phase 415V</t>
  </si>
  <si>
    <t>05/170</t>
  </si>
  <si>
    <t>Convector Heater, 2kW - 240V</t>
  </si>
  <si>
    <t>05/200</t>
  </si>
  <si>
    <t>Portable Oil Filled Radiator, 2kW - 240V</t>
  </si>
  <si>
    <t>05/010</t>
  </si>
  <si>
    <t>Air Conditioning Unit, 65m³ room - 240V</t>
  </si>
  <si>
    <t>Cooling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</si>
  <si>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</si>
  <si>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</si>
  <si>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</si>
  <si>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</si>
  <si>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</si>
  <si>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</si>
  <si>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</si>
  <si>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</si>
  <si>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</si>
  <si>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</si>
  <si>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05/020</t>
  </si>
  <si>
    <t>45l Evaporative Cooler, 240V</t>
  </si>
  <si>
    <t>45L Evaporative Bio Cooler - 240V</t>
  </si>
  <si>
    <t>04/125</t>
  </si>
  <si>
    <t>Carpet Blower/Dryer, 110V</t>
  </si>
  <si>
    <t>Carpet Blower/Dryer - 110V</t>
  </si>
  <si>
    <t>Dehumidifiers &amp; Dryers</t>
  </si>
  <si>
    <t>05/080</t>
  </si>
  <si>
    <t>Compact Dehumidifier, 6L tank - Dual Voltage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</si>
  <si>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</si>
  <si>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</si>
  <si>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</si>
  <si>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</si>
  <si>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</si>
  <si>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</si>
  <si>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10/065</t>
  </si>
  <si>
    <t>40V 600mm Hedge Trimmer</t>
  </si>
  <si>
    <t>09. Landscaping</t>
  </si>
  <si>
    <t>Cutting, Trimming and Clearing</t>
  </si>
  <si>
    <t>10/075</t>
  </si>
  <si>
    <t>40V Multi Function Power Head</t>
  </si>
  <si>
    <t>10/205</t>
  </si>
  <si>
    <t>Wood Chipper/Shredder, 7.5cm Capacity - Petrol</t>
  </si>
  <si>
    <t>10/200</t>
  </si>
  <si>
    <t>Wood Chipper/Shredder, 6.5cm Capacity - Petrol</t>
  </si>
  <si>
    <t>Wood Chipper/Shredder, 6.5cm capacity - Petrol</t>
  </si>
  <si>
    <t>10/120</t>
  </si>
  <si>
    <t>Rotavator, 520mm digging width - Petrol</t>
  </si>
  <si>
    <t>Clearance &amp; Preparation</t>
  </si>
  <si>
    <t>10/010</t>
  </si>
  <si>
    <t>Brush Cutter - 2-Stroke</t>
  </si>
  <si>
    <t>10/015</t>
  </si>
  <si>
    <t>40V Cordless Brushless Brush Cutter</t>
  </si>
  <si>
    <t>40V Cordless Brush Cutter</t>
  </si>
  <si>
    <t>10/090</t>
  </si>
  <si>
    <t>Leaf Blower - 2-Stroke</t>
  </si>
  <si>
    <t>10/105</t>
  </si>
  <si>
    <t>40V Cordless Leaf Blower</t>
  </si>
  <si>
    <t>10/100</t>
  </si>
  <si>
    <t>Leaf Blower/Vacuum Shredder - 2-Stroke</t>
  </si>
  <si>
    <t>10/050</t>
  </si>
  <si>
    <t>Hedge Trimmer, 450mm - 2-Stroke</t>
  </si>
  <si>
    <t>10/060</t>
  </si>
  <si>
    <t>Hedge Trimmer, 600mm - 2-Stroke</t>
  </si>
  <si>
    <t>10/110</t>
  </si>
  <si>
    <t>Rotary Lawn Mower - Petrol</t>
  </si>
  <si>
    <t>Lawn Care</t>
  </si>
  <si>
    <t>10/160</t>
  </si>
  <si>
    <t>Lawn Scarifier, 42cm Working Width - Petrol</t>
  </si>
  <si>
    <t>Lawn Scarifier, 42cm working width - Petrol</t>
  </si>
  <si>
    <t>10/030</t>
  </si>
  <si>
    <t>Garden Roller, water filled - Manual</t>
  </si>
  <si>
    <t>10/080</t>
  </si>
  <si>
    <t>Knap Sack Sprayer, 16L</t>
  </si>
  <si>
    <t>B1001010</t>
  </si>
  <si>
    <t>Axe</t>
  </si>
  <si>
    <t>Axe/Spade/Fork/Shears/Rake/Hoe/Bow Saw (PER ITEM)</t>
  </si>
  <si>
    <t>Fencing &amp; Tools</t>
  </si>
  <si>
    <t>B1001005</t>
  </si>
  <si>
    <t>Wheelbarrow, pneumatic tyre</t>
  </si>
  <si>
    <t xml:space="preserve">Wheelbarrow </t>
  </si>
  <si>
    <t>10/130</t>
  </si>
  <si>
    <t>Post Hole Borer, 80-200mm - 2-Stroke</t>
  </si>
  <si>
    <t>Post Hole Borer, 80-200mm - Two-Stroke</t>
  </si>
  <si>
    <t>B1001045</t>
  </si>
  <si>
    <t>Shuv Holer</t>
  </si>
  <si>
    <t xml:space="preserve">Shuv Holer </t>
  </si>
  <si>
    <t>B2103060</t>
  </si>
  <si>
    <t>Bow Shackle, 12 Tonne</t>
  </si>
  <si>
    <t>10. Lifting and Material Handling</t>
  </si>
  <si>
    <t>B2104035</t>
  </si>
  <si>
    <t>Window Fixing Frame</t>
  </si>
  <si>
    <t>B2106050</t>
  </si>
  <si>
    <t>Spindle to suit Cable Drum Jacks, 50x1800mm</t>
  </si>
  <si>
    <t>21/020</t>
  </si>
  <si>
    <t>1t Chain Block, 6m lift</t>
  </si>
  <si>
    <t>Lifting and Hoisting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</si>
  <si>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</si>
  <si>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</si>
  <si>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</si>
  <si>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</si>
  <si>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</si>
  <si>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</si>
  <si>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</si>
  <si>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</si>
  <si>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</si>
  <si>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</si>
  <si>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</si>
  <si>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</si>
  <si>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</si>
  <si>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</si>
  <si>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</si>
  <si>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</si>
  <si>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</si>
  <si>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</si>
  <si>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21/246</t>
  </si>
  <si>
    <t>Brick Basket For Scaffold Hoist, 90L, 200kg</t>
  </si>
  <si>
    <t>21/506</t>
  </si>
  <si>
    <t>Beam Clamp, 5000kg</t>
  </si>
  <si>
    <t>21/560</t>
  </si>
  <si>
    <t>Bumpa Elevator Hoist, 10m, 80kg SWL - 110V</t>
  </si>
  <si>
    <t>21/010</t>
  </si>
  <si>
    <t>1t Chain Block, 3m lift</t>
  </si>
  <si>
    <t>Chain Block, 1 Tonne</t>
  </si>
  <si>
    <t>21/197</t>
  </si>
  <si>
    <t>Plasterboard Trolley, Loadall Pro 1500kg</t>
  </si>
  <si>
    <t>TBC</t>
  </si>
  <si>
    <t>21/236</t>
  </si>
  <si>
    <t>2t Semi-Electric Pallet Truck, 1.15m</t>
  </si>
  <si>
    <t>21/355</t>
  </si>
  <si>
    <t>2t Euro Pallet Truck, 2m - Hydraulic c/w Brake</t>
  </si>
  <si>
    <t>21/420</t>
  </si>
  <si>
    <t>Extra Large Wheelie Bin, 1100L</t>
  </si>
  <si>
    <t>21/450</t>
  </si>
  <si>
    <t>Fence Master Post Puller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</si>
  <si>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</si>
  <si>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</si>
  <si>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</si>
  <si>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</si>
  <si>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</si>
  <si>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</si>
  <si>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</si>
  <si>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</si>
  <si>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</si>
  <si>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</si>
  <si>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</si>
  <si>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</si>
  <si>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</si>
  <si>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</si>
  <si>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</si>
  <si>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</si>
  <si>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</si>
  <si>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</si>
  <si>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</si>
  <si>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</si>
  <si>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</si>
  <si>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</si>
  <si>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</si>
  <si>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</si>
  <si>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</si>
  <si>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</si>
  <si>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</si>
  <si>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</si>
  <si>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</si>
  <si>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</si>
  <si>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</si>
  <si>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21/191</t>
  </si>
  <si>
    <t>Plasterboard Trolley, 500kg</t>
  </si>
  <si>
    <t>Trucks and Trolleys</t>
  </si>
  <si>
    <t>21/205</t>
  </si>
  <si>
    <t>2.5t Pallet Truck, 1.1.m - Hydraulic c/w rubber wheels</t>
  </si>
  <si>
    <t>21/275</t>
  </si>
  <si>
    <t>Gas Cylinder Truck</t>
  </si>
  <si>
    <t>21/485</t>
  </si>
  <si>
    <t>Rubble Truck - Structural Foam</t>
  </si>
  <si>
    <t>21/050</t>
  </si>
  <si>
    <t>2t Chain Block, 3m lift</t>
  </si>
  <si>
    <t>Chain Block, 2 Tonne</t>
  </si>
  <si>
    <t>Chain Hoist</t>
  </si>
  <si>
    <t>21/095</t>
  </si>
  <si>
    <t>3t Chain Block, 3m lift</t>
  </si>
  <si>
    <t>Chain Block, 3 Tonne</t>
  </si>
  <si>
    <t>21/500</t>
  </si>
  <si>
    <t>Beam Clamp, 2000kg</t>
  </si>
  <si>
    <t>Adjustable Beam Clamp, 2 tonne</t>
  </si>
  <si>
    <t>Clamps, Shackles, Slings and Pulleys</t>
  </si>
  <si>
    <t>B2103005</t>
  </si>
  <si>
    <t>Dee Shackle, 1 Tonne</t>
  </si>
  <si>
    <t>Shackle, 3 tonne (3000kg)</t>
  </si>
  <si>
    <t>B2102045</t>
  </si>
  <si>
    <t>Wheelbarrow Chain Sling, 3 Leg, 250kg</t>
  </si>
  <si>
    <t>Wheelbarrow Chain Sling, 250kg (3 Leg)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</si>
  <si>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</si>
  <si>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</si>
  <si>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</si>
  <si>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</si>
  <si>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</si>
  <si>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</si>
  <si>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21/250</t>
  </si>
  <si>
    <t>Shear Legs, 1 tonne to 3m</t>
  </si>
  <si>
    <t>21/150</t>
  </si>
  <si>
    <t>Ginny Wheel, 30m c/w fall rope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</si>
  <si>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</si>
  <si>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</si>
  <si>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</si>
  <si>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</si>
  <si>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</si>
  <si>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</si>
  <si>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</si>
  <si>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</si>
  <si>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</si>
  <si>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</si>
  <si>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</si>
  <si>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21/130</t>
  </si>
  <si>
    <t>Genie SLA10 Material Lift, 454kg to 3.49m</t>
  </si>
  <si>
    <t>Material Lift, 454kg to 3m</t>
  </si>
  <si>
    <t>Material Lifts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</si>
  <si>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</si>
  <si>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</si>
  <si>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</si>
  <si>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</si>
  <si>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</si>
  <si>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</si>
  <si>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</si>
  <si>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</si>
  <si>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</si>
  <si>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B2102060</t>
  </si>
  <si>
    <t>Flat Fork Extension For Material Lift (1 Pair)</t>
  </si>
  <si>
    <t xml:space="preserve">   Flat Fork Extension for Material Lift</t>
  </si>
  <si>
    <t>21/135</t>
  </si>
  <si>
    <t>Load Platform For Material Lift</t>
  </si>
  <si>
    <t xml:space="preserve">   Load Platform for Material Lift</t>
  </si>
  <si>
    <t>21/340</t>
  </si>
  <si>
    <t>Gas Operated Material Lift, 136kg to 3.8m</t>
  </si>
  <si>
    <t>21/325</t>
  </si>
  <si>
    <t>Dry Wall Panel/HVAC Duct Lifter, 80kg to 3.6m - Manual</t>
  </si>
  <si>
    <t>21/390</t>
  </si>
  <si>
    <t>Kerb Stone Lifter (480-1050mm) 100kg - Manual</t>
  </si>
  <si>
    <t>Kerb Stone Lifter, 480-1050mm 100kg - Manual</t>
  </si>
  <si>
    <t>Kerb &amp; Slab Lifting</t>
  </si>
  <si>
    <t>21/180</t>
  </si>
  <si>
    <t>Vacuum Slab Lifter, 12V - Rechargeable</t>
  </si>
  <si>
    <t>Vacuum Slab Lifter, 150kg, 12V Rechargeable</t>
  </si>
  <si>
    <t>21/255</t>
  </si>
  <si>
    <t>Adjustable Paving/Brick Transport Cart</t>
  </si>
  <si>
    <t>21/240</t>
  </si>
  <si>
    <t>Scaffold Hoist, 200kg to 30m - 110V</t>
  </si>
  <si>
    <t>Hoists</t>
  </si>
  <si>
    <t>21/245</t>
  </si>
  <si>
    <t>Steel Bucket For Scaffold Hoist, 90L</t>
  </si>
  <si>
    <t>Steel Bucket for Scaffold Hoist, 90L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</si>
  <si>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</si>
  <si>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</si>
  <si>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</si>
  <si>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</si>
  <si>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</si>
  <si>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21/160</t>
  </si>
  <si>
    <t>Ladder Hoist Base Unit, 200kg - 110V</t>
  </si>
  <si>
    <t>Ladder Hoist Base Unit, 200kg c/w 2.0m track section -110V</t>
  </si>
  <si>
    <t>B2101010</t>
  </si>
  <si>
    <t>2.0m Track Section For Ladder Hoist</t>
  </si>
  <si>
    <t>B2101005</t>
  </si>
  <si>
    <t>1.0m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</si>
  <si>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</si>
  <si>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</si>
  <si>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</si>
  <si>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</si>
  <si>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</si>
  <si>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</si>
  <si>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</si>
  <si>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</si>
  <si>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</si>
  <si>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</si>
  <si>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</si>
  <si>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</si>
  <si>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</si>
  <si>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</si>
  <si>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</si>
  <si>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</si>
  <si>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</si>
  <si>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</si>
  <si>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</si>
  <si>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</si>
  <si>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</si>
  <si>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</si>
  <si>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</si>
  <si>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21/380</t>
  </si>
  <si>
    <t>Toe Jack, 5 tonne - Hydraulic</t>
  </si>
  <si>
    <t>21/600</t>
  </si>
  <si>
    <t>Cable Drum Jacks, 6t (1 pair)</t>
  </si>
  <si>
    <t>21/230</t>
  </si>
  <si>
    <t>2t Super Beam Trolley</t>
  </si>
  <si>
    <t>Super Beam Trolley, 2 tonne</t>
  </si>
  <si>
    <t>21/200</t>
  </si>
  <si>
    <t>2.5t Pallet Truck, 1.1m - Hydraulic</t>
  </si>
  <si>
    <t>Pallet Truck, 2.5 tonne - Hydraulic</t>
  </si>
  <si>
    <t>21/350</t>
  </si>
  <si>
    <t>2.5t Pallet Truck, 1.1m - Hydraulic c/w Brake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</si>
  <si>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</si>
  <si>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</si>
  <si>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</si>
  <si>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</si>
  <si>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</si>
  <si>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</si>
  <si>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</si>
  <si>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</si>
  <si>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</si>
  <si>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</si>
  <si>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21/235</t>
  </si>
  <si>
    <t>2t Semi-Electric Pallet Truck (1m or 1.15m)</t>
  </si>
  <si>
    <t>21/190</t>
  </si>
  <si>
    <t>Plasterboard Trolley, 300kg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</si>
  <si>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</si>
  <si>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</si>
  <si>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</si>
  <si>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</si>
  <si>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</si>
  <si>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</si>
  <si>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</si>
  <si>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</si>
  <si>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</si>
  <si>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</si>
  <si>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</si>
  <si>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</si>
  <si>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</si>
  <si>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21/300</t>
  </si>
  <si>
    <t>Small Turntable Truck, L1060xW610mm</t>
  </si>
  <si>
    <t>21/170</t>
  </si>
  <si>
    <t>Large Turntable Truck, L1520xW710mm Pneumatic Tyre</t>
  </si>
  <si>
    <t>Large Turntable Truck, L1520xW710mm</t>
  </si>
  <si>
    <t>21/175</t>
  </si>
  <si>
    <t>Large Turntable Truck, L1560xW690mm Solid Tyre</t>
  </si>
  <si>
    <t>Large Turntable Truck, L1560xW690mm - Solid Tyre</t>
  </si>
  <si>
    <t>21/480</t>
  </si>
  <si>
    <t>Rubble Truck - Steel</t>
  </si>
  <si>
    <t>Rubble Truck, 350kg - Tip-Up</t>
  </si>
  <si>
    <t>21/490</t>
  </si>
  <si>
    <t>Industrial Machine Skate Kit, 20 tonne</t>
  </si>
  <si>
    <t>B2102025</t>
  </si>
  <si>
    <t>Furniture Skate, 300kg</t>
  </si>
  <si>
    <t>21/295</t>
  </si>
  <si>
    <t>Transformer Trolley - T-Kart</t>
  </si>
  <si>
    <t>21/305</t>
  </si>
  <si>
    <t>Steel Beam Cart, 500kg</t>
  </si>
  <si>
    <t>21/510</t>
  </si>
  <si>
    <t>Link Rail Trolley (Standard), SWL 1000kg</t>
  </si>
  <si>
    <t>POA</t>
  </si>
  <si>
    <t>21/540</t>
  </si>
  <si>
    <t>Type B Rail Trolley (LUL), SWL 1000kg</t>
  </si>
  <si>
    <t>21/410</t>
  </si>
  <si>
    <t>Large Wheelie Bin, 660L</t>
  </si>
  <si>
    <t>B2104020</t>
  </si>
  <si>
    <t>Rubbish Chute Section, 1.2m</t>
  </si>
  <si>
    <t>10</t>
  </si>
  <si>
    <t>Rubbish Disposal</t>
  </si>
  <si>
    <t>B2104025</t>
  </si>
  <si>
    <t>Rubbish Chute Side Entry</t>
  </si>
  <si>
    <t>B2104030</t>
  </si>
  <si>
    <t>Rubbish Chute Fixing Frame, window or scaffold</t>
  </si>
  <si>
    <t>B2104040</t>
  </si>
  <si>
    <t>Rubbish Chute Hopper</t>
  </si>
  <si>
    <t>B2104045</t>
  </si>
  <si>
    <t>Rubbish Chute Hand Winch</t>
  </si>
  <si>
    <t>B2104005</t>
  </si>
  <si>
    <t>Wheelie Bin, 140L</t>
  </si>
  <si>
    <t>B2104010</t>
  </si>
  <si>
    <t>Wheelie Bin, 240L</t>
  </si>
  <si>
    <t>11/055</t>
  </si>
  <si>
    <t>20W LED Wobble Light, 4' - 110V</t>
  </si>
  <si>
    <t>11. Lighting</t>
  </si>
  <si>
    <t>Site Lights</t>
  </si>
  <si>
    <t>11/057</t>
  </si>
  <si>
    <t>Battery Rechargeable LED Uplight, 36W</t>
  </si>
  <si>
    <t>11/065</t>
  </si>
  <si>
    <t>Festoon Lighting, LED 25m - 110V</t>
  </si>
  <si>
    <t>11/080</t>
  </si>
  <si>
    <t>Heavy Duty LED Site Light, 200W - 110V</t>
  </si>
  <si>
    <t>11/085</t>
  </si>
  <si>
    <t>Rechargeable 360 LED Beacon Light c/w Stand</t>
  </si>
  <si>
    <t>11/300</t>
  </si>
  <si>
    <t>Fluroescent Lighting System Cable, 10 Outlets, 50m - 110V</t>
  </si>
  <si>
    <t>11/310</t>
  </si>
  <si>
    <t>High Efficiency 3 Bulb Carrylight, 27W - 110V</t>
  </si>
  <si>
    <t>XLIGHT</t>
  </si>
  <si>
    <t>X-Eco LED Tower Light, 8.5m mast.</t>
  </si>
  <si>
    <t>MT- 1 Towerlight, 5.5m mast.</t>
  </si>
  <si>
    <t>11/340</t>
  </si>
  <si>
    <t>Low Energy Carry Light, 36W - 110V</t>
  </si>
  <si>
    <t>Low Energy Carrylight, 36W c/w fluorescent tube - 110V/240V</t>
  </si>
  <si>
    <t>Task Lights</t>
  </si>
  <si>
    <t>11/420</t>
  </si>
  <si>
    <t>Rechargeable LED Work Light, up to 1.8m</t>
  </si>
  <si>
    <t>Rechargeable LED Work Light, 1.8m mast (Rail Approved)</t>
  </si>
  <si>
    <t>11/020</t>
  </si>
  <si>
    <t>Contractor Floor Light, 2' - 110V LED</t>
  </si>
  <si>
    <t>Contractor Floor Light, 2' c/w fluorescent tubes - 110V</t>
  </si>
  <si>
    <t>11/010</t>
  </si>
  <si>
    <t>Compact Plasterers Light, 2' - 110V</t>
  </si>
  <si>
    <t>Compact Plasterers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</si>
  <si>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</si>
  <si>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</si>
  <si>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</si>
  <si>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</si>
  <si>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</si>
  <si>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</si>
  <si>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</si>
  <si>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</si>
  <si>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</si>
  <si>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11/056</t>
  </si>
  <si>
    <t>25W LED Splitter Uplight, 4' - 110V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</si>
  <si>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</si>
  <si>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</si>
  <si>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</si>
  <si>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</si>
  <si>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</si>
  <si>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</si>
  <si>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</si>
  <si>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11/430</t>
  </si>
  <si>
    <t>Single Head LED Floodlight, 30W - 110V</t>
  </si>
  <si>
    <t>11/265</t>
  </si>
  <si>
    <t>5m Mast Floodlight, 1x300W LED - 110V</t>
  </si>
  <si>
    <t>Mast Floodlight, 1x300W metal LED c/w 5m telescopic mast - 110V</t>
  </si>
  <si>
    <t>11/070</t>
  </si>
  <si>
    <t>Festoon Lighting, LED 22m - 110V</t>
  </si>
  <si>
    <t>Site Lighting</t>
  </si>
  <si>
    <t>11/060</t>
  </si>
  <si>
    <t>Festoon Lighting, 25m - 110V</t>
  </si>
  <si>
    <t>Festoon Lighting (Normal/LED), 25m c/w 10 bulb holders &amp; cages - 110V</t>
  </si>
  <si>
    <t>11/290</t>
  </si>
  <si>
    <t>5' Plug-in Flourescent Light (IP65)</t>
  </si>
  <si>
    <t>Plug-in Fluorescent Lighting System (IP67), 100m c/w outlets every 5/7/10m - 110V</t>
  </si>
  <si>
    <t>08/045</t>
  </si>
  <si>
    <t>Large Paddle Mixing Drill - 110V</t>
  </si>
  <si>
    <t>12. Painting and Decorating</t>
  </si>
  <si>
    <t>Painting and Preparation</t>
  </si>
  <si>
    <t>08/070</t>
  </si>
  <si>
    <t>Wallpaper Stripper - 240V</t>
  </si>
  <si>
    <t>08/010</t>
  </si>
  <si>
    <t>Airless Spray Rig, 1.8lpm - 110V</t>
  </si>
  <si>
    <t>Paint Spraying</t>
  </si>
  <si>
    <t>B0801005</t>
  </si>
  <si>
    <t>Spray Gun</t>
  </si>
  <si>
    <t>Spray Gun (needs Portable Air Compressor)</t>
  </si>
  <si>
    <t>B0801015</t>
  </si>
  <si>
    <t>Temporary Partition Props</t>
  </si>
  <si>
    <t>08/060</t>
  </si>
  <si>
    <t>Wallpaper Stripper - 110V</t>
  </si>
  <si>
    <t>Wallpaper Stripper - 110V/240V</t>
  </si>
  <si>
    <t>General Decorating</t>
  </si>
  <si>
    <t>B0801010</t>
  </si>
  <si>
    <t>Wallpaper Perforator</t>
  </si>
  <si>
    <t xml:space="preserve">Wallpaper Perforator </t>
  </si>
  <si>
    <t>08/040</t>
  </si>
  <si>
    <t>Paddle Mixing Drill - 110V</t>
  </si>
  <si>
    <t>08/055</t>
  </si>
  <si>
    <t>40V Cordless Paddle Mixing Drill</t>
  </si>
  <si>
    <t>08/020</t>
  </si>
  <si>
    <t>Heat Gun - 110V</t>
  </si>
  <si>
    <t>Heat Gun - 110V/240V</t>
  </si>
  <si>
    <t>08/090</t>
  </si>
  <si>
    <t>Knee Kicker Carpet Stretcher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</si>
  <si>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</si>
  <si>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</si>
  <si>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</si>
  <si>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</si>
  <si>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</si>
  <si>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</si>
  <si>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</si>
  <si>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</si>
  <si>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</si>
  <si>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</si>
  <si>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</si>
  <si>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</si>
  <si>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</si>
  <si>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</si>
  <si>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</si>
  <si>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</si>
  <si>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</si>
  <si>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</si>
  <si>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17/345</t>
  </si>
  <si>
    <t>Mobile Bundle Rack, 1 tonne to 3m</t>
  </si>
  <si>
    <t>14. Plumbing and Engineering</t>
  </si>
  <si>
    <t>Pipework</t>
  </si>
  <si>
    <t>17/160</t>
  </si>
  <si>
    <t>Ratchet Conduit Threader, 16-32mm - Manual</t>
  </si>
  <si>
    <t>Ratchet Conduit Threader, 16-32mm c/w die heads complete - Manual</t>
  </si>
  <si>
    <t>Threading &amp; Grooving</t>
  </si>
  <si>
    <t>17/170</t>
  </si>
  <si>
    <t>Ratchet Pipe Threader, 1/2 - 2" BSPT - Manual</t>
  </si>
  <si>
    <t>Ratchet Pipe Threader (Die Stock), ½-2" BSPT c/w die heads complete - Manual</t>
  </si>
  <si>
    <t>17/130</t>
  </si>
  <si>
    <t>Power Threader (Die Stock), 1/2 - 2" BSPT - 110V</t>
  </si>
  <si>
    <t>Power Threader  (Die Stock), ½-2" BSPT c/w support arm &amp; die heads complete - 110V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</si>
  <si>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</si>
  <si>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</si>
  <si>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</si>
  <si>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</si>
  <si>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</si>
  <si>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B1703015</t>
  </si>
  <si>
    <t>Pipe Stand c/w 1/8 - 2 1/2" yoke vice</t>
  </si>
  <si>
    <t>Pipe Stand c/w ⅛-2½"" chain vice</t>
  </si>
  <si>
    <t>Stands, Racks and Workbenches</t>
  </si>
  <si>
    <t>17/340</t>
  </si>
  <si>
    <t>Mobile Pipe Rack, 1 tonne to 3m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</si>
  <si>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</si>
  <si>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</si>
  <si>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</si>
  <si>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</si>
  <si>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</si>
  <si>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17/100</t>
  </si>
  <si>
    <t>Engineers Workbench, 1100x700mm</t>
  </si>
  <si>
    <t>Engineers Workbench, 1100x700mm c/w vice</t>
  </si>
  <si>
    <t>17/260</t>
  </si>
  <si>
    <t>Copper Pipe Bender, 15-35mm - Manual</t>
  </si>
  <si>
    <t>Copper Pipe Bender, 15-35mm formers &amp; guides</t>
  </si>
  <si>
    <t>Bending, Fitting &amp; Cutting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</si>
  <si>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</si>
  <si>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</si>
  <si>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</si>
  <si>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</si>
  <si>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</si>
  <si>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17/230</t>
  </si>
  <si>
    <t>Soil Pipe Cutter, 2-6" - Manual</t>
  </si>
  <si>
    <t>17/290</t>
  </si>
  <si>
    <t>Soil Pipe Cutter, 2-12" - Manual</t>
  </si>
  <si>
    <t>17/280</t>
  </si>
  <si>
    <t>Conduit Bender, 16-32mm - Manual</t>
  </si>
  <si>
    <t>Conduit Bender, 16-32mm formers</t>
  </si>
  <si>
    <t>Bending, Fitting, Cutting &amp; Wrenches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</si>
  <si>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</si>
  <si>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</si>
  <si>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</si>
  <si>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</si>
  <si>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</si>
  <si>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</si>
  <si>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17/060</t>
  </si>
  <si>
    <t>Stillson Pipe Wrench, 18" with 2" capacity</t>
  </si>
  <si>
    <t>17/080</t>
  </si>
  <si>
    <t>Stillson Pipe Wrench, 36" with 4" capacity</t>
  </si>
  <si>
    <t>17/075</t>
  </si>
  <si>
    <t>Chain Pipe Wrench, 48" with 6" capacity</t>
  </si>
  <si>
    <t>17/040</t>
  </si>
  <si>
    <t>Large Pipe Freezer, 1/2 - 2" / 15-54mm - 110V</t>
  </si>
  <si>
    <t>Large Pipe Freezing Kit, ½-2"/15-54mm - 110V</t>
  </si>
  <si>
    <t>Freezing &amp; Testing</t>
  </si>
  <si>
    <t>17/020</t>
  </si>
  <si>
    <t>Pressure Test Pump, 50 bar - Manual</t>
  </si>
  <si>
    <t>Pressure Test Pump, 50bar- Manual</t>
  </si>
  <si>
    <t>17/010</t>
  </si>
  <si>
    <t>Hand Held Drum Drain Cleaner, up to 75mm - 110V</t>
  </si>
  <si>
    <t>Drain Clearance &amp; Testing</t>
  </si>
  <si>
    <t>B1701055</t>
  </si>
  <si>
    <t>Drain Rod Set, 10m c/w 100/150mm fittings</t>
  </si>
  <si>
    <t>Drain Rod Set, 10m c/w 100mm/150mm fittings</t>
  </si>
  <si>
    <t>B1701070</t>
  </si>
  <si>
    <t>Gully Scoop</t>
  </si>
  <si>
    <t>B1701010</t>
  </si>
  <si>
    <t>Air Bag Drain Stopper, 75mm</t>
  </si>
  <si>
    <t>Air Bag Drain Stopper, 100mm/150mm c/w brass pump</t>
  </si>
  <si>
    <t>B1701005</t>
  </si>
  <si>
    <t>Air Drain Testing Kit</t>
  </si>
  <si>
    <t>B1701025</t>
  </si>
  <si>
    <t>Brass Pump For Air Bag Drain Stopper</t>
  </si>
  <si>
    <t>B1701035</t>
  </si>
  <si>
    <t>Drain Testing Plug/Stopper, 50mm</t>
  </si>
  <si>
    <t>Drain Testing Plug/Stopper, 50mm/75mm/100mm/150mm</t>
  </si>
  <si>
    <t>B1701060</t>
  </si>
  <si>
    <t>Manhole Keys</t>
  </si>
  <si>
    <t>Man Hole Keys</t>
  </si>
  <si>
    <t>B1701065</t>
  </si>
  <si>
    <t>Manhole Lifting Arm</t>
  </si>
  <si>
    <t>Man Hole Lifting Arm</t>
  </si>
  <si>
    <t>18/070</t>
  </si>
  <si>
    <t>Blow Torch - Propane</t>
  </si>
  <si>
    <t>Blow Torches</t>
  </si>
  <si>
    <t>18/040</t>
  </si>
  <si>
    <t>Single Head Wand Torch, 600mm - Propane</t>
  </si>
  <si>
    <t>18/060</t>
  </si>
  <si>
    <t>Triple Head Wand Torch, 600mm - Propane</t>
  </si>
  <si>
    <t>13/235</t>
  </si>
  <si>
    <t>16A Extension Cable Drum, 25m - 110V</t>
  </si>
  <si>
    <t>15. Power and Welding</t>
  </si>
  <si>
    <t>Extensions and Distribution</t>
  </si>
  <si>
    <t>13/236</t>
  </si>
  <si>
    <t>16A Extension Cable Drum, 50m - 110V</t>
  </si>
  <si>
    <t>13/005</t>
  </si>
  <si>
    <t>INSTAGRID TRIAL UNIT</t>
  </si>
  <si>
    <t>Generators</t>
  </si>
  <si>
    <t>13/025</t>
  </si>
  <si>
    <t>3.0kVA Inverter Generator, AVR - Petrol</t>
  </si>
  <si>
    <t>13/042</t>
  </si>
  <si>
    <t>Stage V 5.0kVA Generator - Petrol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</si>
  <si>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</si>
  <si>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</si>
  <si>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</si>
  <si>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</si>
  <si>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</si>
  <si>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</si>
  <si>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</si>
  <si>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</si>
  <si>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</si>
  <si>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</si>
  <si>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</si>
  <si>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</si>
  <si>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</si>
  <si>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13/147</t>
  </si>
  <si>
    <t>3.3kVA Vented Transformer, 1x32A outlet</t>
  </si>
  <si>
    <t>Transformers</t>
  </si>
  <si>
    <t>XPIPE</t>
  </si>
  <si>
    <t>HDPE Fusion Welder</t>
  </si>
  <si>
    <t>Welding</t>
  </si>
  <si>
    <t>MDPE Fusion Welder 40V</t>
  </si>
  <si>
    <t>13/020</t>
  </si>
  <si>
    <t>3.4kVA Generator, dual voltage - Petrol</t>
  </si>
  <si>
    <t>13/215</t>
  </si>
  <si>
    <t>7.5kVA Portable Generator, dual voltage - Petrol</t>
  </si>
  <si>
    <t>13/040</t>
  </si>
  <si>
    <t>4.0kVA Silenced Generator, dual voltage - Diesel/HVO</t>
  </si>
  <si>
    <t>13/050</t>
  </si>
  <si>
    <t>6.0kVA Super Silenced Generator, dual voltage - Diesel /HVO</t>
  </si>
  <si>
    <t>6.0kVA Super Silenced Generator, dual voltage, Stage V - Diesel /HVO</t>
  </si>
  <si>
    <t>13/210</t>
  </si>
  <si>
    <t>7.6kVA Super Silenced Generator, dual voltage - Diesel/HVO</t>
  </si>
  <si>
    <t>13/055</t>
  </si>
  <si>
    <t>10.0kVA Super Silenced Generator, dual voltage - Diesel/HVO</t>
  </si>
  <si>
    <t>13/060</t>
  </si>
  <si>
    <t>10.0kVA Silenced Generator, Stage V - Diesel</t>
  </si>
  <si>
    <t>13/220</t>
  </si>
  <si>
    <t>15.0kVA Super Silenced Generator, Multi voltage - Diesel/HVO (Arc-Gen 15MVK)</t>
  </si>
  <si>
    <t>13/225</t>
  </si>
  <si>
    <t>20.0kVA Generator, Stage V, Road Towable - HVO/Diesel</t>
  </si>
  <si>
    <t>17/310</t>
  </si>
  <si>
    <t>165A Super Silenced Welder Generator, up to 4mm - Petrol</t>
  </si>
  <si>
    <t>165A Super Silenced Welder Generator, up to 4mm electrodes - Petrol (Rail Approved)</t>
  </si>
  <si>
    <t>B1704010</t>
  </si>
  <si>
    <t>Extension Cable for Welder/Generator, 15m (Set of 2 Cables)</t>
  </si>
  <si>
    <t xml:space="preserve">   Extension Cable for Super Silenced Welder Generator, 15m</t>
  </si>
  <si>
    <t>B1704005</t>
  </si>
  <si>
    <t>Welding Screen, 2x2m</t>
  </si>
  <si>
    <t>13/130</t>
  </si>
  <si>
    <t>3.0kVA Step-Up Transformer - 110V to 240V</t>
  </si>
  <si>
    <t>13/140</t>
  </si>
  <si>
    <t>3.3kVA Transformer, 2x16A outlets</t>
  </si>
  <si>
    <t>13/145</t>
  </si>
  <si>
    <t>3.3kVA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</si>
  <si>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</si>
  <si>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</si>
  <si>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</si>
  <si>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</si>
  <si>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</si>
  <si>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</si>
  <si>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</si>
  <si>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</si>
  <si>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</si>
  <si>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B1301010</t>
  </si>
  <si>
    <t>16A Extension Lead, 14m - 110V</t>
  </si>
  <si>
    <t>16A Extension Lead, 14m - 110V/240V</t>
  </si>
  <si>
    <t>B1301020</t>
  </si>
  <si>
    <t>32A Extension Lead, 14m - 110V</t>
  </si>
  <si>
    <t>32A Extension Lead, 14m - 110V/240V</t>
  </si>
  <si>
    <t>B1301005</t>
  </si>
  <si>
    <t>13A Extension Lead, 14m - 240V</t>
  </si>
  <si>
    <t>B1301055</t>
  </si>
  <si>
    <t>32A 3-Phase Extension Lead, 14m - 415V</t>
  </si>
  <si>
    <t>32A Three-Phase Extension Lead, 14m - 415V</t>
  </si>
  <si>
    <t>13/240</t>
  </si>
  <si>
    <t>13A Extension Cable Drum, 25m - 240V</t>
  </si>
  <si>
    <t>13A Extension Cable Reel, 25m - 240V</t>
  </si>
  <si>
    <t>13/250</t>
  </si>
  <si>
    <t>Circuit Breaker (RCD) - 240V</t>
  </si>
  <si>
    <t>13/090</t>
  </si>
  <si>
    <t>4-Way 16A Distribution Box - 110V</t>
  </si>
  <si>
    <t>Four-Way 16A Distribution Box - 110V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</si>
  <si>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</si>
  <si>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</si>
  <si>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</si>
  <si>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</si>
  <si>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</si>
  <si>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</si>
  <si>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</si>
  <si>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</si>
  <si>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</si>
  <si>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13/230</t>
  </si>
  <si>
    <t>2-Way 32A 3-Phase Distribution Box - 415V</t>
  </si>
  <si>
    <t>Two-Way 32A Distribution Box - 415V</t>
  </si>
  <si>
    <t>12/035</t>
  </si>
  <si>
    <t>Submersible Pump, 75mm - 110V</t>
  </si>
  <si>
    <t>16. Pumps</t>
  </si>
  <si>
    <t>Pumping</t>
  </si>
  <si>
    <t>12/070</t>
  </si>
  <si>
    <t>Diaphragm Pump, 50mm - Petrol</t>
  </si>
  <si>
    <t>12/095</t>
  </si>
  <si>
    <t>Water Flow Meter</t>
  </si>
  <si>
    <t>12/090</t>
  </si>
  <si>
    <t>Submersible Pump, 50mm - 110V</t>
  </si>
  <si>
    <t>Submersible Pump, 50mm c/w 6m delivery hose -110V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</si>
  <si>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</si>
  <si>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</si>
  <si>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</si>
  <si>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</si>
  <si>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</si>
  <si>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</si>
  <si>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12/010</t>
  </si>
  <si>
    <t>Centrifugal Clear Water Pump, 50mm - Petrol</t>
  </si>
  <si>
    <t>Centrifugal Clear Water Pump, 50mm c/w 6m suction &amp; delivery hose - Petrol</t>
  </si>
  <si>
    <t>12/015</t>
  </si>
  <si>
    <t>Centrifugal Semi-Trash Pump, 80mm - Diesel</t>
  </si>
  <si>
    <t>Centrifugal Semi-Trash Pump, 80mm c/w 6m suction &amp; delivery hose - Diesel</t>
  </si>
  <si>
    <t>12/080</t>
  </si>
  <si>
    <t>Diaphragm Pump, 75mm - Diesel</t>
  </si>
  <si>
    <t>Diaphragm Pump, 75mm c/w 6m suction &amp; delivery hose - Diesel</t>
  </si>
  <si>
    <t>B1201005</t>
  </si>
  <si>
    <t>Gas Oil Drum Transfer Pump, 25mm - Manual</t>
  </si>
  <si>
    <t>Manual Transfer Pump, 25mm</t>
  </si>
  <si>
    <t>B1802005</t>
  </si>
  <si>
    <t>Amber Flashing Light</t>
  </si>
  <si>
    <t>17. Roadworking</t>
  </si>
  <si>
    <t>Road Cones, Lamps and Signs</t>
  </si>
  <si>
    <t>B1802010</t>
  </si>
  <si>
    <t>Road Cone, 450mm</t>
  </si>
  <si>
    <t>B1802015</t>
  </si>
  <si>
    <t>Road Cone, 750mm</t>
  </si>
  <si>
    <t>B1802030</t>
  </si>
  <si>
    <t>Slotted Cone, 750mm</t>
  </si>
  <si>
    <t>B1802025</t>
  </si>
  <si>
    <t>Motorway Road Cone, 1.0m</t>
  </si>
  <si>
    <t>B1802020</t>
  </si>
  <si>
    <t>Road Cone Adaptor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</si>
  <si>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</si>
  <si>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</si>
  <si>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</si>
  <si>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</si>
  <si>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</si>
  <si>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</si>
  <si>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</si>
  <si>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</si>
  <si>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</si>
  <si>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</si>
  <si>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</si>
  <si>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</si>
  <si>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</si>
  <si>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</si>
  <si>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</si>
  <si>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B1802085</t>
  </si>
  <si>
    <t>Pro-Barrier System, 2.0m</t>
  </si>
  <si>
    <t>Pedestrian Barrier System, 2.0m (Pro-Barrier)</t>
  </si>
  <si>
    <t>Safety Barriers and Trench Covers</t>
  </si>
  <si>
    <t>B1802125</t>
  </si>
  <si>
    <t>Folding Barrier System, 1.5m</t>
  </si>
  <si>
    <t>B1802090</t>
  </si>
  <si>
    <t>Melba Log Road Barrier 1m (40kg)</t>
  </si>
  <si>
    <t>Melba Log Road Barrier System, L1.0mxW0.3mxH0.3m</t>
  </si>
  <si>
    <t>B1802100</t>
  </si>
  <si>
    <t>Melba Log Post (Soldier)</t>
  </si>
  <si>
    <t>B1802095</t>
  </si>
  <si>
    <t>Melba Log Barrier Board, 1.75m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</si>
  <si>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</si>
  <si>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</si>
  <si>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</si>
  <si>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</si>
  <si>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</si>
  <si>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</si>
  <si>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B1801060</t>
  </si>
  <si>
    <t>Tarmac Rake</t>
  </si>
  <si>
    <t>Tarmac Rake/Fork</t>
  </si>
  <si>
    <t>General Tools</t>
  </si>
  <si>
    <t>B1801005</t>
  </si>
  <si>
    <t>Hod</t>
  </si>
  <si>
    <t>Hod/Pavers Maul/Punner/Shovel/Sledge Hammer/Pick/Crowbar 5'</t>
  </si>
  <si>
    <t>B1802115</t>
  </si>
  <si>
    <t>Line Marking Trolley</t>
  </si>
  <si>
    <t>19/195</t>
  </si>
  <si>
    <t>Double Fire Extinguisher Cabinet Trolley w/ Doc Display</t>
  </si>
  <si>
    <t>18. Safety and Security</t>
  </si>
  <si>
    <t>Fire</t>
  </si>
  <si>
    <t>19/200</t>
  </si>
  <si>
    <t>Lithium Ion Lith-Ex Fire Extinguisher, 6L</t>
  </si>
  <si>
    <t>19/015</t>
  </si>
  <si>
    <t>Large Site Box, H1190xL900xD620mm</t>
  </si>
  <si>
    <t>Site Storage</t>
  </si>
  <si>
    <t>19/115</t>
  </si>
  <si>
    <t>Site Box, H1200xL1200xD600mm</t>
  </si>
  <si>
    <t>19/125</t>
  </si>
  <si>
    <t>Forma-Stor, Walk-in Storage Unit, H2110xL2075xD1005mm</t>
  </si>
  <si>
    <t>02/245</t>
  </si>
  <si>
    <t>Safety Wheel Clamp to suit 940L Bowser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</si>
  <si>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</si>
  <si>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</si>
  <si>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</si>
  <si>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</si>
  <si>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</si>
  <si>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</si>
  <si>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</si>
  <si>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</si>
  <si>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</si>
  <si>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</si>
  <si>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</si>
  <si>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</si>
  <si>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</si>
  <si>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</si>
  <si>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</si>
  <si>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</si>
  <si>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</si>
  <si>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</si>
  <si>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</si>
  <si>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</si>
  <si>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</si>
  <si>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</si>
  <si>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B1901140</t>
  </si>
  <si>
    <t>Prop Pal MK3, SWL 1050kg - 1200mm</t>
  </si>
  <si>
    <t>Prop Pal MK3 1050kg - 1200mm</t>
  </si>
  <si>
    <t>B1901145</t>
  </si>
  <si>
    <t>Prop Pal Plus, SWL 1050kg - 1800mm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</si>
  <si>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</si>
  <si>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</si>
  <si>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</si>
  <si>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</si>
  <si>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</si>
  <si>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</si>
  <si>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</si>
  <si>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</si>
  <si>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</si>
  <si>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</si>
  <si>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</si>
  <si>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</si>
  <si>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19/040</t>
  </si>
  <si>
    <t>Safety Harness</t>
  </si>
  <si>
    <t>Safety Harness &amp; Lanyard</t>
  </si>
  <si>
    <t>Working at Height</t>
  </si>
  <si>
    <t>19/080</t>
  </si>
  <si>
    <t>Fall Arrest System, 6m</t>
  </si>
  <si>
    <t>Fall Arrest Block, 6m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</si>
  <si>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</si>
  <si>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</si>
  <si>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</si>
  <si>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</si>
  <si>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</si>
  <si>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</si>
  <si>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</si>
  <si>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</si>
  <si>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</si>
  <si>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</si>
  <si>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</si>
  <si>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</si>
  <si>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</si>
  <si>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</si>
  <si>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</si>
  <si>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</si>
  <si>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19/085</t>
  </si>
  <si>
    <t>Fall Arrest System, 11m Vertical and Horizontal</t>
  </si>
  <si>
    <t>Fall Arrest System, 11m Vertical and Horizontal (to suit roof man anchor)</t>
  </si>
  <si>
    <t>B1902005</t>
  </si>
  <si>
    <t>Water Fire Extinguisher, 9L</t>
  </si>
  <si>
    <t>Fire Safety</t>
  </si>
  <si>
    <t>B1902010</t>
  </si>
  <si>
    <t>Foam Fire Extinguisher, 6L</t>
  </si>
  <si>
    <t>Foam Fire Extinguisher, 6L/9L</t>
  </si>
  <si>
    <t>B1902030</t>
  </si>
  <si>
    <t>Powder Fire Extinguisher, 6kg</t>
  </si>
  <si>
    <t>Powder Fire Extinguisher, 6kg/9kg</t>
  </si>
  <si>
    <t>B1902020</t>
  </si>
  <si>
    <t>CO² Fire Extinguisher, 2kg</t>
  </si>
  <si>
    <t>B1902025</t>
  </si>
  <si>
    <t>CO² Fire Extinguisher, 5kg</t>
  </si>
  <si>
    <t>B1902040</t>
  </si>
  <si>
    <t>Fire Point Trolley c/w bell</t>
  </si>
  <si>
    <t>Fire Point Trolley c/w 2 extinguishers &amp; bell</t>
  </si>
  <si>
    <t>19/190</t>
  </si>
  <si>
    <t>Fire Point Trolley c/w Howler</t>
  </si>
  <si>
    <t>Fire Point Trolley c/w Howler &amp; 2 extinguishers</t>
  </si>
  <si>
    <t>19/170</t>
  </si>
  <si>
    <t>Bunded Plastic Mobile Diesel Dispenser, 95L</t>
  </si>
  <si>
    <t>Mobile Bunded Diesel Dispenser, 100L manual pump</t>
  </si>
  <si>
    <t>Environmental Safety</t>
  </si>
  <si>
    <t>B1901035</t>
  </si>
  <si>
    <t>Spillage Drip Tray, 60L capacity</t>
  </si>
  <si>
    <t>B1901040</t>
  </si>
  <si>
    <t>Drum Spill Pallet, 205L capacity (2 drums)</t>
  </si>
  <si>
    <t>19/180</t>
  </si>
  <si>
    <t>Mobile Water Dispenser, 100L</t>
  </si>
  <si>
    <t>B1901045</t>
  </si>
  <si>
    <t>Hydrant Stand Pipe &amp; Key</t>
  </si>
  <si>
    <t>B1802105</t>
  </si>
  <si>
    <t>Metal Fencing Pin</t>
  </si>
  <si>
    <t>Security Barriers &amp; Fencing</t>
  </si>
  <si>
    <t>B1903020</t>
  </si>
  <si>
    <t>Crowd Control Barrier, W2.5xH1.1m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</si>
  <si>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</si>
  <si>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</si>
  <si>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</si>
  <si>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</si>
  <si>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</si>
  <si>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</si>
  <si>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</si>
  <si>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</si>
  <si>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B1903025</t>
  </si>
  <si>
    <t>Security Chain, 3.0m c/w Padlock</t>
  </si>
  <si>
    <t>Security Chain, 3.0m c/w padlock</t>
  </si>
  <si>
    <t>19/010</t>
  </si>
  <si>
    <t>Site Box, H600xL1200xD600mm</t>
  </si>
  <si>
    <t>Site Box, H600xL1200xD600mm c/w 2 mortice locks</t>
  </si>
  <si>
    <t>19/020</t>
  </si>
  <si>
    <t>Site Box, H900xL1200xD600mm</t>
  </si>
  <si>
    <t>Site Box, H900xL1200xD600mm c/w 2 mortice locks</t>
  </si>
  <si>
    <t>19/090</t>
  </si>
  <si>
    <t>Site Box, H1200xL1500xD600mm</t>
  </si>
  <si>
    <t>Site Box, H1200xL1500xD600mm c/w 2 mortice locks</t>
  </si>
  <si>
    <t>19/030</t>
  </si>
  <si>
    <t>Van Vault, H490xL920xD555mm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</si>
  <si>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</si>
  <si>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</si>
  <si>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</si>
  <si>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</si>
  <si>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</si>
  <si>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</si>
  <si>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</si>
  <si>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</si>
  <si>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</si>
  <si>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</si>
  <si>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</si>
  <si>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</si>
  <si>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</si>
  <si>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</si>
  <si>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</si>
  <si>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B1901005</t>
  </si>
  <si>
    <t>Banding Machine</t>
  </si>
  <si>
    <t>Packaging Security</t>
  </si>
  <si>
    <t>XOFFICE</t>
  </si>
  <si>
    <t>Cold Water Chemical Portable Toilet c/w Weekly Service</t>
  </si>
  <si>
    <t>19. Site Office and Catering</t>
  </si>
  <si>
    <t>Warm Water Chemical Portable Toilet c/w Weekly Service</t>
  </si>
  <si>
    <t>B2001005</t>
  </si>
  <si>
    <t>Stacking Chair</t>
  </si>
  <si>
    <t xml:space="preserve">Stacking Chair </t>
  </si>
  <si>
    <t>Event, Canteen &amp; Catering Equipment</t>
  </si>
  <si>
    <t>B2001015</t>
  </si>
  <si>
    <t>Plastic Canteen Table, 1.8x0.75m</t>
  </si>
  <si>
    <t>Canteen Table, 1.83x0.61m</t>
  </si>
  <si>
    <t>B2001010</t>
  </si>
  <si>
    <t>Canteen Form (Bench), 1.83m</t>
  </si>
  <si>
    <t>20/010</t>
  </si>
  <si>
    <t>Water Boiler, 20L - 240V</t>
  </si>
  <si>
    <t>20/020</t>
  </si>
  <si>
    <t>Baby Belling Mini Cooker - 240V</t>
  </si>
  <si>
    <t>Mini Cooker (Baby Belling) - 240V</t>
  </si>
  <si>
    <t>B2001030</t>
  </si>
  <si>
    <t>Microwave</t>
  </si>
  <si>
    <t>B2001025</t>
  </si>
  <si>
    <t>Refrigerator, under worktop</t>
  </si>
  <si>
    <t>20/040</t>
  </si>
  <si>
    <t>Barbecue Grill, L910xW660xH850mm - Propane</t>
  </si>
  <si>
    <t>Large Gas Barbecue Grill - Propane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</si>
  <si>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</si>
  <si>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</si>
  <si>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</si>
  <si>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</si>
  <si>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</si>
  <si>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</si>
  <si>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B2002010</t>
  </si>
  <si>
    <t>Office Chair</t>
  </si>
  <si>
    <t xml:space="preserve">Adjustable Task Chair c/w castors </t>
  </si>
  <si>
    <t>Office Storage</t>
  </si>
  <si>
    <t>B2002015</t>
  </si>
  <si>
    <t>Soft Stacking Chair</t>
  </si>
  <si>
    <t>B2002020</t>
  </si>
  <si>
    <t>Large Meeting Table, 1.5x0.8m</t>
  </si>
  <si>
    <t>Meeting Table</t>
  </si>
  <si>
    <t>B2002005</t>
  </si>
  <si>
    <t>Office Desk c/w pedestal, 1.6x0.8m</t>
  </si>
  <si>
    <t>Office Desk c/w pedestal</t>
  </si>
  <si>
    <t>B2002030</t>
  </si>
  <si>
    <t>1.8m Metal Stationery Cupboard</t>
  </si>
  <si>
    <t xml:space="preserve">Metal Stationery Cupboard, 1.8m </t>
  </si>
  <si>
    <t>B2002025</t>
  </si>
  <si>
    <t>1.5m Metal Stationery Cupboard</t>
  </si>
  <si>
    <t>Metal Stationery Cupboard, 1.5m</t>
  </si>
  <si>
    <t>B2002045</t>
  </si>
  <si>
    <t>4-Drawer Metal Filing Cabinet</t>
  </si>
  <si>
    <t>Four Drawer Metal Filing Cabinet</t>
  </si>
  <si>
    <t>B2002040</t>
  </si>
  <si>
    <t>3-Drawer Metal Filing Cabinet</t>
  </si>
  <si>
    <t>Three Drawer Metal Filing Cabinet</t>
  </si>
  <si>
    <t>B2002035</t>
  </si>
  <si>
    <t>2-Drawer Metal Filing Cabinet</t>
  </si>
  <si>
    <t>Two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</si>
  <si>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</si>
  <si>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</si>
  <si>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</si>
  <si>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</si>
  <si>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</si>
  <si>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</si>
  <si>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</si>
  <si>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</si>
  <si>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</si>
  <si>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</si>
  <si>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</si>
  <si>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</si>
  <si>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</si>
  <si>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14/020</t>
  </si>
  <si>
    <t>Floor Planer/Scarifier, 200mm - Petrol</t>
  </si>
  <si>
    <t>20. Surface Preparation</t>
  </si>
  <si>
    <t>Floor Machines</t>
  </si>
  <si>
    <t>14/060</t>
  </si>
  <si>
    <t>Hand-held Concrete Grinder, 110mm - 110V</t>
  </si>
  <si>
    <t>Grinders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</si>
  <si>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</si>
  <si>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</si>
  <si>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</si>
  <si>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</si>
  <si>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</si>
  <si>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</si>
  <si>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B1401035</t>
  </si>
  <si>
    <t>Extra Weight, 24kg</t>
  </si>
  <si>
    <t xml:space="preserve">   Extra Weight, 24kg for Multi-purpose Floor Grinder, 24kg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</si>
  <si>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</si>
  <si>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</si>
  <si>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</si>
  <si>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</si>
  <si>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</si>
  <si>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</si>
  <si>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14/070</t>
  </si>
  <si>
    <t>Hand-held Scarifier/Stripper, 180mm - 110V</t>
  </si>
  <si>
    <t>Scarifiers, Planer &amp; Strippers</t>
  </si>
  <si>
    <t>14/010</t>
  </si>
  <si>
    <t>Floor Planer/Scarifier, 200mm - 110V (32A)</t>
  </si>
  <si>
    <t>Floor Planer/Scarifier, 200mm - Petrol/110V</t>
  </si>
  <si>
    <t>14/050</t>
  </si>
  <si>
    <t>Floor Tile Stripper, 230mm - 110V</t>
  </si>
  <si>
    <t>14/045</t>
  </si>
  <si>
    <t>Floor Saw, 450mm - Petrol</t>
  </si>
  <si>
    <t>Floor Saws</t>
  </si>
  <si>
    <t>15/084</t>
  </si>
  <si>
    <t>Hilti Internal Rotating Laser Level - Red Beam</t>
  </si>
  <si>
    <t>21. Surveying and Detection</t>
  </si>
  <si>
    <t>Devices</t>
  </si>
  <si>
    <t>Hilti PR30HVS Internal/External Rotating Laser Level</t>
  </si>
  <si>
    <t>15/086</t>
  </si>
  <si>
    <t>Leica Rotating Laser Level</t>
  </si>
  <si>
    <t>15/110</t>
  </si>
  <si>
    <t>Distance Meter, up to 80m</t>
  </si>
  <si>
    <t>15/150</t>
  </si>
  <si>
    <t>Total Survey Station, reflectorless</t>
  </si>
  <si>
    <t>XSURVEY</t>
  </si>
  <si>
    <t>Multi-Gas Monitor</t>
  </si>
  <si>
    <t>Pipe Inspection Camera system, 30m</t>
  </si>
  <si>
    <t>15/010</t>
  </si>
  <si>
    <t>Cable Avoidance Tool (C.A.T)</t>
  </si>
  <si>
    <t>Cable Avoidance Tool (CAT)</t>
  </si>
  <si>
    <t>Cable &amp; Pipe Location</t>
  </si>
  <si>
    <t>15/020</t>
  </si>
  <si>
    <t>Signal Generator for C.A.T</t>
  </si>
  <si>
    <t>15/090</t>
  </si>
  <si>
    <t>Signal Clamp</t>
  </si>
  <si>
    <t>Signal Clamp For Generator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</si>
  <si>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</si>
  <si>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</si>
  <si>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</si>
  <si>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</si>
  <si>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</si>
  <si>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15/100</t>
  </si>
  <si>
    <t>Duct Rodding System (Cobra Reel), 9mm x 120m</t>
  </si>
  <si>
    <t>Duct Rodding System (Cobra Reel), 9mmx120m</t>
  </si>
  <si>
    <t>15/165</t>
  </si>
  <si>
    <t>Standard Sonde 33kHz</t>
  </si>
  <si>
    <t>15/105</t>
  </si>
  <si>
    <t>Hydraulic Manhole Cover Lifter 900x900mm 1.5t</t>
  </si>
  <si>
    <t>15/040</t>
  </si>
  <si>
    <t>Damp Proof Meter</t>
  </si>
  <si>
    <t>Meters, Detection &amp; Communication</t>
  </si>
  <si>
    <t>15/130</t>
  </si>
  <si>
    <t>Sound Level Meter, 30-130dB</t>
  </si>
  <si>
    <t>15/135</t>
  </si>
  <si>
    <t>Wind Speed Anemometer</t>
  </si>
  <si>
    <t>15/035</t>
  </si>
  <si>
    <t>Wall Scanner, up to 150mm depth</t>
  </si>
  <si>
    <t>15/160</t>
  </si>
  <si>
    <t>Two-way Radio (Licence Free)</t>
  </si>
  <si>
    <t>Two-way Radio (Licence Free) c/w 240V charger</t>
  </si>
  <si>
    <t>15/170</t>
  </si>
  <si>
    <t>Six Radio Rapid Charger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</si>
  <si>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</si>
  <si>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</si>
  <si>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</si>
  <si>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</si>
  <si>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</si>
  <si>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</si>
  <si>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15/085</t>
  </si>
  <si>
    <t>Internal/External Rotating Laser Level (Hilti PR30HVS)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</si>
  <si>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</si>
  <si>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</si>
  <si>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</si>
  <si>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</si>
  <si>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</si>
  <si>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</si>
  <si>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16/205</t>
  </si>
  <si>
    <t>Random Orbit Sander - 18V</t>
  </si>
  <si>
    <t>22. Woodworking and Sanding</t>
  </si>
  <si>
    <t>Sanding</t>
  </si>
  <si>
    <t>Premium Long-Reach Dry Wall Sander, 225mm - 110V</t>
  </si>
  <si>
    <t>16/240</t>
  </si>
  <si>
    <t>Router, 6-8mm - 110V</t>
  </si>
  <si>
    <t>Routers and Planers</t>
  </si>
  <si>
    <t>16/230</t>
  </si>
  <si>
    <t>Router, 12.7mm - 110V</t>
  </si>
  <si>
    <t>16/190</t>
  </si>
  <si>
    <t>Planer, 82mm - 110V</t>
  </si>
  <si>
    <t>Planer, 82mm c/w dust bag - 110V</t>
  </si>
  <si>
    <t>16/330</t>
  </si>
  <si>
    <t>18V Cordless Planer, 82mm</t>
  </si>
  <si>
    <t>18V Cordless Planer, 82mm c/w dust bag</t>
  </si>
  <si>
    <t>16/195</t>
  </si>
  <si>
    <t>Thickness Planer, 304mm - 110V</t>
  </si>
  <si>
    <t>16/196</t>
  </si>
  <si>
    <t>Stand for Makita 2012NB Thickness Planer</t>
  </si>
  <si>
    <t>B1601010</t>
  </si>
  <si>
    <t>Height Adjustable Rolling Table</t>
  </si>
  <si>
    <t>Rolling Table</t>
  </si>
  <si>
    <t>Cramps &amp; Clamps</t>
  </si>
  <si>
    <t>B1602005</t>
  </si>
  <si>
    <t>Floor Board Cramp</t>
  </si>
  <si>
    <t>B1602010</t>
  </si>
  <si>
    <t>G-Clamp, 90mm</t>
  </si>
  <si>
    <t>G-Clamp, 150/200/250/300mm</t>
  </si>
  <si>
    <t>B1602035</t>
  </si>
  <si>
    <t>Sash Clamp, up to 500mm</t>
  </si>
  <si>
    <t>Sash Clamp, 300-600mm/600-900mm/900-1200mm/1200-1500mm</t>
  </si>
  <si>
    <t>B1602060</t>
  </si>
  <si>
    <t>Extension Bar For Sash Clamp</t>
  </si>
  <si>
    <t>16/200</t>
  </si>
  <si>
    <t>Palm Sander - 110V</t>
  </si>
  <si>
    <t>Palm Finishing Sander c/w dust bag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</si>
  <si>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</si>
  <si>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</si>
  <si>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</si>
  <si>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</si>
  <si>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</si>
  <si>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</si>
  <si>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16/120</t>
  </si>
  <si>
    <t>Disc Sander/Polisher, 180mm - 110V</t>
  </si>
  <si>
    <t>16/030</t>
  </si>
  <si>
    <t>Belt Sander - 110V</t>
  </si>
  <si>
    <t>Belt Sander c/w dust bag - 110V</t>
  </si>
  <si>
    <t>16/150</t>
  </si>
  <si>
    <t>Floor Sander, 200mm - 110V</t>
  </si>
  <si>
    <t>Floor Sander, 200mm c/w dust bag - 110V</t>
  </si>
  <si>
    <t>16/140</t>
  </si>
  <si>
    <t>Floor Edger, 178mm - 110V</t>
  </si>
  <si>
    <t>Floor Edger, 178mm c/w dust bag - 110V</t>
  </si>
  <si>
    <t>16/370</t>
  </si>
  <si>
    <t>Long-Reach Dry Wall Sander, 225mm - 110V</t>
  </si>
  <si>
    <t>16/375</t>
  </si>
  <si>
    <t>Hilti Long-Reach Dry Wall Sander, 225mm - 110V</t>
  </si>
  <si>
    <t>B0201020</t>
  </si>
  <si>
    <t>Rock Drill Bit for CP22, 28x800mm</t>
  </si>
  <si>
    <t>B0201025</t>
  </si>
  <si>
    <t>Rock Drill Bit for CP22, 22x600mm</t>
  </si>
  <si>
    <t>B0301015</t>
  </si>
  <si>
    <t>Pilot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</si>
  <si>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</si>
  <si>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</si>
  <si>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</si>
  <si>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</si>
  <si>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</si>
  <si>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</si>
  <si>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</si>
  <si>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</si>
  <si>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</si>
  <si>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</si>
  <si>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</si>
  <si>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</si>
  <si>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</si>
  <si>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</si>
  <si>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</si>
  <si>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</si>
  <si>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</si>
  <si>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</si>
  <si>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B0302010</t>
  </si>
  <si>
    <t>12V Spare Battery</t>
  </si>
  <si>
    <t>B0302020</t>
  </si>
  <si>
    <t>14V Spare Battery</t>
  </si>
  <si>
    <t>B0302050</t>
  </si>
  <si>
    <t>36V Spare Battery</t>
  </si>
  <si>
    <t>B0302060</t>
  </si>
  <si>
    <t>9.6V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</si>
  <si>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</si>
  <si>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</si>
  <si>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</si>
  <si>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</si>
  <si>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</si>
  <si>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</si>
  <si>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</si>
  <si>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</si>
  <si>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</si>
  <si>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</si>
  <si>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</si>
  <si>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</si>
  <si>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</si>
  <si>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</si>
  <si>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</si>
  <si>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</si>
  <si>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</si>
  <si>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</si>
  <si>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</si>
  <si>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</si>
  <si>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</si>
  <si>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</si>
  <si>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</si>
  <si>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</si>
  <si>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</si>
  <si>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</si>
  <si>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</si>
  <si>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</si>
  <si>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</si>
  <si>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</si>
  <si>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</si>
  <si>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</si>
  <si>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</si>
  <si>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</si>
  <si>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</si>
  <si>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</si>
  <si>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</si>
  <si>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</si>
  <si>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</si>
  <si>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</si>
  <si>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</si>
  <si>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</si>
  <si>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</si>
  <si>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</si>
  <si>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</si>
  <si>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</si>
  <si>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</si>
  <si>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</si>
  <si>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</si>
  <si>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</si>
  <si>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</si>
  <si>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</si>
  <si>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</si>
  <si>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</si>
  <si>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</si>
  <si>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</si>
  <si>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</si>
  <si>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</si>
  <si>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</si>
  <si>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</si>
  <si>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</si>
  <si>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</si>
  <si>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</si>
  <si>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</si>
  <si>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</si>
  <si>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</si>
  <si>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</si>
  <si>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</si>
  <si>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</si>
  <si>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</si>
  <si>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</si>
  <si>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</si>
  <si>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</si>
  <si>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</si>
  <si>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</si>
  <si>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</si>
  <si>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</si>
  <si>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</si>
  <si>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</si>
  <si>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</si>
  <si>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</si>
  <si>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</si>
  <si>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</si>
  <si>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</si>
  <si>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</si>
  <si>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</si>
  <si>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</si>
  <si>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</si>
  <si>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</si>
  <si>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</si>
  <si>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</si>
  <si>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</si>
  <si>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</si>
  <si>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</si>
  <si>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</si>
  <si>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</si>
  <si>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</si>
  <si>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</si>
  <si>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</si>
  <si>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</si>
  <si>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</si>
  <si>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</si>
  <si>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</si>
  <si>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</si>
  <si>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</si>
  <si>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</si>
  <si>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</si>
  <si>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</si>
  <si>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</si>
  <si>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</si>
  <si>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</si>
  <si>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</si>
  <si>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</si>
  <si>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</si>
  <si>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</si>
  <si>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</si>
  <si>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</si>
  <si>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</si>
  <si>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</si>
  <si>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</si>
  <si>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</si>
  <si>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</si>
  <si>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</si>
  <si>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</si>
  <si>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</si>
  <si>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</si>
  <si>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</si>
  <si>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</si>
  <si>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</si>
  <si>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</si>
  <si>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</si>
  <si>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</si>
  <si>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</si>
  <si>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</si>
  <si>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</si>
  <si>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</si>
  <si>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</si>
  <si>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</si>
  <si>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</si>
  <si>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</si>
  <si>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</si>
  <si>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</si>
  <si>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</si>
  <si>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</si>
  <si>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</si>
  <si>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</si>
  <si>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</si>
  <si>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</si>
  <si>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</si>
  <si>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</si>
  <si>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</si>
  <si>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</si>
  <si>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</si>
  <si>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</si>
  <si>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</si>
  <si>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</si>
  <si>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</si>
  <si>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</si>
  <si>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</si>
  <si>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</si>
  <si>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</si>
  <si>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</si>
  <si>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</si>
  <si>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</si>
  <si>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</si>
  <si>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</si>
  <si>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</si>
  <si>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</si>
  <si>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B0401010</t>
  </si>
  <si>
    <t>70/90L Industrial Tub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</si>
  <si>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</si>
  <si>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</si>
  <si>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</si>
  <si>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</si>
  <si>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</si>
  <si>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</si>
  <si>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</si>
  <si>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</si>
  <si>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</si>
  <si>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</si>
  <si>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</si>
  <si>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</si>
  <si>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</si>
  <si>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</si>
  <si>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</si>
  <si>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</si>
  <si>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</si>
  <si>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</si>
  <si>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</si>
  <si>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</si>
  <si>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</si>
  <si>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</si>
  <si>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</si>
  <si>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</si>
  <si>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</si>
  <si>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</si>
  <si>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</si>
  <si>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</si>
  <si>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</si>
  <si>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</si>
  <si>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</si>
  <si>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</si>
  <si>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</si>
  <si>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</si>
  <si>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</si>
  <si>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</si>
  <si>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</si>
  <si>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</si>
  <si>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</si>
  <si>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</si>
  <si>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B0601015</t>
  </si>
  <si>
    <t>Test Cube Mould, 150mm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</si>
  <si>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</si>
  <si>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</si>
  <si>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</si>
  <si>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</si>
  <si>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</si>
  <si>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</si>
  <si>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</si>
  <si>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</si>
  <si>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</si>
  <si>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</si>
  <si>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</si>
  <si>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</si>
  <si>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</si>
  <si>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</si>
  <si>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</si>
  <si>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</si>
  <si>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</si>
  <si>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</si>
  <si>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</si>
  <si>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</si>
  <si>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</si>
  <si>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</si>
  <si>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</si>
  <si>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</si>
  <si>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</si>
  <si>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</si>
  <si>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</si>
  <si>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</si>
  <si>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</si>
  <si>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</si>
  <si>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</si>
  <si>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</si>
  <si>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</si>
  <si>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</si>
  <si>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</si>
  <si>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</si>
  <si>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</si>
  <si>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</si>
  <si>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</si>
  <si>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</si>
  <si>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</si>
  <si>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</si>
  <si>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</si>
  <si>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</si>
  <si>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</si>
  <si>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</si>
  <si>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</si>
  <si>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</si>
  <si>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</si>
  <si>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</si>
  <si>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</si>
  <si>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</si>
  <si>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</si>
  <si>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</si>
  <si>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</si>
  <si>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</si>
  <si>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</si>
  <si>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</si>
  <si>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</si>
  <si>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</si>
  <si>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</si>
  <si>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</si>
  <si>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</si>
  <si>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</si>
  <si>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</si>
  <si>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</si>
  <si>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</si>
  <si>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</si>
  <si>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</si>
  <si>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</si>
  <si>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</si>
  <si>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</si>
  <si>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</si>
  <si>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</si>
  <si>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</si>
  <si>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</si>
  <si>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</si>
  <si>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</si>
  <si>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</si>
  <si>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</si>
  <si>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</si>
  <si>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</si>
  <si>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</si>
  <si>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</si>
  <si>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</si>
  <si>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</si>
  <si>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</si>
  <si>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</si>
  <si>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</si>
  <si>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</si>
  <si>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</si>
  <si>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</si>
  <si>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</si>
  <si>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</si>
  <si>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</si>
  <si>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</si>
  <si>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</si>
  <si>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</si>
  <si>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</si>
  <si>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</si>
  <si>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</si>
  <si>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</si>
  <si>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</si>
  <si>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</si>
  <si>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</si>
  <si>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</si>
  <si>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</si>
  <si>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</si>
  <si>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</si>
  <si>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</si>
  <si>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</si>
  <si>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</si>
  <si>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</si>
  <si>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</si>
  <si>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</si>
  <si>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</si>
  <si>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</si>
  <si>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</si>
  <si>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</si>
  <si>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</si>
  <si>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</si>
  <si>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</si>
  <si>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</si>
  <si>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</si>
  <si>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</si>
  <si>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</si>
  <si>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B1301015</t>
  </si>
  <si>
    <t>16A Extension Lead, 14m - 240V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</si>
  <si>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</si>
  <si>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</si>
  <si>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</si>
  <si>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</si>
  <si>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</si>
  <si>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</si>
  <si>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</si>
  <si>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</si>
  <si>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</si>
  <si>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</si>
  <si>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</si>
  <si>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</si>
  <si>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</si>
  <si>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</si>
  <si>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</si>
  <si>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</si>
  <si>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</si>
  <si>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</si>
  <si>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</si>
  <si>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</si>
  <si>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</si>
  <si>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</si>
  <si>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</si>
  <si>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</si>
  <si>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</si>
  <si>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</si>
  <si>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</si>
  <si>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</si>
  <si>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</si>
  <si>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</si>
  <si>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</si>
  <si>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</si>
  <si>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</si>
  <si>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</si>
  <si>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</si>
  <si>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</si>
  <si>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</si>
  <si>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</si>
  <si>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</si>
  <si>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</si>
  <si>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</si>
  <si>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</si>
  <si>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</si>
  <si>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</si>
  <si>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</si>
  <si>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</si>
  <si>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</si>
  <si>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</si>
  <si>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</si>
  <si>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</si>
  <si>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</si>
  <si>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</si>
  <si>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</si>
  <si>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</si>
  <si>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</si>
  <si>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</si>
  <si>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</si>
  <si>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B1701015</t>
  </si>
  <si>
    <t>Air Bag Drain Stopper, 100mm</t>
  </si>
  <si>
    <t>B1701020</t>
  </si>
  <si>
    <t>Air Bag Drain Stopper, 150mm</t>
  </si>
  <si>
    <t>B1701030</t>
  </si>
  <si>
    <t>Foot Pump For Air Bag Drain Stopper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</si>
  <si>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</si>
  <si>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</si>
  <si>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</si>
  <si>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</si>
  <si>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</si>
  <si>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</si>
  <si>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B1701063</t>
  </si>
  <si>
    <t>Universal Manhole Key Set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</si>
  <si>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</si>
  <si>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</si>
  <si>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</si>
  <si>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</si>
  <si>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</si>
  <si>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</si>
  <si>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</si>
  <si>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</si>
  <si>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</si>
  <si>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</si>
  <si>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</si>
  <si>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</si>
  <si>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</si>
  <si>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</si>
  <si>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</si>
  <si>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</si>
  <si>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</si>
  <si>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</si>
  <si>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</si>
  <si>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</si>
  <si>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</si>
  <si>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</si>
  <si>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</si>
  <si>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</si>
  <si>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</si>
  <si>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</si>
  <si>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</si>
  <si>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</si>
  <si>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</si>
  <si>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</si>
  <si>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</si>
  <si>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</si>
  <si>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</si>
  <si>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</si>
  <si>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</si>
  <si>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</si>
  <si>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</si>
  <si>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</si>
  <si>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B1705010</t>
  </si>
  <si>
    <t>Cast Iron Link Pipe Cutter, up to 12" - Manual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</si>
  <si>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</si>
  <si>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</si>
  <si>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</si>
  <si>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</si>
  <si>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</si>
  <si>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</si>
  <si>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</si>
  <si>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</si>
  <si>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</si>
  <si>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</si>
  <si>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</si>
  <si>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</si>
  <si>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</si>
  <si>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</si>
  <si>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</si>
  <si>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</si>
  <si>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B1801065</t>
  </si>
  <si>
    <t>Tarmac Fork</t>
  </si>
  <si>
    <t>B1802007</t>
  </si>
  <si>
    <t>Maxilite LED Amber Light</t>
  </si>
  <si>
    <t>B1802084</t>
  </si>
  <si>
    <t>Blue Pro-Barrier System c/w Hi-Viz Anti-Trip Feet, 2.0m</t>
  </si>
  <si>
    <t>B1802086</t>
  </si>
  <si>
    <t>Avalon Manhole Barrier, 1m</t>
  </si>
  <si>
    <t>B1802089</t>
  </si>
  <si>
    <t>Wonder Wall Extension, Plastic Double Top</t>
  </si>
  <si>
    <t>B1802120</t>
  </si>
  <si>
    <t>Pro-Barrier System c/w Hi-Viz Anti-Trip Feet, 2.0m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</si>
  <si>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</si>
  <si>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</si>
  <si>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</si>
  <si>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</si>
  <si>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</si>
  <si>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</si>
  <si>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</si>
  <si>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</si>
  <si>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</si>
  <si>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</si>
  <si>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</si>
  <si>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</si>
  <si>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B1901036</t>
  </si>
  <si>
    <t>Spillage Drip Tray, 60x60x7cm, 28L Capacity</t>
  </si>
  <si>
    <t>B1901037</t>
  </si>
  <si>
    <t>Metal Spillage Drip Tray, 3' x 2'</t>
  </si>
  <si>
    <t>B1901105</t>
  </si>
  <si>
    <t>No.0 Push Pull Prop, 1.14-1.83m</t>
  </si>
  <si>
    <t>B1901150</t>
  </si>
  <si>
    <t>Drum Tray, 1200x1200x120mm</t>
  </si>
  <si>
    <t>B1902015</t>
  </si>
  <si>
    <t>Foam Fire Extinguisher, 9L</t>
  </si>
  <si>
    <t>B1902035</t>
  </si>
  <si>
    <t>Powder Fire Extinguisher, 9kg</t>
  </si>
  <si>
    <t>B1902045</t>
  </si>
  <si>
    <t>Water Fire Extinguisher, 6L</t>
  </si>
  <si>
    <t>B1903015</t>
  </si>
  <si>
    <t>Fence Panel Stabiliser</t>
  </si>
  <si>
    <t>B1903055</t>
  </si>
  <si>
    <t>Ballast Block, 50kg</t>
  </si>
  <si>
    <t>B1904005</t>
  </si>
  <si>
    <t>Brick Guard</t>
  </si>
  <si>
    <t>B2001017</t>
  </si>
  <si>
    <t>Wooden Laminate Canteen Table, 1.83x0.73 m</t>
  </si>
  <si>
    <t>B2001020</t>
  </si>
  <si>
    <t>Gas Barbecue Grill - Butane</t>
  </si>
  <si>
    <t>B2001045</t>
  </si>
  <si>
    <t>Cordless Kettle 2.2kW 1.7l - Strix Controller</t>
  </si>
  <si>
    <t>B2002075</t>
  </si>
  <si>
    <t>Pedestal c/w key</t>
  </si>
  <si>
    <t>B2002080</t>
  </si>
  <si>
    <t>Small Meeting Table, 1.2x0.75m</t>
  </si>
  <si>
    <t>B2102005</t>
  </si>
  <si>
    <t>Extra 3m Lift For Chain Block</t>
  </si>
  <si>
    <t>B2102065</t>
  </si>
  <si>
    <t>VPH RS Wheel Kit</t>
  </si>
  <si>
    <t>B2102070</t>
  </si>
  <si>
    <t>SLA Boom Attachment for Material Lift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</si>
  <si>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</si>
  <si>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</si>
  <si>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</si>
  <si>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</si>
  <si>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</si>
  <si>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</si>
  <si>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</si>
  <si>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</si>
  <si>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</si>
  <si>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</si>
  <si>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</si>
  <si>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</si>
  <si>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</si>
  <si>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</si>
  <si>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</si>
  <si>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</si>
  <si>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</si>
  <si>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</si>
  <si>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</si>
  <si>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</si>
  <si>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B0701</t>
  </si>
  <si>
    <t>Diamond Cup Wheel, 125mm</t>
  </si>
  <si>
    <t>B1001</t>
  </si>
  <si>
    <t>100mm Auger Bit</t>
  </si>
  <si>
    <t>B1301</t>
  </si>
  <si>
    <t>16A-13A Fly Lead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</si>
  <si>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</si>
  <si>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</si>
  <si>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</si>
  <si>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</si>
  <si>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</si>
  <si>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</si>
  <si>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</si>
  <si>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</si>
  <si>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</si>
  <si>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</si>
  <si>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</si>
  <si>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</si>
  <si>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</si>
  <si>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</si>
  <si>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</si>
  <si>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</si>
  <si>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</si>
  <si>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</si>
  <si>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B2105</t>
  </si>
  <si>
    <t>Gas Cylinder (CO2) 6.5kg UN1013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</si>
  <si>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</si>
  <si>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</si>
  <si>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</si>
  <si>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</si>
  <si>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</si>
  <si>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</si>
  <si>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</si>
  <si>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</si>
  <si>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</si>
  <si>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</si>
  <si>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</si>
  <si>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</si>
  <si>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</si>
  <si>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</si>
  <si>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</si>
  <si>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</si>
  <si>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</si>
  <si>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VEHICLES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</si>
  <si>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</si>
  <si>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</si>
  <si>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</si>
  <si>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</si>
  <si>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</si>
  <si>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</si>
  <si>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</si>
  <si>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</si>
  <si>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</si>
  <si>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</si>
  <si>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</si>
  <si>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</si>
  <si>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</si>
  <si>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</si>
  <si>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</si>
  <si>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</si>
  <si>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</si>
  <si>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</si>
  <si>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</si>
  <si>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</si>
  <si>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</si>
  <si>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</si>
  <si>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</si>
  <si>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</si>
  <si>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</si>
  <si>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</si>
  <si>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</si>
  <si>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</si>
  <si>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</si>
  <si>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</si>
  <si>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</si>
  <si>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</si>
  <si>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</si>
  <si>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</si>
  <si>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</si>
  <si>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</si>
  <si>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</si>
  <si>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</si>
  <si>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</si>
  <si>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</si>
  <si>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</si>
  <si>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</si>
  <si>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</si>
  <si>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</si>
  <si>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</si>
  <si>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</si>
  <si>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</si>
  <si>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</si>
  <si>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</si>
  <si>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</si>
  <si>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</si>
  <si>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</si>
  <si>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</si>
  <si>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</si>
  <si>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</si>
  <si>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</si>
  <si>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</si>
  <si>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</si>
  <si>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</si>
  <si>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</si>
  <si>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</si>
  <si>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</si>
  <si>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</si>
  <si>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</si>
  <si>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</si>
  <si>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</si>
  <si>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</si>
  <si>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</si>
  <si>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</si>
  <si>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</si>
  <si>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</si>
  <si>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</si>
  <si>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</si>
  <si>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</si>
  <si>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</si>
  <si>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</si>
  <si>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</si>
  <si>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</si>
  <si>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</si>
  <si>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</si>
  <si>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</si>
  <si>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</si>
  <si>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</si>
  <si>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</si>
  <si>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</si>
  <si>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</si>
  <si>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</si>
  <si>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</si>
  <si>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</si>
  <si>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</si>
  <si>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</si>
  <si>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</si>
  <si>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</si>
  <si>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</si>
  <si>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</si>
  <si>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</si>
  <si>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</si>
  <si>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</si>
  <si>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</si>
  <si>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</si>
  <si>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</si>
  <si>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</si>
  <si>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</si>
  <si>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</si>
  <si>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</si>
  <si>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</si>
  <si>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</si>
  <si>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</si>
  <si>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</si>
  <si>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</si>
  <si>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</si>
  <si>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</si>
  <si>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</si>
  <si>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</si>
  <si>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</si>
  <si>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</si>
  <si>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</si>
  <si>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</si>
  <si>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</si>
  <si>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</si>
  <si>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</si>
  <si>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</si>
  <si>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</si>
  <si>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</si>
  <si>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</si>
  <si>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</si>
  <si>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</si>
  <si>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</si>
  <si>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</si>
  <si>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</si>
  <si>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</si>
  <si>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</si>
  <si>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</si>
  <si>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</si>
  <si>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</si>
  <si>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</si>
  <si>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</si>
  <si>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</si>
  <si>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</si>
  <si>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</si>
  <si>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</si>
  <si>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</si>
  <si>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</si>
  <si>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</si>
  <si>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</si>
  <si>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</si>
  <si>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</si>
  <si>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</si>
  <si>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</si>
  <si>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</si>
  <si>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</si>
  <si>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</si>
  <si>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</si>
  <si>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</si>
  <si>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</si>
  <si>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</si>
  <si>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</si>
  <si>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</si>
  <si>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</si>
  <si>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</si>
  <si>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</si>
  <si>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</si>
  <si>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</si>
  <si>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</si>
  <si>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</si>
  <si>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</si>
  <si>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</si>
  <si>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</si>
  <si>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</si>
  <si>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</si>
  <si>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</si>
  <si>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</si>
  <si>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</si>
  <si>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</si>
  <si>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</si>
  <si>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</si>
  <si>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</si>
  <si>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</si>
  <si>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</si>
  <si>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</si>
  <si>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</si>
  <si>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</si>
  <si>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</si>
  <si>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</si>
  <si>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</si>
  <si>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Steps and Ladders</t>
  </si>
  <si>
    <t>Stairs</t>
  </si>
  <si>
    <t>Tower</t>
  </si>
  <si>
    <t>One2 Tower, 1 Person Build, 2 Person Use</t>
  </si>
  <si>
    <t>Navigator 6.0</t>
  </si>
  <si>
    <t>Scrabbler</t>
  </si>
  <si>
    <t>Batteries</t>
  </si>
  <si>
    <t>Air Cleaner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</si>
  <si>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</si>
  <si>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</si>
  <si>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</si>
  <si>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</si>
  <si>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</si>
  <si>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</si>
  <si>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</si>
  <si>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</si>
  <si>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</si>
  <si>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</si>
  <si>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</si>
  <si>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</si>
  <si>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</si>
  <si>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</si>
  <si>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</si>
  <si>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</si>
  <si>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</si>
  <si>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</si>
  <si>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</si>
  <si>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</si>
  <si>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</si>
  <si>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</si>
  <si>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</si>
  <si>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</si>
  <si>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</si>
  <si>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</si>
  <si>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</si>
  <si>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</si>
  <si>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</si>
  <si>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</si>
  <si>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</si>
  <si>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</si>
  <si>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</si>
  <si>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</si>
  <si>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</si>
  <si>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</si>
  <si>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</si>
  <si>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</si>
  <si>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</si>
  <si>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</si>
  <si>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</si>
  <si>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</si>
  <si>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</si>
  <si>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</si>
  <si>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</si>
  <si>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</si>
  <si>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</si>
  <si>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</si>
  <si>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</si>
  <si>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</si>
  <si>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</si>
  <si>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</si>
  <si>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</si>
  <si>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</si>
  <si>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</si>
  <si>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</si>
  <si>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</si>
  <si>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</si>
  <si>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</si>
  <si>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</si>
  <si>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</si>
  <si>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</si>
  <si>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</si>
  <si>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</si>
  <si>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</si>
  <si>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</si>
  <si>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</si>
  <si>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</si>
  <si>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</si>
  <si>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</si>
  <si>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</si>
  <si>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</si>
  <si>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</si>
  <si>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</si>
  <si>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</si>
  <si>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</si>
  <si>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</si>
  <si>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</si>
  <si>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</si>
  <si>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</si>
  <si>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</si>
  <si>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</si>
  <si>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</si>
  <si>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</si>
  <si>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</si>
  <si>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</si>
  <si>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</si>
  <si>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</si>
  <si>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</si>
  <si>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</si>
  <si>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</si>
  <si>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</si>
  <si>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</si>
  <si>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</si>
  <si>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</si>
  <si>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</si>
  <si>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</si>
  <si>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</si>
  <si>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</si>
  <si>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</si>
  <si>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</si>
  <si>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</si>
  <si>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</si>
  <si>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</si>
  <si>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</si>
  <si>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</si>
  <si>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</si>
  <si>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</si>
  <si>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</si>
  <si>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</si>
  <si>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</si>
  <si>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</si>
  <si>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</si>
  <si>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</si>
  <si>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</si>
  <si>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</si>
  <si>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</si>
  <si>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</si>
  <si>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</si>
  <si>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</si>
  <si>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</si>
  <si>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</si>
  <si>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</si>
  <si>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</si>
  <si>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</si>
  <si>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</si>
  <si>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</si>
  <si>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</si>
  <si>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</si>
  <si>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</si>
  <si>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</si>
  <si>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</si>
  <si>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</si>
  <si>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</si>
  <si>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</si>
  <si>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</si>
  <si>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</si>
  <si>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</si>
  <si>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</si>
  <si>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</si>
  <si>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</si>
  <si>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</si>
  <si>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</si>
  <si>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</si>
  <si>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</si>
  <si>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</si>
  <si>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</si>
  <si>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</si>
  <si>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</si>
  <si>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</si>
  <si>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</si>
  <si>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</si>
  <si>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</si>
  <si>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</si>
  <si>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</si>
  <si>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</si>
  <si>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</si>
  <si>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</si>
  <si>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</si>
  <si>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</si>
  <si>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</si>
  <si>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</si>
  <si>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</si>
  <si>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</si>
  <si>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</si>
  <si>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</si>
  <si>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</si>
  <si>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</si>
  <si>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</si>
  <si>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</si>
  <si>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</si>
  <si>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</si>
  <si>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</si>
  <si>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</si>
  <si>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</si>
  <si>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</si>
  <si>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</si>
  <si>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</si>
  <si>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</si>
  <si>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</si>
  <si>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</si>
  <si>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</si>
  <si>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</si>
  <si>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</si>
  <si>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</si>
  <si>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</si>
  <si>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</si>
  <si>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</si>
  <si>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</si>
  <si>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</si>
  <si>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</si>
  <si>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</si>
  <si>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</si>
  <si>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</si>
  <si>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</si>
  <si>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</si>
  <si>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</si>
  <si>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</si>
  <si>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</si>
  <si>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</si>
  <si>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</si>
  <si>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</si>
  <si>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</si>
  <si>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</si>
  <si>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</si>
  <si>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</si>
  <si>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</si>
  <si>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</si>
  <si>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</si>
  <si>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</si>
  <si>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</si>
  <si>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</si>
  <si>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</si>
  <si>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</si>
  <si>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</si>
  <si>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</si>
  <si>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</si>
  <si>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</si>
  <si>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</si>
  <si>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</si>
  <si>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</si>
  <si>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</si>
  <si>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</si>
  <si>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</si>
  <si>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</si>
  <si>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</si>
  <si>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</si>
  <si>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</si>
  <si>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</si>
  <si>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</si>
  <si>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</si>
  <si>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</si>
  <si>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</si>
  <si>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</si>
  <si>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</si>
  <si>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</si>
  <si>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</si>
  <si>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</si>
  <si>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</si>
  <si>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</si>
  <si>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</si>
  <si>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</si>
  <si>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</si>
  <si>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</si>
  <si>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</si>
  <si>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</si>
  <si>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</si>
  <si>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</si>
  <si>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</si>
  <si>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</si>
  <si>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</si>
  <si>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</si>
  <si>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</si>
  <si>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</si>
  <si>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</si>
  <si>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</si>
  <si>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</si>
  <si>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</si>
  <si>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</si>
  <si>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</si>
  <si>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</si>
  <si>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</si>
  <si>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</si>
  <si>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</si>
  <si>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</si>
  <si>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</si>
  <si>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</si>
  <si>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</si>
  <si>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</si>
  <si>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</si>
  <si>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</si>
  <si>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</si>
  <si>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</si>
  <si>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</si>
  <si>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</si>
  <si>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</si>
  <si>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</si>
  <si>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</si>
  <si>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</si>
  <si>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</si>
  <si>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</si>
  <si>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</si>
  <si>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</si>
  <si>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</si>
  <si>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</si>
  <si>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</si>
  <si>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</si>
  <si>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</si>
  <si>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</si>
  <si>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</si>
  <si>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</si>
  <si>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</si>
  <si>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</si>
  <si>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</si>
  <si>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</si>
  <si>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</si>
  <si>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</si>
  <si>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</si>
  <si>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</si>
  <si>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</si>
  <si>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</si>
  <si>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</si>
  <si>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</si>
  <si>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</si>
  <si>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</si>
  <si>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</si>
  <si>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</si>
  <si>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</si>
  <si>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</si>
  <si>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</si>
  <si>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</si>
  <si>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</si>
  <si>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</si>
  <si>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</si>
  <si>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</si>
  <si>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</si>
  <si>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</si>
  <si>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</si>
  <si>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</si>
  <si>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</si>
  <si>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</si>
  <si>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</si>
  <si>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</si>
  <si>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</si>
  <si>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</si>
  <si>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</si>
  <si>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</si>
  <si>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</si>
  <si>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</si>
  <si>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</si>
  <si>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</si>
  <si>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</si>
  <si>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</si>
  <si>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</si>
  <si>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</si>
  <si>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</si>
  <si>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</si>
  <si>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</si>
  <si>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</si>
  <si>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</si>
  <si>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</si>
  <si>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</si>
  <si>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</si>
  <si>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</si>
  <si>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</si>
  <si>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</si>
  <si>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</si>
  <si>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</si>
  <si>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</si>
  <si>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</si>
  <si>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</si>
  <si>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</si>
  <si>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</si>
  <si>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</si>
  <si>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</si>
  <si>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</si>
  <si>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</si>
  <si>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</si>
  <si>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</si>
  <si>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</si>
  <si>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</si>
  <si>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</si>
  <si>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</si>
  <si>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</si>
  <si>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</si>
  <si>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</si>
  <si>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</si>
  <si>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</si>
  <si>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</si>
  <si>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</si>
  <si>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</si>
  <si>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</si>
  <si>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</si>
  <si>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</si>
  <si>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</si>
  <si>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</si>
  <si>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</si>
  <si>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</si>
  <si>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</si>
  <si>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</si>
  <si>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</si>
  <si>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</si>
  <si>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</si>
  <si>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</si>
  <si>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</si>
  <si>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</si>
  <si>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</si>
  <si>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</si>
  <si>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</si>
  <si>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</si>
  <si>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</si>
  <si>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</si>
  <si>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</si>
  <si>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</si>
  <si>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</si>
  <si>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</si>
  <si>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</si>
  <si>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</si>
  <si>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</si>
  <si>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</si>
  <si>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</si>
  <si>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</si>
  <si>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</si>
  <si>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</si>
  <si>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</si>
  <si>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</si>
  <si>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</si>
  <si>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</si>
  <si>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</si>
  <si>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</si>
  <si>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</si>
  <si>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</si>
  <si>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</si>
  <si>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</si>
  <si>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</si>
  <si>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</si>
  <si>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</si>
  <si>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</si>
  <si>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</si>
  <si>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</si>
  <si>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</si>
  <si>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</si>
  <si>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</si>
  <si>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</si>
  <si>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</si>
  <si>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</si>
  <si>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</si>
  <si>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</si>
  <si>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</si>
  <si>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</si>
  <si>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</si>
  <si>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</si>
  <si>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</si>
  <si>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</si>
  <si>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</si>
  <si>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</si>
  <si>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</si>
  <si>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</si>
  <si>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</si>
  <si>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</si>
  <si>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</si>
  <si>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</si>
  <si>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</si>
  <si>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</si>
  <si>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</si>
  <si>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</si>
  <si>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</si>
  <si>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</si>
  <si>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</si>
  <si>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</si>
  <si>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</si>
  <si>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</si>
  <si>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</si>
  <si>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</si>
  <si>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</si>
  <si>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</si>
  <si>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</si>
  <si>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</si>
  <si>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</si>
  <si>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</si>
  <si>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</si>
  <si>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</si>
  <si>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</si>
  <si>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</si>
  <si>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</si>
  <si>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</si>
  <si>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</si>
  <si>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</si>
  <si>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</si>
  <si>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</si>
  <si>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</si>
  <si>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</si>
  <si>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</si>
  <si>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</si>
  <si>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</si>
  <si>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</si>
  <si>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</si>
  <si>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</si>
  <si>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</si>
  <si>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</si>
  <si>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</si>
  <si>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Wood, Metal &amp; Plastic Cutting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</si>
  <si>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</si>
  <si>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</si>
  <si>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</si>
  <si>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</si>
  <si>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</si>
  <si>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</si>
  <si>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</si>
  <si>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</si>
  <si>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</si>
  <si>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</si>
  <si>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</si>
  <si>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</si>
  <si>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</si>
  <si>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</si>
  <si>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</si>
  <si>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</si>
  <si>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</si>
  <si>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</si>
  <si>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</si>
  <si>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</si>
  <si>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</si>
  <si>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</si>
  <si>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</si>
  <si>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</si>
  <si>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</si>
  <si>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</si>
  <si>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</si>
  <si>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</si>
  <si>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</si>
  <si>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</si>
  <si>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</si>
  <si>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</si>
  <si>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</si>
  <si>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</si>
  <si>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</si>
  <si>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</si>
  <si>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</si>
  <si>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</si>
  <si>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</si>
  <si>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</si>
  <si>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</si>
  <si>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</si>
  <si>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</si>
  <si>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</si>
  <si>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</si>
  <si>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</si>
  <si>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</si>
  <si>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</si>
  <si>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</si>
  <si>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</si>
  <si>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</si>
  <si>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</si>
  <si>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</si>
  <si>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</si>
  <si>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</si>
  <si>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</si>
  <si>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</si>
  <si>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</si>
  <si>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</si>
  <si>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</si>
  <si>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</si>
  <si>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</si>
  <si>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</si>
  <si>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</si>
  <si>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</si>
  <si>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</si>
  <si>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</si>
  <si>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</si>
  <si>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</si>
  <si>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</si>
  <si>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</si>
  <si>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</si>
  <si>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</si>
  <si>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</si>
  <si>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</si>
  <si>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</si>
  <si>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</si>
  <si>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</si>
  <si>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</si>
  <si>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</si>
  <si>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</si>
  <si>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</si>
  <si>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</si>
  <si>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</si>
  <si>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</si>
  <si>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</si>
  <si>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</si>
  <si>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</si>
  <si>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</si>
  <si>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</si>
  <si>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</si>
  <si>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</si>
  <si>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</si>
  <si>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</si>
  <si>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</si>
  <si>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</si>
  <si>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</si>
  <si>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</si>
  <si>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</si>
  <si>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</si>
  <si>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</si>
  <si>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</si>
  <si>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</si>
  <si>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</si>
  <si>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</si>
  <si>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</si>
  <si>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</si>
  <si>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</si>
  <si>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</si>
  <si>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</si>
  <si>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</si>
  <si>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</si>
  <si>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</si>
  <si>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</si>
  <si>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</si>
  <si>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</si>
  <si>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</si>
  <si>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</si>
  <si>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</si>
  <si>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</si>
  <si>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</si>
  <si>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</si>
  <si>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</si>
  <si>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</si>
  <si>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</si>
  <si>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</si>
  <si>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</si>
  <si>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</si>
  <si>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</si>
  <si>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</si>
  <si>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</si>
  <si>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</si>
  <si>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</si>
  <si>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</si>
  <si>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</si>
  <si>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</si>
  <si>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</si>
  <si>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</si>
  <si>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</si>
  <si>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</si>
  <si>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</si>
  <si>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</si>
  <si>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</si>
  <si>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</si>
  <si>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</si>
  <si>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</si>
  <si>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</si>
  <si>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</si>
  <si>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</si>
  <si>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</si>
  <si>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</si>
  <si>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</si>
  <si>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</si>
  <si>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</si>
  <si>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</si>
  <si>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</si>
  <si>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</si>
  <si>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</si>
  <si>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</si>
  <si>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</si>
  <si>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</si>
  <si>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</si>
  <si>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</si>
  <si>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</si>
  <si>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</si>
  <si>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</si>
  <si>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</si>
  <si>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</si>
  <si>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</si>
  <si>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</si>
  <si>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</si>
  <si>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</si>
  <si>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</si>
  <si>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</si>
  <si>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</si>
  <si>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</si>
  <si>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</si>
  <si>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</si>
  <si>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</si>
  <si>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</si>
  <si>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</si>
  <si>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</si>
  <si>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</si>
  <si>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</si>
  <si>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</si>
  <si>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</si>
  <si>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</si>
  <si>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</si>
  <si>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</si>
  <si>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</si>
  <si>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</si>
  <si>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</si>
  <si>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</si>
  <si>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</si>
  <si>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</si>
  <si>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</si>
  <si>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</si>
  <si>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</si>
  <si>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</si>
  <si>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</si>
  <si>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</si>
  <si>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</si>
  <si>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</si>
  <si>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</si>
  <si>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</si>
  <si>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</si>
  <si>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</si>
  <si>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</si>
  <si>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</si>
  <si>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</si>
  <si>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</si>
  <si>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</si>
  <si>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</si>
  <si>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</si>
  <si>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</si>
  <si>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</si>
  <si>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</si>
  <si>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</si>
  <si>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</si>
  <si>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</si>
  <si>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</si>
  <si>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</si>
  <si>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</si>
  <si>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</si>
  <si>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</si>
  <si>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</si>
  <si>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03/197</t>
  </si>
  <si>
    <t>DeWalt D25733K-LX, Heavy Combi-Hammer, 9.5kg - 110V</t>
  </si>
  <si>
    <t>03/042</t>
  </si>
  <si>
    <t>DeWalt D25810K-LX, Light Breaker, 5.7kg - 110V</t>
  </si>
  <si>
    <t>03/662</t>
  </si>
  <si>
    <t>DeWalt D25333K-LX, Medium SDS-Plus Hammer Drill, 3.9kg - 110V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</si>
</sst>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  <numFmt numFmtId="171" formatCode="0.0"/>
  </numFmts>
  <fonts count="86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1"/>
      <color rgb="FF000000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10"/>
      <color theme="4"/>
      <name val="Arial"/>
      <family val="2"/>
    </font>
    <font>
      <sz val="11"/>
      <color rgb="FF242424"/>
      <name val="Aptos Narrow"/>
      <family val="2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202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  <xf numFmtId="0" fontId="81" fillId="0" borderId="0" xfId="0" applyFont="1" applyAlignment="1">
      <alignment vertical="center"/>
    </xf>
    <xf numFmtId="1" fontId="0" fillId="0" borderId="0" xfId="0" applyNumberFormat="1"/>
    <xf numFmtId="0" fontId="82" fillId="0" borderId="0" xfId="0" applyFont="1"/>
    <xf numFmtId="0" fontId="82" fillId="64" borderId="0" xfId="0" applyFont="1" applyFill="1"/>
    <xf numFmtId="0" fontId="83" fillId="0" borderId="0" xfId="0" applyFont="1"/>
    <xf numFmtId="0" fontId="84" fillId="0" borderId="0" xfId="1" applyFont="1" applyAlignment="1" applyProtection="1">
      <alignment horizontal="left"/>
      <protection locked="0"/>
    </xf>
    <xf numFmtId="0" fontId="85" fillId="64" borderId="0" xfId="0" applyFont="1" applyFill="1"/>
    <xf numFmtId="171" fontId="0" fillId="0" borderId="0" xfId="0" applyNumberFormat="1"/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aul.scott\Downloads\Net%20rates%20Webapp%20Update%20for%202026.xlsx" TargetMode="External"/><Relationship Id="rId1" Type="http://schemas.openxmlformats.org/officeDocument/2006/relationships/externalLinkPath" Target="file:///C:\Users\paul.scott\Downloads\Net%20rates%20Webapp%20Update%20fo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port"/>
      <sheetName val="Rate Increase 2026"/>
      <sheetName val="Merged Products"/>
      <sheetName val="Fleet"/>
      <sheetName val="Bulk"/>
      <sheetName val="Instructions"/>
      <sheetName val="Impor to delete"/>
      <sheetName val="Removals to hold"/>
      <sheetName val="Classic Net to delete"/>
      <sheetName val="Merged Products (Backup)"/>
    </sheetNames>
    <sheetDataSet>
      <sheetData sheetId="0"/>
      <sheetData sheetId="1"/>
      <sheetData sheetId="2"/>
      <sheetData sheetId="3">
        <row r="1">
          <cell r="A1" t="str">
            <v>CategoryCode</v>
          </cell>
          <cell r="E1" t="str">
            <v>Count</v>
          </cell>
        </row>
        <row r="2">
          <cell r="A2" t="str">
            <v>01/565</v>
          </cell>
          <cell r="E2">
            <v>36</v>
          </cell>
        </row>
        <row r="3">
          <cell r="A3" t="str">
            <v>01/575</v>
          </cell>
          <cell r="E3">
            <v>8</v>
          </cell>
        </row>
        <row r="4">
          <cell r="A4" t="str">
            <v>01/030</v>
          </cell>
          <cell r="E4">
            <v>29</v>
          </cell>
        </row>
        <row r="5">
          <cell r="A5" t="str">
            <v>01/190</v>
          </cell>
          <cell r="E5">
            <v>58</v>
          </cell>
        </row>
        <row r="6">
          <cell r="A6" t="str">
            <v>01/040</v>
          </cell>
          <cell r="E6">
            <v>11</v>
          </cell>
        </row>
        <row r="7">
          <cell r="A7" t="str">
            <v>01/080</v>
          </cell>
          <cell r="E7">
            <v>10</v>
          </cell>
        </row>
        <row r="8">
          <cell r="A8" t="str">
            <v>01/090</v>
          </cell>
          <cell r="E8">
            <v>8</v>
          </cell>
        </row>
        <row r="9">
          <cell r="A9" t="str">
            <v>01/100</v>
          </cell>
          <cell r="E9">
            <v>3</v>
          </cell>
        </row>
        <row r="10">
          <cell r="A10" t="str">
            <v>01/110</v>
          </cell>
          <cell r="E10">
            <v>5</v>
          </cell>
        </row>
        <row r="11">
          <cell r="A11" t="str">
            <v>01/120</v>
          </cell>
          <cell r="E11">
            <v>8</v>
          </cell>
        </row>
        <row r="12">
          <cell r="A12" t="str">
            <v>01/130</v>
          </cell>
          <cell r="E12">
            <v>8</v>
          </cell>
        </row>
        <row r="13">
          <cell r="A13" t="str">
            <v>01/250</v>
          </cell>
          <cell r="E13">
            <v>1</v>
          </cell>
        </row>
        <row r="14">
          <cell r="A14" t="str">
            <v>01/260</v>
          </cell>
          <cell r="E14">
            <v>4</v>
          </cell>
        </row>
        <row r="15">
          <cell r="A15" t="str">
            <v>01/270</v>
          </cell>
          <cell r="E15">
            <v>6</v>
          </cell>
        </row>
        <row r="16">
          <cell r="A16" t="str">
            <v>01/280</v>
          </cell>
          <cell r="E16">
            <v>2</v>
          </cell>
        </row>
        <row r="17">
          <cell r="A17" t="str">
            <v>01/450</v>
          </cell>
          <cell r="E17">
            <v>4</v>
          </cell>
        </row>
        <row r="18">
          <cell r="A18" t="str">
            <v>01/455</v>
          </cell>
          <cell r="E18">
            <v>2</v>
          </cell>
        </row>
        <row r="19">
          <cell r="A19" t="str">
            <v>01/290</v>
          </cell>
          <cell r="E19">
            <v>9</v>
          </cell>
        </row>
        <row r="20">
          <cell r="A20" t="str">
            <v>01/300</v>
          </cell>
          <cell r="E20">
            <v>11</v>
          </cell>
        </row>
        <row r="21">
          <cell r="A21" t="str">
            <v>01/310</v>
          </cell>
          <cell r="E21">
            <v>2</v>
          </cell>
        </row>
        <row r="22">
          <cell r="A22" t="str">
            <v>01/320</v>
          </cell>
          <cell r="E22">
            <v>9</v>
          </cell>
        </row>
        <row r="23">
          <cell r="A23" t="str">
            <v>01/050</v>
          </cell>
          <cell r="E23">
            <v>8</v>
          </cell>
        </row>
        <row r="24">
          <cell r="A24" t="str">
            <v>01/055</v>
          </cell>
          <cell r="E24">
            <v>4</v>
          </cell>
        </row>
        <row r="25">
          <cell r="A25" t="str">
            <v>01/060</v>
          </cell>
          <cell r="E25">
            <v>6</v>
          </cell>
        </row>
        <row r="26">
          <cell r="A26" t="str">
            <v>01/070</v>
          </cell>
          <cell r="E26">
            <v>2</v>
          </cell>
        </row>
        <row r="27">
          <cell r="A27" t="str">
            <v>01/601</v>
          </cell>
          <cell r="E27">
            <v>9</v>
          </cell>
        </row>
        <row r="28">
          <cell r="A28" t="str">
            <v>01/602</v>
          </cell>
          <cell r="E28">
            <v>15</v>
          </cell>
        </row>
        <row r="29">
          <cell r="A29" t="str">
            <v>01/470</v>
          </cell>
          <cell r="E29">
            <v>1</v>
          </cell>
        </row>
        <row r="30">
          <cell r="A30" t="str">
            <v>01/160</v>
          </cell>
          <cell r="E30">
            <v>2</v>
          </cell>
        </row>
        <row r="31">
          <cell r="A31" t="str">
            <v>01/603</v>
          </cell>
          <cell r="E31">
            <v>8</v>
          </cell>
        </row>
        <row r="32">
          <cell r="A32" t="str">
            <v>01/010</v>
          </cell>
          <cell r="E32">
            <v>33</v>
          </cell>
        </row>
        <row r="33">
          <cell r="A33" t="str">
            <v>01/192</v>
          </cell>
          <cell r="E33">
            <v>4</v>
          </cell>
        </row>
        <row r="34">
          <cell r="A34" t="str">
            <v>01/170</v>
          </cell>
          <cell r="E34">
            <v>127</v>
          </cell>
        </row>
        <row r="35">
          <cell r="A35" t="str">
            <v>01/604</v>
          </cell>
          <cell r="E35">
            <v>9</v>
          </cell>
        </row>
        <row r="36">
          <cell r="A36" t="str">
            <v>01/605</v>
          </cell>
          <cell r="E36">
            <v>9</v>
          </cell>
        </row>
        <row r="37">
          <cell r="A37" t="str">
            <v>01/020</v>
          </cell>
          <cell r="E37">
            <v>53</v>
          </cell>
        </row>
        <row r="38">
          <cell r="A38" t="str">
            <v>01/193</v>
          </cell>
          <cell r="E38">
            <v>4</v>
          </cell>
        </row>
        <row r="39">
          <cell r="A39" t="str">
            <v>01/180</v>
          </cell>
          <cell r="E39">
            <v>192</v>
          </cell>
        </row>
        <row r="40">
          <cell r="A40" t="str">
            <v>01/600</v>
          </cell>
          <cell r="E40">
            <v>3</v>
          </cell>
        </row>
        <row r="41">
          <cell r="A41" t="str">
            <v>01/200</v>
          </cell>
          <cell r="E41">
            <v>1</v>
          </cell>
        </row>
        <row r="42">
          <cell r="A42" t="str">
            <v>01/220</v>
          </cell>
          <cell r="E42">
            <v>1</v>
          </cell>
        </row>
        <row r="43">
          <cell r="A43" t="str">
            <v>01/240</v>
          </cell>
        </row>
        <row r="44">
          <cell r="A44" t="str">
            <v>01/585</v>
          </cell>
          <cell r="E44">
            <v>293</v>
          </cell>
        </row>
        <row r="45">
          <cell r="A45" t="str">
            <v>01/640</v>
          </cell>
          <cell r="E45">
            <v>14</v>
          </cell>
        </row>
        <row r="46">
          <cell r="A46" t="str">
            <v>01/558</v>
          </cell>
          <cell r="E46">
            <v>29</v>
          </cell>
        </row>
        <row r="47">
          <cell r="A47" t="str">
            <v>01/557</v>
          </cell>
          <cell r="E47">
            <v>133</v>
          </cell>
        </row>
        <row r="48">
          <cell r="A48" t="str">
            <v>01/595</v>
          </cell>
          <cell r="E48">
            <v>4</v>
          </cell>
        </row>
        <row r="49">
          <cell r="A49" t="str">
            <v>01/586</v>
          </cell>
          <cell r="E49">
            <v>1</v>
          </cell>
        </row>
        <row r="50">
          <cell r="A50" t="str">
            <v>01/547</v>
          </cell>
          <cell r="E50">
            <v>2</v>
          </cell>
        </row>
        <row r="51">
          <cell r="A51" t="str">
            <v>01/533</v>
          </cell>
          <cell r="E51">
            <v>2</v>
          </cell>
        </row>
        <row r="52">
          <cell r="A52" t="str">
            <v>01/540</v>
          </cell>
          <cell r="E52">
            <v>5</v>
          </cell>
        </row>
        <row r="53">
          <cell r="A53" t="str">
            <v>01/545</v>
          </cell>
          <cell r="E53">
            <v>33</v>
          </cell>
        </row>
        <row r="54">
          <cell r="A54" t="str">
            <v>01/635</v>
          </cell>
          <cell r="E54">
            <v>10</v>
          </cell>
        </row>
        <row r="55">
          <cell r="A55" t="str">
            <v>01/630</v>
          </cell>
          <cell r="E55">
            <v>19</v>
          </cell>
        </row>
        <row r="56">
          <cell r="A56" t="str">
            <v>01/580</v>
          </cell>
          <cell r="E56">
            <v>59</v>
          </cell>
        </row>
        <row r="57">
          <cell r="A57" t="str">
            <v>01/350</v>
          </cell>
          <cell r="E57">
            <v>11</v>
          </cell>
        </row>
        <row r="58">
          <cell r="A58" t="str">
            <v>01/360</v>
          </cell>
          <cell r="E58">
            <v>15</v>
          </cell>
        </row>
        <row r="59">
          <cell r="A59" t="str">
            <v>01/370</v>
          </cell>
          <cell r="E59">
            <v>16</v>
          </cell>
        </row>
        <row r="60">
          <cell r="A60" t="str">
            <v>01/380</v>
          </cell>
          <cell r="E60">
            <v>18</v>
          </cell>
        </row>
        <row r="61">
          <cell r="A61" t="str">
            <v>01/390</v>
          </cell>
          <cell r="E61">
            <v>7</v>
          </cell>
        </row>
        <row r="62">
          <cell r="A62" t="str">
            <v>01/400</v>
          </cell>
          <cell r="E62">
            <v>8</v>
          </cell>
        </row>
        <row r="63">
          <cell r="A63" t="str">
            <v>01/410</v>
          </cell>
          <cell r="E63">
            <v>23</v>
          </cell>
        </row>
        <row r="64">
          <cell r="A64" t="str">
            <v>01/570</v>
          </cell>
          <cell r="E64">
            <v>2</v>
          </cell>
        </row>
        <row r="65">
          <cell r="A65" t="str">
            <v>01/610</v>
          </cell>
        </row>
        <row r="66">
          <cell r="A66" t="str">
            <v>01/617</v>
          </cell>
          <cell r="E66">
            <v>12</v>
          </cell>
        </row>
        <row r="67">
          <cell r="A67" t="str">
            <v>01/615</v>
          </cell>
          <cell r="E67">
            <v>10</v>
          </cell>
        </row>
        <row r="68">
          <cell r="A68" t="str">
            <v>01/556</v>
          </cell>
          <cell r="E68">
            <v>32</v>
          </cell>
        </row>
        <row r="69">
          <cell r="A69" t="str">
            <v>01/555</v>
          </cell>
          <cell r="E69">
            <v>117</v>
          </cell>
        </row>
        <row r="70">
          <cell r="A70" t="str">
            <v>01/505</v>
          </cell>
          <cell r="E70">
            <v>10</v>
          </cell>
        </row>
        <row r="71">
          <cell r="A71" t="str">
            <v>01/513</v>
          </cell>
          <cell r="E71">
            <v>93</v>
          </cell>
        </row>
        <row r="72">
          <cell r="A72" t="str">
            <v>01/512</v>
          </cell>
          <cell r="E72">
            <v>21</v>
          </cell>
        </row>
        <row r="73">
          <cell r="A73" t="str">
            <v>01/510</v>
          </cell>
          <cell r="E73">
            <v>4</v>
          </cell>
        </row>
        <row r="74">
          <cell r="A74" t="str">
            <v>01/522</v>
          </cell>
          <cell r="E74">
            <v>103</v>
          </cell>
        </row>
        <row r="75">
          <cell r="A75" t="str">
            <v>01/523</v>
          </cell>
          <cell r="E75">
            <v>86</v>
          </cell>
        </row>
        <row r="76">
          <cell r="A76" t="str">
            <v>01/527</v>
          </cell>
          <cell r="E76">
            <v>23</v>
          </cell>
        </row>
        <row r="77">
          <cell r="A77" t="str">
            <v>01/528</v>
          </cell>
          <cell r="E77">
            <v>51</v>
          </cell>
        </row>
        <row r="78">
          <cell r="A78" t="str">
            <v>01/535</v>
          </cell>
          <cell r="E78">
            <v>25</v>
          </cell>
        </row>
        <row r="79">
          <cell r="A79" t="str">
            <v>01/420</v>
          </cell>
          <cell r="E79">
            <v>3</v>
          </cell>
        </row>
        <row r="80">
          <cell r="A80" t="str">
            <v>01/425</v>
          </cell>
          <cell r="E80">
            <v>3</v>
          </cell>
        </row>
        <row r="81">
          <cell r="A81" t="str">
            <v>01/435</v>
          </cell>
          <cell r="E81">
            <v>1</v>
          </cell>
        </row>
        <row r="82">
          <cell r="A82" t="str">
            <v>01/440</v>
          </cell>
          <cell r="E82">
            <v>1</v>
          </cell>
        </row>
        <row r="83">
          <cell r="A83" t="str">
            <v>02/165</v>
          </cell>
          <cell r="E83">
            <v>4</v>
          </cell>
        </row>
        <row r="84">
          <cell r="A84" t="str">
            <v>02/070</v>
          </cell>
          <cell r="E84">
            <v>5</v>
          </cell>
        </row>
        <row r="85">
          <cell r="A85" t="str">
            <v>02/020</v>
          </cell>
        </row>
        <row r="86">
          <cell r="A86" t="str">
            <v>02/030</v>
          </cell>
          <cell r="E86">
            <v>2</v>
          </cell>
        </row>
        <row r="87">
          <cell r="A87" t="str">
            <v>02/250</v>
          </cell>
          <cell r="E87">
            <v>7</v>
          </cell>
        </row>
        <row r="88">
          <cell r="A88" t="str">
            <v>02/055</v>
          </cell>
          <cell r="E88">
            <v>20</v>
          </cell>
        </row>
        <row r="89">
          <cell r="A89" t="str">
            <v>02/075</v>
          </cell>
          <cell r="E89">
            <v>49</v>
          </cell>
        </row>
        <row r="90">
          <cell r="A90" t="str">
            <v>02/090</v>
          </cell>
          <cell r="E90">
            <v>7</v>
          </cell>
        </row>
        <row r="91">
          <cell r="A91" t="str">
            <v>02/180</v>
          </cell>
          <cell r="E91">
            <v>1</v>
          </cell>
        </row>
        <row r="92">
          <cell r="A92" t="str">
            <v>02/071</v>
          </cell>
          <cell r="E92">
            <v>9</v>
          </cell>
        </row>
        <row r="93">
          <cell r="A93" t="str">
            <v>02/115</v>
          </cell>
          <cell r="E93">
            <v>3</v>
          </cell>
        </row>
        <row r="94">
          <cell r="A94" t="str">
            <v>02/260</v>
          </cell>
          <cell r="E94">
            <v>1</v>
          </cell>
        </row>
        <row r="95">
          <cell r="A95" t="str">
            <v>02/100</v>
          </cell>
          <cell r="E95">
            <v>8</v>
          </cell>
        </row>
        <row r="96">
          <cell r="A96" t="str">
            <v>02/140</v>
          </cell>
          <cell r="E96">
            <v>18</v>
          </cell>
        </row>
        <row r="97">
          <cell r="A97" t="str">
            <v>02/240</v>
          </cell>
          <cell r="E97">
            <v>3</v>
          </cell>
        </row>
        <row r="98">
          <cell r="A98" t="str">
            <v>02/150</v>
          </cell>
          <cell r="E98">
            <v>14</v>
          </cell>
        </row>
        <row r="99">
          <cell r="A99" t="str">
            <v>02/170</v>
          </cell>
          <cell r="E99">
            <v>1</v>
          </cell>
        </row>
        <row r="100">
          <cell r="A100" t="str">
            <v>02/080</v>
          </cell>
          <cell r="E100">
            <v>9</v>
          </cell>
        </row>
        <row r="101">
          <cell r="A101" t="str">
            <v>02/160</v>
          </cell>
          <cell r="E101">
            <v>27</v>
          </cell>
        </row>
        <row r="102">
          <cell r="A102" t="str">
            <v>03/045</v>
          </cell>
          <cell r="E102">
            <v>4</v>
          </cell>
        </row>
        <row r="103">
          <cell r="A103" t="str">
            <v>03/097</v>
          </cell>
          <cell r="E103">
            <v>3</v>
          </cell>
        </row>
        <row r="104">
          <cell r="A104" t="str">
            <v>03/657</v>
          </cell>
          <cell r="E104">
            <v>3</v>
          </cell>
        </row>
        <row r="105">
          <cell r="A105" t="str">
            <v>03/090</v>
          </cell>
          <cell r="E105">
            <v>94</v>
          </cell>
        </row>
        <row r="106">
          <cell r="A106" t="str">
            <v>03/096</v>
          </cell>
          <cell r="E106">
            <v>10</v>
          </cell>
        </row>
        <row r="107">
          <cell r="A107" t="str">
            <v>03/656</v>
          </cell>
          <cell r="E107">
            <v>2</v>
          </cell>
        </row>
        <row r="108">
          <cell r="A108" t="str">
            <v>03/655</v>
          </cell>
          <cell r="E108">
            <v>8</v>
          </cell>
        </row>
        <row r="109">
          <cell r="A109" t="str">
            <v>03/040</v>
          </cell>
          <cell r="E109">
            <v>56</v>
          </cell>
        </row>
        <row r="110">
          <cell r="A110" t="str">
            <v>03/050</v>
          </cell>
          <cell r="E110">
            <v>69</v>
          </cell>
        </row>
        <row r="111">
          <cell r="A111" t="str">
            <v>03/250</v>
          </cell>
          <cell r="E111">
            <v>14</v>
          </cell>
        </row>
        <row r="112">
          <cell r="A112" t="str">
            <v>03/240</v>
          </cell>
          <cell r="E112">
            <v>15</v>
          </cell>
        </row>
        <row r="113">
          <cell r="A113" t="str">
            <v>03/653</v>
          </cell>
        </row>
        <row r="114">
          <cell r="A114" t="str">
            <v>03/030</v>
          </cell>
        </row>
        <row r="115">
          <cell r="A115" t="str">
            <v>03/055</v>
          </cell>
          <cell r="E115">
            <v>6</v>
          </cell>
        </row>
        <row r="116">
          <cell r="A116" t="str">
            <v>03/135</v>
          </cell>
          <cell r="E116">
            <v>8</v>
          </cell>
        </row>
        <row r="117">
          <cell r="A117" t="str">
            <v>03/085</v>
          </cell>
          <cell r="E117">
            <v>1</v>
          </cell>
        </row>
        <row r="118">
          <cell r="A118" t="str">
            <v>03/115</v>
          </cell>
          <cell r="E118">
            <v>7</v>
          </cell>
        </row>
        <row r="119">
          <cell r="A119" t="str">
            <v>03/110</v>
          </cell>
          <cell r="E119">
            <v>6</v>
          </cell>
        </row>
        <row r="120">
          <cell r="A120" t="str">
            <v>04/245</v>
          </cell>
          <cell r="E120">
            <v>47</v>
          </cell>
        </row>
        <row r="121">
          <cell r="A121" t="str">
            <v>04/115</v>
          </cell>
          <cell r="E121">
            <v>4</v>
          </cell>
        </row>
        <row r="122">
          <cell r="A122" t="str">
            <v>04/105</v>
          </cell>
          <cell r="E122">
            <v>2</v>
          </cell>
        </row>
        <row r="123">
          <cell r="A123" t="str">
            <v>04/250</v>
          </cell>
          <cell r="E123">
            <v>19</v>
          </cell>
        </row>
        <row r="124">
          <cell r="A124" t="str">
            <v>04/255</v>
          </cell>
          <cell r="E124">
            <v>26</v>
          </cell>
        </row>
        <row r="125">
          <cell r="A125" t="str">
            <v>04/225</v>
          </cell>
          <cell r="E125">
            <v>47</v>
          </cell>
        </row>
        <row r="126">
          <cell r="A126" t="str">
            <v>04/220</v>
          </cell>
          <cell r="E126">
            <v>39</v>
          </cell>
        </row>
        <row r="127">
          <cell r="A127" t="str">
            <v>04/120</v>
          </cell>
          <cell r="E127">
            <v>5</v>
          </cell>
        </row>
        <row r="128">
          <cell r="A128" t="str">
            <v>04/195</v>
          </cell>
          <cell r="E128">
            <v>1</v>
          </cell>
        </row>
        <row r="129">
          <cell r="A129" t="str">
            <v>07/087</v>
          </cell>
          <cell r="E129">
            <v>2</v>
          </cell>
        </row>
        <row r="130">
          <cell r="A130" t="str">
            <v>14/095</v>
          </cell>
          <cell r="E130">
            <v>8</v>
          </cell>
        </row>
        <row r="131">
          <cell r="A131" t="str">
            <v>04/201</v>
          </cell>
          <cell r="E131">
            <v>11</v>
          </cell>
        </row>
        <row r="132">
          <cell r="A132" t="str">
            <v>04/200</v>
          </cell>
          <cell r="E132">
            <v>29</v>
          </cell>
        </row>
        <row r="133">
          <cell r="A133" t="str">
            <v>04/100</v>
          </cell>
          <cell r="E133">
            <v>56</v>
          </cell>
        </row>
        <row r="134">
          <cell r="A134" t="str">
            <v>04/110</v>
          </cell>
          <cell r="E134">
            <v>8</v>
          </cell>
        </row>
        <row r="135">
          <cell r="A135" t="str">
            <v>04/210</v>
          </cell>
          <cell r="E135">
            <v>27</v>
          </cell>
        </row>
        <row r="136">
          <cell r="A136" t="str">
            <v>04/095</v>
          </cell>
          <cell r="E136">
            <v>10</v>
          </cell>
        </row>
        <row r="137">
          <cell r="A137" t="str">
            <v>04/085</v>
          </cell>
          <cell r="E137">
            <v>91</v>
          </cell>
        </row>
        <row r="138">
          <cell r="A138" t="str">
            <v>04/080</v>
          </cell>
          <cell r="E138">
            <v>26</v>
          </cell>
        </row>
        <row r="139">
          <cell r="A139" t="str">
            <v>04/097</v>
          </cell>
          <cell r="E139">
            <v>4</v>
          </cell>
        </row>
        <row r="140">
          <cell r="A140" t="str">
            <v>04/230</v>
          </cell>
          <cell r="E140">
            <v>5</v>
          </cell>
        </row>
        <row r="141">
          <cell r="A141" t="str">
            <v>04/170</v>
          </cell>
          <cell r="E141">
            <v>9</v>
          </cell>
        </row>
        <row r="142">
          <cell r="A142" t="str">
            <v>04/180</v>
          </cell>
          <cell r="E142">
            <v>13</v>
          </cell>
        </row>
        <row r="143">
          <cell r="A143" t="str">
            <v>04/185</v>
          </cell>
          <cell r="E143">
            <v>17</v>
          </cell>
        </row>
        <row r="144">
          <cell r="A144" t="str">
            <v>04/150</v>
          </cell>
          <cell r="E144">
            <v>14</v>
          </cell>
        </row>
        <row r="145">
          <cell r="A145" t="str">
            <v>04/215</v>
          </cell>
          <cell r="E145">
            <v>3</v>
          </cell>
        </row>
        <row r="146">
          <cell r="A146" t="str">
            <v>04/045</v>
          </cell>
          <cell r="E146">
            <v>30</v>
          </cell>
        </row>
        <row r="147">
          <cell r="A147" t="str">
            <v>04/140</v>
          </cell>
          <cell r="E147">
            <v>18</v>
          </cell>
        </row>
        <row r="148">
          <cell r="A148" t="str">
            <v>04/025</v>
          </cell>
          <cell r="E148">
            <v>27</v>
          </cell>
        </row>
        <row r="149">
          <cell r="A149" t="str">
            <v>04/190</v>
          </cell>
          <cell r="E149">
            <v>29</v>
          </cell>
        </row>
        <row r="150">
          <cell r="A150" t="str">
            <v>04/240</v>
          </cell>
          <cell r="E150">
            <v>2</v>
          </cell>
        </row>
        <row r="151">
          <cell r="A151" t="str">
            <v>04/135</v>
          </cell>
          <cell r="E151">
            <v>2</v>
          </cell>
        </row>
        <row r="152">
          <cell r="A152" t="str">
            <v>04/010</v>
          </cell>
          <cell r="E152">
            <v>24</v>
          </cell>
        </row>
        <row r="153">
          <cell r="A153" t="str">
            <v>04/020</v>
          </cell>
          <cell r="E153">
            <v>27</v>
          </cell>
        </row>
        <row r="154">
          <cell r="A154" t="str">
            <v>04/030</v>
          </cell>
          <cell r="E154">
            <v>101</v>
          </cell>
        </row>
        <row r="155">
          <cell r="A155" t="str">
            <v>04/040</v>
          </cell>
          <cell r="E155">
            <v>13</v>
          </cell>
        </row>
        <row r="156">
          <cell r="A156" t="str">
            <v>04/265</v>
          </cell>
          <cell r="E156">
            <v>14</v>
          </cell>
        </row>
        <row r="157">
          <cell r="A157" t="str">
            <v>06/350</v>
          </cell>
          <cell r="E157">
            <v>12</v>
          </cell>
        </row>
        <row r="158">
          <cell r="A158" t="str">
            <v>06/157</v>
          </cell>
          <cell r="E158">
            <v>20</v>
          </cell>
        </row>
        <row r="159">
          <cell r="A159" t="str">
            <v>06/160</v>
          </cell>
          <cell r="E159">
            <v>25</v>
          </cell>
        </row>
        <row r="160">
          <cell r="A160" t="str">
            <v>06/220</v>
          </cell>
          <cell r="E160">
            <v>111</v>
          </cell>
        </row>
        <row r="161">
          <cell r="A161" t="str">
            <v>06/230</v>
          </cell>
          <cell r="E161">
            <v>11</v>
          </cell>
        </row>
        <row r="162">
          <cell r="A162" t="str">
            <v>06/161</v>
          </cell>
          <cell r="E162">
            <v>91</v>
          </cell>
        </row>
        <row r="163">
          <cell r="A163" t="str">
            <v>06/255</v>
          </cell>
          <cell r="E163">
            <v>19</v>
          </cell>
        </row>
        <row r="164">
          <cell r="A164" t="str">
            <v>06/075</v>
          </cell>
          <cell r="E164">
            <v>1</v>
          </cell>
        </row>
        <row r="165">
          <cell r="A165" t="str">
            <v>06/162</v>
          </cell>
          <cell r="E165">
            <v>82</v>
          </cell>
        </row>
        <row r="166">
          <cell r="A166" t="str">
            <v>06/163</v>
          </cell>
          <cell r="E166">
            <v>30</v>
          </cell>
        </row>
        <row r="167">
          <cell r="A167" t="str">
            <v>06/100</v>
          </cell>
          <cell r="E167">
            <v>10</v>
          </cell>
        </row>
        <row r="168">
          <cell r="A168" t="str">
            <v>06/090</v>
          </cell>
          <cell r="E168">
            <v>3</v>
          </cell>
        </row>
        <row r="169">
          <cell r="A169" t="str">
            <v>XCONCRE</v>
          </cell>
          <cell r="E169">
            <v>1</v>
          </cell>
        </row>
        <row r="170">
          <cell r="A170" t="str">
            <v>06/195</v>
          </cell>
          <cell r="E170">
            <v>1</v>
          </cell>
        </row>
        <row r="171">
          <cell r="A171" t="str">
            <v>06/197</v>
          </cell>
          <cell r="E171">
            <v>1</v>
          </cell>
        </row>
        <row r="172">
          <cell r="A172" t="str">
            <v>06/140</v>
          </cell>
          <cell r="E172">
            <v>2</v>
          </cell>
        </row>
        <row r="173">
          <cell r="A173" t="str">
            <v>06/150</v>
          </cell>
          <cell r="E173">
            <v>5</v>
          </cell>
        </row>
        <row r="174">
          <cell r="A174" t="str">
            <v>06/110</v>
          </cell>
          <cell r="E174">
            <v>3</v>
          </cell>
        </row>
        <row r="175">
          <cell r="A175" t="str">
            <v>06/370</v>
          </cell>
          <cell r="E175">
            <v>19</v>
          </cell>
        </row>
        <row r="176">
          <cell r="A176" t="str">
            <v>06/245</v>
          </cell>
          <cell r="E176">
            <v>1</v>
          </cell>
        </row>
        <row r="177">
          <cell r="A177" t="str">
            <v>06/235</v>
          </cell>
          <cell r="E177">
            <v>4</v>
          </cell>
        </row>
        <row r="178">
          <cell r="A178" t="str">
            <v>06/240</v>
          </cell>
          <cell r="E178">
            <v>9</v>
          </cell>
        </row>
        <row r="179">
          <cell r="A179" t="str">
            <v>06/065</v>
          </cell>
          <cell r="E179">
            <v>27</v>
          </cell>
        </row>
        <row r="180">
          <cell r="A180" t="str">
            <v>06/055</v>
          </cell>
          <cell r="E180">
            <v>5</v>
          </cell>
        </row>
        <row r="181">
          <cell r="A181" t="str">
            <v>06/260</v>
          </cell>
          <cell r="E181">
            <v>1</v>
          </cell>
        </row>
        <row r="182">
          <cell r="A182" t="str">
            <v>06/010</v>
          </cell>
          <cell r="E182">
            <v>20</v>
          </cell>
        </row>
        <row r="183">
          <cell r="A183" t="str">
            <v>06/020</v>
          </cell>
          <cell r="E183">
            <v>35</v>
          </cell>
        </row>
        <row r="184">
          <cell r="A184" t="str">
            <v>06/040</v>
          </cell>
          <cell r="E184">
            <v>4</v>
          </cell>
        </row>
        <row r="185">
          <cell r="A185" t="str">
            <v>06/050</v>
          </cell>
          <cell r="E185">
            <v>2</v>
          </cell>
        </row>
        <row r="186">
          <cell r="A186" t="str">
            <v>06/165</v>
          </cell>
          <cell r="E186">
            <v>1</v>
          </cell>
        </row>
        <row r="187">
          <cell r="A187" t="str">
            <v>06/180</v>
          </cell>
          <cell r="E187">
            <v>1</v>
          </cell>
        </row>
        <row r="188">
          <cell r="A188" t="str">
            <v>06/185</v>
          </cell>
          <cell r="E188">
            <v>5</v>
          </cell>
        </row>
        <row r="189">
          <cell r="A189" t="str">
            <v>06/190</v>
          </cell>
          <cell r="E189">
            <v>2</v>
          </cell>
        </row>
        <row r="190">
          <cell r="A190" t="str">
            <v>06/115</v>
          </cell>
          <cell r="E190">
            <v>2</v>
          </cell>
        </row>
        <row r="191">
          <cell r="A191" t="str">
            <v>06/120</v>
          </cell>
          <cell r="E191">
            <v>25</v>
          </cell>
        </row>
        <row r="192">
          <cell r="A192" t="str">
            <v>06/285</v>
          </cell>
          <cell r="E192">
            <v>28</v>
          </cell>
        </row>
        <row r="193">
          <cell r="A193" t="str">
            <v>06/295</v>
          </cell>
          <cell r="E193">
            <v>2</v>
          </cell>
        </row>
        <row r="194">
          <cell r="A194" t="str">
            <v>06/310</v>
          </cell>
          <cell r="E194">
            <v>2</v>
          </cell>
        </row>
        <row r="195">
          <cell r="A195" t="str">
            <v>06/070</v>
          </cell>
          <cell r="E195">
            <v>12</v>
          </cell>
        </row>
        <row r="196">
          <cell r="A196" t="str">
            <v>05/020</v>
          </cell>
          <cell r="E196">
            <v>93</v>
          </cell>
        </row>
        <row r="197">
          <cell r="A197" t="str">
            <v>05/010</v>
          </cell>
          <cell r="E197">
            <v>117</v>
          </cell>
        </row>
        <row r="198">
          <cell r="A198" t="str">
            <v>05/120</v>
          </cell>
          <cell r="E198">
            <v>25</v>
          </cell>
        </row>
        <row r="199">
          <cell r="A199" t="str">
            <v>05/085</v>
          </cell>
          <cell r="E199">
            <v>6</v>
          </cell>
        </row>
        <row r="200">
          <cell r="A200" t="str">
            <v>05/080</v>
          </cell>
          <cell r="E200">
            <v>16</v>
          </cell>
        </row>
        <row r="201">
          <cell r="A201" t="str">
            <v>05/110</v>
          </cell>
          <cell r="E201">
            <v>60</v>
          </cell>
        </row>
        <row r="202">
          <cell r="A202" t="str">
            <v>05/140</v>
          </cell>
          <cell r="E202">
            <v>64</v>
          </cell>
        </row>
        <row r="203">
          <cell r="A203" t="str">
            <v>05/145</v>
          </cell>
          <cell r="E203">
            <v>3</v>
          </cell>
        </row>
        <row r="204">
          <cell r="A204" t="str">
            <v>05/130</v>
          </cell>
          <cell r="E204">
            <v>1</v>
          </cell>
        </row>
        <row r="205">
          <cell r="A205" t="str">
            <v>05/116</v>
          </cell>
          <cell r="E205">
            <v>15</v>
          </cell>
        </row>
        <row r="206">
          <cell r="A206" t="str">
            <v>05/115</v>
          </cell>
          <cell r="E206">
            <v>83</v>
          </cell>
        </row>
        <row r="207">
          <cell r="A207" t="str">
            <v>07/075</v>
          </cell>
          <cell r="E207">
            <v>7</v>
          </cell>
        </row>
        <row r="208">
          <cell r="A208" t="str">
            <v>07/215</v>
          </cell>
          <cell r="E208">
            <v>6</v>
          </cell>
        </row>
        <row r="209">
          <cell r="A209" t="str">
            <v>07/217</v>
          </cell>
          <cell r="E209">
            <v>6</v>
          </cell>
        </row>
        <row r="210">
          <cell r="A210" t="str">
            <v>07/218</v>
          </cell>
          <cell r="E210">
            <v>1</v>
          </cell>
        </row>
        <row r="211">
          <cell r="A211" t="str">
            <v>07/015</v>
          </cell>
          <cell r="E211">
            <v>4</v>
          </cell>
        </row>
        <row r="212">
          <cell r="A212" t="str">
            <v>07/017</v>
          </cell>
          <cell r="E212">
            <v>11</v>
          </cell>
        </row>
        <row r="213">
          <cell r="A213" t="str">
            <v>07/097</v>
          </cell>
          <cell r="E213">
            <v>1</v>
          </cell>
        </row>
        <row r="214">
          <cell r="A214" t="str">
            <v>16/085</v>
          </cell>
          <cell r="E214">
            <v>3</v>
          </cell>
        </row>
        <row r="215">
          <cell r="A215" t="str">
            <v>07/010</v>
          </cell>
          <cell r="E215">
            <v>9</v>
          </cell>
        </row>
        <row r="216">
          <cell r="A216" t="str">
            <v>07/005</v>
          </cell>
          <cell r="E216">
            <v>34</v>
          </cell>
        </row>
        <row r="217">
          <cell r="A217" t="str">
            <v>07/025</v>
          </cell>
          <cell r="E217">
            <v>9</v>
          </cell>
        </row>
        <row r="218">
          <cell r="A218" t="str">
            <v>07/123</v>
          </cell>
        </row>
        <row r="219">
          <cell r="A219" t="str">
            <v>07/105</v>
          </cell>
          <cell r="E219">
            <v>3</v>
          </cell>
        </row>
        <row r="220">
          <cell r="A220" t="str">
            <v>07/125</v>
          </cell>
          <cell r="E220">
            <v>9</v>
          </cell>
        </row>
        <row r="221">
          <cell r="A221" t="str">
            <v>07/100</v>
          </cell>
          <cell r="E221">
            <v>5</v>
          </cell>
        </row>
        <row r="222">
          <cell r="A222" t="str">
            <v>07/020</v>
          </cell>
          <cell r="E222">
            <v>29</v>
          </cell>
        </row>
        <row r="223">
          <cell r="A223" t="str">
            <v>07/040</v>
          </cell>
          <cell r="E223">
            <v>38</v>
          </cell>
        </row>
        <row r="224">
          <cell r="A224" t="str">
            <v>07/340</v>
          </cell>
          <cell r="E224">
            <v>26</v>
          </cell>
        </row>
        <row r="225">
          <cell r="A225" t="str">
            <v>07/080</v>
          </cell>
          <cell r="E225">
            <v>8</v>
          </cell>
        </row>
        <row r="226">
          <cell r="A226" t="str">
            <v>07/090</v>
          </cell>
          <cell r="E226">
            <v>33</v>
          </cell>
        </row>
        <row r="227">
          <cell r="A227" t="str">
            <v>07/250</v>
          </cell>
          <cell r="E227">
            <v>1</v>
          </cell>
        </row>
        <row r="228">
          <cell r="A228" t="str">
            <v>07/110</v>
          </cell>
          <cell r="E228">
            <v>301</v>
          </cell>
        </row>
        <row r="229">
          <cell r="A229" t="str">
            <v>07/185</v>
          </cell>
          <cell r="E229">
            <v>26</v>
          </cell>
        </row>
        <row r="230">
          <cell r="A230" t="str">
            <v>07/465</v>
          </cell>
          <cell r="E230">
            <v>3</v>
          </cell>
        </row>
        <row r="231">
          <cell r="A231" t="str">
            <v>07/460</v>
          </cell>
          <cell r="E231">
            <v>21</v>
          </cell>
        </row>
        <row r="232">
          <cell r="A232" t="str">
            <v>07/455</v>
          </cell>
          <cell r="E232">
            <v>36</v>
          </cell>
        </row>
        <row r="233">
          <cell r="A233" t="str">
            <v>07/330</v>
          </cell>
          <cell r="E233">
            <v>10</v>
          </cell>
        </row>
        <row r="234">
          <cell r="A234" t="str">
            <v>07/060</v>
          </cell>
          <cell r="E234">
            <v>8</v>
          </cell>
        </row>
        <row r="235">
          <cell r="A235" t="str">
            <v>07/085</v>
          </cell>
          <cell r="E235">
            <v>8</v>
          </cell>
        </row>
        <row r="236">
          <cell r="A236" t="str">
            <v>07/065</v>
          </cell>
          <cell r="E236">
            <v>8</v>
          </cell>
        </row>
        <row r="237">
          <cell r="A237" t="str">
            <v>07/086</v>
          </cell>
          <cell r="E237">
            <v>3</v>
          </cell>
        </row>
        <row r="238">
          <cell r="A238" t="str">
            <v>07/070</v>
          </cell>
          <cell r="E238">
            <v>8</v>
          </cell>
        </row>
        <row r="239">
          <cell r="A239" t="str">
            <v>07/130</v>
          </cell>
          <cell r="E239">
            <v>2</v>
          </cell>
        </row>
        <row r="240">
          <cell r="A240" t="str">
            <v>07/055</v>
          </cell>
          <cell r="E240">
            <v>4</v>
          </cell>
        </row>
        <row r="241">
          <cell r="A241" t="str">
            <v>07/285</v>
          </cell>
          <cell r="E241">
            <v>5</v>
          </cell>
        </row>
        <row r="242">
          <cell r="A242" t="str">
            <v>07/115</v>
          </cell>
          <cell r="E242">
            <v>2</v>
          </cell>
        </row>
        <row r="243">
          <cell r="A243" t="str">
            <v>07/050</v>
          </cell>
          <cell r="E243">
            <v>1</v>
          </cell>
        </row>
        <row r="244">
          <cell r="A244" t="str">
            <v>07/030</v>
          </cell>
          <cell r="E244">
            <v>28</v>
          </cell>
        </row>
        <row r="245">
          <cell r="A245" t="str">
            <v>07/230</v>
          </cell>
          <cell r="E245">
            <v>19</v>
          </cell>
        </row>
        <row r="246">
          <cell r="A246" t="str">
            <v>07/165</v>
          </cell>
          <cell r="E246">
            <v>3</v>
          </cell>
        </row>
        <row r="247">
          <cell r="A247" t="str">
            <v>07/140</v>
          </cell>
          <cell r="E247">
            <v>37</v>
          </cell>
        </row>
        <row r="248">
          <cell r="A248" t="str">
            <v>07/150</v>
          </cell>
          <cell r="E248">
            <v>8</v>
          </cell>
        </row>
        <row r="249">
          <cell r="A249" t="str">
            <v>07/160</v>
          </cell>
          <cell r="E249">
            <v>25</v>
          </cell>
        </row>
        <row r="250">
          <cell r="A250" t="str">
            <v>07/260</v>
          </cell>
          <cell r="E250">
            <v>1</v>
          </cell>
        </row>
        <row r="251">
          <cell r="A251" t="str">
            <v>07/265</v>
          </cell>
          <cell r="E251">
            <v>1</v>
          </cell>
        </row>
        <row r="252">
          <cell r="A252" t="str">
            <v>07/270</v>
          </cell>
          <cell r="E252">
            <v>2</v>
          </cell>
        </row>
        <row r="253">
          <cell r="A253" t="str">
            <v>07/275</v>
          </cell>
          <cell r="E253">
            <v>14</v>
          </cell>
        </row>
        <row r="254">
          <cell r="A254" t="str">
            <v>07/315</v>
          </cell>
          <cell r="E254">
            <v>2</v>
          </cell>
        </row>
        <row r="255">
          <cell r="A255" t="str">
            <v>07/310</v>
          </cell>
          <cell r="E255">
            <v>5</v>
          </cell>
        </row>
        <row r="256">
          <cell r="A256" t="str">
            <v>07/320</v>
          </cell>
          <cell r="E256">
            <v>17</v>
          </cell>
        </row>
        <row r="257">
          <cell r="A257" t="str">
            <v>07/180</v>
          </cell>
          <cell r="E257">
            <v>27</v>
          </cell>
        </row>
        <row r="258">
          <cell r="A258" t="str">
            <v>07/170</v>
          </cell>
          <cell r="E258">
            <v>1</v>
          </cell>
        </row>
        <row r="259">
          <cell r="A259" t="str">
            <v>07/280</v>
          </cell>
          <cell r="E259">
            <v>3</v>
          </cell>
        </row>
        <row r="260">
          <cell r="A260" t="str">
            <v>07/200</v>
          </cell>
          <cell r="E260">
            <v>3</v>
          </cell>
        </row>
        <row r="261">
          <cell r="A261" t="str">
            <v>07/141</v>
          </cell>
          <cell r="E261">
            <v>1</v>
          </cell>
        </row>
        <row r="262">
          <cell r="A262" t="str">
            <v>07/350</v>
          </cell>
          <cell r="E262">
            <v>8</v>
          </cell>
        </row>
        <row r="263">
          <cell r="A263" t="str">
            <v>03/320</v>
          </cell>
          <cell r="E263">
            <v>3</v>
          </cell>
        </row>
        <row r="264">
          <cell r="A264" t="str">
            <v>03/585</v>
          </cell>
          <cell r="E264">
            <v>4</v>
          </cell>
        </row>
        <row r="265">
          <cell r="A265" t="str">
            <v>03/310</v>
          </cell>
          <cell r="E265">
            <v>5</v>
          </cell>
        </row>
        <row r="266">
          <cell r="A266" t="str">
            <v>03/325</v>
          </cell>
          <cell r="E266">
            <v>1</v>
          </cell>
        </row>
        <row r="267">
          <cell r="A267" t="str">
            <v>03/335</v>
          </cell>
        </row>
        <row r="268">
          <cell r="A268" t="str">
            <v>03/805</v>
          </cell>
          <cell r="E268">
            <v>10</v>
          </cell>
        </row>
        <row r="269">
          <cell r="A269" t="str">
            <v>03/820</v>
          </cell>
          <cell r="E269">
            <v>6</v>
          </cell>
        </row>
        <row r="270">
          <cell r="A270" t="str">
            <v>03/830</v>
          </cell>
          <cell r="E270">
            <v>4</v>
          </cell>
        </row>
        <row r="271">
          <cell r="A271" t="str">
            <v>03/815</v>
          </cell>
          <cell r="E271">
            <v>32</v>
          </cell>
        </row>
        <row r="272">
          <cell r="A272" t="str">
            <v>03/825</v>
          </cell>
          <cell r="E272">
            <v>5</v>
          </cell>
        </row>
        <row r="273">
          <cell r="A273" t="str">
            <v>03/800</v>
          </cell>
          <cell r="E273">
            <v>10</v>
          </cell>
        </row>
        <row r="274">
          <cell r="A274" t="str">
            <v>03/485</v>
          </cell>
          <cell r="E274">
            <v>1</v>
          </cell>
        </row>
        <row r="275">
          <cell r="A275" t="str">
            <v>03/810</v>
          </cell>
          <cell r="E275">
            <v>3</v>
          </cell>
        </row>
        <row r="276">
          <cell r="A276" t="str">
            <v>03/355</v>
          </cell>
          <cell r="E276">
            <v>3</v>
          </cell>
        </row>
        <row r="277">
          <cell r="A277" t="str">
            <v>03/360</v>
          </cell>
          <cell r="E277">
            <v>2</v>
          </cell>
        </row>
        <row r="278">
          <cell r="A278" t="str">
            <v>03/456</v>
          </cell>
          <cell r="E278">
            <v>6</v>
          </cell>
        </row>
        <row r="279">
          <cell r="A279" t="str">
            <v>03/430</v>
          </cell>
          <cell r="E279">
            <v>11</v>
          </cell>
        </row>
        <row r="280">
          <cell r="A280" t="str">
            <v>03/455</v>
          </cell>
          <cell r="E280">
            <v>9</v>
          </cell>
        </row>
        <row r="281">
          <cell r="A281" t="str">
            <v>03/475</v>
          </cell>
          <cell r="E281">
            <v>3</v>
          </cell>
        </row>
        <row r="282">
          <cell r="A282" t="str">
            <v>03/440</v>
          </cell>
          <cell r="E282">
            <v>12</v>
          </cell>
        </row>
        <row r="283">
          <cell r="A283" t="str">
            <v>03/665</v>
          </cell>
          <cell r="E283">
            <v>4</v>
          </cell>
        </row>
        <row r="284">
          <cell r="A284" t="str">
            <v>03/365</v>
          </cell>
          <cell r="E284">
            <v>14</v>
          </cell>
        </row>
        <row r="285">
          <cell r="A285" t="str">
            <v>03/315</v>
          </cell>
          <cell r="E285">
            <v>4</v>
          </cell>
        </row>
        <row r="286">
          <cell r="A286" t="str">
            <v>03/330</v>
          </cell>
          <cell r="E286">
            <v>24</v>
          </cell>
        </row>
        <row r="287">
          <cell r="A287" t="str">
            <v>03/270</v>
          </cell>
          <cell r="E287">
            <v>22</v>
          </cell>
        </row>
        <row r="288">
          <cell r="A288" t="str">
            <v>03/660</v>
          </cell>
          <cell r="E288">
            <v>46</v>
          </cell>
        </row>
        <row r="289">
          <cell r="A289" t="str">
            <v>03/610</v>
          </cell>
          <cell r="E289">
            <v>4</v>
          </cell>
        </row>
        <row r="290">
          <cell r="A290" t="str">
            <v>03/185</v>
          </cell>
          <cell r="E290">
            <v>2</v>
          </cell>
        </row>
        <row r="291">
          <cell r="A291" t="str">
            <v>03/340</v>
          </cell>
          <cell r="E291">
            <v>27</v>
          </cell>
        </row>
        <row r="292">
          <cell r="A292" t="str">
            <v>03/195</v>
          </cell>
          <cell r="E292">
            <v>24</v>
          </cell>
        </row>
        <row r="293">
          <cell r="A293" t="str">
            <v>03/190</v>
          </cell>
          <cell r="E293">
            <v>11</v>
          </cell>
        </row>
        <row r="294">
          <cell r="A294" t="str">
            <v>03/350</v>
          </cell>
          <cell r="E294">
            <v>16</v>
          </cell>
        </row>
        <row r="295">
          <cell r="A295" t="str">
            <v>03/500</v>
          </cell>
        </row>
        <row r="296">
          <cell r="A296" t="str">
            <v>03/570</v>
          </cell>
          <cell r="E296">
            <v>20</v>
          </cell>
        </row>
        <row r="297">
          <cell r="A297" t="str">
            <v>03/575</v>
          </cell>
          <cell r="E297">
            <v>12</v>
          </cell>
        </row>
        <row r="298">
          <cell r="A298" t="str">
            <v>03/525</v>
          </cell>
          <cell r="E298">
            <v>2</v>
          </cell>
        </row>
        <row r="299">
          <cell r="A299" t="str">
            <v>03/155</v>
          </cell>
          <cell r="E299">
            <v>3</v>
          </cell>
        </row>
        <row r="300">
          <cell r="A300" t="str">
            <v>03/130</v>
          </cell>
          <cell r="E300">
            <v>2</v>
          </cell>
        </row>
        <row r="301">
          <cell r="A301" t="str">
            <v>03/160</v>
          </cell>
          <cell r="E301">
            <v>4</v>
          </cell>
        </row>
        <row r="302">
          <cell r="A302" t="str">
            <v>03/400</v>
          </cell>
          <cell r="E302">
            <v>13</v>
          </cell>
        </row>
        <row r="303">
          <cell r="A303" t="str">
            <v>03/370</v>
          </cell>
          <cell r="E303">
            <v>6</v>
          </cell>
        </row>
        <row r="304">
          <cell r="A304" t="str">
            <v>03/380</v>
          </cell>
          <cell r="E304">
            <v>3</v>
          </cell>
        </row>
        <row r="305">
          <cell r="A305" t="str">
            <v>03/670</v>
          </cell>
          <cell r="E305">
            <v>2</v>
          </cell>
        </row>
        <row r="306">
          <cell r="A306" t="str">
            <v>03/476</v>
          </cell>
          <cell r="E306">
            <v>3</v>
          </cell>
        </row>
        <row r="307">
          <cell r="A307" t="str">
            <v>03/710</v>
          </cell>
          <cell r="E307">
            <v>2</v>
          </cell>
        </row>
        <row r="308">
          <cell r="A308" t="str">
            <v>03/460</v>
          </cell>
          <cell r="E308">
            <v>36</v>
          </cell>
        </row>
        <row r="309">
          <cell r="A309" t="str">
            <v>03/450</v>
          </cell>
          <cell r="E309">
            <v>9</v>
          </cell>
        </row>
        <row r="310">
          <cell r="A310" t="str">
            <v>03/465</v>
          </cell>
          <cell r="E310">
            <v>7</v>
          </cell>
        </row>
        <row r="311">
          <cell r="A311" t="str">
            <v>03/486</v>
          </cell>
          <cell r="E311">
            <v>1</v>
          </cell>
        </row>
        <row r="312">
          <cell r="A312" t="str">
            <v>09/090</v>
          </cell>
          <cell r="E312">
            <v>8</v>
          </cell>
        </row>
        <row r="313">
          <cell r="A313" t="str">
            <v>09/055</v>
          </cell>
          <cell r="E313">
            <v>3</v>
          </cell>
        </row>
        <row r="314">
          <cell r="A314" t="str">
            <v>09/139</v>
          </cell>
          <cell r="E314">
            <v>3</v>
          </cell>
        </row>
        <row r="315">
          <cell r="A315" t="str">
            <v>09/137</v>
          </cell>
          <cell r="E315">
            <v>4</v>
          </cell>
        </row>
        <row r="316">
          <cell r="A316" t="str">
            <v>09/138</v>
          </cell>
          <cell r="E316">
            <v>20</v>
          </cell>
        </row>
        <row r="317">
          <cell r="A317" t="str">
            <v>09/250</v>
          </cell>
          <cell r="E317">
            <v>7</v>
          </cell>
        </row>
        <row r="318">
          <cell r="A318" t="str">
            <v>09/255</v>
          </cell>
          <cell r="E318">
            <v>11</v>
          </cell>
        </row>
        <row r="319">
          <cell r="A319" t="str">
            <v>09/110</v>
          </cell>
          <cell r="E319">
            <v>1</v>
          </cell>
        </row>
        <row r="320">
          <cell r="A320" t="str">
            <v>09/040</v>
          </cell>
          <cell r="E320">
            <v>30</v>
          </cell>
        </row>
        <row r="321">
          <cell r="A321" t="str">
            <v>09/041</v>
          </cell>
          <cell r="E321">
            <v>3</v>
          </cell>
        </row>
        <row r="322">
          <cell r="A322" t="str">
            <v>09/160</v>
          </cell>
          <cell r="E322">
            <v>3</v>
          </cell>
        </row>
        <row r="323">
          <cell r="A323" t="str">
            <v>09/220</v>
          </cell>
          <cell r="E323">
            <v>5</v>
          </cell>
        </row>
        <row r="324">
          <cell r="A324" t="str">
            <v>09/060</v>
          </cell>
          <cell r="E324">
            <v>11</v>
          </cell>
        </row>
        <row r="325">
          <cell r="A325" t="str">
            <v>09/135</v>
          </cell>
          <cell r="E325">
            <v>7</v>
          </cell>
        </row>
        <row r="326">
          <cell r="A326" t="str">
            <v>09/190</v>
          </cell>
          <cell r="E326">
            <v>1</v>
          </cell>
        </row>
        <row r="327">
          <cell r="A327" t="str">
            <v>09/140</v>
          </cell>
          <cell r="E327">
            <v>5</v>
          </cell>
        </row>
        <row r="328">
          <cell r="A328" t="str">
            <v>09/143</v>
          </cell>
          <cell r="E328">
            <v>11</v>
          </cell>
        </row>
        <row r="329">
          <cell r="A329" t="str">
            <v>09/145</v>
          </cell>
          <cell r="E329">
            <v>5</v>
          </cell>
        </row>
        <row r="330">
          <cell r="A330" t="str">
            <v>09/015</v>
          </cell>
          <cell r="E330">
            <v>3</v>
          </cell>
        </row>
        <row r="331">
          <cell r="A331" t="str">
            <v>09/130</v>
          </cell>
          <cell r="E331">
            <v>10</v>
          </cell>
        </row>
        <row r="332">
          <cell r="A332" t="str">
            <v>09/225</v>
          </cell>
          <cell r="E332">
            <v>3</v>
          </cell>
        </row>
        <row r="333">
          <cell r="A333" t="str">
            <v>09/070</v>
          </cell>
          <cell r="E333">
            <v>8</v>
          </cell>
        </row>
        <row r="334">
          <cell r="A334" t="str">
            <v>09/010</v>
          </cell>
          <cell r="E334">
            <v>18</v>
          </cell>
        </row>
        <row r="335">
          <cell r="A335" t="str">
            <v>09/013</v>
          </cell>
          <cell r="E335">
            <v>1</v>
          </cell>
        </row>
        <row r="336">
          <cell r="A336" t="str">
            <v>09/100</v>
          </cell>
          <cell r="E336">
            <v>1</v>
          </cell>
        </row>
        <row r="337">
          <cell r="A337" t="str">
            <v>05/180</v>
          </cell>
          <cell r="E337">
            <v>17</v>
          </cell>
        </row>
        <row r="338">
          <cell r="A338" t="str">
            <v>04/125</v>
          </cell>
          <cell r="E338">
            <v>14</v>
          </cell>
        </row>
        <row r="339">
          <cell r="A339" t="str">
            <v>05/170</v>
          </cell>
          <cell r="E339">
            <v>2</v>
          </cell>
        </row>
        <row r="340">
          <cell r="A340" t="str">
            <v>05/305</v>
          </cell>
          <cell r="E340">
            <v>6</v>
          </cell>
        </row>
        <row r="341">
          <cell r="A341" t="str">
            <v>05/190</v>
          </cell>
          <cell r="E341">
            <v>15</v>
          </cell>
        </row>
        <row r="342">
          <cell r="A342" t="str">
            <v>05/450</v>
          </cell>
          <cell r="E342">
            <v>11</v>
          </cell>
        </row>
        <row r="343">
          <cell r="A343" t="str">
            <v>05/231</v>
          </cell>
          <cell r="E343">
            <v>17</v>
          </cell>
        </row>
        <row r="344">
          <cell r="A344" t="str">
            <v>05/220</v>
          </cell>
          <cell r="E344">
            <v>149</v>
          </cell>
        </row>
        <row r="345">
          <cell r="A345" t="str">
            <v>05/230</v>
          </cell>
          <cell r="E345">
            <v>40</v>
          </cell>
        </row>
        <row r="346">
          <cell r="A346" t="str">
            <v>05/399</v>
          </cell>
          <cell r="E346">
            <v>30</v>
          </cell>
        </row>
        <row r="347">
          <cell r="A347" t="str">
            <v>05/400</v>
          </cell>
          <cell r="E347">
            <v>228</v>
          </cell>
        </row>
        <row r="348">
          <cell r="A348" t="str">
            <v>05/410</v>
          </cell>
          <cell r="E348">
            <v>64</v>
          </cell>
        </row>
        <row r="349">
          <cell r="A349" t="str">
            <v>05/200</v>
          </cell>
          <cell r="E349">
            <v>249</v>
          </cell>
        </row>
        <row r="350">
          <cell r="A350" t="str">
            <v>05/250</v>
          </cell>
          <cell r="E350">
            <v>2</v>
          </cell>
        </row>
        <row r="351">
          <cell r="A351" t="str">
            <v>05/270</v>
          </cell>
          <cell r="E351">
            <v>45</v>
          </cell>
        </row>
        <row r="352">
          <cell r="A352" t="str">
            <v>05/300</v>
          </cell>
          <cell r="E352">
            <v>11</v>
          </cell>
        </row>
        <row r="353">
          <cell r="A353" t="str">
            <v>VEHICLES</v>
          </cell>
          <cell r="E353">
            <v>47</v>
          </cell>
        </row>
        <row r="354">
          <cell r="A354" t="str">
            <v>INTDEPOT</v>
          </cell>
          <cell r="E354">
            <v>2</v>
          </cell>
        </row>
        <row r="355">
          <cell r="A355" t="str">
            <v>INTFIRE</v>
          </cell>
          <cell r="E355">
            <v>3</v>
          </cell>
        </row>
        <row r="356">
          <cell r="A356" t="str">
            <v>INTFORK</v>
          </cell>
          <cell r="E356">
            <v>2</v>
          </cell>
        </row>
        <row r="357">
          <cell r="A357" t="str">
            <v>INTINSP</v>
          </cell>
          <cell r="E357">
            <v>3</v>
          </cell>
        </row>
        <row r="358">
          <cell r="A358" t="str">
            <v>INTWORK</v>
          </cell>
          <cell r="E358">
            <v>2</v>
          </cell>
        </row>
        <row r="359">
          <cell r="A359" t="str">
            <v>INTYARD</v>
          </cell>
          <cell r="E359">
            <v>2</v>
          </cell>
        </row>
        <row r="360">
          <cell r="A360" t="str">
            <v>10/065</v>
          </cell>
          <cell r="E360">
            <v>2</v>
          </cell>
        </row>
        <row r="361">
          <cell r="A361" t="str">
            <v>10/015</v>
          </cell>
          <cell r="E361">
            <v>2</v>
          </cell>
        </row>
        <row r="362">
          <cell r="A362" t="str">
            <v>10/105</v>
          </cell>
          <cell r="E362">
            <v>5</v>
          </cell>
        </row>
        <row r="363">
          <cell r="A363" t="str">
            <v>10/075</v>
          </cell>
          <cell r="E363">
            <v>2</v>
          </cell>
        </row>
        <row r="364">
          <cell r="A364" t="str">
            <v>10/010</v>
          </cell>
          <cell r="E364">
            <v>13</v>
          </cell>
        </row>
        <row r="365">
          <cell r="A365" t="str">
            <v>10/030</v>
          </cell>
          <cell r="E365">
            <v>1</v>
          </cell>
        </row>
        <row r="366">
          <cell r="A366" t="str">
            <v>10/050</v>
          </cell>
          <cell r="E366">
            <v>1</v>
          </cell>
        </row>
        <row r="367">
          <cell r="A367" t="str">
            <v>10/060</v>
          </cell>
          <cell r="E367">
            <v>5</v>
          </cell>
        </row>
        <row r="368">
          <cell r="A368" t="str">
            <v>10/080</v>
          </cell>
          <cell r="E368">
            <v>2</v>
          </cell>
        </row>
        <row r="369">
          <cell r="A369" t="str">
            <v>10/160</v>
          </cell>
          <cell r="E369">
            <v>1</v>
          </cell>
        </row>
        <row r="370">
          <cell r="A370" t="str">
            <v>10/090</v>
          </cell>
          <cell r="E370">
            <v>4</v>
          </cell>
        </row>
        <row r="371">
          <cell r="A371" t="str">
            <v>10/100</v>
          </cell>
          <cell r="E371">
            <v>1</v>
          </cell>
        </row>
        <row r="372">
          <cell r="A372" t="str">
            <v>10/130</v>
          </cell>
          <cell r="E372">
            <v>3</v>
          </cell>
        </row>
        <row r="373">
          <cell r="A373" t="str">
            <v>10/110</v>
          </cell>
          <cell r="E373">
            <v>5</v>
          </cell>
        </row>
        <row r="374">
          <cell r="A374" t="str">
            <v>10/120</v>
          </cell>
          <cell r="E374">
            <v>1</v>
          </cell>
        </row>
        <row r="375">
          <cell r="A375" t="str">
            <v>10/205</v>
          </cell>
          <cell r="E375">
            <v>2</v>
          </cell>
        </row>
        <row r="376">
          <cell r="A376" t="str">
            <v>21/220</v>
          </cell>
          <cell r="E376">
            <v>5</v>
          </cell>
        </row>
        <row r="377">
          <cell r="A377" t="str">
            <v>21/040</v>
          </cell>
          <cell r="E377">
            <v>2</v>
          </cell>
        </row>
        <row r="378">
          <cell r="A378" t="str">
            <v>21/047</v>
          </cell>
          <cell r="E378">
            <v>1</v>
          </cell>
        </row>
        <row r="379">
          <cell r="A379" t="str">
            <v>21/010</v>
          </cell>
          <cell r="E379">
            <v>1</v>
          </cell>
        </row>
        <row r="380">
          <cell r="A380" t="str">
            <v>21/020</v>
          </cell>
          <cell r="E380">
            <v>3</v>
          </cell>
        </row>
        <row r="381">
          <cell r="A381" t="str">
            <v>21/030</v>
          </cell>
          <cell r="E381">
            <v>1</v>
          </cell>
        </row>
        <row r="382">
          <cell r="A382" t="str">
            <v>21/216</v>
          </cell>
          <cell r="E382">
            <v>16</v>
          </cell>
        </row>
        <row r="383">
          <cell r="A383" t="str">
            <v>21/205</v>
          </cell>
          <cell r="E383">
            <v>6</v>
          </cell>
        </row>
        <row r="384">
          <cell r="A384" t="str">
            <v>21/200</v>
          </cell>
          <cell r="E384">
            <v>81</v>
          </cell>
        </row>
        <row r="385">
          <cell r="A385" t="str">
            <v>21/350</v>
          </cell>
          <cell r="E385">
            <v>20</v>
          </cell>
        </row>
        <row r="386">
          <cell r="A386" t="str">
            <v>21/210</v>
          </cell>
          <cell r="E386">
            <v>8</v>
          </cell>
        </row>
        <row r="387">
          <cell r="A387" t="str">
            <v>21/080</v>
          </cell>
          <cell r="E387">
            <v>2</v>
          </cell>
        </row>
        <row r="388">
          <cell r="A388" t="str">
            <v>21/050</v>
          </cell>
          <cell r="E388">
            <v>2</v>
          </cell>
        </row>
        <row r="389">
          <cell r="A389" t="str">
            <v>21/060</v>
          </cell>
          <cell r="E389">
            <v>1</v>
          </cell>
        </row>
        <row r="390">
          <cell r="A390" t="str">
            <v>21/070</v>
          </cell>
          <cell r="E390">
            <v>1</v>
          </cell>
        </row>
        <row r="391">
          <cell r="A391" t="str">
            <v>21/215</v>
          </cell>
          <cell r="E391">
            <v>7</v>
          </cell>
        </row>
        <row r="392">
          <cell r="A392" t="str">
            <v>21/355</v>
          </cell>
          <cell r="E392">
            <v>6</v>
          </cell>
        </row>
        <row r="393">
          <cell r="A393" t="str">
            <v>21/235</v>
          </cell>
          <cell r="E393">
            <v>32</v>
          </cell>
        </row>
        <row r="394">
          <cell r="A394" t="str">
            <v>21/236</v>
          </cell>
          <cell r="E394">
            <v>1</v>
          </cell>
        </row>
        <row r="395">
          <cell r="A395" t="str">
            <v>21/230</v>
          </cell>
          <cell r="E395">
            <v>4</v>
          </cell>
        </row>
        <row r="396">
          <cell r="A396" t="str">
            <v>21/105</v>
          </cell>
          <cell r="E396">
            <v>2</v>
          </cell>
        </row>
        <row r="397">
          <cell r="A397" t="str">
            <v>21/100</v>
          </cell>
          <cell r="E397">
            <v>4</v>
          </cell>
        </row>
        <row r="398">
          <cell r="A398" t="str">
            <v>21/106</v>
          </cell>
          <cell r="E398">
            <v>2</v>
          </cell>
        </row>
        <row r="399">
          <cell r="A399" t="str">
            <v>21/255</v>
          </cell>
          <cell r="E399">
            <v>2</v>
          </cell>
        </row>
        <row r="400">
          <cell r="A400" t="str">
            <v>21/500</v>
          </cell>
          <cell r="E400">
            <v>6</v>
          </cell>
        </row>
        <row r="401">
          <cell r="A401" t="str">
            <v>21/506</v>
          </cell>
          <cell r="E401">
            <v>1</v>
          </cell>
        </row>
        <row r="402">
          <cell r="A402" t="str">
            <v>21/125</v>
          </cell>
          <cell r="E402">
            <v>3</v>
          </cell>
        </row>
        <row r="403">
          <cell r="A403" t="str">
            <v>21/110</v>
          </cell>
          <cell r="E403">
            <v>2</v>
          </cell>
        </row>
        <row r="404">
          <cell r="A404" t="str">
            <v>21/246</v>
          </cell>
          <cell r="E404">
            <v>3</v>
          </cell>
        </row>
        <row r="405">
          <cell r="A405" t="str">
            <v>21/560</v>
          </cell>
          <cell r="E405">
            <v>2</v>
          </cell>
        </row>
        <row r="406">
          <cell r="A406" t="str">
            <v>21/555</v>
          </cell>
          <cell r="E406">
            <v>10</v>
          </cell>
        </row>
        <row r="407">
          <cell r="A407" t="str">
            <v>21/600</v>
          </cell>
          <cell r="E407">
            <v>10</v>
          </cell>
        </row>
        <row r="408">
          <cell r="A408" t="str">
            <v>21/405</v>
          </cell>
          <cell r="E408">
            <v>4</v>
          </cell>
        </row>
        <row r="409">
          <cell r="A409" t="str">
            <v>21/400</v>
          </cell>
          <cell r="E409">
            <v>2</v>
          </cell>
        </row>
        <row r="410">
          <cell r="A410" t="str">
            <v>21/325</v>
          </cell>
          <cell r="E410">
            <v>5</v>
          </cell>
        </row>
        <row r="411">
          <cell r="A411" t="str">
            <v>21/420</v>
          </cell>
          <cell r="E411">
            <v>4</v>
          </cell>
        </row>
        <row r="412">
          <cell r="A412" t="str">
            <v>21/450</v>
          </cell>
          <cell r="E412">
            <v>2</v>
          </cell>
        </row>
        <row r="413">
          <cell r="A413" t="str">
            <v>21/185</v>
          </cell>
          <cell r="E413">
            <v>6</v>
          </cell>
        </row>
        <row r="414">
          <cell r="A414" t="str">
            <v>21/275</v>
          </cell>
          <cell r="E414">
            <v>4</v>
          </cell>
        </row>
        <row r="415">
          <cell r="A415" t="str">
            <v>21/340</v>
          </cell>
          <cell r="E415">
            <v>4</v>
          </cell>
        </row>
        <row r="416">
          <cell r="A416" t="str">
            <v>21/130</v>
          </cell>
          <cell r="E416">
            <v>34</v>
          </cell>
        </row>
        <row r="417">
          <cell r="A417" t="str">
            <v>21/143</v>
          </cell>
          <cell r="E417">
            <v>2</v>
          </cell>
        </row>
        <row r="418">
          <cell r="A418" t="str">
            <v>21/146</v>
          </cell>
          <cell r="E418">
            <v>7</v>
          </cell>
        </row>
        <row r="419">
          <cell r="A419" t="str">
            <v>21/150</v>
          </cell>
          <cell r="E419">
            <v>3</v>
          </cell>
        </row>
        <row r="420">
          <cell r="A420" t="str">
            <v>21/550</v>
          </cell>
          <cell r="E420">
            <v>1</v>
          </cell>
        </row>
        <row r="421">
          <cell r="A421" t="str">
            <v>21/490</v>
          </cell>
          <cell r="E421">
            <v>1</v>
          </cell>
        </row>
        <row r="422">
          <cell r="A422" t="str">
            <v>21/390</v>
          </cell>
          <cell r="E422">
            <v>7</v>
          </cell>
        </row>
        <row r="423">
          <cell r="A423" t="str">
            <v>21/160</v>
          </cell>
          <cell r="E423">
            <v>4</v>
          </cell>
        </row>
        <row r="424">
          <cell r="A424" t="str">
            <v>21/170</v>
          </cell>
          <cell r="E424">
            <v>10</v>
          </cell>
        </row>
        <row r="425">
          <cell r="A425" t="str">
            <v>21/175</v>
          </cell>
          <cell r="E425">
            <v>5</v>
          </cell>
        </row>
        <row r="426">
          <cell r="A426" t="str">
            <v>21/410</v>
          </cell>
          <cell r="E426">
            <v>13</v>
          </cell>
        </row>
        <row r="427">
          <cell r="A427" t="str">
            <v>XLIFTING</v>
          </cell>
          <cell r="E427">
            <v>30</v>
          </cell>
        </row>
        <row r="428">
          <cell r="A428" t="str">
            <v>21/135</v>
          </cell>
          <cell r="E428">
            <v>1</v>
          </cell>
        </row>
        <row r="429">
          <cell r="A429" t="str">
            <v>21/192</v>
          </cell>
          <cell r="E429">
            <v>84</v>
          </cell>
        </row>
        <row r="430">
          <cell r="A430" t="str">
            <v>21/195</v>
          </cell>
          <cell r="E430">
            <v>2</v>
          </cell>
        </row>
        <row r="431">
          <cell r="A431" t="str">
            <v>21/190</v>
          </cell>
          <cell r="E431">
            <v>61</v>
          </cell>
        </row>
        <row r="432">
          <cell r="A432" t="str">
            <v>21/191</v>
          </cell>
          <cell r="E432">
            <v>6</v>
          </cell>
        </row>
        <row r="433">
          <cell r="A433" t="str">
            <v>21/197</v>
          </cell>
          <cell r="E433">
            <v>6</v>
          </cell>
        </row>
        <row r="434">
          <cell r="A434" t="str">
            <v>21/196</v>
          </cell>
          <cell r="E434">
            <v>65</v>
          </cell>
        </row>
        <row r="435">
          <cell r="A435" t="str">
            <v>21/290</v>
          </cell>
          <cell r="E435">
            <v>3</v>
          </cell>
        </row>
        <row r="436">
          <cell r="A436" t="str">
            <v>21/480</v>
          </cell>
          <cell r="E436">
            <v>29</v>
          </cell>
        </row>
        <row r="437">
          <cell r="A437" t="str">
            <v>21/485</v>
          </cell>
          <cell r="E437">
            <v>4</v>
          </cell>
        </row>
        <row r="438">
          <cell r="A438" t="str">
            <v>21/280</v>
          </cell>
          <cell r="E438">
            <v>8</v>
          </cell>
        </row>
        <row r="439">
          <cell r="A439" t="str">
            <v>21/240</v>
          </cell>
          <cell r="E439">
            <v>26</v>
          </cell>
        </row>
        <row r="440">
          <cell r="A440" t="str">
            <v>21/250</v>
          </cell>
          <cell r="E440">
            <v>1</v>
          </cell>
        </row>
        <row r="441">
          <cell r="A441" t="str">
            <v>21/136</v>
          </cell>
          <cell r="E441">
            <v>2</v>
          </cell>
        </row>
        <row r="442">
          <cell r="A442" t="str">
            <v>21/140</v>
          </cell>
          <cell r="E442">
            <v>35</v>
          </cell>
        </row>
        <row r="443">
          <cell r="A443" t="str">
            <v>21/300</v>
          </cell>
          <cell r="E443">
            <v>1</v>
          </cell>
        </row>
        <row r="444">
          <cell r="A444" t="str">
            <v>21/285</v>
          </cell>
          <cell r="E444">
            <v>4</v>
          </cell>
        </row>
        <row r="445">
          <cell r="A445" t="str">
            <v>21/305</v>
          </cell>
          <cell r="E445">
            <v>5</v>
          </cell>
        </row>
        <row r="446">
          <cell r="A446" t="str">
            <v>21/245</v>
          </cell>
          <cell r="E446">
            <v>11</v>
          </cell>
        </row>
        <row r="447">
          <cell r="A447" t="str">
            <v>21/380</v>
          </cell>
          <cell r="E447">
            <v>8</v>
          </cell>
        </row>
        <row r="448">
          <cell r="A448" t="str">
            <v>21/295</v>
          </cell>
          <cell r="E448">
            <v>5</v>
          </cell>
        </row>
        <row r="449">
          <cell r="A449" t="str">
            <v>21/180</v>
          </cell>
          <cell r="E449">
            <v>21</v>
          </cell>
        </row>
        <row r="450">
          <cell r="A450" t="str">
            <v>11/055</v>
          </cell>
          <cell r="E450">
            <v>1</v>
          </cell>
        </row>
        <row r="451">
          <cell r="A451" t="str">
            <v>11/056</v>
          </cell>
          <cell r="E451">
            <v>80</v>
          </cell>
        </row>
        <row r="452">
          <cell r="A452" t="str">
            <v>11/290</v>
          </cell>
          <cell r="E452">
            <v>12</v>
          </cell>
        </row>
        <row r="453">
          <cell r="A453" t="str">
            <v>11/265</v>
          </cell>
          <cell r="E453">
            <v>6</v>
          </cell>
        </row>
        <row r="454">
          <cell r="A454" t="str">
            <v>11/040</v>
          </cell>
          <cell r="E454">
            <v>16</v>
          </cell>
        </row>
        <row r="455">
          <cell r="A455" t="str">
            <v>11/057</v>
          </cell>
          <cell r="E455">
            <v>5</v>
          </cell>
        </row>
        <row r="456">
          <cell r="A456" t="str">
            <v>11/010</v>
          </cell>
          <cell r="E456">
            <v>3</v>
          </cell>
        </row>
        <row r="457">
          <cell r="A457" t="str">
            <v>11/020</v>
          </cell>
          <cell r="E457">
            <v>46</v>
          </cell>
        </row>
        <row r="458">
          <cell r="A458" t="str">
            <v>11/060</v>
          </cell>
        </row>
        <row r="459">
          <cell r="A459" t="str">
            <v>11/070</v>
          </cell>
          <cell r="E459">
            <v>22</v>
          </cell>
        </row>
        <row r="460">
          <cell r="A460" t="str">
            <v>11/065</v>
          </cell>
        </row>
        <row r="461">
          <cell r="A461" t="str">
            <v>11/080</v>
          </cell>
          <cell r="E461">
            <v>2</v>
          </cell>
        </row>
        <row r="462">
          <cell r="A462" t="str">
            <v>11/310</v>
          </cell>
          <cell r="E462">
            <v>4</v>
          </cell>
        </row>
        <row r="463">
          <cell r="A463" t="str">
            <v>XLIGHT</v>
          </cell>
          <cell r="E463">
            <v>2</v>
          </cell>
        </row>
        <row r="464">
          <cell r="A464" t="str">
            <v>11/340</v>
          </cell>
          <cell r="E464">
            <v>5</v>
          </cell>
        </row>
        <row r="465">
          <cell r="A465" t="str">
            <v>11/030</v>
          </cell>
          <cell r="E465">
            <v>235</v>
          </cell>
        </row>
        <row r="466">
          <cell r="A466" t="str">
            <v>11/085</v>
          </cell>
          <cell r="E466">
            <v>2</v>
          </cell>
        </row>
        <row r="467">
          <cell r="A467" t="str">
            <v>11/420</v>
          </cell>
          <cell r="E467">
            <v>62</v>
          </cell>
        </row>
        <row r="468">
          <cell r="A468" t="str">
            <v>11/430</v>
          </cell>
          <cell r="E468">
            <v>15</v>
          </cell>
        </row>
        <row r="469">
          <cell r="A469" t="str">
            <v>11/170</v>
          </cell>
          <cell r="E469">
            <v>61</v>
          </cell>
        </row>
        <row r="470">
          <cell r="A470" t="str">
            <v>11/210</v>
          </cell>
          <cell r="E470">
            <v>28</v>
          </cell>
        </row>
        <row r="471">
          <cell r="A471" t="str">
            <v>11/050</v>
          </cell>
          <cell r="E471">
            <v>1</v>
          </cell>
        </row>
        <row r="472">
          <cell r="A472" t="str">
            <v>08/055</v>
          </cell>
          <cell r="E472">
            <v>4</v>
          </cell>
        </row>
        <row r="473">
          <cell r="A473" t="str">
            <v>08/010</v>
          </cell>
          <cell r="E473">
            <v>4</v>
          </cell>
        </row>
        <row r="474">
          <cell r="A474" t="str">
            <v>08/020</v>
          </cell>
          <cell r="E474">
            <v>16</v>
          </cell>
        </row>
        <row r="475">
          <cell r="A475" t="str">
            <v>08/090</v>
          </cell>
          <cell r="E475">
            <v>3</v>
          </cell>
        </row>
        <row r="476">
          <cell r="A476" t="str">
            <v>08/045</v>
          </cell>
          <cell r="E476">
            <v>2</v>
          </cell>
        </row>
        <row r="477">
          <cell r="A477" t="str">
            <v>08/040</v>
          </cell>
          <cell r="E477">
            <v>19</v>
          </cell>
        </row>
        <row r="478">
          <cell r="A478" t="str">
            <v>08/060</v>
          </cell>
          <cell r="E478">
            <v>12</v>
          </cell>
        </row>
        <row r="479">
          <cell r="A479" t="str">
            <v>08/070</v>
          </cell>
        </row>
        <row r="480">
          <cell r="A480" t="str">
            <v>17/310</v>
          </cell>
          <cell r="E480">
            <v>3</v>
          </cell>
        </row>
        <row r="481">
          <cell r="A481" t="str">
            <v>17/075</v>
          </cell>
          <cell r="E481">
            <v>1</v>
          </cell>
        </row>
        <row r="482">
          <cell r="A482" t="str">
            <v>17/280</v>
          </cell>
          <cell r="E482">
            <v>14</v>
          </cell>
        </row>
        <row r="483">
          <cell r="A483" t="str">
            <v>17/260</v>
          </cell>
          <cell r="E483">
            <v>1</v>
          </cell>
        </row>
        <row r="484">
          <cell r="A484" t="str">
            <v>17/100</v>
          </cell>
          <cell r="E484">
            <v>4</v>
          </cell>
        </row>
        <row r="485">
          <cell r="A485" t="str">
            <v>17/010</v>
          </cell>
          <cell r="E485">
            <v>2</v>
          </cell>
        </row>
        <row r="486">
          <cell r="A486" t="str">
            <v>17/040</v>
          </cell>
          <cell r="E486">
            <v>2</v>
          </cell>
        </row>
        <row r="487">
          <cell r="A487" t="str">
            <v>17/340</v>
          </cell>
          <cell r="E487">
            <v>110</v>
          </cell>
        </row>
        <row r="488">
          <cell r="A488" t="str">
            <v>17/355</v>
          </cell>
          <cell r="E488">
            <v>15</v>
          </cell>
        </row>
        <row r="489">
          <cell r="A489" t="str">
            <v>17/330</v>
          </cell>
          <cell r="E489">
            <v>1</v>
          </cell>
        </row>
        <row r="490">
          <cell r="A490" t="str">
            <v>17/320</v>
          </cell>
          <cell r="E490">
            <v>2</v>
          </cell>
        </row>
        <row r="491">
          <cell r="A491" t="str">
            <v>17/365</v>
          </cell>
          <cell r="E491">
            <v>1</v>
          </cell>
        </row>
        <row r="492">
          <cell r="A492" t="str">
            <v>17/140</v>
          </cell>
          <cell r="E492">
            <v>4</v>
          </cell>
        </row>
        <row r="493">
          <cell r="A493" t="str">
            <v>XPIPE</v>
          </cell>
          <cell r="E493">
            <v>2</v>
          </cell>
        </row>
        <row r="494">
          <cell r="A494" t="str">
            <v>17/130</v>
          </cell>
          <cell r="E494">
            <v>2</v>
          </cell>
        </row>
        <row r="495">
          <cell r="A495" t="str">
            <v>17/020</v>
          </cell>
          <cell r="E495">
            <v>1</v>
          </cell>
        </row>
        <row r="496">
          <cell r="A496" t="str">
            <v>17/160</v>
          </cell>
          <cell r="E496">
            <v>1</v>
          </cell>
        </row>
        <row r="497">
          <cell r="A497" t="str">
            <v>17/170</v>
          </cell>
          <cell r="E497">
            <v>2</v>
          </cell>
        </row>
        <row r="498">
          <cell r="A498" t="str">
            <v>17/150</v>
          </cell>
          <cell r="E498">
            <v>1</v>
          </cell>
        </row>
        <row r="499">
          <cell r="A499" t="str">
            <v>17/290</v>
          </cell>
        </row>
        <row r="500">
          <cell r="A500" t="str">
            <v>17/230</v>
          </cell>
          <cell r="E500">
            <v>1</v>
          </cell>
        </row>
        <row r="501">
          <cell r="A501" t="str">
            <v>17/060</v>
          </cell>
          <cell r="E501">
            <v>2</v>
          </cell>
        </row>
        <row r="502">
          <cell r="A502" t="str">
            <v>17/080</v>
          </cell>
          <cell r="E502">
            <v>2</v>
          </cell>
        </row>
        <row r="503">
          <cell r="A503" t="str">
            <v>01/906</v>
          </cell>
          <cell r="E503">
            <v>3</v>
          </cell>
        </row>
        <row r="504">
          <cell r="A504" t="str">
            <v>01/560</v>
          </cell>
          <cell r="E504">
            <v>19</v>
          </cell>
        </row>
        <row r="505">
          <cell r="A505" t="str">
            <v>01/561</v>
          </cell>
          <cell r="E505">
            <v>20</v>
          </cell>
        </row>
        <row r="506">
          <cell r="A506" t="str">
            <v>01/550</v>
          </cell>
          <cell r="E506">
            <v>20</v>
          </cell>
        </row>
        <row r="507">
          <cell r="A507" t="str">
            <v>01/625</v>
          </cell>
          <cell r="E507">
            <v>20</v>
          </cell>
        </row>
        <row r="508">
          <cell r="A508" t="str">
            <v>01/620</v>
          </cell>
          <cell r="E508">
            <v>22</v>
          </cell>
        </row>
        <row r="509">
          <cell r="A509" t="str">
            <v>XPOWACC</v>
          </cell>
          <cell r="E509">
            <v>17</v>
          </cell>
        </row>
        <row r="510">
          <cell r="A510" t="str">
            <v>12/010</v>
          </cell>
          <cell r="E510">
            <v>4</v>
          </cell>
        </row>
        <row r="511">
          <cell r="A511" t="str">
            <v>12/015</v>
          </cell>
          <cell r="E511">
            <v>4</v>
          </cell>
        </row>
        <row r="512">
          <cell r="A512" t="str">
            <v>12/070</v>
          </cell>
          <cell r="E512">
            <v>1</v>
          </cell>
        </row>
        <row r="513">
          <cell r="A513" t="str">
            <v>12/080</v>
          </cell>
          <cell r="E513">
            <v>6</v>
          </cell>
        </row>
        <row r="514">
          <cell r="A514" t="str">
            <v>12/020</v>
          </cell>
          <cell r="E514">
            <v>93</v>
          </cell>
        </row>
        <row r="515">
          <cell r="A515" t="str">
            <v>12/030</v>
          </cell>
          <cell r="E515">
            <v>63</v>
          </cell>
        </row>
        <row r="516">
          <cell r="A516" t="str">
            <v>12/090</v>
          </cell>
          <cell r="E516">
            <v>2</v>
          </cell>
        </row>
        <row r="517">
          <cell r="A517" t="str">
            <v>12/035</v>
          </cell>
          <cell r="E517">
            <v>17</v>
          </cell>
        </row>
        <row r="518">
          <cell r="A518" t="str">
            <v>12/095</v>
          </cell>
          <cell r="E518">
            <v>1</v>
          </cell>
        </row>
        <row r="519">
          <cell r="A519" t="str">
            <v>18/070</v>
          </cell>
        </row>
        <row r="520">
          <cell r="A520" t="str">
            <v>18/040</v>
          </cell>
          <cell r="E520">
            <v>13</v>
          </cell>
        </row>
        <row r="521">
          <cell r="A521" t="str">
            <v>18/060</v>
          </cell>
          <cell r="E521">
            <v>11</v>
          </cell>
        </row>
        <row r="522">
          <cell r="A522" t="str">
            <v>19/110</v>
          </cell>
          <cell r="E522">
            <v>32</v>
          </cell>
        </row>
        <row r="523">
          <cell r="A523" t="str">
            <v>19/170</v>
          </cell>
          <cell r="E523">
            <v>12</v>
          </cell>
        </row>
        <row r="524">
          <cell r="A524" t="str">
            <v>19/029</v>
          </cell>
          <cell r="E524">
            <v>23</v>
          </cell>
        </row>
        <row r="525">
          <cell r="A525" t="str">
            <v>19/195</v>
          </cell>
          <cell r="E525">
            <v>16</v>
          </cell>
        </row>
        <row r="526">
          <cell r="A526" t="str">
            <v>19/190</v>
          </cell>
          <cell r="E526">
            <v>63</v>
          </cell>
        </row>
        <row r="527">
          <cell r="A527" t="str">
            <v>19/095</v>
          </cell>
          <cell r="E527">
            <v>36</v>
          </cell>
        </row>
        <row r="528">
          <cell r="A528" t="str">
            <v>19/125</v>
          </cell>
          <cell r="E528">
            <v>6</v>
          </cell>
        </row>
        <row r="529">
          <cell r="A529" t="str">
            <v>19/025</v>
          </cell>
          <cell r="E529">
            <v>20</v>
          </cell>
        </row>
        <row r="530">
          <cell r="A530" t="str">
            <v>19/100</v>
          </cell>
          <cell r="E530">
            <v>23</v>
          </cell>
        </row>
        <row r="531">
          <cell r="A531" t="str">
            <v>19/015</v>
          </cell>
          <cell r="E531">
            <v>6</v>
          </cell>
        </row>
        <row r="532">
          <cell r="A532" t="str">
            <v>19/200</v>
          </cell>
          <cell r="E532">
            <v>2</v>
          </cell>
        </row>
        <row r="533">
          <cell r="A533" t="str">
            <v>19/180</v>
          </cell>
          <cell r="E533">
            <v>1</v>
          </cell>
        </row>
        <row r="534">
          <cell r="A534" t="str">
            <v>02/245</v>
          </cell>
          <cell r="E534">
            <v>3</v>
          </cell>
        </row>
        <row r="535">
          <cell r="A535" t="str">
            <v>19/115</v>
          </cell>
          <cell r="E535">
            <v>18</v>
          </cell>
        </row>
        <row r="536">
          <cell r="A536" t="str">
            <v>19/090</v>
          </cell>
          <cell r="E536">
            <v>69</v>
          </cell>
        </row>
        <row r="537">
          <cell r="A537" t="str">
            <v>19/010</v>
          </cell>
          <cell r="E537">
            <v>247</v>
          </cell>
        </row>
        <row r="538">
          <cell r="A538" t="str">
            <v>19/020</v>
          </cell>
          <cell r="E538">
            <v>151</v>
          </cell>
        </row>
        <row r="539">
          <cell r="A539" t="str">
            <v>19/030</v>
          </cell>
          <cell r="E539">
            <v>9</v>
          </cell>
        </row>
        <row r="540">
          <cell r="A540" t="str">
            <v>01/915</v>
          </cell>
          <cell r="E540">
            <v>2</v>
          </cell>
        </row>
        <row r="541">
          <cell r="A541" t="str">
            <v>01/902</v>
          </cell>
          <cell r="E541">
            <v>21</v>
          </cell>
        </row>
        <row r="542">
          <cell r="A542" t="str">
            <v>01/905</v>
          </cell>
          <cell r="E542">
            <v>16</v>
          </cell>
        </row>
        <row r="543">
          <cell r="A543" t="str">
            <v>01/910</v>
          </cell>
          <cell r="E543">
            <v>6</v>
          </cell>
        </row>
        <row r="544">
          <cell r="A544" t="str">
            <v>01/900</v>
          </cell>
        </row>
        <row r="545">
          <cell r="A545" t="str">
            <v>01/917</v>
          </cell>
          <cell r="E545">
            <v>1</v>
          </cell>
        </row>
        <row r="546">
          <cell r="A546" t="str">
            <v>20/040</v>
          </cell>
        </row>
        <row r="547">
          <cell r="A547" t="str">
            <v>XOFFICE</v>
          </cell>
          <cell r="E547">
            <v>2</v>
          </cell>
        </row>
        <row r="548">
          <cell r="A548" t="str">
            <v>20/010</v>
          </cell>
          <cell r="E548">
            <v>1</v>
          </cell>
        </row>
        <row r="549">
          <cell r="A549" t="str">
            <v>13/180</v>
          </cell>
          <cell r="E549">
            <v>10</v>
          </cell>
        </row>
        <row r="550">
          <cell r="A550" t="str">
            <v>13/055</v>
          </cell>
          <cell r="E550">
            <v>3</v>
          </cell>
        </row>
        <row r="551">
          <cell r="A551" t="str">
            <v>13/170</v>
          </cell>
          <cell r="E551">
            <v>111</v>
          </cell>
        </row>
        <row r="552">
          <cell r="A552" t="str">
            <v>13/240</v>
          </cell>
          <cell r="E552">
            <v>13</v>
          </cell>
        </row>
        <row r="553">
          <cell r="A553" t="str">
            <v>13/220</v>
          </cell>
          <cell r="E553">
            <v>9</v>
          </cell>
        </row>
        <row r="554">
          <cell r="A554" t="str">
            <v>13/235</v>
          </cell>
          <cell r="E554">
            <v>5</v>
          </cell>
        </row>
        <row r="555">
          <cell r="A555" t="str">
            <v>13/236</v>
          </cell>
          <cell r="E555">
            <v>1</v>
          </cell>
        </row>
        <row r="556">
          <cell r="A556" t="str">
            <v>13/225</v>
          </cell>
          <cell r="E556">
            <v>3</v>
          </cell>
        </row>
        <row r="557">
          <cell r="A557" t="str">
            <v>13/230</v>
          </cell>
        </row>
        <row r="558">
          <cell r="A558" t="str">
            <v>13/025</v>
          </cell>
          <cell r="E558">
            <v>1</v>
          </cell>
        </row>
        <row r="559">
          <cell r="A559" t="str">
            <v>13/130</v>
          </cell>
          <cell r="E559">
            <v>18</v>
          </cell>
        </row>
        <row r="560">
          <cell r="A560" t="str">
            <v>13/145</v>
          </cell>
          <cell r="E560">
            <v>14</v>
          </cell>
        </row>
        <row r="561">
          <cell r="A561" t="str">
            <v>13/140</v>
          </cell>
          <cell r="E561">
            <v>188</v>
          </cell>
        </row>
        <row r="562">
          <cell r="A562" t="str">
            <v>13/147</v>
          </cell>
          <cell r="E562">
            <v>2</v>
          </cell>
        </row>
        <row r="563">
          <cell r="A563" t="str">
            <v>13/020</v>
          </cell>
          <cell r="E563">
            <v>37</v>
          </cell>
        </row>
        <row r="564">
          <cell r="A564" t="str">
            <v>13/040</v>
          </cell>
          <cell r="E564">
            <v>20</v>
          </cell>
        </row>
        <row r="565">
          <cell r="A565" t="str">
            <v>13/090</v>
          </cell>
          <cell r="E565">
            <v>32</v>
          </cell>
        </row>
        <row r="566">
          <cell r="A566" t="str">
            <v>13/110</v>
          </cell>
          <cell r="E566">
            <v>11</v>
          </cell>
        </row>
        <row r="567">
          <cell r="A567" t="str">
            <v>13/100</v>
          </cell>
          <cell r="E567">
            <v>16</v>
          </cell>
        </row>
        <row r="568">
          <cell r="A568" t="str">
            <v>13/150</v>
          </cell>
          <cell r="E568">
            <v>145</v>
          </cell>
        </row>
        <row r="569">
          <cell r="A569" t="str">
            <v>13/050</v>
          </cell>
          <cell r="E569">
            <v>46</v>
          </cell>
        </row>
        <row r="570">
          <cell r="A570" t="str">
            <v>13/120</v>
          </cell>
          <cell r="E570">
            <v>10</v>
          </cell>
        </row>
        <row r="571">
          <cell r="A571" t="str">
            <v>13/215</v>
          </cell>
          <cell r="E571">
            <v>3</v>
          </cell>
        </row>
        <row r="572">
          <cell r="A572" t="str">
            <v>13/210</v>
          </cell>
          <cell r="E572">
            <v>16</v>
          </cell>
        </row>
        <row r="573">
          <cell r="A573" t="str">
            <v>02/230</v>
          </cell>
          <cell r="E573">
            <v>4</v>
          </cell>
        </row>
        <row r="574">
          <cell r="A574" t="str">
            <v>13/250</v>
          </cell>
          <cell r="E574">
            <v>18</v>
          </cell>
        </row>
        <row r="575">
          <cell r="A575" t="str">
            <v>XPOWER</v>
          </cell>
          <cell r="E575">
            <v>12</v>
          </cell>
        </row>
        <row r="576">
          <cell r="A576" t="str">
            <v>13/060</v>
          </cell>
          <cell r="E576">
            <v>18</v>
          </cell>
        </row>
        <row r="577">
          <cell r="A577" t="str">
            <v>13/042</v>
          </cell>
          <cell r="E577">
            <v>10</v>
          </cell>
        </row>
        <row r="578">
          <cell r="A578" t="str">
            <v>02/205</v>
          </cell>
          <cell r="E578">
            <v>23</v>
          </cell>
        </row>
        <row r="579">
          <cell r="A579" t="str">
            <v>02/200</v>
          </cell>
          <cell r="E579">
            <v>23</v>
          </cell>
        </row>
        <row r="580">
          <cell r="A580" t="str">
            <v>06/405</v>
          </cell>
          <cell r="E580">
            <v>1</v>
          </cell>
        </row>
        <row r="581">
          <cell r="A581" t="str">
            <v>14/010</v>
          </cell>
          <cell r="E581">
            <v>13</v>
          </cell>
        </row>
        <row r="582">
          <cell r="A582" t="str">
            <v>14/020</v>
          </cell>
          <cell r="E582">
            <v>8</v>
          </cell>
        </row>
        <row r="583">
          <cell r="A583" t="str">
            <v>14/045</v>
          </cell>
          <cell r="E583">
            <v>22</v>
          </cell>
        </row>
        <row r="584">
          <cell r="A584" t="str">
            <v>14/050</v>
          </cell>
          <cell r="E584">
            <v>6</v>
          </cell>
        </row>
        <row r="585">
          <cell r="A585" t="str">
            <v>14/060</v>
          </cell>
          <cell r="E585">
            <v>9</v>
          </cell>
        </row>
        <row r="586">
          <cell r="A586" t="str">
            <v>14/070</v>
          </cell>
          <cell r="E586">
            <v>3</v>
          </cell>
        </row>
        <row r="587">
          <cell r="A587" t="str">
            <v>14/100</v>
          </cell>
          <cell r="E587">
            <v>23</v>
          </cell>
        </row>
        <row r="588">
          <cell r="A588" t="str">
            <v>14/075</v>
          </cell>
          <cell r="E588">
            <v>10</v>
          </cell>
        </row>
        <row r="589">
          <cell r="A589" t="str">
            <v>14/090</v>
          </cell>
          <cell r="E589">
            <v>10</v>
          </cell>
        </row>
        <row r="590">
          <cell r="A590" t="str">
            <v>15/010</v>
          </cell>
          <cell r="E590">
            <v>25</v>
          </cell>
        </row>
        <row r="591">
          <cell r="A591" t="str">
            <v>15/065</v>
          </cell>
          <cell r="E591">
            <v>4</v>
          </cell>
        </row>
        <row r="592">
          <cell r="A592" t="str">
            <v>15/040</v>
          </cell>
          <cell r="E592">
            <v>4</v>
          </cell>
        </row>
        <row r="593">
          <cell r="A593" t="str">
            <v>15/110</v>
          </cell>
          <cell r="E593">
            <v>1</v>
          </cell>
        </row>
        <row r="594">
          <cell r="A594" t="str">
            <v>15/100</v>
          </cell>
          <cell r="E594">
            <v>14</v>
          </cell>
        </row>
        <row r="595">
          <cell r="A595" t="str">
            <v>15/050</v>
          </cell>
          <cell r="E595">
            <v>5</v>
          </cell>
        </row>
        <row r="596">
          <cell r="A596" t="str">
            <v>15/084</v>
          </cell>
          <cell r="E596">
            <v>4</v>
          </cell>
        </row>
        <row r="597">
          <cell r="A597" t="str">
            <v>15/085</v>
          </cell>
          <cell r="E597">
            <v>17</v>
          </cell>
        </row>
        <row r="598">
          <cell r="A598" t="str">
            <v>15/075</v>
          </cell>
          <cell r="E598">
            <v>2</v>
          </cell>
        </row>
        <row r="599">
          <cell r="A599" t="str">
            <v>15/105</v>
          </cell>
          <cell r="E599">
            <v>3</v>
          </cell>
        </row>
        <row r="600">
          <cell r="A600" t="str">
            <v>15/086</v>
          </cell>
          <cell r="E600">
            <v>2</v>
          </cell>
        </row>
        <row r="601">
          <cell r="A601" t="str">
            <v>15/120</v>
          </cell>
          <cell r="E601">
            <v>3</v>
          </cell>
        </row>
        <row r="602">
          <cell r="A602" t="str">
            <v>15/090</v>
          </cell>
          <cell r="E602">
            <v>2</v>
          </cell>
        </row>
        <row r="603">
          <cell r="A603" t="str">
            <v>15/020</v>
          </cell>
          <cell r="E603">
            <v>15</v>
          </cell>
        </row>
        <row r="604">
          <cell r="A604" t="str">
            <v>15/125</v>
          </cell>
          <cell r="E604">
            <v>5</v>
          </cell>
        </row>
        <row r="605">
          <cell r="A605" t="str">
            <v>15/130</v>
          </cell>
          <cell r="E605">
            <v>1</v>
          </cell>
        </row>
        <row r="606">
          <cell r="A606" t="str">
            <v>15/165</v>
          </cell>
          <cell r="E606">
            <v>2</v>
          </cell>
        </row>
        <row r="607">
          <cell r="A607" t="str">
            <v>XSURVEY</v>
          </cell>
          <cell r="E607">
            <v>2</v>
          </cell>
        </row>
        <row r="608">
          <cell r="A608" t="str">
            <v>15/080</v>
          </cell>
          <cell r="E608">
            <v>11</v>
          </cell>
        </row>
        <row r="609">
          <cell r="A609" t="str">
            <v>15/035</v>
          </cell>
          <cell r="E609">
            <v>1</v>
          </cell>
        </row>
        <row r="610">
          <cell r="A610" t="str">
            <v>15/135</v>
          </cell>
          <cell r="E610">
            <v>4</v>
          </cell>
        </row>
        <row r="611">
          <cell r="A611" t="str">
            <v>16/060</v>
          </cell>
          <cell r="E611">
            <v>5</v>
          </cell>
        </row>
        <row r="612">
          <cell r="A612" t="str">
            <v>16/290</v>
          </cell>
          <cell r="E612">
            <v>20</v>
          </cell>
        </row>
        <row r="613">
          <cell r="A613" t="str">
            <v>16/380</v>
          </cell>
          <cell r="E613">
            <v>6</v>
          </cell>
        </row>
        <row r="614">
          <cell r="A614" t="str">
            <v>16/330</v>
          </cell>
          <cell r="E614">
            <v>4</v>
          </cell>
        </row>
        <row r="615">
          <cell r="A615" t="str">
            <v>16/305</v>
          </cell>
          <cell r="E615">
            <v>4</v>
          </cell>
        </row>
        <row r="616">
          <cell r="A616" t="str">
            <v>16/045</v>
          </cell>
          <cell r="E616">
            <v>5</v>
          </cell>
        </row>
        <row r="617">
          <cell r="A617" t="str">
            <v>16/090</v>
          </cell>
          <cell r="E617">
            <v>1</v>
          </cell>
        </row>
        <row r="618">
          <cell r="A618" t="str">
            <v>16/100</v>
          </cell>
          <cell r="E618">
            <v>5</v>
          </cell>
        </row>
        <row r="619">
          <cell r="A619" t="str">
            <v>16/105</v>
          </cell>
          <cell r="E619">
            <v>55</v>
          </cell>
        </row>
        <row r="620">
          <cell r="A620" t="str">
            <v>16/405</v>
          </cell>
          <cell r="E620">
            <v>4</v>
          </cell>
        </row>
        <row r="621">
          <cell r="A621" t="str">
            <v>16/400</v>
          </cell>
          <cell r="E621">
            <v>6</v>
          </cell>
        </row>
        <row r="622">
          <cell r="A622" t="str">
            <v>16/081</v>
          </cell>
          <cell r="E622">
            <v>6</v>
          </cell>
        </row>
        <row r="623">
          <cell r="A623" t="str">
            <v>16/080</v>
          </cell>
          <cell r="E623">
            <v>9</v>
          </cell>
        </row>
        <row r="624">
          <cell r="A624" t="str">
            <v>16/075</v>
          </cell>
          <cell r="E624">
            <v>11</v>
          </cell>
        </row>
        <row r="625">
          <cell r="A625" t="str">
            <v>16/315</v>
          </cell>
          <cell r="E625">
            <v>33</v>
          </cell>
        </row>
        <row r="626">
          <cell r="A626" t="str">
            <v>16/325</v>
          </cell>
          <cell r="E626">
            <v>14</v>
          </cell>
        </row>
        <row r="627">
          <cell r="A627" t="str">
            <v>16/010</v>
          </cell>
          <cell r="E627">
            <v>2</v>
          </cell>
        </row>
        <row r="628">
          <cell r="A628" t="str">
            <v>16/030</v>
          </cell>
          <cell r="E628">
            <v>3</v>
          </cell>
        </row>
        <row r="629">
          <cell r="A629" t="str">
            <v>16/020</v>
          </cell>
          <cell r="E629">
            <v>5</v>
          </cell>
        </row>
        <row r="630">
          <cell r="A630" t="str">
            <v>16/035</v>
          </cell>
          <cell r="E630">
            <v>2</v>
          </cell>
        </row>
        <row r="631">
          <cell r="A631" t="str">
            <v>16/040</v>
          </cell>
          <cell r="E631">
            <v>8</v>
          </cell>
        </row>
        <row r="632">
          <cell r="A632" t="str">
            <v>16/050</v>
          </cell>
          <cell r="E632">
            <v>46</v>
          </cell>
        </row>
        <row r="633">
          <cell r="A633" t="str">
            <v>16/070</v>
          </cell>
          <cell r="E633">
            <v>14</v>
          </cell>
        </row>
        <row r="634">
          <cell r="A634" t="str">
            <v>16/120</v>
          </cell>
          <cell r="E634">
            <v>2</v>
          </cell>
        </row>
        <row r="635">
          <cell r="A635" t="str">
            <v>16/130</v>
          </cell>
          <cell r="E635">
            <v>2</v>
          </cell>
        </row>
        <row r="636">
          <cell r="A636" t="str">
            <v>16/376</v>
          </cell>
          <cell r="E636">
            <v>4</v>
          </cell>
        </row>
        <row r="637">
          <cell r="A637" t="str">
            <v>16/140</v>
          </cell>
          <cell r="E637">
            <v>4</v>
          </cell>
        </row>
        <row r="638">
          <cell r="A638" t="str">
            <v>16/150</v>
          </cell>
          <cell r="E638">
            <v>7</v>
          </cell>
        </row>
        <row r="639">
          <cell r="A639" t="str">
            <v>16/375</v>
          </cell>
          <cell r="E639">
            <v>24</v>
          </cell>
        </row>
        <row r="640">
          <cell r="A640" t="str">
            <v>16/357</v>
          </cell>
          <cell r="E640">
            <v>4</v>
          </cell>
        </row>
        <row r="641">
          <cell r="A641" t="str">
            <v>16/355</v>
          </cell>
          <cell r="E641">
            <v>3</v>
          </cell>
        </row>
        <row r="642">
          <cell r="A642" t="str">
            <v>16/160</v>
          </cell>
          <cell r="E642">
            <v>13</v>
          </cell>
        </row>
        <row r="643">
          <cell r="A643" t="str">
            <v>16/170</v>
          </cell>
          <cell r="E643">
            <v>3</v>
          </cell>
        </row>
        <row r="644">
          <cell r="A644" t="str">
            <v>16/370</v>
          </cell>
          <cell r="E644">
            <v>31</v>
          </cell>
        </row>
        <row r="645">
          <cell r="A645" t="str">
            <v>16/180</v>
          </cell>
          <cell r="E645">
            <v>7</v>
          </cell>
        </row>
        <row r="646">
          <cell r="A646" t="str">
            <v>16/200</v>
          </cell>
          <cell r="E646">
            <v>17</v>
          </cell>
        </row>
        <row r="647">
          <cell r="A647" t="str">
            <v>16/190</v>
          </cell>
          <cell r="E647">
            <v>16</v>
          </cell>
        </row>
        <row r="648">
          <cell r="A648" t="str">
            <v>16/320</v>
          </cell>
          <cell r="E648">
            <v>18</v>
          </cell>
        </row>
        <row r="649">
          <cell r="A649" t="str">
            <v>16/185</v>
          </cell>
          <cell r="E649">
            <v>6</v>
          </cell>
        </row>
        <row r="650">
          <cell r="A650" t="str">
            <v>16/205</v>
          </cell>
          <cell r="E650">
            <v>3</v>
          </cell>
        </row>
        <row r="651">
          <cell r="A651" t="str">
            <v>16/350</v>
          </cell>
          <cell r="E651">
            <v>11</v>
          </cell>
        </row>
        <row r="652">
          <cell r="A652" t="str">
            <v>16/230</v>
          </cell>
          <cell r="E652">
            <v>6</v>
          </cell>
        </row>
        <row r="653">
          <cell r="A653" t="str">
            <v>16/240</v>
          </cell>
          <cell r="E653">
            <v>3</v>
          </cell>
        </row>
        <row r="654">
          <cell r="A654" t="str">
            <v>16/245</v>
          </cell>
          <cell r="E654">
            <v>3</v>
          </cell>
        </row>
        <row r="655">
          <cell r="A655" t="str">
            <v>16/250</v>
          </cell>
          <cell r="E655">
            <v>6</v>
          </cell>
        </row>
        <row r="656">
          <cell r="A656" t="str">
            <v>16/360</v>
          </cell>
          <cell r="E656">
            <v>28</v>
          </cell>
        </row>
        <row r="657">
          <cell r="A657" t="str">
            <v>16/196</v>
          </cell>
          <cell r="E657">
            <v>3</v>
          </cell>
        </row>
        <row r="658">
          <cell r="A658" t="str">
            <v>16/195</v>
          </cell>
          <cell r="E658">
            <v>3</v>
          </cell>
        </row>
        <row r="659">
          <cell r="A659" t="str">
            <v>16/270</v>
          </cell>
          <cell r="E659">
            <v>3</v>
          </cell>
        </row>
        <row r="660">
          <cell r="A660" t="str">
            <v>19/085</v>
          </cell>
          <cell r="E660">
            <v>13</v>
          </cell>
        </row>
        <row r="661">
          <cell r="A661" t="str">
            <v>19/060</v>
          </cell>
          <cell r="E661">
            <v>5</v>
          </cell>
        </row>
        <row r="662">
          <cell r="A662" t="str">
            <v>19/070</v>
          </cell>
          <cell r="E662">
            <v>3</v>
          </cell>
        </row>
        <row r="663">
          <cell r="A663" t="str">
            <v>19/080</v>
          </cell>
          <cell r="E663">
            <v>8</v>
          </cell>
        </row>
        <row r="664">
          <cell r="A664" t="str">
            <v>19/130</v>
          </cell>
          <cell r="E664">
            <v>2</v>
          </cell>
        </row>
        <row r="665">
          <cell r="A665" t="str">
            <v>19/150</v>
          </cell>
          <cell r="E665">
            <v>10</v>
          </cell>
        </row>
        <row r="666">
          <cell r="A666" t="str">
            <v>19/160</v>
          </cell>
          <cell r="E666">
            <v>12</v>
          </cell>
        </row>
        <row r="667">
          <cell r="A667" t="str">
            <v>19/040</v>
          </cell>
          <cell r="E667">
            <v>43</v>
          </cell>
        </row>
        <row r="668">
          <cell r="A668" t="str">
            <v>19/140</v>
          </cell>
          <cell r="E668">
            <v>3</v>
          </cell>
        </row>
        <row r="669">
          <cell r="A669" t="str">
            <v>Total</v>
          </cell>
          <cell r="E669">
            <v>11384</v>
          </cell>
        </row>
        <row r="671">
          <cell r="A671" t="str">
            <v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v>
          </cell>
        </row>
      </sheetData>
      <sheetData sheetId="4"/>
      <sheetData sheetId="5"/>
      <sheetData sheetId="6"/>
      <sheetData sheetId="7"/>
      <sheetData sheetId="8">
        <row r="1">
          <cell r="D1"/>
        </row>
        <row r="2">
          <cell r="D2"/>
        </row>
        <row r="4">
          <cell r="D4" t="str">
            <v>Code</v>
          </cell>
          <cell r="AA4" t="str">
            <v>SEQ</v>
          </cell>
        </row>
        <row r="7">
          <cell r="D7" t="str">
            <v>01/560</v>
          </cell>
          <cell r="AA7">
            <v>1</v>
          </cell>
        </row>
        <row r="8">
          <cell r="D8" t="str">
            <v>01/561</v>
          </cell>
          <cell r="AA8">
            <v>2</v>
          </cell>
        </row>
        <row r="9">
          <cell r="D9" t="str">
            <v>01/550</v>
          </cell>
          <cell r="AA9">
            <v>3</v>
          </cell>
        </row>
        <row r="10">
          <cell r="D10" t="str">
            <v>01/625</v>
          </cell>
          <cell r="AA10">
            <v>4</v>
          </cell>
        </row>
        <row r="11">
          <cell r="D11" t="str">
            <v>01/617</v>
          </cell>
          <cell r="AA11">
            <v>5</v>
          </cell>
        </row>
        <row r="12">
          <cell r="D12" t="str">
            <v>01/615</v>
          </cell>
          <cell r="AA12">
            <v>6</v>
          </cell>
        </row>
        <row r="13">
          <cell r="D13" t="str">
            <v>01/555</v>
          </cell>
          <cell r="AA13">
            <v>7</v>
          </cell>
        </row>
        <row r="14">
          <cell r="D14" t="str">
            <v>01/557</v>
          </cell>
          <cell r="AA14">
            <v>8</v>
          </cell>
        </row>
        <row r="15">
          <cell r="D15" t="str">
            <v>01/595</v>
          </cell>
          <cell r="AA15">
            <v>9</v>
          </cell>
        </row>
        <row r="16">
          <cell r="D16" t="str">
            <v>01/558</v>
          </cell>
          <cell r="AA16">
            <v>10</v>
          </cell>
        </row>
        <row r="17">
          <cell r="D17" t="str">
            <v>01/900</v>
          </cell>
          <cell r="AA17">
            <v>11</v>
          </cell>
        </row>
        <row r="18">
          <cell r="D18" t="str">
            <v>01/902</v>
          </cell>
          <cell r="AA18">
            <v>12</v>
          </cell>
        </row>
        <row r="19">
          <cell r="D19" t="str">
            <v>01/905</v>
          </cell>
          <cell r="AA19">
            <v>13</v>
          </cell>
        </row>
        <row r="20">
          <cell r="D20" t="str">
            <v>01/910</v>
          </cell>
          <cell r="AA20">
            <v>14</v>
          </cell>
        </row>
        <row r="21">
          <cell r="D21" t="str">
            <v>01/915</v>
          </cell>
          <cell r="AA21">
            <v>15</v>
          </cell>
        </row>
        <row r="22">
          <cell r="AA22">
            <v>16</v>
          </cell>
        </row>
        <row r="23">
          <cell r="AA23">
            <v>17</v>
          </cell>
        </row>
        <row r="24">
          <cell r="AA24">
            <v>18</v>
          </cell>
        </row>
        <row r="25">
          <cell r="D25" t="str">
            <v>T/G001</v>
          </cell>
          <cell r="AA25">
            <v>19</v>
          </cell>
        </row>
        <row r="26">
          <cell r="D26" t="str">
            <v>T/G031</v>
          </cell>
          <cell r="AA26">
            <v>20</v>
          </cell>
        </row>
        <row r="27">
          <cell r="D27" t="str">
            <v>T/G061</v>
          </cell>
          <cell r="AA27">
            <v>21</v>
          </cell>
        </row>
        <row r="28">
          <cell r="D28" t="str">
            <v>T/G091</v>
          </cell>
          <cell r="AA28">
            <v>22</v>
          </cell>
        </row>
        <row r="29">
          <cell r="AA29">
            <v>23</v>
          </cell>
        </row>
        <row r="30">
          <cell r="AA30">
            <v>24</v>
          </cell>
        </row>
        <row r="31">
          <cell r="AA31">
            <v>25</v>
          </cell>
        </row>
        <row r="32">
          <cell r="AA32">
            <v>26</v>
          </cell>
        </row>
        <row r="33">
          <cell r="D33" t="str">
            <v>T/S002</v>
          </cell>
          <cell r="AA33">
            <v>27</v>
          </cell>
        </row>
        <row r="34">
          <cell r="D34" t="str">
            <v>T/S003</v>
          </cell>
          <cell r="AA34">
            <v>28</v>
          </cell>
        </row>
        <row r="35">
          <cell r="D35" t="str">
            <v>T/S004</v>
          </cell>
          <cell r="AA35">
            <v>29</v>
          </cell>
        </row>
        <row r="36">
          <cell r="D36" t="str">
            <v>T/D002</v>
          </cell>
          <cell r="AA36">
            <v>30</v>
          </cell>
        </row>
        <row r="37">
          <cell r="D37" t="str">
            <v>T/D003</v>
          </cell>
          <cell r="AA37">
            <v>31</v>
          </cell>
        </row>
        <row r="38">
          <cell r="D38" t="str">
            <v>T/D004</v>
          </cell>
          <cell r="AA38">
            <v>32</v>
          </cell>
        </row>
        <row r="39">
          <cell r="AA39">
            <v>33</v>
          </cell>
        </row>
        <row r="40">
          <cell r="AA40">
            <v>34</v>
          </cell>
        </row>
        <row r="41">
          <cell r="AA41">
            <v>35</v>
          </cell>
        </row>
        <row r="42">
          <cell r="AA42">
            <v>36</v>
          </cell>
        </row>
        <row r="43">
          <cell r="D43" t="str">
            <v>T/GS01</v>
          </cell>
          <cell r="AA43">
            <v>37</v>
          </cell>
        </row>
        <row r="44">
          <cell r="D44" t="str">
            <v>T/GS02</v>
          </cell>
          <cell r="AA44">
            <v>38</v>
          </cell>
        </row>
        <row r="45">
          <cell r="D45" t="str">
            <v>T/GD01</v>
          </cell>
          <cell r="AA45">
            <v>39</v>
          </cell>
        </row>
        <row r="46">
          <cell r="D46" t="str">
            <v>T/GD02</v>
          </cell>
          <cell r="AA46">
            <v>40</v>
          </cell>
        </row>
        <row r="47">
          <cell r="AA47">
            <v>41</v>
          </cell>
        </row>
        <row r="48">
          <cell r="AA48">
            <v>42</v>
          </cell>
        </row>
        <row r="49">
          <cell r="AA49">
            <v>43</v>
          </cell>
        </row>
        <row r="50">
          <cell r="AA50">
            <v>44</v>
          </cell>
        </row>
        <row r="51">
          <cell r="AA51">
            <v>45</v>
          </cell>
        </row>
        <row r="52">
          <cell r="D52" t="str">
            <v>T/S001</v>
          </cell>
          <cell r="AA52">
            <v>46</v>
          </cell>
        </row>
        <row r="53">
          <cell r="D53" t="str">
            <v>T/D001</v>
          </cell>
          <cell r="AA53">
            <v>47</v>
          </cell>
        </row>
        <row r="54">
          <cell r="AA54">
            <v>48</v>
          </cell>
        </row>
        <row r="55">
          <cell r="AA55">
            <v>49</v>
          </cell>
        </row>
        <row r="56">
          <cell r="AA56">
            <v>50</v>
          </cell>
        </row>
        <row r="57">
          <cell r="AA57">
            <v>51</v>
          </cell>
        </row>
        <row r="58">
          <cell r="D58" t="str">
            <v>T/W001</v>
          </cell>
          <cell r="AA58">
            <v>52</v>
          </cell>
        </row>
        <row r="59">
          <cell r="D59" t="str">
            <v>T/W002</v>
          </cell>
          <cell r="AA59">
            <v>53</v>
          </cell>
        </row>
        <row r="60">
          <cell r="AA60">
            <v>54</v>
          </cell>
        </row>
        <row r="61">
          <cell r="AA61">
            <v>55</v>
          </cell>
        </row>
        <row r="62">
          <cell r="AA62">
            <v>56</v>
          </cell>
        </row>
        <row r="63">
          <cell r="D63" t="str">
            <v>T/A001</v>
          </cell>
          <cell r="AA63">
            <v>57</v>
          </cell>
        </row>
        <row r="64">
          <cell r="D64" t="str">
            <v>T/A003</v>
          </cell>
          <cell r="AA64">
            <v>58</v>
          </cell>
        </row>
        <row r="65">
          <cell r="D65" t="str">
            <v>T/A002</v>
          </cell>
          <cell r="AA65">
            <v>59</v>
          </cell>
        </row>
        <row r="66">
          <cell r="AA66">
            <v>60</v>
          </cell>
        </row>
        <row r="67">
          <cell r="D67" t="str">
            <v>Code</v>
          </cell>
          <cell r="AA67">
            <v>61</v>
          </cell>
        </row>
        <row r="68">
          <cell r="AA68">
            <v>62</v>
          </cell>
        </row>
        <row r="69">
          <cell r="AA69">
            <v>63</v>
          </cell>
        </row>
        <row r="70">
          <cell r="D70" t="str">
            <v>T/B001</v>
          </cell>
          <cell r="AA70">
            <v>64</v>
          </cell>
        </row>
        <row r="71">
          <cell r="D71" t="str">
            <v>T/B002</v>
          </cell>
          <cell r="AA71">
            <v>65</v>
          </cell>
        </row>
        <row r="72">
          <cell r="D72" t="str">
            <v>T/B003</v>
          </cell>
          <cell r="AA72">
            <v>66</v>
          </cell>
        </row>
        <row r="73">
          <cell r="D73" t="str">
            <v>T/B004</v>
          </cell>
          <cell r="AA73">
            <v>67</v>
          </cell>
        </row>
        <row r="74">
          <cell r="AA74">
            <v>68</v>
          </cell>
        </row>
        <row r="75">
          <cell r="AA75">
            <v>69</v>
          </cell>
        </row>
        <row r="76">
          <cell r="D76" t="str">
            <v>01/535</v>
          </cell>
          <cell r="AA76">
            <v>70</v>
          </cell>
        </row>
        <row r="77">
          <cell r="D77" t="str">
            <v>01/505</v>
          </cell>
          <cell r="AA77">
            <v>71</v>
          </cell>
        </row>
        <row r="78">
          <cell r="D78" t="str">
            <v>01/510</v>
          </cell>
          <cell r="AA78">
            <v>72</v>
          </cell>
        </row>
        <row r="79">
          <cell r="D79" t="str">
            <v>01/522</v>
          </cell>
          <cell r="AA79">
            <v>73</v>
          </cell>
        </row>
        <row r="80">
          <cell r="D80" t="str">
            <v>01/528</v>
          </cell>
          <cell r="AA80">
            <v>74</v>
          </cell>
        </row>
        <row r="81">
          <cell r="D81" t="str">
            <v>01/533</v>
          </cell>
          <cell r="AA81">
            <v>75</v>
          </cell>
        </row>
        <row r="82">
          <cell r="D82"/>
          <cell r="AA82">
            <v>76</v>
          </cell>
        </row>
        <row r="83">
          <cell r="D83"/>
          <cell r="AA83">
            <v>77</v>
          </cell>
        </row>
        <row r="84">
          <cell r="D84"/>
          <cell r="AA84">
            <v>78</v>
          </cell>
        </row>
        <row r="85">
          <cell r="D85" t="str">
            <v>01/540</v>
          </cell>
          <cell r="AA85">
            <v>79</v>
          </cell>
        </row>
        <row r="86">
          <cell r="D86" t="str">
            <v>01/545</v>
          </cell>
          <cell r="AA86">
            <v>80</v>
          </cell>
        </row>
        <row r="87">
          <cell r="D87" t="str">
            <v>01/547</v>
          </cell>
          <cell r="AA87">
            <v>81</v>
          </cell>
        </row>
        <row r="88">
          <cell r="D88"/>
          <cell r="AA88">
            <v>82</v>
          </cell>
        </row>
        <row r="89">
          <cell r="AA89">
            <v>83</v>
          </cell>
        </row>
        <row r="90">
          <cell r="AA90">
            <v>84</v>
          </cell>
        </row>
        <row r="91">
          <cell r="D91" t="str">
            <v>01/585</v>
          </cell>
          <cell r="AA91">
            <v>85</v>
          </cell>
        </row>
        <row r="92">
          <cell r="AA92">
            <v>86</v>
          </cell>
        </row>
        <row r="93">
          <cell r="AA93">
            <v>87</v>
          </cell>
        </row>
        <row r="94">
          <cell r="AA94">
            <v>88</v>
          </cell>
        </row>
        <row r="95">
          <cell r="D95" t="str">
            <v>01/565</v>
          </cell>
          <cell r="AA95">
            <v>89</v>
          </cell>
        </row>
        <row r="96">
          <cell r="D96" t="str">
            <v>01/575</v>
          </cell>
          <cell r="AA96">
            <v>90</v>
          </cell>
        </row>
        <row r="97">
          <cell r="D97"/>
          <cell r="AA97">
            <v>91</v>
          </cell>
        </row>
        <row r="98">
          <cell r="AA98">
            <v>92</v>
          </cell>
        </row>
        <row r="99">
          <cell r="AA99">
            <v>93</v>
          </cell>
        </row>
        <row r="100">
          <cell r="D100" t="str">
            <v>01/570</v>
          </cell>
          <cell r="AA100">
            <v>94</v>
          </cell>
        </row>
        <row r="101">
          <cell r="AA101">
            <v>95</v>
          </cell>
        </row>
        <row r="102">
          <cell r="AA102">
            <v>96</v>
          </cell>
        </row>
        <row r="103">
          <cell r="AA103">
            <v>97</v>
          </cell>
        </row>
        <row r="104">
          <cell r="D104" t="str">
            <v>01/580</v>
          </cell>
          <cell r="AA104">
            <v>98</v>
          </cell>
        </row>
        <row r="105">
          <cell r="AA105">
            <v>99</v>
          </cell>
        </row>
        <row r="106">
          <cell r="D106" t="str">
            <v>B0101105</v>
          </cell>
          <cell r="AA106">
            <v>100</v>
          </cell>
        </row>
        <row r="107">
          <cell r="D107"/>
          <cell r="AA107">
            <v>101</v>
          </cell>
        </row>
        <row r="108">
          <cell r="D108"/>
          <cell r="AA108">
            <v>102</v>
          </cell>
        </row>
        <row r="109">
          <cell r="AA109">
            <v>103</v>
          </cell>
        </row>
        <row r="110">
          <cell r="AA110">
            <v>104</v>
          </cell>
        </row>
        <row r="111">
          <cell r="D111" t="str">
            <v>01/010</v>
          </cell>
          <cell r="AA111">
            <v>105</v>
          </cell>
        </row>
        <row r="112">
          <cell r="D112" t="str">
            <v>01/020</v>
          </cell>
          <cell r="AA112">
            <v>106</v>
          </cell>
        </row>
        <row r="113">
          <cell r="D113" t="str">
            <v>01/030</v>
          </cell>
          <cell r="AA113">
            <v>107</v>
          </cell>
        </row>
        <row r="114">
          <cell r="D114" t="str">
            <v>01/040</v>
          </cell>
          <cell r="AA114">
            <v>108</v>
          </cell>
        </row>
        <row r="115">
          <cell r="AA115">
            <v>109</v>
          </cell>
        </row>
        <row r="116">
          <cell r="AA116">
            <v>110</v>
          </cell>
        </row>
        <row r="117">
          <cell r="D117" t="str">
            <v>01/160</v>
          </cell>
          <cell r="AA117">
            <v>111</v>
          </cell>
        </row>
        <row r="118">
          <cell r="D118" t="str">
            <v>01/170</v>
          </cell>
          <cell r="AA118">
            <v>112</v>
          </cell>
        </row>
        <row r="119">
          <cell r="D119" t="str">
            <v>01/180</v>
          </cell>
          <cell r="AA119">
            <v>113</v>
          </cell>
        </row>
        <row r="120">
          <cell r="D120" t="str">
            <v>01/190</v>
          </cell>
          <cell r="AA120">
            <v>114</v>
          </cell>
        </row>
        <row r="121">
          <cell r="D121" t="str">
            <v>Code</v>
          </cell>
          <cell r="AA121">
            <v>115</v>
          </cell>
        </row>
        <row r="122">
          <cell r="AA122">
            <v>116</v>
          </cell>
        </row>
        <row r="123">
          <cell r="AA123">
            <v>117</v>
          </cell>
        </row>
        <row r="124">
          <cell r="D124" t="str">
            <v>01/601</v>
          </cell>
          <cell r="AA124">
            <v>118</v>
          </cell>
        </row>
        <row r="125">
          <cell r="D125" t="str">
            <v>01/602</v>
          </cell>
          <cell r="AA125">
            <v>119</v>
          </cell>
        </row>
        <row r="126">
          <cell r="D126" t="str">
            <v>01/603</v>
          </cell>
          <cell r="AA126">
            <v>120</v>
          </cell>
        </row>
        <row r="127">
          <cell r="D127" t="str">
            <v>01/604</v>
          </cell>
          <cell r="AA127">
            <v>121</v>
          </cell>
        </row>
        <row r="128">
          <cell r="D128" t="str">
            <v>01/605</v>
          </cell>
          <cell r="AA128">
            <v>122</v>
          </cell>
        </row>
        <row r="129">
          <cell r="AA129">
            <v>123</v>
          </cell>
        </row>
        <row r="130">
          <cell r="AA130">
            <v>124</v>
          </cell>
        </row>
        <row r="131">
          <cell r="D131" t="str">
            <v>01/600</v>
          </cell>
          <cell r="AA131">
            <v>125</v>
          </cell>
        </row>
        <row r="132">
          <cell r="AA132">
            <v>126</v>
          </cell>
        </row>
        <row r="133">
          <cell r="AA133">
            <v>127</v>
          </cell>
        </row>
        <row r="134">
          <cell r="AA134">
            <v>128</v>
          </cell>
        </row>
        <row r="135">
          <cell r="D135" t="str">
            <v>01/470</v>
          </cell>
          <cell r="AA135">
            <v>129</v>
          </cell>
        </row>
        <row r="136">
          <cell r="AA136">
            <v>130</v>
          </cell>
        </row>
        <row r="137">
          <cell r="AA137">
            <v>131</v>
          </cell>
        </row>
        <row r="138">
          <cell r="AA138">
            <v>132</v>
          </cell>
        </row>
        <row r="139">
          <cell r="D139" t="str">
            <v>01/450</v>
          </cell>
          <cell r="AA139">
            <v>133</v>
          </cell>
        </row>
        <row r="140">
          <cell r="D140" t="str">
            <v>01/455</v>
          </cell>
          <cell r="AA140">
            <v>134</v>
          </cell>
        </row>
        <row r="141">
          <cell r="AA141">
            <v>135</v>
          </cell>
        </row>
        <row r="142">
          <cell r="AA142">
            <v>136</v>
          </cell>
        </row>
        <row r="143">
          <cell r="AA143">
            <v>137</v>
          </cell>
        </row>
        <row r="144">
          <cell r="D144" t="str">
            <v>01/080</v>
          </cell>
          <cell r="AA144">
            <v>138</v>
          </cell>
        </row>
        <row r="145">
          <cell r="D145" t="str">
            <v>01/090</v>
          </cell>
          <cell r="AA145">
            <v>139</v>
          </cell>
        </row>
        <row r="146">
          <cell r="D146" t="str">
            <v>01/100</v>
          </cell>
          <cell r="AA146">
            <v>140</v>
          </cell>
        </row>
        <row r="147">
          <cell r="D147" t="str">
            <v>01/110</v>
          </cell>
          <cell r="AA147">
            <v>141</v>
          </cell>
        </row>
        <row r="148">
          <cell r="D148" t="str">
            <v>01/120</v>
          </cell>
          <cell r="AA148">
            <v>142</v>
          </cell>
        </row>
        <row r="149">
          <cell r="D149" t="str">
            <v>01/130</v>
          </cell>
          <cell r="AA149">
            <v>143</v>
          </cell>
        </row>
        <row r="150">
          <cell r="AA150">
            <v>144</v>
          </cell>
        </row>
        <row r="151">
          <cell r="AA151">
            <v>145</v>
          </cell>
        </row>
        <row r="152">
          <cell r="AA152">
            <v>146</v>
          </cell>
        </row>
        <row r="153">
          <cell r="D153" t="str">
            <v>01/290</v>
          </cell>
          <cell r="AA153">
            <v>147</v>
          </cell>
        </row>
        <row r="154">
          <cell r="D154" t="str">
            <v>01/300</v>
          </cell>
          <cell r="AA154">
            <v>148</v>
          </cell>
        </row>
        <row r="155">
          <cell r="D155" t="str">
            <v>01/310</v>
          </cell>
          <cell r="AA155">
            <v>149</v>
          </cell>
        </row>
        <row r="156">
          <cell r="D156" t="str">
            <v>01/320</v>
          </cell>
          <cell r="AA156">
            <v>150</v>
          </cell>
        </row>
        <row r="157">
          <cell r="AA157">
            <v>151</v>
          </cell>
        </row>
        <row r="158">
          <cell r="D158" t="str">
            <v>B0101005</v>
          </cell>
          <cell r="AA158">
            <v>152</v>
          </cell>
        </row>
        <row r="159">
          <cell r="D159" t="str">
            <v>B0101110</v>
          </cell>
          <cell r="AA159">
            <v>153</v>
          </cell>
        </row>
        <row r="160">
          <cell r="AA160">
            <v>154</v>
          </cell>
        </row>
        <row r="161">
          <cell r="AA161">
            <v>155</v>
          </cell>
        </row>
        <row r="162">
          <cell r="AA162">
            <v>156</v>
          </cell>
        </row>
        <row r="163">
          <cell r="D163" t="str">
            <v>01/050</v>
          </cell>
          <cell r="AA163">
            <v>157</v>
          </cell>
        </row>
        <row r="164">
          <cell r="D164" t="str">
            <v>01/055</v>
          </cell>
          <cell r="AA164">
            <v>158</v>
          </cell>
        </row>
        <row r="165">
          <cell r="D165" t="str">
            <v>01/060</v>
          </cell>
          <cell r="AA165">
            <v>159</v>
          </cell>
        </row>
        <row r="166">
          <cell r="D166" t="str">
            <v>01/070</v>
          </cell>
          <cell r="AA166">
            <v>160</v>
          </cell>
        </row>
        <row r="167">
          <cell r="AA167">
            <v>161</v>
          </cell>
        </row>
        <row r="168">
          <cell r="AA168">
            <v>162</v>
          </cell>
        </row>
        <row r="169">
          <cell r="AA169">
            <v>163</v>
          </cell>
        </row>
        <row r="170">
          <cell r="D170" t="str">
            <v>01/200</v>
          </cell>
          <cell r="AA170">
            <v>164</v>
          </cell>
        </row>
        <row r="171">
          <cell r="D171" t="str">
            <v>01/220</v>
          </cell>
          <cell r="AA171">
            <v>165</v>
          </cell>
        </row>
        <row r="172">
          <cell r="D172" t="str">
            <v>01/240</v>
          </cell>
          <cell r="AA172">
            <v>166</v>
          </cell>
        </row>
        <row r="173">
          <cell r="AA173">
            <v>167</v>
          </cell>
        </row>
        <row r="174">
          <cell r="D174" t="str">
            <v>Code</v>
          </cell>
          <cell r="AA174">
            <v>168</v>
          </cell>
        </row>
        <row r="175">
          <cell r="AA175">
            <v>169</v>
          </cell>
        </row>
        <row r="176">
          <cell r="AA176">
            <v>170</v>
          </cell>
        </row>
        <row r="177">
          <cell r="D177" t="str">
            <v>01/250</v>
          </cell>
          <cell r="AA177">
            <v>171</v>
          </cell>
        </row>
        <row r="178">
          <cell r="D178" t="str">
            <v>01/260</v>
          </cell>
          <cell r="AA178">
            <v>172</v>
          </cell>
        </row>
        <row r="179">
          <cell r="D179" t="str">
            <v>01/270</v>
          </cell>
          <cell r="AA179">
            <v>173</v>
          </cell>
        </row>
        <row r="180">
          <cell r="AA180">
            <v>174</v>
          </cell>
        </row>
        <row r="181">
          <cell r="AA181">
            <v>175</v>
          </cell>
        </row>
        <row r="182">
          <cell r="AA182">
            <v>176</v>
          </cell>
        </row>
        <row r="183">
          <cell r="AA183">
            <v>177</v>
          </cell>
        </row>
        <row r="184">
          <cell r="D184" t="str">
            <v>B0101010</v>
          </cell>
          <cell r="AA184">
            <v>178</v>
          </cell>
        </row>
        <row r="185">
          <cell r="D185" t="str">
            <v>B0101015</v>
          </cell>
          <cell r="AA185">
            <v>179</v>
          </cell>
        </row>
        <row r="186">
          <cell r="D186" t="str">
            <v>B0101020</v>
          </cell>
          <cell r="AA186">
            <v>180</v>
          </cell>
        </row>
        <row r="187">
          <cell r="AA187">
            <v>181</v>
          </cell>
        </row>
        <row r="188">
          <cell r="AA188">
            <v>182</v>
          </cell>
        </row>
        <row r="189">
          <cell r="AA189">
            <v>183</v>
          </cell>
        </row>
        <row r="190">
          <cell r="D190" t="str">
            <v>B0101030</v>
          </cell>
          <cell r="AA190">
            <v>184</v>
          </cell>
        </row>
        <row r="191">
          <cell r="D191" t="str">
            <v>B0101035</v>
          </cell>
          <cell r="AA191">
            <v>185</v>
          </cell>
        </row>
        <row r="192">
          <cell r="D192" t="str">
            <v>B0101040</v>
          </cell>
          <cell r="AA192">
            <v>186</v>
          </cell>
        </row>
        <row r="193">
          <cell r="D193" t="str">
            <v>B0101045</v>
          </cell>
          <cell r="AA193">
            <v>187</v>
          </cell>
        </row>
        <row r="194">
          <cell r="D194"/>
          <cell r="AA194">
            <v>188</v>
          </cell>
        </row>
        <row r="195">
          <cell r="AA195">
            <v>189</v>
          </cell>
        </row>
        <row r="196">
          <cell r="AA196">
            <v>190</v>
          </cell>
        </row>
        <row r="197">
          <cell r="D197" t="str">
            <v>01/350</v>
          </cell>
          <cell r="AA197">
            <v>191</v>
          </cell>
        </row>
        <row r="198">
          <cell r="D198" t="str">
            <v>01/360</v>
          </cell>
          <cell r="AA198">
            <v>192</v>
          </cell>
        </row>
        <row r="199">
          <cell r="D199" t="str">
            <v>01/370</v>
          </cell>
          <cell r="AA199">
            <v>193</v>
          </cell>
        </row>
        <row r="200">
          <cell r="D200" t="str">
            <v>01/380</v>
          </cell>
          <cell r="AA200">
            <v>194</v>
          </cell>
        </row>
        <row r="201">
          <cell r="D201" t="str">
            <v>01/390</v>
          </cell>
          <cell r="AA201">
            <v>195</v>
          </cell>
        </row>
        <row r="202">
          <cell r="D202" t="str">
            <v>01/400</v>
          </cell>
          <cell r="AA202">
            <v>196</v>
          </cell>
        </row>
        <row r="203">
          <cell r="D203" t="str">
            <v>01/410</v>
          </cell>
          <cell r="AA203">
            <v>197</v>
          </cell>
        </row>
        <row r="204">
          <cell r="AA204">
            <v>198</v>
          </cell>
        </row>
        <row r="205">
          <cell r="AA205">
            <v>199</v>
          </cell>
        </row>
        <row r="206">
          <cell r="D206" t="str">
            <v>01/420</v>
          </cell>
          <cell r="AA206">
            <v>200</v>
          </cell>
        </row>
        <row r="207">
          <cell r="D207" t="str">
            <v>01/425</v>
          </cell>
          <cell r="AA207">
            <v>201</v>
          </cell>
        </row>
        <row r="208">
          <cell r="D208" t="str">
            <v>01/435</v>
          </cell>
          <cell r="AA208">
            <v>202</v>
          </cell>
        </row>
        <row r="209">
          <cell r="D209" t="str">
            <v>01/440</v>
          </cell>
          <cell r="AA209">
            <v>203</v>
          </cell>
        </row>
        <row r="210">
          <cell r="AA210">
            <v>204</v>
          </cell>
        </row>
        <row r="211">
          <cell r="AA211">
            <v>205</v>
          </cell>
        </row>
        <row r="212">
          <cell r="D212" t="str">
            <v>B0103005</v>
          </cell>
          <cell r="AA212">
            <v>206</v>
          </cell>
        </row>
        <row r="213">
          <cell r="D213" t="str">
            <v>B0103015</v>
          </cell>
          <cell r="AA213">
            <v>207</v>
          </cell>
        </row>
        <row r="214">
          <cell r="D214" t="str">
            <v>B0103020</v>
          </cell>
          <cell r="AA214">
            <v>208</v>
          </cell>
        </row>
        <row r="215">
          <cell r="D215" t="str">
            <v>B0103035</v>
          </cell>
          <cell r="AA215">
            <v>209</v>
          </cell>
        </row>
        <row r="216">
          <cell r="D216" t="str">
            <v>B0103045</v>
          </cell>
          <cell r="AA216">
            <v>210</v>
          </cell>
        </row>
        <row r="217">
          <cell r="D217" t="str">
            <v>B0103055</v>
          </cell>
          <cell r="AA217">
            <v>211</v>
          </cell>
        </row>
        <row r="218">
          <cell r="D218" t="str">
            <v>B0103065</v>
          </cell>
          <cell r="AA218">
            <v>212</v>
          </cell>
        </row>
        <row r="219">
          <cell r="D219" t="str">
            <v>B0103010</v>
          </cell>
          <cell r="AA219">
            <v>213</v>
          </cell>
        </row>
        <row r="220">
          <cell r="D220" t="str">
            <v>B0103025</v>
          </cell>
          <cell r="AA220">
            <v>214</v>
          </cell>
        </row>
        <row r="221">
          <cell r="D221" t="str">
            <v>B0103030</v>
          </cell>
          <cell r="AA221">
            <v>215</v>
          </cell>
        </row>
        <row r="222">
          <cell r="D222" t="str">
            <v>B0103040</v>
          </cell>
          <cell r="AA222">
            <v>216</v>
          </cell>
        </row>
        <row r="223">
          <cell r="D223" t="str">
            <v>B0103050</v>
          </cell>
          <cell r="AA223">
            <v>217</v>
          </cell>
        </row>
        <row r="224">
          <cell r="D224" t="str">
            <v>B0103060</v>
          </cell>
          <cell r="AA224">
            <v>218</v>
          </cell>
        </row>
        <row r="225">
          <cell r="D225" t="str">
            <v>B0103070</v>
          </cell>
          <cell r="AA225">
            <v>219</v>
          </cell>
        </row>
        <row r="226">
          <cell r="D226" t="str">
            <v>Code</v>
          </cell>
          <cell r="AA226">
            <v>220</v>
          </cell>
        </row>
        <row r="227">
          <cell r="AA227">
            <v>221</v>
          </cell>
        </row>
        <row r="228">
          <cell r="D228" t="str">
            <v>02/200</v>
          </cell>
          <cell r="AA228">
            <v>222</v>
          </cell>
        </row>
        <row r="229">
          <cell r="D229" t="str">
            <v>02/205</v>
          </cell>
          <cell r="AA229">
            <v>223</v>
          </cell>
        </row>
        <row r="230">
          <cell r="D230" t="str">
            <v>02/240</v>
          </cell>
          <cell r="AA230">
            <v>224</v>
          </cell>
        </row>
        <row r="231">
          <cell r="AA231">
            <v>225</v>
          </cell>
        </row>
        <row r="232">
          <cell r="AA232">
            <v>226</v>
          </cell>
        </row>
        <row r="233">
          <cell r="D233" t="str">
            <v>02/055</v>
          </cell>
          <cell r="AA233">
            <v>227</v>
          </cell>
        </row>
        <row r="234">
          <cell r="D234" t="str">
            <v>02/075</v>
          </cell>
          <cell r="AA234">
            <v>228</v>
          </cell>
        </row>
        <row r="235">
          <cell r="D235" t="str">
            <v>02/080</v>
          </cell>
          <cell r="AA235">
            <v>229</v>
          </cell>
        </row>
        <row r="236">
          <cell r="AA236">
            <v>230</v>
          </cell>
        </row>
        <row r="237">
          <cell r="AA237">
            <v>231</v>
          </cell>
        </row>
        <row r="238">
          <cell r="D238" t="str">
            <v>02/090</v>
          </cell>
          <cell r="AA238">
            <v>232</v>
          </cell>
        </row>
        <row r="239">
          <cell r="AA239">
            <v>233</v>
          </cell>
        </row>
        <row r="240">
          <cell r="AA240">
            <v>234</v>
          </cell>
        </row>
        <row r="241">
          <cell r="AA241">
            <v>235</v>
          </cell>
        </row>
        <row r="242">
          <cell r="D242" t="str">
            <v>02/100</v>
          </cell>
          <cell r="AA242">
            <v>236</v>
          </cell>
        </row>
        <row r="243">
          <cell r="D243" t="str">
            <v>02/250</v>
          </cell>
          <cell r="AA243">
            <v>237</v>
          </cell>
        </row>
        <row r="244">
          <cell r="AA244">
            <v>238</v>
          </cell>
        </row>
        <row r="245">
          <cell r="AA245">
            <v>239</v>
          </cell>
        </row>
        <row r="246">
          <cell r="D246" t="str">
            <v>02/150</v>
          </cell>
          <cell r="AA246">
            <v>240</v>
          </cell>
        </row>
        <row r="247">
          <cell r="D247" t="str">
            <v>02/160</v>
          </cell>
          <cell r="AA247">
            <v>241</v>
          </cell>
        </row>
        <row r="248">
          <cell r="D248" t="str">
            <v>02/140</v>
          </cell>
          <cell r="AA248">
            <v>242</v>
          </cell>
        </row>
        <row r="249">
          <cell r="D249" t="str">
            <v>02/165</v>
          </cell>
          <cell r="AA249">
            <v>243</v>
          </cell>
        </row>
        <row r="250">
          <cell r="AA250">
            <v>244</v>
          </cell>
        </row>
        <row r="251">
          <cell r="AA251">
            <v>245</v>
          </cell>
        </row>
        <row r="252">
          <cell r="D252" t="str">
            <v>02/020</v>
          </cell>
          <cell r="AA252">
            <v>246</v>
          </cell>
        </row>
        <row r="253">
          <cell r="D253" t="str">
            <v>02/030</v>
          </cell>
          <cell r="AA253">
            <v>247</v>
          </cell>
        </row>
        <row r="254">
          <cell r="AA254">
            <v>248</v>
          </cell>
        </row>
        <row r="255">
          <cell r="D255"/>
          <cell r="AA255">
            <v>249</v>
          </cell>
        </row>
        <row r="256">
          <cell r="D256" t="str">
            <v>02/230</v>
          </cell>
          <cell r="AA256">
            <v>250</v>
          </cell>
        </row>
        <row r="257">
          <cell r="AA257">
            <v>251</v>
          </cell>
        </row>
        <row r="258">
          <cell r="AA258">
            <v>252</v>
          </cell>
        </row>
        <row r="259">
          <cell r="D259" t="str">
            <v>02/115</v>
          </cell>
          <cell r="AA259">
            <v>253</v>
          </cell>
        </row>
        <row r="260">
          <cell r="D260"/>
          <cell r="AA260">
            <v>254</v>
          </cell>
        </row>
        <row r="261">
          <cell r="D261"/>
          <cell r="AA261">
            <v>255</v>
          </cell>
        </row>
        <row r="262">
          <cell r="D262"/>
          <cell r="AA262">
            <v>256</v>
          </cell>
        </row>
        <row r="263">
          <cell r="D263" t="str">
            <v>B0201005</v>
          </cell>
          <cell r="AA263">
            <v>257</v>
          </cell>
        </row>
        <row r="264">
          <cell r="D264" t="str">
            <v>B0201010</v>
          </cell>
          <cell r="AA264">
            <v>258</v>
          </cell>
        </row>
        <row r="265">
          <cell r="AA265">
            <v>259</v>
          </cell>
        </row>
        <row r="266">
          <cell r="D266" t="str">
            <v>Code</v>
          </cell>
          <cell r="AA266">
            <v>260</v>
          </cell>
        </row>
        <row r="267">
          <cell r="AA267">
            <v>261</v>
          </cell>
        </row>
        <row r="268">
          <cell r="D268" t="str">
            <v>03/270</v>
          </cell>
          <cell r="AA268">
            <v>262</v>
          </cell>
        </row>
        <row r="269">
          <cell r="D269" t="str">
            <v>B0301005</v>
          </cell>
          <cell r="AA269">
            <v>263</v>
          </cell>
        </row>
        <row r="270">
          <cell r="D270" t="str">
            <v>03/030</v>
          </cell>
          <cell r="AA270">
            <v>264</v>
          </cell>
        </row>
        <row r="271">
          <cell r="D271" t="str">
            <v>03/040</v>
          </cell>
          <cell r="AA271">
            <v>265</v>
          </cell>
        </row>
        <row r="272">
          <cell r="D272" t="str">
            <v>03/045</v>
          </cell>
          <cell r="AA272">
            <v>266</v>
          </cell>
        </row>
        <row r="273">
          <cell r="D273" t="str">
            <v>03/055</v>
          </cell>
          <cell r="AA273">
            <v>267</v>
          </cell>
        </row>
        <row r="274">
          <cell r="D274" t="str">
            <v>03/050</v>
          </cell>
          <cell r="AA274">
            <v>268</v>
          </cell>
        </row>
        <row r="275">
          <cell r="D275" t="str">
            <v>03/135</v>
          </cell>
          <cell r="AA275">
            <v>269</v>
          </cell>
        </row>
        <row r="276">
          <cell r="D276" t="str">
            <v>03/085</v>
          </cell>
          <cell r="AA276">
            <v>270</v>
          </cell>
        </row>
        <row r="277">
          <cell r="D277" t="str">
            <v>03/090</v>
          </cell>
          <cell r="AA277">
            <v>271</v>
          </cell>
        </row>
        <row r="278">
          <cell r="D278" t="str">
            <v>03/096</v>
          </cell>
          <cell r="AA278">
            <v>272</v>
          </cell>
        </row>
        <row r="279">
          <cell r="D279" t="str">
            <v>03/115</v>
          </cell>
          <cell r="AA279">
            <v>273</v>
          </cell>
        </row>
        <row r="280">
          <cell r="D280" t="str">
            <v>03/110</v>
          </cell>
          <cell r="AA280">
            <v>274</v>
          </cell>
        </row>
        <row r="281">
          <cell r="D281" t="str">
            <v>03/655</v>
          </cell>
          <cell r="AA281">
            <v>275</v>
          </cell>
        </row>
        <row r="282">
          <cell r="D282" t="str">
            <v>03/656</v>
          </cell>
          <cell r="AA282">
            <v>276</v>
          </cell>
        </row>
        <row r="283">
          <cell r="D283" t="str">
            <v>03/240</v>
          </cell>
          <cell r="AA283">
            <v>277</v>
          </cell>
        </row>
        <row r="284">
          <cell r="D284" t="str">
            <v>03/250</v>
          </cell>
          <cell r="AA284">
            <v>278</v>
          </cell>
        </row>
        <row r="285">
          <cell r="AA285">
            <v>279</v>
          </cell>
        </row>
        <row r="286">
          <cell r="AA286">
            <v>280</v>
          </cell>
        </row>
        <row r="287">
          <cell r="AA287">
            <v>281</v>
          </cell>
        </row>
        <row r="288">
          <cell r="D288" t="str">
            <v>03/130</v>
          </cell>
          <cell r="AA288">
            <v>282</v>
          </cell>
        </row>
        <row r="289">
          <cell r="D289" t="str">
            <v>03/160</v>
          </cell>
          <cell r="AA289">
            <v>283</v>
          </cell>
        </row>
        <row r="290">
          <cell r="D290" t="str">
            <v>03/195</v>
          </cell>
          <cell r="AA290">
            <v>284</v>
          </cell>
        </row>
        <row r="291">
          <cell r="D291" t="str">
            <v>03/800</v>
          </cell>
          <cell r="AA291">
            <v>285</v>
          </cell>
        </row>
        <row r="292">
          <cell r="D292" t="str">
            <v>03/825</v>
          </cell>
          <cell r="AA292">
            <v>286</v>
          </cell>
        </row>
        <row r="293">
          <cell r="D293" t="str">
            <v>03/810</v>
          </cell>
          <cell r="AA293">
            <v>287</v>
          </cell>
        </row>
        <row r="294">
          <cell r="AA294">
            <v>288</v>
          </cell>
        </row>
        <row r="295">
          <cell r="AA295">
            <v>289</v>
          </cell>
        </row>
        <row r="296">
          <cell r="D296" t="str">
            <v>03/400</v>
          </cell>
          <cell r="AA296">
            <v>290</v>
          </cell>
        </row>
        <row r="297">
          <cell r="D297" t="str">
            <v>03/360</v>
          </cell>
          <cell r="AA297">
            <v>291</v>
          </cell>
        </row>
        <row r="298">
          <cell r="D298" t="str">
            <v>03/380</v>
          </cell>
          <cell r="AA298">
            <v>292</v>
          </cell>
        </row>
        <row r="299">
          <cell r="D299" t="str">
            <v>03/310</v>
          </cell>
          <cell r="AA299">
            <v>293</v>
          </cell>
        </row>
        <row r="300">
          <cell r="D300" t="str">
            <v>03/820</v>
          </cell>
          <cell r="AA300">
            <v>294</v>
          </cell>
        </row>
        <row r="301">
          <cell r="D301" t="str">
            <v>03/805</v>
          </cell>
          <cell r="AA301">
            <v>295</v>
          </cell>
        </row>
        <row r="302">
          <cell r="D302" t="str">
            <v>03/320</v>
          </cell>
          <cell r="AA302">
            <v>296</v>
          </cell>
        </row>
        <row r="303">
          <cell r="D303" t="str">
            <v>03/815</v>
          </cell>
          <cell r="AA303">
            <v>297</v>
          </cell>
        </row>
        <row r="304">
          <cell r="D304" t="str">
            <v>03/315</v>
          </cell>
          <cell r="AA304">
            <v>298</v>
          </cell>
        </row>
        <row r="305">
          <cell r="D305" t="str">
            <v>B0302030</v>
          </cell>
          <cell r="AA305">
            <v>299</v>
          </cell>
        </row>
        <row r="306">
          <cell r="D306" t="str">
            <v>03/325</v>
          </cell>
          <cell r="AA306">
            <v>300</v>
          </cell>
        </row>
        <row r="307">
          <cell r="D307" t="str">
            <v>03/330</v>
          </cell>
          <cell r="AA307">
            <v>301</v>
          </cell>
        </row>
        <row r="308">
          <cell r="D308" t="str">
            <v>03/335</v>
          </cell>
          <cell r="AA308">
            <v>302</v>
          </cell>
        </row>
        <row r="309">
          <cell r="D309" t="str">
            <v>03/340</v>
          </cell>
          <cell r="AA309">
            <v>303</v>
          </cell>
        </row>
        <row r="310">
          <cell r="D310" t="str">
            <v>B0302040</v>
          </cell>
          <cell r="AA310">
            <v>304</v>
          </cell>
        </row>
        <row r="311">
          <cell r="D311"/>
          <cell r="AA311">
            <v>305</v>
          </cell>
        </row>
        <row r="312">
          <cell r="AA312">
            <v>306</v>
          </cell>
        </row>
        <row r="313">
          <cell r="D313" t="str">
            <v>03/500</v>
          </cell>
          <cell r="AA313">
            <v>307</v>
          </cell>
        </row>
        <row r="314">
          <cell r="D314" t="str">
            <v>03/525</v>
          </cell>
          <cell r="AA314">
            <v>308</v>
          </cell>
        </row>
        <row r="315">
          <cell r="D315" t="str">
            <v>03/660</v>
          </cell>
          <cell r="AA315">
            <v>309</v>
          </cell>
        </row>
        <row r="316">
          <cell r="D316" t="str">
            <v>03/610</v>
          </cell>
          <cell r="AA316">
            <v>310</v>
          </cell>
        </row>
        <row r="317">
          <cell r="AA317">
            <v>311</v>
          </cell>
        </row>
        <row r="318">
          <cell r="AA318">
            <v>312</v>
          </cell>
        </row>
        <row r="319">
          <cell r="D319" t="str">
            <v>Code</v>
          </cell>
          <cell r="AA319">
            <v>313</v>
          </cell>
        </row>
        <row r="320">
          <cell r="AA320">
            <v>314</v>
          </cell>
        </row>
        <row r="321">
          <cell r="D321" t="str">
            <v>03/430</v>
          </cell>
          <cell r="AA321">
            <v>315</v>
          </cell>
        </row>
        <row r="322">
          <cell r="D322" t="str">
            <v>03/455</v>
          </cell>
          <cell r="AA322">
            <v>316</v>
          </cell>
        </row>
        <row r="323">
          <cell r="D323" t="str">
            <v>03/456</v>
          </cell>
          <cell r="AA323">
            <v>317</v>
          </cell>
        </row>
        <row r="324">
          <cell r="D324" t="str">
            <v>03/440</v>
          </cell>
          <cell r="AA324">
            <v>318</v>
          </cell>
        </row>
        <row r="325">
          <cell r="D325" t="str">
            <v>B0301020</v>
          </cell>
          <cell r="AA325">
            <v>319</v>
          </cell>
        </row>
        <row r="326">
          <cell r="D326" t="str">
            <v>B0301025</v>
          </cell>
          <cell r="AA326">
            <v>320</v>
          </cell>
        </row>
        <row r="327">
          <cell r="D327" t="str">
            <v>03/450</v>
          </cell>
          <cell r="AA327">
            <v>321</v>
          </cell>
        </row>
        <row r="328">
          <cell r="D328" t="str">
            <v>03/710</v>
          </cell>
          <cell r="AA328">
            <v>322</v>
          </cell>
        </row>
        <row r="329">
          <cell r="D329" t="str">
            <v>03/460</v>
          </cell>
          <cell r="AA329">
            <v>323</v>
          </cell>
        </row>
        <row r="330">
          <cell r="AA330">
            <v>324</v>
          </cell>
        </row>
        <row r="331">
          <cell r="AA331">
            <v>325</v>
          </cell>
        </row>
        <row r="332">
          <cell r="D332" t="str">
            <v>03/570</v>
          </cell>
          <cell r="AA332">
            <v>326</v>
          </cell>
        </row>
        <row r="333">
          <cell r="D333" t="str">
            <v>03/575</v>
          </cell>
          <cell r="AA333">
            <v>327</v>
          </cell>
        </row>
        <row r="334">
          <cell r="D334"/>
          <cell r="AA334">
            <v>328</v>
          </cell>
        </row>
        <row r="335">
          <cell r="D335"/>
          <cell r="AA335">
            <v>329</v>
          </cell>
        </row>
        <row r="336">
          <cell r="D336" t="str">
            <v>Code</v>
          </cell>
          <cell r="AA336">
            <v>330</v>
          </cell>
        </row>
        <row r="337">
          <cell r="AA337">
            <v>331</v>
          </cell>
        </row>
        <row r="338">
          <cell r="D338" t="str">
            <v>04/010</v>
          </cell>
          <cell r="AA338">
            <v>332</v>
          </cell>
        </row>
        <row r="339">
          <cell r="D339" t="str">
            <v>04/025</v>
          </cell>
          <cell r="AA339">
            <v>333</v>
          </cell>
        </row>
        <row r="340">
          <cell r="D340" t="str">
            <v>04/030</v>
          </cell>
          <cell r="AA340">
            <v>334</v>
          </cell>
        </row>
        <row r="341">
          <cell r="D341" t="str">
            <v>04/105</v>
          </cell>
          <cell r="AA341">
            <v>335</v>
          </cell>
        </row>
        <row r="342">
          <cell r="AA342">
            <v>336</v>
          </cell>
        </row>
        <row r="343">
          <cell r="AA343">
            <v>337</v>
          </cell>
        </row>
        <row r="344">
          <cell r="AA344">
            <v>338</v>
          </cell>
        </row>
        <row r="345">
          <cell r="D345" t="str">
            <v>04/200</v>
          </cell>
          <cell r="AA345">
            <v>339</v>
          </cell>
        </row>
        <row r="346">
          <cell r="D346" t="str">
            <v>04/201</v>
          </cell>
          <cell r="AA346">
            <v>340</v>
          </cell>
        </row>
        <row r="347">
          <cell r="D347" t="str">
            <v>04/100</v>
          </cell>
          <cell r="AA347">
            <v>341</v>
          </cell>
        </row>
        <row r="348">
          <cell r="D348" t="str">
            <v>04/085</v>
          </cell>
          <cell r="AA348">
            <v>342</v>
          </cell>
        </row>
        <row r="349">
          <cell r="D349" t="str">
            <v>04/220</v>
          </cell>
          <cell r="AA349">
            <v>343</v>
          </cell>
        </row>
        <row r="350">
          <cell r="D350" t="str">
            <v>04/225</v>
          </cell>
          <cell r="AA350">
            <v>344</v>
          </cell>
        </row>
        <row r="351">
          <cell r="D351" t="str">
            <v>04/215</v>
          </cell>
          <cell r="AA351">
            <v>345</v>
          </cell>
        </row>
        <row r="352">
          <cell r="D352" t="str">
            <v>07/455</v>
          </cell>
          <cell r="AA352">
            <v>346</v>
          </cell>
        </row>
        <row r="353">
          <cell r="D353" t="str">
            <v>07/460</v>
          </cell>
          <cell r="AA353">
            <v>347</v>
          </cell>
        </row>
        <row r="354">
          <cell r="D354" t="str">
            <v>04/210</v>
          </cell>
          <cell r="AA354">
            <v>348</v>
          </cell>
        </row>
        <row r="355">
          <cell r="D355" t="str">
            <v>B0401005</v>
          </cell>
          <cell r="AA355">
            <v>349</v>
          </cell>
        </row>
        <row r="356">
          <cell r="AA356">
            <v>350</v>
          </cell>
        </row>
        <row r="357">
          <cell r="AA357">
            <v>351</v>
          </cell>
        </row>
        <row r="358">
          <cell r="AA358">
            <v>352</v>
          </cell>
        </row>
        <row r="359">
          <cell r="D359" t="str">
            <v>04/110</v>
          </cell>
          <cell r="AA359">
            <v>353</v>
          </cell>
        </row>
        <row r="360">
          <cell r="D360" t="str">
            <v>04/120</v>
          </cell>
          <cell r="AA360">
            <v>354</v>
          </cell>
        </row>
        <row r="361">
          <cell r="D361" t="str">
            <v>04/125</v>
          </cell>
          <cell r="AA361">
            <v>355</v>
          </cell>
        </row>
        <row r="362">
          <cell r="AA362">
            <v>356</v>
          </cell>
        </row>
        <row r="363">
          <cell r="D363" t="str">
            <v>Code</v>
          </cell>
          <cell r="AA363">
            <v>357</v>
          </cell>
        </row>
        <row r="364">
          <cell r="AA364">
            <v>358</v>
          </cell>
        </row>
        <row r="365">
          <cell r="D365" t="str">
            <v>04/230</v>
          </cell>
          <cell r="AA365">
            <v>359</v>
          </cell>
        </row>
        <row r="366">
          <cell r="D366" t="str">
            <v>04/240</v>
          </cell>
          <cell r="AA366">
            <v>360</v>
          </cell>
        </row>
        <row r="367">
          <cell r="D367" t="str">
            <v>04/150</v>
          </cell>
          <cell r="AA367">
            <v>361</v>
          </cell>
        </row>
        <row r="368">
          <cell r="D368" t="str">
            <v>04/170</v>
          </cell>
          <cell r="AA368">
            <v>362</v>
          </cell>
        </row>
        <row r="369">
          <cell r="D369" t="str">
            <v>04/185</v>
          </cell>
          <cell r="AA369">
            <v>363</v>
          </cell>
        </row>
        <row r="370">
          <cell r="D370" t="str">
            <v>04/180</v>
          </cell>
          <cell r="AA370">
            <v>364</v>
          </cell>
        </row>
        <row r="371">
          <cell r="D371" t="str">
            <v>04/245</v>
          </cell>
          <cell r="AA371">
            <v>365</v>
          </cell>
        </row>
        <row r="372">
          <cell r="D372" t="str">
            <v>04/255</v>
          </cell>
          <cell r="AA372">
            <v>366</v>
          </cell>
        </row>
        <row r="373">
          <cell r="D373" t="str">
            <v>04/250</v>
          </cell>
          <cell r="AA373">
            <v>367</v>
          </cell>
        </row>
        <row r="374">
          <cell r="D374" t="str">
            <v>04/190</v>
          </cell>
          <cell r="AA374">
            <v>368</v>
          </cell>
        </row>
        <row r="375">
          <cell r="D375" t="str">
            <v>B0401015</v>
          </cell>
          <cell r="AA375">
            <v>369</v>
          </cell>
        </row>
        <row r="376">
          <cell r="AA376">
            <v>370</v>
          </cell>
        </row>
        <row r="377">
          <cell r="AA377">
            <v>371</v>
          </cell>
        </row>
        <row r="378">
          <cell r="AA378">
            <v>372</v>
          </cell>
        </row>
        <row r="379">
          <cell r="AA379">
            <v>373</v>
          </cell>
        </row>
        <row r="380">
          <cell r="D380" t="str">
            <v>Code</v>
          </cell>
          <cell r="AA380">
            <v>374</v>
          </cell>
        </row>
        <row r="381">
          <cell r="D381"/>
          <cell r="AA381">
            <v>375</v>
          </cell>
        </row>
        <row r="382">
          <cell r="D382" t="str">
            <v>05/270</v>
          </cell>
          <cell r="AA382">
            <v>376</v>
          </cell>
        </row>
        <row r="383">
          <cell r="D383" t="str">
            <v>05/190</v>
          </cell>
          <cell r="AA383">
            <v>377</v>
          </cell>
        </row>
        <row r="384">
          <cell r="D384" t="str">
            <v>05/180</v>
          </cell>
          <cell r="AA384">
            <v>378</v>
          </cell>
        </row>
        <row r="385">
          <cell r="AA385">
            <v>379</v>
          </cell>
        </row>
        <row r="386">
          <cell r="AA386">
            <v>380</v>
          </cell>
        </row>
        <row r="387">
          <cell r="AA387">
            <v>381</v>
          </cell>
        </row>
        <row r="388">
          <cell r="D388" t="str">
            <v>05/399</v>
          </cell>
          <cell r="AA388">
            <v>382</v>
          </cell>
        </row>
        <row r="389">
          <cell r="D389" t="str">
            <v>05/400</v>
          </cell>
          <cell r="AA389">
            <v>383</v>
          </cell>
        </row>
        <row r="390">
          <cell r="D390" t="str">
            <v>05/220</v>
          </cell>
          <cell r="AA390">
            <v>384</v>
          </cell>
        </row>
        <row r="391">
          <cell r="D391" t="str">
            <v>05/231</v>
          </cell>
          <cell r="AA391">
            <v>385</v>
          </cell>
        </row>
        <row r="392">
          <cell r="D392" t="str">
            <v>05/170</v>
          </cell>
          <cell r="AA392">
            <v>386</v>
          </cell>
        </row>
        <row r="393">
          <cell r="D393" t="str">
            <v>05/200</v>
          </cell>
          <cell r="AA393">
            <v>387</v>
          </cell>
        </row>
        <row r="394">
          <cell r="AA394">
            <v>388</v>
          </cell>
        </row>
        <row r="395">
          <cell r="AA395">
            <v>389</v>
          </cell>
        </row>
        <row r="396">
          <cell r="D396" t="str">
            <v>05/450</v>
          </cell>
          <cell r="AA396">
            <v>390</v>
          </cell>
        </row>
        <row r="397">
          <cell r="AA397">
            <v>391</v>
          </cell>
        </row>
        <row r="398">
          <cell r="AA398">
            <v>392</v>
          </cell>
        </row>
        <row r="399">
          <cell r="D399" t="str">
            <v>05/010</v>
          </cell>
          <cell r="AA399">
            <v>393</v>
          </cell>
        </row>
        <row r="400">
          <cell r="D400" t="str">
            <v>05/120</v>
          </cell>
          <cell r="AA400">
            <v>394</v>
          </cell>
        </row>
        <row r="401">
          <cell r="D401" t="str">
            <v>05/130</v>
          </cell>
          <cell r="AA401">
            <v>395</v>
          </cell>
        </row>
        <row r="402">
          <cell r="D402" t="str">
            <v>05/140</v>
          </cell>
          <cell r="AA402">
            <v>396</v>
          </cell>
        </row>
        <row r="403">
          <cell r="D403" t="str">
            <v>05/145</v>
          </cell>
          <cell r="AA403">
            <v>397</v>
          </cell>
        </row>
        <row r="404">
          <cell r="D404" t="str">
            <v>05/020</v>
          </cell>
          <cell r="AA404">
            <v>398</v>
          </cell>
        </row>
        <row r="405">
          <cell r="AA405">
            <v>399</v>
          </cell>
        </row>
        <row r="406">
          <cell r="AA406">
            <v>400</v>
          </cell>
        </row>
        <row r="407">
          <cell r="D407" t="str">
            <v>05/080</v>
          </cell>
          <cell r="AA407">
            <v>401</v>
          </cell>
        </row>
        <row r="408">
          <cell r="D408" t="str">
            <v>05/110</v>
          </cell>
          <cell r="AA408">
            <v>402</v>
          </cell>
        </row>
        <row r="409">
          <cell r="D409" t="str">
            <v>05/115</v>
          </cell>
          <cell r="AA409">
            <v>403</v>
          </cell>
        </row>
        <row r="410">
          <cell r="D410" t="str">
            <v>05/116</v>
          </cell>
          <cell r="AA410">
            <v>404</v>
          </cell>
        </row>
        <row r="411">
          <cell r="D411"/>
          <cell r="AA411">
            <v>405</v>
          </cell>
        </row>
        <row r="412">
          <cell r="D412" t="str">
            <v>Code</v>
          </cell>
          <cell r="AA412">
            <v>406</v>
          </cell>
        </row>
        <row r="413">
          <cell r="AA413">
            <v>407</v>
          </cell>
        </row>
        <row r="414">
          <cell r="D414" t="str">
            <v>06/220</v>
          </cell>
          <cell r="AA414">
            <v>408</v>
          </cell>
        </row>
        <row r="415">
          <cell r="D415" t="str">
            <v>06/230</v>
          </cell>
          <cell r="AA415">
            <v>409</v>
          </cell>
        </row>
        <row r="416">
          <cell r="D416" t="str">
            <v>06/255</v>
          </cell>
          <cell r="AA416">
            <v>410</v>
          </cell>
        </row>
        <row r="417">
          <cell r="D417" t="str">
            <v>06/240</v>
          </cell>
          <cell r="AA417">
            <v>411</v>
          </cell>
        </row>
        <row r="418">
          <cell r="D418" t="str">
            <v>06/245</v>
          </cell>
          <cell r="AA418">
            <v>412</v>
          </cell>
        </row>
        <row r="419">
          <cell r="D419" t="str">
            <v>06/235</v>
          </cell>
          <cell r="AA419">
            <v>413</v>
          </cell>
        </row>
        <row r="420">
          <cell r="AA420">
            <v>414</v>
          </cell>
        </row>
        <row r="421">
          <cell r="AA421">
            <v>415</v>
          </cell>
        </row>
        <row r="422">
          <cell r="D422"/>
          <cell r="AA422">
            <v>416</v>
          </cell>
        </row>
        <row r="423">
          <cell r="D423" t="str">
            <v>06/157</v>
          </cell>
          <cell r="AA423">
            <v>417</v>
          </cell>
        </row>
        <row r="424">
          <cell r="D424" t="str">
            <v>06/350</v>
          </cell>
          <cell r="AA424">
            <v>418</v>
          </cell>
        </row>
        <row r="425">
          <cell r="D425" t="str">
            <v>06/163</v>
          </cell>
          <cell r="AA425">
            <v>419</v>
          </cell>
        </row>
        <row r="426">
          <cell r="D426" t="str">
            <v>06/370</v>
          </cell>
          <cell r="AA426">
            <v>420</v>
          </cell>
        </row>
        <row r="427">
          <cell r="D427" t="str">
            <v>06/140</v>
          </cell>
          <cell r="AA427">
            <v>421</v>
          </cell>
        </row>
        <row r="428">
          <cell r="D428" t="str">
            <v>06/150</v>
          </cell>
          <cell r="AA428">
            <v>422</v>
          </cell>
        </row>
        <row r="429">
          <cell r="D429" t="str">
            <v>06/165</v>
          </cell>
          <cell r="AA429">
            <v>423</v>
          </cell>
        </row>
        <row r="430">
          <cell r="D430" t="str">
            <v>06/180</v>
          </cell>
          <cell r="AA430">
            <v>424</v>
          </cell>
        </row>
        <row r="431">
          <cell r="D431" t="str">
            <v>06/190</v>
          </cell>
          <cell r="AA431">
            <v>425</v>
          </cell>
        </row>
        <row r="432">
          <cell r="AA432">
            <v>426</v>
          </cell>
        </row>
        <row r="433">
          <cell r="AA433">
            <v>427</v>
          </cell>
        </row>
        <row r="434">
          <cell r="D434" t="str">
            <v>06/310</v>
          </cell>
          <cell r="AA434">
            <v>428</v>
          </cell>
        </row>
        <row r="435">
          <cell r="D435" t="str">
            <v>06/120</v>
          </cell>
          <cell r="AA435">
            <v>429</v>
          </cell>
        </row>
        <row r="436">
          <cell r="D436" t="str">
            <v>B0601005</v>
          </cell>
          <cell r="AA436">
            <v>430</v>
          </cell>
        </row>
        <row r="437">
          <cell r="D437" t="str">
            <v>06/110</v>
          </cell>
          <cell r="AA437">
            <v>431</v>
          </cell>
        </row>
        <row r="438">
          <cell r="D438" t="str">
            <v>06/100</v>
          </cell>
          <cell r="AA438">
            <v>432</v>
          </cell>
        </row>
        <row r="439">
          <cell r="D439" t="str">
            <v>06/260</v>
          </cell>
          <cell r="AA439">
            <v>433</v>
          </cell>
        </row>
        <row r="440">
          <cell r="D440"/>
          <cell r="AA440">
            <v>434</v>
          </cell>
        </row>
        <row r="441">
          <cell r="D441"/>
          <cell r="AA441">
            <v>435</v>
          </cell>
        </row>
        <row r="442">
          <cell r="D442"/>
          <cell r="AA442">
            <v>436</v>
          </cell>
        </row>
        <row r="443">
          <cell r="D443" t="str">
            <v>06/090</v>
          </cell>
          <cell r="AA443">
            <v>437</v>
          </cell>
        </row>
        <row r="444">
          <cell r="D444" t="str">
            <v>B0601010</v>
          </cell>
          <cell r="AA444">
            <v>438</v>
          </cell>
        </row>
        <row r="445">
          <cell r="D445" t="str">
            <v>B0601020</v>
          </cell>
          <cell r="AA445">
            <v>439</v>
          </cell>
        </row>
        <row r="446">
          <cell r="AA446">
            <v>440</v>
          </cell>
        </row>
        <row r="447">
          <cell r="AA447">
            <v>441</v>
          </cell>
        </row>
        <row r="448">
          <cell r="D448" t="str">
            <v>06/285</v>
          </cell>
          <cell r="AA448">
            <v>442</v>
          </cell>
        </row>
        <row r="449">
          <cell r="D449" t="str">
            <v>B0601030</v>
          </cell>
          <cell r="AA449">
            <v>443</v>
          </cell>
        </row>
        <row r="450">
          <cell r="AA450">
            <v>444</v>
          </cell>
        </row>
        <row r="451">
          <cell r="AA451">
            <v>445</v>
          </cell>
        </row>
        <row r="452">
          <cell r="D452" t="str">
            <v>06/010</v>
          </cell>
          <cell r="AA452">
            <v>446</v>
          </cell>
        </row>
        <row r="453">
          <cell r="D453" t="str">
            <v>06/020</v>
          </cell>
          <cell r="AA453">
            <v>447</v>
          </cell>
        </row>
        <row r="454">
          <cell r="D454" t="str">
            <v>B0601025</v>
          </cell>
          <cell r="AA454">
            <v>448</v>
          </cell>
        </row>
        <row r="455">
          <cell r="D455" t="str">
            <v>06/040</v>
          </cell>
          <cell r="AA455">
            <v>449</v>
          </cell>
        </row>
        <row r="456">
          <cell r="D456" t="str">
            <v>06/065</v>
          </cell>
          <cell r="AA456">
            <v>450</v>
          </cell>
        </row>
        <row r="457">
          <cell r="D457" t="str">
            <v>06/055</v>
          </cell>
          <cell r="AA457">
            <v>451</v>
          </cell>
        </row>
        <row r="458">
          <cell r="D458" t="str">
            <v>06/070</v>
          </cell>
          <cell r="AA458">
            <v>452</v>
          </cell>
        </row>
        <row r="459">
          <cell r="AA459">
            <v>453</v>
          </cell>
        </row>
        <row r="460">
          <cell r="D460" t="str">
            <v>Code</v>
          </cell>
          <cell r="AA460">
            <v>454</v>
          </cell>
        </row>
        <row r="461">
          <cell r="D461"/>
          <cell r="AA461">
            <v>455</v>
          </cell>
        </row>
        <row r="462">
          <cell r="D462" t="str">
            <v>07/015</v>
          </cell>
          <cell r="AA462">
            <v>456</v>
          </cell>
        </row>
        <row r="463">
          <cell r="D463" t="str">
            <v>07/020</v>
          </cell>
          <cell r="AA463">
            <v>457</v>
          </cell>
        </row>
        <row r="464">
          <cell r="D464" t="str">
            <v>07/030</v>
          </cell>
          <cell r="AA464">
            <v>458</v>
          </cell>
        </row>
        <row r="465">
          <cell r="D465" t="str">
            <v>07/060</v>
          </cell>
          <cell r="AA465">
            <v>459</v>
          </cell>
        </row>
        <row r="466">
          <cell r="D466" t="str">
            <v>07/005</v>
          </cell>
          <cell r="AA466">
            <v>460</v>
          </cell>
        </row>
        <row r="467">
          <cell r="D467" t="str">
            <v>07/040</v>
          </cell>
          <cell r="AA467">
            <v>461</v>
          </cell>
        </row>
        <row r="468">
          <cell r="D468" t="str">
            <v>07/050</v>
          </cell>
          <cell r="AA468">
            <v>462</v>
          </cell>
        </row>
        <row r="469">
          <cell r="D469" t="str">
            <v>07/070</v>
          </cell>
          <cell r="AA469">
            <v>463</v>
          </cell>
        </row>
        <row r="470">
          <cell r="D470" t="str">
            <v>07/025</v>
          </cell>
          <cell r="AA470">
            <v>464</v>
          </cell>
        </row>
        <row r="471">
          <cell r="AA471">
            <v>465</v>
          </cell>
        </row>
        <row r="472">
          <cell r="AA472">
            <v>466</v>
          </cell>
        </row>
        <row r="473">
          <cell r="AA473">
            <v>467</v>
          </cell>
        </row>
        <row r="474">
          <cell r="D474" t="str">
            <v>07/110</v>
          </cell>
          <cell r="AA474">
            <v>468</v>
          </cell>
        </row>
        <row r="475">
          <cell r="D475" t="str">
            <v>03/460</v>
          </cell>
          <cell r="AA475">
            <v>469</v>
          </cell>
        </row>
        <row r="476">
          <cell r="D476" t="str">
            <v>07/130</v>
          </cell>
          <cell r="AA476">
            <v>470</v>
          </cell>
        </row>
        <row r="477">
          <cell r="D477" t="str">
            <v>07/185</v>
          </cell>
          <cell r="AA477">
            <v>471</v>
          </cell>
        </row>
        <row r="478">
          <cell r="D478" t="str">
            <v>07/125</v>
          </cell>
          <cell r="AA478">
            <v>472</v>
          </cell>
        </row>
        <row r="479">
          <cell r="D479" t="str">
            <v>07/330</v>
          </cell>
          <cell r="AA479">
            <v>473</v>
          </cell>
        </row>
        <row r="480">
          <cell r="D480" t="str">
            <v>07/350</v>
          </cell>
          <cell r="AA480">
            <v>474</v>
          </cell>
        </row>
        <row r="481">
          <cell r="D481" t="str">
            <v>07/340</v>
          </cell>
          <cell r="AA481">
            <v>475</v>
          </cell>
        </row>
        <row r="482">
          <cell r="D482" t="str">
            <v>07/230</v>
          </cell>
          <cell r="AA482">
            <v>476</v>
          </cell>
        </row>
        <row r="483">
          <cell r="D483" t="str">
            <v>07/160</v>
          </cell>
          <cell r="AA483">
            <v>477</v>
          </cell>
        </row>
        <row r="484">
          <cell r="D484" t="str">
            <v>07/140</v>
          </cell>
          <cell r="AA484">
            <v>478</v>
          </cell>
        </row>
        <row r="485">
          <cell r="D485" t="str">
            <v>07/150</v>
          </cell>
          <cell r="AA485">
            <v>479</v>
          </cell>
        </row>
        <row r="486">
          <cell r="D486" t="str">
            <v>07/215</v>
          </cell>
          <cell r="AA486">
            <v>480</v>
          </cell>
        </row>
        <row r="487">
          <cell r="D487"/>
          <cell r="AA487">
            <v>481</v>
          </cell>
        </row>
        <row r="488">
          <cell r="D488" t="str">
            <v>07/090</v>
          </cell>
          <cell r="AA488">
            <v>482</v>
          </cell>
        </row>
        <row r="489">
          <cell r="D489" t="str">
            <v>07/080</v>
          </cell>
          <cell r="AA489">
            <v>483</v>
          </cell>
        </row>
        <row r="490">
          <cell r="D490" t="str">
            <v>B0601035</v>
          </cell>
          <cell r="AA490">
            <v>484</v>
          </cell>
        </row>
        <row r="491">
          <cell r="AA491">
            <v>485</v>
          </cell>
        </row>
        <row r="492">
          <cell r="AA492">
            <v>486</v>
          </cell>
        </row>
        <row r="493">
          <cell r="D493" t="str">
            <v>07/280</v>
          </cell>
          <cell r="AA493">
            <v>487</v>
          </cell>
        </row>
        <row r="494">
          <cell r="D494" t="str">
            <v>07/200</v>
          </cell>
          <cell r="AA494">
            <v>488</v>
          </cell>
        </row>
        <row r="495">
          <cell r="D495" t="str">
            <v>07/165</v>
          </cell>
          <cell r="AA495">
            <v>489</v>
          </cell>
        </row>
        <row r="496">
          <cell r="AA496">
            <v>490</v>
          </cell>
        </row>
        <row r="497">
          <cell r="AA497">
            <v>491</v>
          </cell>
        </row>
        <row r="498">
          <cell r="D498" t="str">
            <v>16/160</v>
          </cell>
          <cell r="AA498">
            <v>492</v>
          </cell>
        </row>
        <row r="499">
          <cell r="D499" t="str">
            <v>16/290</v>
          </cell>
          <cell r="AA499">
            <v>493</v>
          </cell>
        </row>
        <row r="500">
          <cell r="D500" t="str">
            <v>16/350</v>
          </cell>
          <cell r="AA500">
            <v>494</v>
          </cell>
        </row>
        <row r="501">
          <cell r="D501" t="str">
            <v>16/305</v>
          </cell>
          <cell r="AA501">
            <v>495</v>
          </cell>
        </row>
        <row r="502">
          <cell r="D502" t="str">
            <v>16/010</v>
          </cell>
          <cell r="AA502">
            <v>496</v>
          </cell>
        </row>
        <row r="503">
          <cell r="D503" t="str">
            <v>07/105</v>
          </cell>
          <cell r="AA503">
            <v>497</v>
          </cell>
        </row>
        <row r="504">
          <cell r="D504" t="str">
            <v>07/320</v>
          </cell>
          <cell r="AA504">
            <v>498</v>
          </cell>
        </row>
        <row r="505">
          <cell r="D505" t="str">
            <v>07/275</v>
          </cell>
          <cell r="AA505">
            <v>499</v>
          </cell>
        </row>
        <row r="506">
          <cell r="AA506">
            <v>500</v>
          </cell>
        </row>
        <row r="507">
          <cell r="D507" t="str">
            <v>Code</v>
          </cell>
          <cell r="AA507">
            <v>501</v>
          </cell>
        </row>
        <row r="508">
          <cell r="AA508">
            <v>502</v>
          </cell>
        </row>
        <row r="509">
          <cell r="D509" t="str">
            <v>07/100</v>
          </cell>
          <cell r="AA509">
            <v>503</v>
          </cell>
        </row>
        <row r="510">
          <cell r="D510" t="str">
            <v>07/180</v>
          </cell>
          <cell r="AA510">
            <v>504</v>
          </cell>
        </row>
        <row r="511">
          <cell r="D511" t="str">
            <v>07/315</v>
          </cell>
          <cell r="AA511">
            <v>505</v>
          </cell>
        </row>
        <row r="512">
          <cell r="D512" t="str">
            <v>07/310</v>
          </cell>
          <cell r="AA512">
            <v>506</v>
          </cell>
        </row>
        <row r="513">
          <cell r="AA513">
            <v>507</v>
          </cell>
        </row>
        <row r="514">
          <cell r="D514" t="str">
            <v>07/260</v>
          </cell>
          <cell r="AA514">
            <v>508</v>
          </cell>
        </row>
        <row r="515">
          <cell r="D515" t="str">
            <v>07/265</v>
          </cell>
          <cell r="AA515">
            <v>509</v>
          </cell>
        </row>
        <row r="516">
          <cell r="D516" t="str">
            <v>07/270</v>
          </cell>
          <cell r="AA516">
            <v>510</v>
          </cell>
        </row>
        <row r="517">
          <cell r="D517" t="str">
            <v>07/250</v>
          </cell>
          <cell r="AA517">
            <v>511</v>
          </cell>
        </row>
        <row r="518">
          <cell r="AA518">
            <v>512</v>
          </cell>
        </row>
        <row r="519">
          <cell r="AA519">
            <v>513</v>
          </cell>
        </row>
        <row r="520">
          <cell r="D520" t="str">
            <v>16/035</v>
          </cell>
          <cell r="AA520">
            <v>514</v>
          </cell>
        </row>
        <row r="521">
          <cell r="D521" t="str">
            <v>16/040</v>
          </cell>
          <cell r="AA521">
            <v>515</v>
          </cell>
        </row>
        <row r="522">
          <cell r="D522" t="str">
            <v>16/050</v>
          </cell>
          <cell r="AA522">
            <v>516</v>
          </cell>
        </row>
        <row r="523">
          <cell r="D523" t="str">
            <v>16/060</v>
          </cell>
          <cell r="AA523">
            <v>517</v>
          </cell>
        </row>
        <row r="524">
          <cell r="D524" t="str">
            <v>16/320</v>
          </cell>
          <cell r="AA524">
            <v>518</v>
          </cell>
        </row>
        <row r="525">
          <cell r="D525" t="str">
            <v>16/130</v>
          </cell>
          <cell r="AA525">
            <v>519</v>
          </cell>
        </row>
        <row r="526">
          <cell r="D526" t="str">
            <v>16/070</v>
          </cell>
          <cell r="AA526">
            <v>520</v>
          </cell>
        </row>
        <row r="527">
          <cell r="D527" t="str">
            <v>16/090</v>
          </cell>
          <cell r="AA527">
            <v>521</v>
          </cell>
        </row>
        <row r="528">
          <cell r="D528" t="str">
            <v>16/100</v>
          </cell>
          <cell r="AA528">
            <v>522</v>
          </cell>
        </row>
        <row r="529">
          <cell r="D529" t="str">
            <v>16/360</v>
          </cell>
          <cell r="AA529">
            <v>523</v>
          </cell>
        </row>
        <row r="530">
          <cell r="D530" t="str">
            <v>16/110</v>
          </cell>
          <cell r="AA530">
            <v>524</v>
          </cell>
        </row>
        <row r="531">
          <cell r="D531" t="str">
            <v>B1601005</v>
          </cell>
          <cell r="AA531">
            <v>525</v>
          </cell>
        </row>
        <row r="532">
          <cell r="D532" t="str">
            <v>16/250</v>
          </cell>
          <cell r="AA532">
            <v>526</v>
          </cell>
        </row>
        <row r="533">
          <cell r="D533" t="str">
            <v>B1601010</v>
          </cell>
          <cell r="AA533">
            <v>527</v>
          </cell>
        </row>
        <row r="534">
          <cell r="D534"/>
          <cell r="AA534">
            <v>528</v>
          </cell>
        </row>
        <row r="535">
          <cell r="D535"/>
          <cell r="AA535">
            <v>529</v>
          </cell>
        </row>
        <row r="536">
          <cell r="D536" t="str">
            <v>Code</v>
          </cell>
          <cell r="AA536">
            <v>530</v>
          </cell>
        </row>
        <row r="537">
          <cell r="AA537">
            <v>531</v>
          </cell>
        </row>
        <row r="538">
          <cell r="D538" t="str">
            <v>08/010</v>
          </cell>
          <cell r="AA538">
            <v>532</v>
          </cell>
        </row>
        <row r="539">
          <cell r="D539" t="str">
            <v>B0801005</v>
          </cell>
          <cell r="AA539">
            <v>533</v>
          </cell>
        </row>
        <row r="540">
          <cell r="D540" t="str">
            <v>B0801015</v>
          </cell>
          <cell r="AA540">
            <v>534</v>
          </cell>
        </row>
        <row r="541">
          <cell r="AA541">
            <v>535</v>
          </cell>
        </row>
        <row r="542">
          <cell r="AA542">
            <v>536</v>
          </cell>
        </row>
        <row r="543">
          <cell r="AA543">
            <v>537</v>
          </cell>
        </row>
        <row r="544">
          <cell r="D544" t="str">
            <v>08/060</v>
          </cell>
          <cell r="AA544">
            <v>538</v>
          </cell>
        </row>
        <row r="545">
          <cell r="D545" t="str">
            <v>B0801010</v>
          </cell>
          <cell r="AA545">
            <v>539</v>
          </cell>
        </row>
        <row r="546">
          <cell r="D546" t="str">
            <v>08/040</v>
          </cell>
          <cell r="AA546">
            <v>540</v>
          </cell>
        </row>
        <row r="547">
          <cell r="D547" t="str">
            <v>08/055</v>
          </cell>
          <cell r="AA547">
            <v>541</v>
          </cell>
        </row>
        <row r="548">
          <cell r="D548" t="str">
            <v>08/020</v>
          </cell>
          <cell r="AA548">
            <v>542</v>
          </cell>
        </row>
        <row r="549">
          <cell r="D549" t="str">
            <v>18/070</v>
          </cell>
          <cell r="AA549">
            <v>543</v>
          </cell>
        </row>
        <row r="550">
          <cell r="D550" t="str">
            <v>08/090</v>
          </cell>
          <cell r="AA550">
            <v>544</v>
          </cell>
        </row>
        <row r="551">
          <cell r="AA551">
            <v>545</v>
          </cell>
        </row>
        <row r="552">
          <cell r="AA552">
            <v>546</v>
          </cell>
        </row>
        <row r="553">
          <cell r="AA553">
            <v>547</v>
          </cell>
        </row>
        <row r="554">
          <cell r="D554" t="str">
            <v>07/170</v>
          </cell>
          <cell r="AA554">
            <v>548</v>
          </cell>
        </row>
        <row r="555">
          <cell r="D555" t="str">
            <v>07/280</v>
          </cell>
          <cell r="AA555">
            <v>549</v>
          </cell>
        </row>
        <row r="556">
          <cell r="D556" t="str">
            <v>07/200</v>
          </cell>
          <cell r="AA556">
            <v>550</v>
          </cell>
        </row>
        <row r="557">
          <cell r="D557" t="str">
            <v>07/165</v>
          </cell>
          <cell r="AA557">
            <v>551</v>
          </cell>
        </row>
        <row r="558">
          <cell r="AA558">
            <v>552</v>
          </cell>
        </row>
        <row r="559">
          <cell r="AA559">
            <v>553</v>
          </cell>
        </row>
        <row r="560">
          <cell r="D560" t="str">
            <v>Code</v>
          </cell>
          <cell r="AA560">
            <v>554</v>
          </cell>
        </row>
        <row r="561">
          <cell r="AA561">
            <v>555</v>
          </cell>
        </row>
        <row r="562">
          <cell r="D562" t="str">
            <v>09/040</v>
          </cell>
          <cell r="AA562">
            <v>556</v>
          </cell>
        </row>
        <row r="563">
          <cell r="D563" t="str">
            <v>B0901015</v>
          </cell>
          <cell r="AA563">
            <v>557</v>
          </cell>
        </row>
        <row r="564">
          <cell r="D564"/>
          <cell r="AA564">
            <v>558</v>
          </cell>
        </row>
        <row r="565">
          <cell r="D565"/>
          <cell r="AA565">
            <v>559</v>
          </cell>
        </row>
        <row r="566">
          <cell r="D566" t="str">
            <v>09/220</v>
          </cell>
          <cell r="AA566">
            <v>560</v>
          </cell>
        </row>
        <row r="567">
          <cell r="D567" t="str">
            <v>09/070</v>
          </cell>
          <cell r="AA567">
            <v>561</v>
          </cell>
        </row>
        <row r="568">
          <cell r="D568" t="str">
            <v>09/010</v>
          </cell>
          <cell r="AA568">
            <v>562</v>
          </cell>
        </row>
        <row r="569">
          <cell r="D569" t="str">
            <v>B0901010</v>
          </cell>
          <cell r="AA569">
            <v>563</v>
          </cell>
        </row>
        <row r="570">
          <cell r="D570" t="str">
            <v>02/180</v>
          </cell>
          <cell r="AA570">
            <v>564</v>
          </cell>
        </row>
        <row r="571">
          <cell r="AA571">
            <v>565</v>
          </cell>
        </row>
        <row r="572">
          <cell r="AA572">
            <v>566</v>
          </cell>
        </row>
        <row r="573">
          <cell r="D573" t="str">
            <v>09/060</v>
          </cell>
          <cell r="AA573">
            <v>567</v>
          </cell>
        </row>
        <row r="574">
          <cell r="D574" t="str">
            <v>B0901010</v>
          </cell>
          <cell r="AA574">
            <v>568</v>
          </cell>
        </row>
        <row r="575">
          <cell r="D575" t="str">
            <v>09/050</v>
          </cell>
          <cell r="AA575">
            <v>569</v>
          </cell>
        </row>
        <row r="576">
          <cell r="D576" t="str">
            <v>02/170</v>
          </cell>
          <cell r="AA576">
            <v>570</v>
          </cell>
        </row>
        <row r="577">
          <cell r="D577"/>
          <cell r="AA577">
            <v>571</v>
          </cell>
        </row>
        <row r="578">
          <cell r="D578"/>
          <cell r="AA578">
            <v>572</v>
          </cell>
        </row>
        <row r="579">
          <cell r="D579" t="str">
            <v>09/100</v>
          </cell>
          <cell r="AA579">
            <v>573</v>
          </cell>
        </row>
        <row r="580">
          <cell r="AA580">
            <v>574</v>
          </cell>
        </row>
        <row r="581">
          <cell r="AA581">
            <v>575</v>
          </cell>
        </row>
        <row r="582">
          <cell r="AA582">
            <v>576</v>
          </cell>
        </row>
        <row r="583">
          <cell r="D583" t="str">
            <v>09/110</v>
          </cell>
          <cell r="AA583">
            <v>577</v>
          </cell>
        </row>
        <row r="584">
          <cell r="D584" t="str">
            <v>09/160</v>
          </cell>
          <cell r="AA584">
            <v>578</v>
          </cell>
        </row>
        <row r="585">
          <cell r="D585" t="str">
            <v>09/130</v>
          </cell>
          <cell r="AA585">
            <v>579</v>
          </cell>
        </row>
        <row r="586">
          <cell r="D586" t="str">
            <v>09/135</v>
          </cell>
          <cell r="AA586">
            <v>580</v>
          </cell>
        </row>
        <row r="587">
          <cell r="D587" t="str">
            <v>B0302070</v>
          </cell>
          <cell r="AA587">
            <v>581</v>
          </cell>
        </row>
        <row r="588">
          <cell r="AA588">
            <v>582</v>
          </cell>
        </row>
        <row r="589">
          <cell r="AA589">
            <v>583</v>
          </cell>
        </row>
        <row r="590">
          <cell r="D590" t="str">
            <v>09/139</v>
          </cell>
          <cell r="AA590">
            <v>584</v>
          </cell>
        </row>
        <row r="591">
          <cell r="D591" t="str">
            <v>09/138</v>
          </cell>
          <cell r="AA591">
            <v>585</v>
          </cell>
        </row>
        <row r="592">
          <cell r="D592" t="str">
            <v>09/250</v>
          </cell>
          <cell r="AA592">
            <v>586</v>
          </cell>
        </row>
        <row r="593">
          <cell r="D593" t="str">
            <v>09/140</v>
          </cell>
          <cell r="AA593">
            <v>587</v>
          </cell>
        </row>
        <row r="594">
          <cell r="D594" t="str">
            <v>09/255</v>
          </cell>
          <cell r="AA594">
            <v>588</v>
          </cell>
        </row>
        <row r="595">
          <cell r="D595" t="str">
            <v>09/145</v>
          </cell>
          <cell r="AA595">
            <v>589</v>
          </cell>
        </row>
        <row r="596">
          <cell r="D596" t="str">
            <v>02/115</v>
          </cell>
          <cell r="AA596">
            <v>590</v>
          </cell>
        </row>
        <row r="597">
          <cell r="AA597">
            <v>591</v>
          </cell>
        </row>
        <row r="598">
          <cell r="AA598">
            <v>592</v>
          </cell>
        </row>
        <row r="599">
          <cell r="D599" t="str">
            <v>Code</v>
          </cell>
          <cell r="AA599">
            <v>593</v>
          </cell>
        </row>
        <row r="600">
          <cell r="AA600">
            <v>594</v>
          </cell>
        </row>
        <row r="601">
          <cell r="D601" t="str">
            <v>10/120</v>
          </cell>
          <cell r="AA601">
            <v>595</v>
          </cell>
        </row>
        <row r="602">
          <cell r="D602" t="str">
            <v>10/010</v>
          </cell>
          <cell r="AA602">
            <v>596</v>
          </cell>
        </row>
        <row r="603">
          <cell r="D603" t="str">
            <v>10/015</v>
          </cell>
          <cell r="AA603">
            <v>597</v>
          </cell>
        </row>
        <row r="604">
          <cell r="D604" t="str">
            <v>10/090</v>
          </cell>
          <cell r="AA604">
            <v>598</v>
          </cell>
        </row>
        <row r="605">
          <cell r="D605" t="str">
            <v>10/105</v>
          </cell>
          <cell r="AA605">
            <v>599</v>
          </cell>
        </row>
        <row r="606">
          <cell r="D606" t="str">
            <v>10/100</v>
          </cell>
          <cell r="AA606">
            <v>600</v>
          </cell>
        </row>
        <row r="607">
          <cell r="D607" t="str">
            <v>10/200</v>
          </cell>
          <cell r="AA607">
            <v>601</v>
          </cell>
        </row>
        <row r="608">
          <cell r="D608" t="str">
            <v>B1001010</v>
          </cell>
          <cell r="AA608">
            <v>602</v>
          </cell>
        </row>
        <row r="609">
          <cell r="D609" t="str">
            <v>B1001005</v>
          </cell>
          <cell r="AA609">
            <v>603</v>
          </cell>
        </row>
        <row r="610">
          <cell r="D610"/>
          <cell r="AA610">
            <v>604</v>
          </cell>
        </row>
        <row r="611">
          <cell r="AA611">
            <v>605</v>
          </cell>
        </row>
        <row r="612">
          <cell r="D612" t="str">
            <v>10/130</v>
          </cell>
          <cell r="AA612">
            <v>606</v>
          </cell>
        </row>
        <row r="613">
          <cell r="D613" t="str">
            <v>B1001045</v>
          </cell>
          <cell r="AA613">
            <v>607</v>
          </cell>
        </row>
        <row r="614">
          <cell r="D614" t="str">
            <v>Code</v>
          </cell>
          <cell r="AA614">
            <v>608</v>
          </cell>
        </row>
        <row r="615">
          <cell r="AA615">
            <v>609</v>
          </cell>
        </row>
        <row r="616">
          <cell r="D616" t="str">
            <v>16/350</v>
          </cell>
          <cell r="AA616">
            <v>610</v>
          </cell>
        </row>
        <row r="617">
          <cell r="D617" t="str">
            <v>16/305</v>
          </cell>
          <cell r="AA617">
            <v>611</v>
          </cell>
        </row>
        <row r="618">
          <cell r="D618" t="str">
            <v>16/010</v>
          </cell>
          <cell r="AA618">
            <v>612</v>
          </cell>
        </row>
        <row r="619">
          <cell r="D619" t="str">
            <v>10/050</v>
          </cell>
          <cell r="AA619">
            <v>613</v>
          </cell>
        </row>
        <row r="620">
          <cell r="D620" t="str">
            <v>10/060</v>
          </cell>
          <cell r="AA620">
            <v>614</v>
          </cell>
        </row>
        <row r="621">
          <cell r="AA621">
            <v>615</v>
          </cell>
        </row>
        <row r="622">
          <cell r="AA622">
            <v>616</v>
          </cell>
        </row>
        <row r="623">
          <cell r="AA623">
            <v>617</v>
          </cell>
        </row>
        <row r="624">
          <cell r="D624" t="str">
            <v>10/110</v>
          </cell>
          <cell r="AA624">
            <v>618</v>
          </cell>
        </row>
        <row r="625">
          <cell r="D625" t="str">
            <v>10/160</v>
          </cell>
          <cell r="AA625">
            <v>619</v>
          </cell>
        </row>
        <row r="626">
          <cell r="D626" t="str">
            <v>10/030</v>
          </cell>
          <cell r="AA626">
            <v>620</v>
          </cell>
        </row>
        <row r="627">
          <cell r="D627" t="str">
            <v>10/080</v>
          </cell>
          <cell r="AA627">
            <v>621</v>
          </cell>
        </row>
        <row r="628">
          <cell r="D628" t="str">
            <v>Code</v>
          </cell>
          <cell r="AA628">
            <v>622</v>
          </cell>
        </row>
        <row r="629">
          <cell r="AA629">
            <v>623</v>
          </cell>
        </row>
        <row r="630">
          <cell r="D630" t="str">
            <v>11/340</v>
          </cell>
          <cell r="AA630">
            <v>624</v>
          </cell>
        </row>
        <row r="631">
          <cell r="D631" t="str">
            <v>11/420</v>
          </cell>
          <cell r="AA631">
            <v>625</v>
          </cell>
        </row>
        <row r="632">
          <cell r="D632" t="str">
            <v>11/020</v>
          </cell>
          <cell r="AA632">
            <v>626</v>
          </cell>
        </row>
        <row r="633">
          <cell r="D633" t="str">
            <v>11/010</v>
          </cell>
          <cell r="AA633">
            <v>627</v>
          </cell>
        </row>
        <row r="634">
          <cell r="D634" t="str">
            <v>11/030</v>
          </cell>
          <cell r="AA634">
            <v>628</v>
          </cell>
        </row>
        <row r="635">
          <cell r="D635" t="str">
            <v>11/040</v>
          </cell>
          <cell r="AA635">
            <v>629</v>
          </cell>
        </row>
        <row r="636">
          <cell r="D636" t="str">
            <v>11/050</v>
          </cell>
          <cell r="AA636">
            <v>630</v>
          </cell>
        </row>
        <row r="637">
          <cell r="D637" t="str">
            <v>11/056</v>
          </cell>
          <cell r="AA637">
            <v>631</v>
          </cell>
        </row>
        <row r="638">
          <cell r="AA638">
            <v>632</v>
          </cell>
        </row>
        <row r="639">
          <cell r="AA639">
            <v>633</v>
          </cell>
        </row>
        <row r="640">
          <cell r="D640" t="str">
            <v>11/170</v>
          </cell>
          <cell r="AA640">
            <v>634</v>
          </cell>
        </row>
        <row r="641">
          <cell r="D641" t="str">
            <v>11/210</v>
          </cell>
          <cell r="AA641">
            <v>635</v>
          </cell>
        </row>
        <row r="642">
          <cell r="D642" t="str">
            <v>11/430</v>
          </cell>
          <cell r="AA642">
            <v>636</v>
          </cell>
        </row>
        <row r="643">
          <cell r="D643" t="str">
            <v>11/265</v>
          </cell>
          <cell r="AA643">
            <v>637</v>
          </cell>
        </row>
        <row r="644">
          <cell r="AA644">
            <v>638</v>
          </cell>
        </row>
        <row r="645">
          <cell r="AA645">
            <v>639</v>
          </cell>
        </row>
        <row r="646">
          <cell r="D646" t="str">
            <v>11/070</v>
          </cell>
          <cell r="AA646">
            <v>640</v>
          </cell>
        </row>
        <row r="647">
          <cell r="D647" t="str">
            <v>11/060</v>
          </cell>
          <cell r="AA647">
            <v>641</v>
          </cell>
        </row>
        <row r="648">
          <cell r="AA648">
            <v>642</v>
          </cell>
        </row>
        <row r="649">
          <cell r="D649" t="str">
            <v>11/290</v>
          </cell>
          <cell r="AA649">
            <v>643</v>
          </cell>
        </row>
        <row r="650">
          <cell r="AA650">
            <v>644</v>
          </cell>
        </row>
        <row r="651">
          <cell r="D651" t="str">
            <v>Code</v>
          </cell>
          <cell r="AA651">
            <v>645</v>
          </cell>
        </row>
        <row r="652">
          <cell r="AA652">
            <v>646</v>
          </cell>
        </row>
        <row r="653">
          <cell r="D653" t="str">
            <v>12/090</v>
          </cell>
          <cell r="AA653">
            <v>647</v>
          </cell>
        </row>
        <row r="654">
          <cell r="D654" t="str">
            <v>12/020</v>
          </cell>
          <cell r="AA654">
            <v>648</v>
          </cell>
        </row>
        <row r="655">
          <cell r="AA655">
            <v>649</v>
          </cell>
        </row>
        <row r="656">
          <cell r="D656" t="str">
            <v>12/030</v>
          </cell>
          <cell r="AA656">
            <v>650</v>
          </cell>
        </row>
        <row r="657">
          <cell r="AA657">
            <v>651</v>
          </cell>
        </row>
        <row r="658">
          <cell r="AA658">
            <v>652</v>
          </cell>
        </row>
        <row r="659">
          <cell r="D659" t="str">
            <v>12/010</v>
          </cell>
          <cell r="AA659">
            <v>653</v>
          </cell>
        </row>
        <row r="660">
          <cell r="D660" t="str">
            <v>12/015</v>
          </cell>
          <cell r="AA660">
            <v>654</v>
          </cell>
        </row>
        <row r="661">
          <cell r="AA661">
            <v>655</v>
          </cell>
        </row>
        <row r="662">
          <cell r="AA662">
            <v>656</v>
          </cell>
        </row>
        <row r="663">
          <cell r="D663" t="str">
            <v>12/080</v>
          </cell>
          <cell r="AA663">
            <v>657</v>
          </cell>
        </row>
        <row r="664">
          <cell r="AA664">
            <v>658</v>
          </cell>
        </row>
        <row r="665">
          <cell r="AA665">
            <v>659</v>
          </cell>
        </row>
        <row r="666">
          <cell r="D666" t="str">
            <v>B1201005</v>
          </cell>
          <cell r="AA666">
            <v>660</v>
          </cell>
        </row>
        <row r="667">
          <cell r="AA667">
            <v>661</v>
          </cell>
        </row>
        <row r="668">
          <cell r="D668" t="str">
            <v>Code</v>
          </cell>
          <cell r="AA668">
            <v>662</v>
          </cell>
        </row>
        <row r="669">
          <cell r="AA669">
            <v>663</v>
          </cell>
        </row>
        <row r="670">
          <cell r="D670" t="str">
            <v>13/020</v>
          </cell>
          <cell r="AA670">
            <v>664</v>
          </cell>
        </row>
        <row r="671">
          <cell r="D671" t="str">
            <v>13/215</v>
          </cell>
          <cell r="AA671">
            <v>665</v>
          </cell>
        </row>
        <row r="672">
          <cell r="D672" t="str">
            <v>13/040</v>
          </cell>
          <cell r="AA672">
            <v>666</v>
          </cell>
        </row>
        <row r="673">
          <cell r="D673" t="str">
            <v>13/050</v>
          </cell>
          <cell r="AA673">
            <v>667</v>
          </cell>
        </row>
        <row r="674">
          <cell r="D674" t="str">
            <v>13/210</v>
          </cell>
          <cell r="AA674">
            <v>668</v>
          </cell>
        </row>
        <row r="675">
          <cell r="D675" t="str">
            <v>13/055</v>
          </cell>
          <cell r="AA675">
            <v>669</v>
          </cell>
        </row>
        <row r="676">
          <cell r="D676" t="str">
            <v>13/220</v>
          </cell>
          <cell r="AA676">
            <v>670</v>
          </cell>
        </row>
        <row r="677">
          <cell r="D677" t="str">
            <v>13/225</v>
          </cell>
          <cell r="AA677">
            <v>671</v>
          </cell>
        </row>
        <row r="678">
          <cell r="AA678">
            <v>672</v>
          </cell>
        </row>
        <row r="679">
          <cell r="AA679">
            <v>673</v>
          </cell>
        </row>
        <row r="680">
          <cell r="D680" t="str">
            <v>17/310</v>
          </cell>
          <cell r="AA680">
            <v>674</v>
          </cell>
        </row>
        <row r="681">
          <cell r="D681" t="str">
            <v>B1704010</v>
          </cell>
          <cell r="AA681">
            <v>675</v>
          </cell>
        </row>
        <row r="682">
          <cell r="D682" t="str">
            <v>B1704005</v>
          </cell>
          <cell r="AA682">
            <v>676</v>
          </cell>
        </row>
        <row r="683">
          <cell r="AA683">
            <v>677</v>
          </cell>
        </row>
        <row r="684">
          <cell r="AA684">
            <v>678</v>
          </cell>
        </row>
        <row r="685">
          <cell r="AA685">
            <v>679</v>
          </cell>
        </row>
        <row r="686">
          <cell r="D686" t="str">
            <v>13/130</v>
          </cell>
          <cell r="AA686">
            <v>680</v>
          </cell>
        </row>
        <row r="687">
          <cell r="D687" t="str">
            <v>13/140</v>
          </cell>
          <cell r="AA687">
            <v>681</v>
          </cell>
        </row>
        <row r="688">
          <cell r="D688" t="str">
            <v>13/145</v>
          </cell>
          <cell r="AA688">
            <v>682</v>
          </cell>
        </row>
        <row r="689">
          <cell r="D689" t="str">
            <v>13/150</v>
          </cell>
          <cell r="AA689">
            <v>683</v>
          </cell>
        </row>
        <row r="690">
          <cell r="D690" t="str">
            <v>13/170</v>
          </cell>
          <cell r="AA690">
            <v>684</v>
          </cell>
        </row>
        <row r="691">
          <cell r="D691" t="str">
            <v>13/180</v>
          </cell>
          <cell r="AA691">
            <v>685</v>
          </cell>
        </row>
        <row r="692">
          <cell r="D692"/>
          <cell r="AA692">
            <v>686</v>
          </cell>
        </row>
        <row r="693">
          <cell r="AA693">
            <v>687</v>
          </cell>
        </row>
        <row r="694">
          <cell r="D694" t="str">
            <v>B1301010</v>
          </cell>
          <cell r="AA694">
            <v>688</v>
          </cell>
        </row>
        <row r="695">
          <cell r="D695" t="str">
            <v>B1301020</v>
          </cell>
          <cell r="AA695">
            <v>689</v>
          </cell>
        </row>
        <row r="696">
          <cell r="D696" t="str">
            <v>B1301005</v>
          </cell>
          <cell r="AA696">
            <v>690</v>
          </cell>
        </row>
        <row r="697">
          <cell r="D697" t="str">
            <v>B1301055</v>
          </cell>
          <cell r="AA697">
            <v>691</v>
          </cell>
        </row>
        <row r="698">
          <cell r="D698" t="str">
            <v>13/240</v>
          </cell>
          <cell r="AA698">
            <v>692</v>
          </cell>
        </row>
        <row r="699">
          <cell r="D699" t="str">
            <v>13/250</v>
          </cell>
          <cell r="AA699">
            <v>693</v>
          </cell>
        </row>
        <row r="700">
          <cell r="D700"/>
          <cell r="AA700">
            <v>694</v>
          </cell>
        </row>
        <row r="701">
          <cell r="D701"/>
          <cell r="AA701">
            <v>695</v>
          </cell>
        </row>
        <row r="702">
          <cell r="D702" t="str">
            <v>13/090</v>
          </cell>
          <cell r="AA702">
            <v>696</v>
          </cell>
        </row>
        <row r="703">
          <cell r="D703" t="str">
            <v>13/100</v>
          </cell>
          <cell r="AA703">
            <v>697</v>
          </cell>
        </row>
        <row r="704">
          <cell r="D704" t="str">
            <v>13/110</v>
          </cell>
          <cell r="AA704">
            <v>698</v>
          </cell>
        </row>
        <row r="705">
          <cell r="D705" t="str">
            <v>13/120</v>
          </cell>
          <cell r="AA705">
            <v>699</v>
          </cell>
        </row>
        <row r="706">
          <cell r="D706" t="str">
            <v>13/230</v>
          </cell>
          <cell r="AA706">
            <v>700</v>
          </cell>
        </row>
        <row r="707">
          <cell r="AA707">
            <v>701</v>
          </cell>
        </row>
        <row r="708">
          <cell r="D708"/>
          <cell r="AA708">
            <v>702</v>
          </cell>
        </row>
        <row r="709">
          <cell r="D709" t="str">
            <v>02/200</v>
          </cell>
          <cell r="AA709">
            <v>703</v>
          </cell>
        </row>
        <row r="710">
          <cell r="D710" t="str">
            <v>02/230</v>
          </cell>
          <cell r="AA710">
            <v>704</v>
          </cell>
        </row>
        <row r="711">
          <cell r="D711" t="str">
            <v>02/205</v>
          </cell>
          <cell r="AA711">
            <v>705</v>
          </cell>
        </row>
        <row r="712">
          <cell r="D712" t="str">
            <v>Code</v>
          </cell>
          <cell r="AA712">
            <v>706</v>
          </cell>
        </row>
        <row r="713">
          <cell r="AA713">
            <v>707</v>
          </cell>
        </row>
        <row r="714">
          <cell r="D714" t="str">
            <v>14/060</v>
          </cell>
          <cell r="AA714">
            <v>708</v>
          </cell>
        </row>
        <row r="715">
          <cell r="AA715">
            <v>709</v>
          </cell>
        </row>
        <row r="716">
          <cell r="AA716">
            <v>710</v>
          </cell>
        </row>
        <row r="717">
          <cell r="D717" t="str">
            <v>14/075</v>
          </cell>
          <cell r="AA717">
            <v>711</v>
          </cell>
        </row>
        <row r="718">
          <cell r="D718" t="str">
            <v>14/090</v>
          </cell>
          <cell r="AA718">
            <v>712</v>
          </cell>
        </row>
        <row r="719">
          <cell r="D719" t="str">
            <v>B1401035</v>
          </cell>
          <cell r="AA719">
            <v>713</v>
          </cell>
        </row>
        <row r="720">
          <cell r="D720" t="str">
            <v>14/095</v>
          </cell>
          <cell r="AA720">
            <v>714</v>
          </cell>
        </row>
        <row r="721">
          <cell r="D721" t="str">
            <v>14/100</v>
          </cell>
          <cell r="AA721">
            <v>715</v>
          </cell>
        </row>
        <row r="722">
          <cell r="AA722">
            <v>716</v>
          </cell>
        </row>
        <row r="723">
          <cell r="D723" t="str">
            <v>Code</v>
          </cell>
          <cell r="AA723">
            <v>717</v>
          </cell>
        </row>
        <row r="724">
          <cell r="AA724">
            <v>718</v>
          </cell>
        </row>
        <row r="725">
          <cell r="D725" t="str">
            <v>14/070</v>
          </cell>
          <cell r="AA725">
            <v>719</v>
          </cell>
        </row>
        <row r="726">
          <cell r="D726" t="str">
            <v>14/010</v>
          </cell>
          <cell r="AA726">
            <v>720</v>
          </cell>
        </row>
        <row r="727">
          <cell r="D727" t="str">
            <v>14/050</v>
          </cell>
          <cell r="AA727">
            <v>721</v>
          </cell>
        </row>
        <row r="728">
          <cell r="AA728">
            <v>722</v>
          </cell>
        </row>
        <row r="729">
          <cell r="AA729">
            <v>723</v>
          </cell>
        </row>
        <row r="730">
          <cell r="AA730">
            <v>724</v>
          </cell>
        </row>
        <row r="731">
          <cell r="D731" t="str">
            <v>02/100</v>
          </cell>
          <cell r="AA731">
            <v>725</v>
          </cell>
        </row>
        <row r="732">
          <cell r="D732" t="str">
            <v>03/270</v>
          </cell>
          <cell r="AA732">
            <v>726</v>
          </cell>
        </row>
        <row r="733">
          <cell r="D733" t="str">
            <v>B0301005</v>
          </cell>
          <cell r="AA733">
            <v>727</v>
          </cell>
        </row>
        <row r="734">
          <cell r="AA734">
            <v>728</v>
          </cell>
        </row>
        <row r="735">
          <cell r="AA735">
            <v>729</v>
          </cell>
        </row>
        <row r="736">
          <cell r="D736" t="str">
            <v>02/150</v>
          </cell>
          <cell r="AA736">
            <v>730</v>
          </cell>
        </row>
        <row r="737">
          <cell r="D737" t="str">
            <v>02/160</v>
          </cell>
          <cell r="AA737">
            <v>731</v>
          </cell>
        </row>
        <row r="738">
          <cell r="D738" t="str">
            <v>02/140</v>
          </cell>
          <cell r="AA738">
            <v>732</v>
          </cell>
        </row>
        <row r="739">
          <cell r="D739" t="str">
            <v>02/165</v>
          </cell>
          <cell r="AA739">
            <v>733</v>
          </cell>
        </row>
        <row r="740">
          <cell r="AA740">
            <v>734</v>
          </cell>
        </row>
        <row r="741">
          <cell r="AA741">
            <v>735</v>
          </cell>
        </row>
        <row r="742">
          <cell r="D742" t="str">
            <v>14/045</v>
          </cell>
          <cell r="AA742">
            <v>736</v>
          </cell>
        </row>
        <row r="743">
          <cell r="AA743">
            <v>737</v>
          </cell>
        </row>
        <row r="744">
          <cell r="D744" t="str">
            <v>Code</v>
          </cell>
          <cell r="AA744">
            <v>738</v>
          </cell>
        </row>
        <row r="745">
          <cell r="AA745">
            <v>739</v>
          </cell>
        </row>
        <row r="746">
          <cell r="D746" t="str">
            <v>15/010</v>
          </cell>
          <cell r="AA746">
            <v>740</v>
          </cell>
        </row>
        <row r="747">
          <cell r="D747" t="str">
            <v>15/020</v>
          </cell>
          <cell r="AA747">
            <v>741</v>
          </cell>
        </row>
        <row r="748">
          <cell r="D748" t="str">
            <v>15/090</v>
          </cell>
          <cell r="AA748">
            <v>742</v>
          </cell>
        </row>
        <row r="749">
          <cell r="D749" t="str">
            <v>15/120</v>
          </cell>
          <cell r="AA749">
            <v>743</v>
          </cell>
        </row>
        <row r="750">
          <cell r="D750" t="str">
            <v>15/125</v>
          </cell>
          <cell r="AA750">
            <v>744</v>
          </cell>
        </row>
        <row r="751">
          <cell r="D751" t="str">
            <v>15/100</v>
          </cell>
          <cell r="AA751">
            <v>745</v>
          </cell>
        </row>
        <row r="752">
          <cell r="D752" t="str">
            <v>15/165</v>
          </cell>
          <cell r="AA752">
            <v>746</v>
          </cell>
        </row>
        <row r="753">
          <cell r="D753" t="str">
            <v>15/105</v>
          </cell>
          <cell r="AA753">
            <v>747</v>
          </cell>
        </row>
        <row r="754">
          <cell r="AA754">
            <v>748</v>
          </cell>
        </row>
        <row r="755">
          <cell r="AA755">
            <v>749</v>
          </cell>
        </row>
        <row r="756">
          <cell r="D756" t="str">
            <v>15/040</v>
          </cell>
          <cell r="AA756">
            <v>750</v>
          </cell>
        </row>
        <row r="757">
          <cell r="D757" t="str">
            <v>15/130</v>
          </cell>
          <cell r="AA757">
            <v>751</v>
          </cell>
        </row>
        <row r="758">
          <cell r="D758" t="str">
            <v>15/135</v>
          </cell>
          <cell r="AA758">
            <v>752</v>
          </cell>
        </row>
        <row r="759">
          <cell r="D759" t="str">
            <v>15/035</v>
          </cell>
          <cell r="AA759">
            <v>753</v>
          </cell>
        </row>
        <row r="760">
          <cell r="AA760">
            <v>754</v>
          </cell>
        </row>
        <row r="761">
          <cell r="AA761">
            <v>755</v>
          </cell>
        </row>
        <row r="762">
          <cell r="AA762">
            <v>756</v>
          </cell>
        </row>
        <row r="763">
          <cell r="D763" t="str">
            <v>15/050</v>
          </cell>
          <cell r="AA763">
            <v>757</v>
          </cell>
        </row>
        <row r="764">
          <cell r="D764" t="str">
            <v>15/065</v>
          </cell>
          <cell r="AA764">
            <v>758</v>
          </cell>
        </row>
        <row r="765">
          <cell r="D765" t="str">
            <v>15/085</v>
          </cell>
          <cell r="AA765">
            <v>759</v>
          </cell>
        </row>
        <row r="766">
          <cell r="D766" t="str">
            <v>15/075</v>
          </cell>
          <cell r="AA766">
            <v>760</v>
          </cell>
        </row>
        <row r="767">
          <cell r="D767" t="str">
            <v>15/080</v>
          </cell>
          <cell r="AA767">
            <v>761</v>
          </cell>
        </row>
        <row r="768">
          <cell r="AA768">
            <v>762</v>
          </cell>
        </row>
        <row r="769">
          <cell r="AA769">
            <v>763</v>
          </cell>
        </row>
        <row r="770">
          <cell r="D770" t="str">
            <v>15/160</v>
          </cell>
          <cell r="AA770">
            <v>764</v>
          </cell>
        </row>
        <row r="771">
          <cell r="D771" t="str">
            <v>15/170</v>
          </cell>
          <cell r="AA771">
            <v>765</v>
          </cell>
        </row>
        <row r="772">
          <cell r="AA772">
            <v>766</v>
          </cell>
        </row>
        <row r="773">
          <cell r="D773" t="str">
            <v>Code</v>
          </cell>
          <cell r="AA773">
            <v>767</v>
          </cell>
        </row>
        <row r="774">
          <cell r="AA774">
            <v>768</v>
          </cell>
        </row>
        <row r="775">
          <cell r="D775" t="str">
            <v>16/240</v>
          </cell>
          <cell r="AA775">
            <v>769</v>
          </cell>
        </row>
        <row r="776">
          <cell r="D776" t="str">
            <v>16/230</v>
          </cell>
          <cell r="AA776">
            <v>770</v>
          </cell>
        </row>
        <row r="777">
          <cell r="D777" t="str">
            <v>16/270</v>
          </cell>
          <cell r="AA777">
            <v>771</v>
          </cell>
        </row>
        <row r="778">
          <cell r="D778" t="str">
            <v>16/170</v>
          </cell>
          <cell r="AA778">
            <v>772</v>
          </cell>
        </row>
        <row r="779">
          <cell r="D779" t="str">
            <v>16/190</v>
          </cell>
          <cell r="AA779">
            <v>773</v>
          </cell>
        </row>
        <row r="780">
          <cell r="D780" t="str">
            <v>16/330</v>
          </cell>
          <cell r="AA780">
            <v>774</v>
          </cell>
        </row>
        <row r="781">
          <cell r="D781" t="str">
            <v>16/020</v>
          </cell>
          <cell r="AA781">
            <v>775</v>
          </cell>
        </row>
        <row r="782">
          <cell r="AA782">
            <v>776</v>
          </cell>
        </row>
        <row r="783">
          <cell r="AA783">
            <v>777</v>
          </cell>
        </row>
        <row r="784">
          <cell r="AA784">
            <v>778</v>
          </cell>
        </row>
        <row r="785">
          <cell r="AA785">
            <v>779</v>
          </cell>
        </row>
        <row r="786">
          <cell r="D786" t="str">
            <v>16/160</v>
          </cell>
          <cell r="AA786">
            <v>780</v>
          </cell>
        </row>
        <row r="787">
          <cell r="D787" t="str">
            <v>16/290</v>
          </cell>
          <cell r="AA787">
            <v>781</v>
          </cell>
        </row>
        <row r="788">
          <cell r="D788" t="str">
            <v>16/350</v>
          </cell>
          <cell r="AA788">
            <v>782</v>
          </cell>
        </row>
        <row r="789">
          <cell r="D789" t="str">
            <v>16/355</v>
          </cell>
          <cell r="AA789">
            <v>783</v>
          </cell>
        </row>
        <row r="790">
          <cell r="D790" t="str">
            <v>16/357</v>
          </cell>
          <cell r="AA790">
            <v>784</v>
          </cell>
        </row>
        <row r="791">
          <cell r="D791" t="str">
            <v>16/305</v>
          </cell>
          <cell r="AA791">
            <v>785</v>
          </cell>
        </row>
        <row r="792">
          <cell r="D792" t="str">
            <v>16/315</v>
          </cell>
          <cell r="AA792">
            <v>786</v>
          </cell>
        </row>
        <row r="793">
          <cell r="D793" t="str">
            <v>16/010</v>
          </cell>
          <cell r="AA793">
            <v>787</v>
          </cell>
        </row>
        <row r="794">
          <cell r="D794" t="str">
            <v>07/320</v>
          </cell>
          <cell r="AA794">
            <v>788</v>
          </cell>
        </row>
        <row r="795">
          <cell r="D795"/>
          <cell r="AA795">
            <v>789</v>
          </cell>
        </row>
        <row r="796">
          <cell r="D796"/>
          <cell r="AA796">
            <v>790</v>
          </cell>
        </row>
        <row r="797">
          <cell r="D797"/>
          <cell r="AA797">
            <v>791</v>
          </cell>
        </row>
        <row r="798">
          <cell r="D798" t="str">
            <v>16/035</v>
          </cell>
          <cell r="AA798">
            <v>792</v>
          </cell>
        </row>
        <row r="799">
          <cell r="D799" t="str">
            <v>16/040</v>
          </cell>
          <cell r="AA799">
            <v>793</v>
          </cell>
        </row>
        <row r="800">
          <cell r="D800" t="str">
            <v>16/050</v>
          </cell>
          <cell r="AA800">
            <v>794</v>
          </cell>
        </row>
        <row r="801">
          <cell r="D801" t="str">
            <v>16/060</v>
          </cell>
          <cell r="AA801">
            <v>795</v>
          </cell>
        </row>
        <row r="802">
          <cell r="D802" t="str">
            <v>16/080</v>
          </cell>
          <cell r="AA802">
            <v>796</v>
          </cell>
        </row>
        <row r="803">
          <cell r="D803" t="str">
            <v>16/320</v>
          </cell>
          <cell r="AA803">
            <v>797</v>
          </cell>
        </row>
        <row r="804">
          <cell r="D804" t="str">
            <v>16/325</v>
          </cell>
          <cell r="AA804">
            <v>798</v>
          </cell>
        </row>
        <row r="805">
          <cell r="D805" t="str">
            <v>16/130</v>
          </cell>
          <cell r="AA805">
            <v>799</v>
          </cell>
        </row>
        <row r="806">
          <cell r="D806"/>
          <cell r="AA806">
            <v>800</v>
          </cell>
        </row>
        <row r="807">
          <cell r="D807"/>
          <cell r="AA807">
            <v>801</v>
          </cell>
        </row>
        <row r="808">
          <cell r="D808" t="str">
            <v>16/070</v>
          </cell>
          <cell r="AA808">
            <v>802</v>
          </cell>
        </row>
        <row r="809">
          <cell r="D809" t="str">
            <v>16/405</v>
          </cell>
          <cell r="AA809">
            <v>803</v>
          </cell>
        </row>
        <row r="810">
          <cell r="D810" t="str">
            <v>16/090</v>
          </cell>
          <cell r="AA810">
            <v>804</v>
          </cell>
        </row>
        <row r="811">
          <cell r="D811" t="str">
            <v>16/100</v>
          </cell>
          <cell r="AA811">
            <v>805</v>
          </cell>
        </row>
        <row r="812">
          <cell r="D812" t="str">
            <v>16/360</v>
          </cell>
          <cell r="AA812">
            <v>806</v>
          </cell>
        </row>
        <row r="813">
          <cell r="D813" t="str">
            <v>16/110</v>
          </cell>
          <cell r="AA813">
            <v>807</v>
          </cell>
        </row>
        <row r="814">
          <cell r="D814" t="str">
            <v>B1601005</v>
          </cell>
          <cell r="AA814">
            <v>808</v>
          </cell>
        </row>
        <row r="815">
          <cell r="D815"/>
          <cell r="AA815">
            <v>809</v>
          </cell>
        </row>
        <row r="816">
          <cell r="D816"/>
          <cell r="AA816">
            <v>810</v>
          </cell>
        </row>
        <row r="817">
          <cell r="D817" t="str">
            <v>16/250</v>
          </cell>
          <cell r="AA817">
            <v>811</v>
          </cell>
        </row>
        <row r="818">
          <cell r="D818" t="str">
            <v>B1601010</v>
          </cell>
          <cell r="AA818">
            <v>812</v>
          </cell>
        </row>
        <row r="819">
          <cell r="D819" t="str">
            <v>16/195</v>
          </cell>
          <cell r="AA819">
            <v>813</v>
          </cell>
        </row>
        <row r="820">
          <cell r="D820" t="str">
            <v>16/196</v>
          </cell>
          <cell r="AA820">
            <v>814</v>
          </cell>
        </row>
        <row r="821">
          <cell r="D821"/>
          <cell r="AA821">
            <v>815</v>
          </cell>
        </row>
        <row r="822">
          <cell r="D822"/>
          <cell r="AA822">
            <v>816</v>
          </cell>
        </row>
        <row r="823">
          <cell r="D823"/>
          <cell r="AA823">
            <v>817</v>
          </cell>
        </row>
        <row r="824">
          <cell r="D824" t="str">
            <v>B1602005</v>
          </cell>
          <cell r="AA824">
            <v>818</v>
          </cell>
        </row>
        <row r="825">
          <cell r="D825" t="str">
            <v>B1602010</v>
          </cell>
          <cell r="AA825">
            <v>819</v>
          </cell>
        </row>
        <row r="826">
          <cell r="D826" t="str">
            <v>B1602035</v>
          </cell>
          <cell r="AA826">
            <v>820</v>
          </cell>
        </row>
        <row r="827">
          <cell r="D827" t="str">
            <v>B1602060</v>
          </cell>
          <cell r="AA827">
            <v>821</v>
          </cell>
        </row>
        <row r="828">
          <cell r="D828" t="str">
            <v>Code</v>
          </cell>
          <cell r="AA828">
            <v>822</v>
          </cell>
        </row>
        <row r="829">
          <cell r="D829"/>
          <cell r="AA829">
            <v>823</v>
          </cell>
        </row>
        <row r="830">
          <cell r="D830" t="str">
            <v>16/200</v>
          </cell>
          <cell r="AA830">
            <v>824</v>
          </cell>
        </row>
        <row r="831">
          <cell r="D831" t="str">
            <v>16/180</v>
          </cell>
          <cell r="AA831">
            <v>825</v>
          </cell>
        </row>
        <row r="832">
          <cell r="D832" t="str">
            <v>16/185</v>
          </cell>
          <cell r="AA832">
            <v>826</v>
          </cell>
        </row>
        <row r="833">
          <cell r="D833" t="str">
            <v>16/120</v>
          </cell>
          <cell r="AA833">
            <v>827</v>
          </cell>
        </row>
        <row r="834">
          <cell r="D834" t="str">
            <v>16/030</v>
          </cell>
          <cell r="AA834">
            <v>828</v>
          </cell>
        </row>
        <row r="835">
          <cell r="D835" t="str">
            <v>16/150</v>
          </cell>
          <cell r="AA835">
            <v>829</v>
          </cell>
        </row>
        <row r="836">
          <cell r="D836" t="str">
            <v>16/140</v>
          </cell>
          <cell r="AA836">
            <v>830</v>
          </cell>
        </row>
        <row r="837">
          <cell r="D837" t="str">
            <v>16/370</v>
          </cell>
          <cell r="AA837">
            <v>831</v>
          </cell>
        </row>
        <row r="838">
          <cell r="D838" t="str">
            <v>16/375</v>
          </cell>
          <cell r="AA838">
            <v>832</v>
          </cell>
        </row>
        <row r="839">
          <cell r="D839"/>
          <cell r="AA839">
            <v>833</v>
          </cell>
        </row>
        <row r="840">
          <cell r="AA840">
            <v>834</v>
          </cell>
        </row>
        <row r="841">
          <cell r="AA841">
            <v>835</v>
          </cell>
        </row>
        <row r="842">
          <cell r="D842" t="str">
            <v>Code</v>
          </cell>
          <cell r="AA842">
            <v>836</v>
          </cell>
        </row>
        <row r="843">
          <cell r="AA843">
            <v>837</v>
          </cell>
        </row>
        <row r="844">
          <cell r="D844" t="str">
            <v>17/160</v>
          </cell>
          <cell r="AA844">
            <v>838</v>
          </cell>
        </row>
        <row r="845">
          <cell r="D845" t="str">
            <v>17/170</v>
          </cell>
          <cell r="AA845">
            <v>839</v>
          </cell>
        </row>
        <row r="846">
          <cell r="D846" t="str">
            <v>17/130</v>
          </cell>
          <cell r="AA846">
            <v>840</v>
          </cell>
        </row>
        <row r="847">
          <cell r="AA847">
            <v>841</v>
          </cell>
        </row>
        <row r="848">
          <cell r="AA848">
            <v>842</v>
          </cell>
        </row>
        <row r="849">
          <cell r="D849" t="str">
            <v>17/140</v>
          </cell>
          <cell r="AA849">
            <v>843</v>
          </cell>
        </row>
        <row r="850">
          <cell r="AA850">
            <v>844</v>
          </cell>
        </row>
        <row r="851">
          <cell r="AA851">
            <v>845</v>
          </cell>
        </row>
        <row r="852">
          <cell r="AA852">
            <v>846</v>
          </cell>
        </row>
        <row r="853">
          <cell r="D853" t="str">
            <v>17/150</v>
          </cell>
          <cell r="AA853">
            <v>847</v>
          </cell>
        </row>
        <row r="854">
          <cell r="AA854">
            <v>848</v>
          </cell>
        </row>
        <row r="855">
          <cell r="AA855">
            <v>849</v>
          </cell>
        </row>
        <row r="856">
          <cell r="AA856">
            <v>850</v>
          </cell>
        </row>
        <row r="857">
          <cell r="D857" t="str">
            <v>B1703015</v>
          </cell>
          <cell r="AA857">
            <v>851</v>
          </cell>
        </row>
        <row r="858">
          <cell r="D858" t="str">
            <v>17/340</v>
          </cell>
          <cell r="AA858">
            <v>852</v>
          </cell>
        </row>
        <row r="859">
          <cell r="D859" t="str">
            <v>17/355</v>
          </cell>
          <cell r="AA859">
            <v>853</v>
          </cell>
        </row>
        <row r="860">
          <cell r="D860" t="str">
            <v>17/365</v>
          </cell>
          <cell r="AA860">
            <v>854</v>
          </cell>
        </row>
        <row r="861">
          <cell r="D861" t="str">
            <v>17/100</v>
          </cell>
          <cell r="AA861">
            <v>855</v>
          </cell>
        </row>
        <row r="862">
          <cell r="AA862">
            <v>856</v>
          </cell>
        </row>
        <row r="863">
          <cell r="AA863">
            <v>857</v>
          </cell>
        </row>
        <row r="864">
          <cell r="D864" t="str">
            <v>17/280</v>
          </cell>
          <cell r="AA864">
            <v>858</v>
          </cell>
        </row>
        <row r="865">
          <cell r="D865" t="str">
            <v>17/260</v>
          </cell>
          <cell r="AA865">
            <v>859</v>
          </cell>
        </row>
        <row r="866">
          <cell r="AA866">
            <v>860</v>
          </cell>
        </row>
        <row r="867">
          <cell r="AA867">
            <v>861</v>
          </cell>
        </row>
        <row r="868">
          <cell r="D868" t="str">
            <v>17/320</v>
          </cell>
          <cell r="AA868">
            <v>862</v>
          </cell>
        </row>
        <row r="869">
          <cell r="D869" t="str">
            <v>17/330</v>
          </cell>
          <cell r="AA869">
            <v>863</v>
          </cell>
        </row>
        <row r="870">
          <cell r="AA870">
            <v>864</v>
          </cell>
        </row>
        <row r="871">
          <cell r="AA871">
            <v>865</v>
          </cell>
        </row>
        <row r="872">
          <cell r="D872" t="str">
            <v>17/230</v>
          </cell>
          <cell r="AA872">
            <v>866</v>
          </cell>
        </row>
        <row r="873">
          <cell r="D873" t="str">
            <v>17/290</v>
          </cell>
          <cell r="AA873">
            <v>867</v>
          </cell>
        </row>
        <row r="874">
          <cell r="D874" t="str">
            <v>B1705015</v>
          </cell>
          <cell r="AA874">
            <v>868</v>
          </cell>
        </row>
        <row r="875">
          <cell r="D875" t="str">
            <v>B1705020</v>
          </cell>
          <cell r="AA875">
            <v>869</v>
          </cell>
        </row>
        <row r="876">
          <cell r="D876" t="str">
            <v>B1705025</v>
          </cell>
          <cell r="AA876">
            <v>870</v>
          </cell>
        </row>
        <row r="877">
          <cell r="AA877">
            <v>871</v>
          </cell>
        </row>
        <row r="878">
          <cell r="AA878">
            <v>872</v>
          </cell>
        </row>
        <row r="879">
          <cell r="D879" t="str">
            <v>17/060</v>
          </cell>
          <cell r="AA879">
            <v>873</v>
          </cell>
        </row>
        <row r="880">
          <cell r="D880" t="str">
            <v>17/080</v>
          </cell>
          <cell r="AA880">
            <v>874</v>
          </cell>
        </row>
        <row r="881">
          <cell r="D881" t="str">
            <v>17/075</v>
          </cell>
          <cell r="AA881">
            <v>875</v>
          </cell>
        </row>
        <row r="882">
          <cell r="D882" t="str">
            <v>Code</v>
          </cell>
          <cell r="AA882">
            <v>876</v>
          </cell>
        </row>
        <row r="883">
          <cell r="AA883">
            <v>877</v>
          </cell>
        </row>
        <row r="884">
          <cell r="D884" t="str">
            <v>17/040</v>
          </cell>
          <cell r="AA884">
            <v>878</v>
          </cell>
        </row>
        <row r="885">
          <cell r="D885" t="str">
            <v>17/020</v>
          </cell>
          <cell r="AA885">
            <v>879</v>
          </cell>
        </row>
        <row r="886">
          <cell r="AA886">
            <v>880</v>
          </cell>
        </row>
        <row r="887">
          <cell r="AA887">
            <v>881</v>
          </cell>
        </row>
        <row r="888">
          <cell r="D888" t="str">
            <v>15/100</v>
          </cell>
          <cell r="AA888">
            <v>882</v>
          </cell>
        </row>
        <row r="889">
          <cell r="D889" t="str">
            <v>17/010</v>
          </cell>
          <cell r="AA889">
            <v>883</v>
          </cell>
        </row>
        <row r="890">
          <cell r="D890" t="str">
            <v>B1701055</v>
          </cell>
          <cell r="AA890">
            <v>884</v>
          </cell>
        </row>
        <row r="891">
          <cell r="D891" t="str">
            <v>B1701070</v>
          </cell>
          <cell r="AA891">
            <v>885</v>
          </cell>
        </row>
        <row r="892">
          <cell r="D892" t="str">
            <v>B1701010</v>
          </cell>
          <cell r="AA892">
            <v>886</v>
          </cell>
        </row>
        <row r="893">
          <cell r="D893" t="str">
            <v>B1701005</v>
          </cell>
          <cell r="AA893">
            <v>887</v>
          </cell>
        </row>
        <row r="894">
          <cell r="D894" t="str">
            <v>B1701025</v>
          </cell>
          <cell r="AA894">
            <v>888</v>
          </cell>
        </row>
        <row r="895">
          <cell r="D895" t="str">
            <v>B1701035</v>
          </cell>
          <cell r="AA895">
            <v>889</v>
          </cell>
        </row>
        <row r="896">
          <cell r="D896" t="str">
            <v>B1701060</v>
          </cell>
          <cell r="AA896">
            <v>890</v>
          </cell>
        </row>
        <row r="897">
          <cell r="D897" t="str">
            <v>B1701065</v>
          </cell>
          <cell r="AA897">
            <v>891</v>
          </cell>
        </row>
        <row r="898">
          <cell r="AA898">
            <v>892</v>
          </cell>
        </row>
        <row r="899">
          <cell r="AA899">
            <v>893</v>
          </cell>
        </row>
        <row r="900">
          <cell r="D900" t="str">
            <v>18/040</v>
          </cell>
          <cell r="AA900">
            <v>894</v>
          </cell>
        </row>
        <row r="901">
          <cell r="D901" t="str">
            <v>18/060</v>
          </cell>
          <cell r="AA901">
            <v>895</v>
          </cell>
        </row>
        <row r="902">
          <cell r="D902" t="str">
            <v>18/070</v>
          </cell>
          <cell r="AA902">
            <v>896</v>
          </cell>
        </row>
        <row r="903">
          <cell r="AA903">
            <v>897</v>
          </cell>
        </row>
        <row r="904">
          <cell r="AA904">
            <v>898</v>
          </cell>
        </row>
        <row r="905">
          <cell r="D905" t="str">
            <v>Code</v>
          </cell>
          <cell r="AA905">
            <v>899</v>
          </cell>
        </row>
        <row r="906">
          <cell r="AA906">
            <v>900</v>
          </cell>
        </row>
        <row r="907">
          <cell r="D907" t="str">
            <v>B1802005</v>
          </cell>
          <cell r="AA907">
            <v>901</v>
          </cell>
        </row>
        <row r="908">
          <cell r="D908"/>
          <cell r="AA908">
            <v>902</v>
          </cell>
        </row>
        <row r="909">
          <cell r="D909" t="str">
            <v>B1802010</v>
          </cell>
          <cell r="AA909">
            <v>903</v>
          </cell>
        </row>
        <row r="910">
          <cell r="D910" t="str">
            <v>B1802015</v>
          </cell>
          <cell r="AA910">
            <v>904</v>
          </cell>
        </row>
        <row r="911">
          <cell r="D911" t="str">
            <v>B1802030</v>
          </cell>
          <cell r="AA911">
            <v>905</v>
          </cell>
        </row>
        <row r="912">
          <cell r="D912" t="str">
            <v>B1802025</v>
          </cell>
          <cell r="AA912">
            <v>906</v>
          </cell>
        </row>
        <row r="913">
          <cell r="D913" t="str">
            <v>B1802020</v>
          </cell>
          <cell r="AA913">
            <v>907</v>
          </cell>
        </row>
        <row r="914">
          <cell r="D914"/>
          <cell r="AA914">
            <v>908</v>
          </cell>
        </row>
        <row r="915">
          <cell r="D915"/>
          <cell r="AA915">
            <v>909</v>
          </cell>
        </row>
        <row r="916">
          <cell r="D916" t="str">
            <v>B1802085</v>
          </cell>
          <cell r="AA916">
            <v>910</v>
          </cell>
        </row>
        <row r="917">
          <cell r="D917" t="str">
            <v>B1802125</v>
          </cell>
          <cell r="AA917">
            <v>911</v>
          </cell>
        </row>
        <row r="918">
          <cell r="D918" t="str">
            <v>B1802090</v>
          </cell>
          <cell r="AA918">
            <v>912</v>
          </cell>
        </row>
        <row r="919">
          <cell r="D919" t="str">
            <v>B1802100</v>
          </cell>
          <cell r="AA919">
            <v>913</v>
          </cell>
        </row>
        <row r="920">
          <cell r="D920" t="str">
            <v>B1802095</v>
          </cell>
          <cell r="AA920">
            <v>914</v>
          </cell>
        </row>
        <row r="921">
          <cell r="D921" t="str">
            <v>B1802105</v>
          </cell>
          <cell r="AA921">
            <v>915</v>
          </cell>
        </row>
        <row r="922">
          <cell r="D922"/>
          <cell r="AA922">
            <v>916</v>
          </cell>
        </row>
        <row r="923">
          <cell r="D923"/>
          <cell r="AA923">
            <v>917</v>
          </cell>
        </row>
        <row r="924">
          <cell r="D924"/>
          <cell r="AA924">
            <v>918</v>
          </cell>
        </row>
        <row r="925">
          <cell r="D925" t="str">
            <v>B1802110</v>
          </cell>
          <cell r="AA925">
            <v>919</v>
          </cell>
        </row>
        <row r="926">
          <cell r="D926" t="str">
            <v>B1802112</v>
          </cell>
          <cell r="AA926">
            <v>920</v>
          </cell>
        </row>
        <row r="927">
          <cell r="D927"/>
          <cell r="AA927">
            <v>921</v>
          </cell>
        </row>
        <row r="928">
          <cell r="D928"/>
          <cell r="AA928">
            <v>922</v>
          </cell>
        </row>
        <row r="929">
          <cell r="D929" t="str">
            <v>B1802035</v>
          </cell>
          <cell r="AA929">
            <v>923</v>
          </cell>
        </row>
        <row r="930">
          <cell r="D930" t="str">
            <v>B1802040</v>
          </cell>
          <cell r="AA930">
            <v>924</v>
          </cell>
        </row>
        <row r="931">
          <cell r="D931" t="str">
            <v>B1802045</v>
          </cell>
          <cell r="AA931">
            <v>925</v>
          </cell>
        </row>
        <row r="932">
          <cell r="D932" t="str">
            <v>B1802050</v>
          </cell>
          <cell r="AA932">
            <v>926</v>
          </cell>
        </row>
        <row r="933">
          <cell r="D933" t="str">
            <v>B1802055</v>
          </cell>
          <cell r="AA933">
            <v>927</v>
          </cell>
        </row>
        <row r="934">
          <cell r="D934" t="str">
            <v>Code</v>
          </cell>
          <cell r="AA934">
            <v>928</v>
          </cell>
        </row>
        <row r="935">
          <cell r="AA935">
            <v>929</v>
          </cell>
        </row>
        <row r="936">
          <cell r="D936" t="str">
            <v>18/040</v>
          </cell>
          <cell r="AA936">
            <v>930</v>
          </cell>
        </row>
        <row r="937">
          <cell r="D937" t="str">
            <v>18/060</v>
          </cell>
          <cell r="AA937">
            <v>931</v>
          </cell>
        </row>
        <row r="938">
          <cell r="D938" t="str">
            <v>18/070</v>
          </cell>
          <cell r="AA938">
            <v>932</v>
          </cell>
        </row>
        <row r="939">
          <cell r="AA939">
            <v>933</v>
          </cell>
        </row>
        <row r="940">
          <cell r="D940"/>
          <cell r="AA940">
            <v>934</v>
          </cell>
        </row>
        <row r="941">
          <cell r="D941"/>
          <cell r="AA941">
            <v>935</v>
          </cell>
        </row>
        <row r="942">
          <cell r="D942" t="str">
            <v>B1801060</v>
          </cell>
          <cell r="AA942">
            <v>936</v>
          </cell>
        </row>
        <row r="943">
          <cell r="D943" t="str">
            <v>B1801005</v>
          </cell>
          <cell r="AA943">
            <v>937</v>
          </cell>
        </row>
        <row r="944">
          <cell r="D944" t="str">
            <v>B1001045</v>
          </cell>
          <cell r="AA944">
            <v>938</v>
          </cell>
        </row>
        <row r="945">
          <cell r="D945" t="str">
            <v>B1001005</v>
          </cell>
          <cell r="AA945">
            <v>939</v>
          </cell>
        </row>
        <row r="946">
          <cell r="D946" t="str">
            <v>B1802115</v>
          </cell>
          <cell r="AA946">
            <v>940</v>
          </cell>
        </row>
        <row r="947">
          <cell r="D947"/>
          <cell r="AA947">
            <v>941</v>
          </cell>
        </row>
        <row r="948">
          <cell r="D948"/>
          <cell r="AA948">
            <v>942</v>
          </cell>
        </row>
        <row r="949">
          <cell r="D949" t="str">
            <v>Code</v>
          </cell>
          <cell r="AA949">
            <v>943</v>
          </cell>
        </row>
        <row r="950">
          <cell r="AA950">
            <v>944</v>
          </cell>
        </row>
        <row r="951">
          <cell r="AA951">
            <v>945</v>
          </cell>
        </row>
        <row r="952">
          <cell r="D952" t="str">
            <v>B1901050</v>
          </cell>
          <cell r="AA952">
            <v>946</v>
          </cell>
        </row>
        <row r="953">
          <cell r="D953" t="str">
            <v>B1901055</v>
          </cell>
          <cell r="AA953">
            <v>947</v>
          </cell>
        </row>
        <row r="954">
          <cell r="D954" t="str">
            <v>B1901060</v>
          </cell>
          <cell r="AA954">
            <v>948</v>
          </cell>
        </row>
        <row r="955">
          <cell r="D955" t="str">
            <v>B1901065</v>
          </cell>
          <cell r="AA955">
            <v>949</v>
          </cell>
        </row>
        <row r="956">
          <cell r="D956" t="str">
            <v>B1901070</v>
          </cell>
          <cell r="AA956">
            <v>950</v>
          </cell>
        </row>
        <row r="957">
          <cell r="D957" t="str">
            <v>B1901075</v>
          </cell>
          <cell r="AA957">
            <v>951</v>
          </cell>
        </row>
        <row r="958">
          <cell r="D958" t="str">
            <v>B1901080</v>
          </cell>
          <cell r="AA958">
            <v>952</v>
          </cell>
        </row>
        <row r="959">
          <cell r="D959" t="str">
            <v>B1901140</v>
          </cell>
          <cell r="AA959">
            <v>953</v>
          </cell>
        </row>
        <row r="960">
          <cell r="D960" t="str">
            <v>B1901145</v>
          </cell>
          <cell r="AA960">
            <v>954</v>
          </cell>
        </row>
        <row r="961">
          <cell r="D961" t="str">
            <v>B1901085</v>
          </cell>
          <cell r="AA961">
            <v>955</v>
          </cell>
        </row>
        <row r="962">
          <cell r="D962" t="str">
            <v>B1901090</v>
          </cell>
          <cell r="AA962">
            <v>956</v>
          </cell>
        </row>
        <row r="963">
          <cell r="D963" t="str">
            <v>B1901095</v>
          </cell>
          <cell r="AA963">
            <v>957</v>
          </cell>
        </row>
        <row r="964">
          <cell r="D964" t="str">
            <v>B1901100</v>
          </cell>
          <cell r="AA964">
            <v>958</v>
          </cell>
        </row>
        <row r="965">
          <cell r="D965"/>
          <cell r="AA965">
            <v>959</v>
          </cell>
        </row>
        <row r="966">
          <cell r="AA966">
            <v>960</v>
          </cell>
        </row>
        <row r="967">
          <cell r="D967" t="str">
            <v>19/040</v>
          </cell>
          <cell r="AA967">
            <v>961</v>
          </cell>
        </row>
        <row r="968">
          <cell r="AA968">
            <v>962</v>
          </cell>
        </row>
        <row r="969">
          <cell r="D969" t="str">
            <v>19/080</v>
          </cell>
          <cell r="AA969">
            <v>963</v>
          </cell>
        </row>
        <row r="970">
          <cell r="D970" t="str">
            <v>19/060</v>
          </cell>
          <cell r="AA970">
            <v>964</v>
          </cell>
        </row>
        <row r="971">
          <cell r="D971" t="str">
            <v>19/070</v>
          </cell>
          <cell r="AA971">
            <v>965</v>
          </cell>
        </row>
        <row r="972">
          <cell r="D972" t="str">
            <v>19/130</v>
          </cell>
          <cell r="AA972">
            <v>966</v>
          </cell>
        </row>
        <row r="973">
          <cell r="D973" t="str">
            <v>19/140</v>
          </cell>
          <cell r="AA973">
            <v>967</v>
          </cell>
        </row>
        <row r="974">
          <cell r="D974" t="str">
            <v>19/150</v>
          </cell>
          <cell r="AA974">
            <v>968</v>
          </cell>
        </row>
        <row r="975">
          <cell r="D975" t="str">
            <v>19/160</v>
          </cell>
          <cell r="AA975">
            <v>969</v>
          </cell>
        </row>
        <row r="976">
          <cell r="D976" t="str">
            <v>19/085</v>
          </cell>
          <cell r="AA976">
            <v>970</v>
          </cell>
        </row>
        <row r="977">
          <cell r="AA977">
            <v>971</v>
          </cell>
        </row>
        <row r="978">
          <cell r="AA978">
            <v>972</v>
          </cell>
        </row>
        <row r="979">
          <cell r="D979" t="str">
            <v>B1902005</v>
          </cell>
          <cell r="AA979">
            <v>973</v>
          </cell>
        </row>
        <row r="980">
          <cell r="D980" t="str">
            <v>B1902010</v>
          </cell>
          <cell r="AA980">
            <v>974</v>
          </cell>
        </row>
        <row r="981">
          <cell r="D981" t="str">
            <v>B1902030</v>
          </cell>
          <cell r="AA981">
            <v>975</v>
          </cell>
        </row>
        <row r="982">
          <cell r="D982" t="str">
            <v>B1902020</v>
          </cell>
          <cell r="AA982">
            <v>976</v>
          </cell>
        </row>
        <row r="983">
          <cell r="D983" t="str">
            <v>B1902025</v>
          </cell>
          <cell r="AA983">
            <v>977</v>
          </cell>
        </row>
        <row r="984">
          <cell r="D984" t="str">
            <v>B1902040</v>
          </cell>
          <cell r="AA984">
            <v>978</v>
          </cell>
        </row>
        <row r="985">
          <cell r="D985" t="str">
            <v>19/190</v>
          </cell>
          <cell r="AA985">
            <v>979</v>
          </cell>
        </row>
        <row r="986">
          <cell r="AA986">
            <v>980</v>
          </cell>
        </row>
        <row r="987">
          <cell r="D987" t="str">
            <v>Code</v>
          </cell>
          <cell r="AA987">
            <v>981</v>
          </cell>
        </row>
        <row r="988">
          <cell r="AA988">
            <v>982</v>
          </cell>
        </row>
        <row r="989">
          <cell r="D989" t="str">
            <v>19/170</v>
          </cell>
          <cell r="AA989">
            <v>983</v>
          </cell>
        </row>
        <row r="990">
          <cell r="D990" t="str">
            <v>B1901035</v>
          </cell>
          <cell r="AA990">
            <v>984</v>
          </cell>
        </row>
        <row r="991">
          <cell r="D991" t="str">
            <v>B1901040</v>
          </cell>
          <cell r="AA991">
            <v>985</v>
          </cell>
        </row>
        <row r="992">
          <cell r="D992" t="str">
            <v>B1201005</v>
          </cell>
          <cell r="AA992">
            <v>986</v>
          </cell>
        </row>
        <row r="993">
          <cell r="D993" t="str">
            <v>19/180</v>
          </cell>
          <cell r="AA993">
            <v>987</v>
          </cell>
        </row>
        <row r="994">
          <cell r="D994" t="str">
            <v>B1901045</v>
          </cell>
          <cell r="AA994">
            <v>988</v>
          </cell>
        </row>
        <row r="995">
          <cell r="AA995">
            <v>989</v>
          </cell>
        </row>
        <row r="996">
          <cell r="AA996">
            <v>990</v>
          </cell>
        </row>
        <row r="997">
          <cell r="D997" t="str">
            <v>B1903020</v>
          </cell>
          <cell r="AA997">
            <v>991</v>
          </cell>
        </row>
        <row r="998">
          <cell r="D998" t="str">
            <v>B1903035</v>
          </cell>
          <cell r="AA998">
            <v>992</v>
          </cell>
        </row>
        <row r="999">
          <cell r="D999" t="str">
            <v>B1903040</v>
          </cell>
          <cell r="AA999">
            <v>993</v>
          </cell>
        </row>
        <row r="1000">
          <cell r="D1000" t="str">
            <v>B1903045</v>
          </cell>
          <cell r="AA1000">
            <v>994</v>
          </cell>
        </row>
        <row r="1001">
          <cell r="D1001" t="str">
            <v>B1903025</v>
          </cell>
          <cell r="AA1001">
            <v>995</v>
          </cell>
        </row>
        <row r="1002">
          <cell r="D1002" t="str">
            <v>B1802105</v>
          </cell>
          <cell r="AA1002">
            <v>996</v>
          </cell>
        </row>
        <row r="1003">
          <cell r="D1003"/>
          <cell r="AA1003">
            <v>997</v>
          </cell>
        </row>
        <row r="1004">
          <cell r="D1004"/>
          <cell r="AA1004">
            <v>998</v>
          </cell>
        </row>
        <row r="1005">
          <cell r="AA1005">
            <v>999</v>
          </cell>
        </row>
        <row r="1006">
          <cell r="D1006" t="str">
            <v>19/010</v>
          </cell>
          <cell r="AA1006">
            <v>1000</v>
          </cell>
        </row>
        <row r="1007">
          <cell r="D1007" t="str">
            <v>19/020</v>
          </cell>
          <cell r="AA1007">
            <v>1001</v>
          </cell>
        </row>
        <row r="1008">
          <cell r="D1008" t="str">
            <v>19/090</v>
          </cell>
          <cell r="AA1008">
            <v>1002</v>
          </cell>
        </row>
        <row r="1009">
          <cell r="D1009" t="str">
            <v>19/030</v>
          </cell>
          <cell r="AA1009">
            <v>1003</v>
          </cell>
        </row>
        <row r="1010">
          <cell r="D1010" t="str">
            <v>19/025</v>
          </cell>
          <cell r="AA1010">
            <v>1004</v>
          </cell>
        </row>
        <row r="1011">
          <cell r="D1011" t="str">
            <v>19/029</v>
          </cell>
          <cell r="AA1011">
            <v>1005</v>
          </cell>
        </row>
        <row r="1012">
          <cell r="D1012" t="str">
            <v>19/095</v>
          </cell>
          <cell r="AA1012">
            <v>1006</v>
          </cell>
        </row>
        <row r="1013">
          <cell r="D1013" t="str">
            <v>19/100</v>
          </cell>
          <cell r="AA1013">
            <v>1007</v>
          </cell>
        </row>
        <row r="1014">
          <cell r="D1014" t="str">
            <v>19/110</v>
          </cell>
          <cell r="AA1014">
            <v>1008</v>
          </cell>
        </row>
        <row r="1015">
          <cell r="AA1015">
            <v>1009</v>
          </cell>
        </row>
        <row r="1016">
          <cell r="AA1016">
            <v>1010</v>
          </cell>
        </row>
        <row r="1017">
          <cell r="D1017" t="str">
            <v>B1901005</v>
          </cell>
          <cell r="AA1017">
            <v>1011</v>
          </cell>
        </row>
        <row r="1018">
          <cell r="D1018"/>
          <cell r="AA1018">
            <v>1012</v>
          </cell>
        </row>
        <row r="1019">
          <cell r="AA1019">
            <v>1013</v>
          </cell>
        </row>
        <row r="1020">
          <cell r="D1020" t="str">
            <v>Code</v>
          </cell>
          <cell r="AA1020">
            <v>1014</v>
          </cell>
        </row>
        <row r="1021">
          <cell r="D1021"/>
          <cell r="AA1021">
            <v>1015</v>
          </cell>
        </row>
        <row r="1022">
          <cell r="D1022"/>
          <cell r="AA1022">
            <v>1016</v>
          </cell>
        </row>
        <row r="1023">
          <cell r="D1023" t="str">
            <v>B2002010</v>
          </cell>
          <cell r="AA1023">
            <v>1017</v>
          </cell>
        </row>
        <row r="1024">
          <cell r="D1024" t="str">
            <v>B2001005</v>
          </cell>
          <cell r="AA1024">
            <v>1018</v>
          </cell>
        </row>
        <row r="1025">
          <cell r="D1025" t="str">
            <v>B2002015</v>
          </cell>
          <cell r="AA1025">
            <v>1019</v>
          </cell>
        </row>
        <row r="1026">
          <cell r="D1026" t="str">
            <v>B2002020</v>
          </cell>
          <cell r="AA1026">
            <v>1020</v>
          </cell>
        </row>
        <row r="1027">
          <cell r="D1027" t="str">
            <v>B2002005</v>
          </cell>
          <cell r="AA1027">
            <v>1021</v>
          </cell>
        </row>
        <row r="1028">
          <cell r="AA1028">
            <v>1022</v>
          </cell>
        </row>
        <row r="1029">
          <cell r="AA1029">
            <v>1023</v>
          </cell>
        </row>
        <row r="1030">
          <cell r="D1030" t="str">
            <v>B2002030</v>
          </cell>
          <cell r="AA1030">
            <v>1024</v>
          </cell>
        </row>
        <row r="1031">
          <cell r="D1031" t="str">
            <v>B2002025</v>
          </cell>
          <cell r="AA1031">
            <v>1025</v>
          </cell>
        </row>
        <row r="1032">
          <cell r="D1032" t="str">
            <v>B2002045</v>
          </cell>
          <cell r="AA1032">
            <v>1026</v>
          </cell>
        </row>
        <row r="1033">
          <cell r="D1033" t="str">
            <v>B2002040</v>
          </cell>
          <cell r="AA1033">
            <v>1027</v>
          </cell>
        </row>
        <row r="1034">
          <cell r="D1034" t="str">
            <v>B2002035</v>
          </cell>
          <cell r="AA1034">
            <v>1028</v>
          </cell>
        </row>
        <row r="1035">
          <cell r="D1035" t="str">
            <v>B2002050</v>
          </cell>
          <cell r="AA1035">
            <v>1029</v>
          </cell>
        </row>
        <row r="1036">
          <cell r="D1036" t="str">
            <v>B2002055</v>
          </cell>
          <cell r="AA1036">
            <v>1030</v>
          </cell>
        </row>
        <row r="1037">
          <cell r="AA1037">
            <v>1031</v>
          </cell>
        </row>
        <row r="1038">
          <cell r="AA1038">
            <v>1032</v>
          </cell>
        </row>
        <row r="1039">
          <cell r="D1039" t="str">
            <v>19/110</v>
          </cell>
          <cell r="AA1039">
            <v>1033</v>
          </cell>
        </row>
        <row r="1040">
          <cell r="D1040" t="str">
            <v>B2002060</v>
          </cell>
          <cell r="AA1040">
            <v>1034</v>
          </cell>
        </row>
        <row r="1041">
          <cell r="D1041" t="str">
            <v>B2002065</v>
          </cell>
          <cell r="AA1041">
            <v>1035</v>
          </cell>
        </row>
        <row r="1042">
          <cell r="D1042" t="str">
            <v>B2002070</v>
          </cell>
          <cell r="AA1042">
            <v>1036</v>
          </cell>
        </row>
        <row r="1043">
          <cell r="D1043" t="str">
            <v>Code</v>
          </cell>
          <cell r="AA1043">
            <v>1037</v>
          </cell>
        </row>
        <row r="1044">
          <cell r="AA1044">
            <v>1038</v>
          </cell>
        </row>
        <row r="1045">
          <cell r="D1045" t="str">
            <v>B2001015</v>
          </cell>
          <cell r="AA1045">
            <v>1039</v>
          </cell>
        </row>
        <row r="1046">
          <cell r="D1046" t="str">
            <v>B2001010</v>
          </cell>
          <cell r="AA1046">
            <v>1040</v>
          </cell>
        </row>
        <row r="1047">
          <cell r="D1047" t="str">
            <v>B2001005</v>
          </cell>
          <cell r="AA1047">
            <v>1041</v>
          </cell>
        </row>
        <row r="1048">
          <cell r="D1048" t="str">
            <v>B2002015</v>
          </cell>
          <cell r="AA1048">
            <v>1042</v>
          </cell>
        </row>
        <row r="1049">
          <cell r="AA1049">
            <v>1043</v>
          </cell>
        </row>
        <row r="1050">
          <cell r="AA1050">
            <v>1044</v>
          </cell>
        </row>
        <row r="1051">
          <cell r="D1051" t="str">
            <v>20/010</v>
          </cell>
          <cell r="AA1051">
            <v>1045</v>
          </cell>
        </row>
        <row r="1052">
          <cell r="D1052" t="str">
            <v>20/020</v>
          </cell>
          <cell r="AA1052">
            <v>1046</v>
          </cell>
        </row>
        <row r="1053">
          <cell r="D1053" t="str">
            <v>B2001030</v>
          </cell>
          <cell r="AA1053">
            <v>1047</v>
          </cell>
        </row>
        <row r="1054">
          <cell r="D1054" t="str">
            <v>B2001025</v>
          </cell>
          <cell r="AA1054">
            <v>1048</v>
          </cell>
        </row>
        <row r="1055">
          <cell r="D1055" t="str">
            <v>20/040</v>
          </cell>
          <cell r="AA1055">
            <v>1049</v>
          </cell>
        </row>
        <row r="1056">
          <cell r="D1056" t="str">
            <v>B2001035</v>
          </cell>
          <cell r="AA1056">
            <v>1050</v>
          </cell>
        </row>
        <row r="1057">
          <cell r="D1057" t="str">
            <v>B2001040</v>
          </cell>
          <cell r="AA1057">
            <v>1051</v>
          </cell>
        </row>
        <row r="1058">
          <cell r="D1058"/>
          <cell r="AA1058">
            <v>1052</v>
          </cell>
        </row>
        <row r="1059">
          <cell r="D1059" t="str">
            <v>Code</v>
          </cell>
          <cell r="AA1059">
            <v>1053</v>
          </cell>
        </row>
        <row r="1060">
          <cell r="AA1060">
            <v>1054</v>
          </cell>
        </row>
        <row r="1061">
          <cell r="D1061" t="str">
            <v>21/010</v>
          </cell>
          <cell r="AA1061">
            <v>1055</v>
          </cell>
        </row>
        <row r="1062">
          <cell r="D1062" t="str">
            <v>21/050</v>
          </cell>
          <cell r="AA1062">
            <v>1056</v>
          </cell>
        </row>
        <row r="1063">
          <cell r="D1063" t="str">
            <v>21/095</v>
          </cell>
          <cell r="AA1063">
            <v>1057</v>
          </cell>
        </row>
        <row r="1064">
          <cell r="AA1064">
            <v>1058</v>
          </cell>
        </row>
        <row r="1065">
          <cell r="AA1065">
            <v>1059</v>
          </cell>
        </row>
        <row r="1066">
          <cell r="AA1066">
            <v>1060</v>
          </cell>
        </row>
        <row r="1067">
          <cell r="D1067" t="str">
            <v>21/500</v>
          </cell>
          <cell r="AA1067">
            <v>1061</v>
          </cell>
        </row>
        <row r="1068">
          <cell r="D1068" t="str">
            <v>21/230</v>
          </cell>
          <cell r="AA1068">
            <v>1062</v>
          </cell>
        </row>
        <row r="1069">
          <cell r="D1069" t="str">
            <v>B2103005</v>
          </cell>
          <cell r="AA1069">
            <v>1063</v>
          </cell>
        </row>
        <row r="1070">
          <cell r="D1070" t="str">
            <v>B2102045</v>
          </cell>
          <cell r="AA1070">
            <v>1064</v>
          </cell>
        </row>
        <row r="1071">
          <cell r="D1071" t="str">
            <v>B2102035</v>
          </cell>
          <cell r="AA1071">
            <v>1065</v>
          </cell>
        </row>
        <row r="1072">
          <cell r="D1072" t="str">
            <v>B2102040</v>
          </cell>
          <cell r="AA1072">
            <v>1066</v>
          </cell>
        </row>
        <row r="1073">
          <cell r="D1073"/>
          <cell r="AA1073">
            <v>1067</v>
          </cell>
        </row>
        <row r="1074">
          <cell r="D1074"/>
          <cell r="AA1074">
            <v>1068</v>
          </cell>
        </row>
        <row r="1075">
          <cell r="D1075" t="str">
            <v>21/250</v>
          </cell>
          <cell r="AA1075">
            <v>1069</v>
          </cell>
        </row>
        <row r="1076">
          <cell r="AA1076">
            <v>1070</v>
          </cell>
        </row>
        <row r="1077">
          <cell r="AA1077">
            <v>1071</v>
          </cell>
        </row>
        <row r="1078">
          <cell r="D1078" t="str">
            <v>21/130</v>
          </cell>
          <cell r="AA1078">
            <v>1072</v>
          </cell>
        </row>
        <row r="1079">
          <cell r="D1079" t="str">
            <v>21/140</v>
          </cell>
          <cell r="AA1079">
            <v>1073</v>
          </cell>
        </row>
        <row r="1080">
          <cell r="D1080" t="str">
            <v>21/143</v>
          </cell>
          <cell r="AA1080">
            <v>1074</v>
          </cell>
        </row>
        <row r="1081">
          <cell r="D1081" t="str">
            <v>21/146</v>
          </cell>
          <cell r="AA1081">
            <v>1075</v>
          </cell>
        </row>
        <row r="1082">
          <cell r="D1082" t="str">
            <v>B2102060</v>
          </cell>
          <cell r="AA1082">
            <v>1076</v>
          </cell>
        </row>
        <row r="1083">
          <cell r="D1083" t="str">
            <v>21/135</v>
          </cell>
          <cell r="AA1083">
            <v>1077</v>
          </cell>
        </row>
        <row r="1084">
          <cell r="D1084" t="str">
            <v>21/340</v>
          </cell>
          <cell r="AA1084">
            <v>1078</v>
          </cell>
        </row>
        <row r="1085">
          <cell r="D1085" t="str">
            <v>21/325</v>
          </cell>
          <cell r="AA1085">
            <v>1079</v>
          </cell>
        </row>
        <row r="1086">
          <cell r="AA1086">
            <v>1080</v>
          </cell>
        </row>
        <row r="1087">
          <cell r="AA1087">
            <v>1081</v>
          </cell>
        </row>
        <row r="1088">
          <cell r="AA1088">
            <v>1082</v>
          </cell>
        </row>
        <row r="1089">
          <cell r="D1089" t="str">
            <v>21/150</v>
          </cell>
          <cell r="AA1089">
            <v>1083</v>
          </cell>
        </row>
        <row r="1090">
          <cell r="D1090" t="str">
            <v>B2102010</v>
          </cell>
          <cell r="AA1090">
            <v>1084</v>
          </cell>
        </row>
        <row r="1091">
          <cell r="D1091" t="str">
            <v>B2102011</v>
          </cell>
          <cell r="AA1091">
            <v>1085</v>
          </cell>
        </row>
        <row r="1092">
          <cell r="D1092"/>
          <cell r="AA1092">
            <v>1086</v>
          </cell>
        </row>
        <row r="1093">
          <cell r="AA1093">
            <v>1087</v>
          </cell>
        </row>
        <row r="1094">
          <cell r="D1094" t="str">
            <v>B2102015</v>
          </cell>
          <cell r="AA1094">
            <v>1088</v>
          </cell>
        </row>
        <row r="1095">
          <cell r="D1095" t="str">
            <v>B2102020</v>
          </cell>
          <cell r="AA1095">
            <v>1089</v>
          </cell>
        </row>
        <row r="1096">
          <cell r="D1096" t="str">
            <v>Code</v>
          </cell>
          <cell r="AA1096">
            <v>1090</v>
          </cell>
        </row>
        <row r="1097">
          <cell r="AA1097">
            <v>1091</v>
          </cell>
        </row>
        <row r="1098">
          <cell r="D1098" t="str">
            <v>21/390</v>
          </cell>
          <cell r="AA1098">
            <v>1092</v>
          </cell>
        </row>
        <row r="1099">
          <cell r="D1099" t="str">
            <v>21/180</v>
          </cell>
          <cell r="AA1099">
            <v>1093</v>
          </cell>
        </row>
        <row r="1100">
          <cell r="D1100" t="str">
            <v>21/255</v>
          </cell>
          <cell r="AA1100">
            <v>1094</v>
          </cell>
        </row>
        <row r="1101">
          <cell r="AA1101">
            <v>1095</v>
          </cell>
        </row>
        <row r="1102">
          <cell r="AA1102">
            <v>1096</v>
          </cell>
        </row>
        <row r="1103">
          <cell r="D1103" t="str">
            <v>21/240</v>
          </cell>
          <cell r="AA1103">
            <v>1097</v>
          </cell>
        </row>
        <row r="1104">
          <cell r="D1104" t="str">
            <v>21/245</v>
          </cell>
          <cell r="AA1104">
            <v>1098</v>
          </cell>
        </row>
        <row r="1105">
          <cell r="D1105" t="str">
            <v>21/550</v>
          </cell>
          <cell r="AA1105">
            <v>1099</v>
          </cell>
        </row>
        <row r="1106">
          <cell r="D1106" t="str">
            <v>21/555</v>
          </cell>
          <cell r="AA1106">
            <v>1100</v>
          </cell>
        </row>
        <row r="1107">
          <cell r="D1107" t="str">
            <v>21/160</v>
          </cell>
          <cell r="AA1107">
            <v>1101</v>
          </cell>
        </row>
        <row r="1108">
          <cell r="D1108" t="str">
            <v>B2101010</v>
          </cell>
          <cell r="AA1108">
            <v>1102</v>
          </cell>
        </row>
        <row r="1109">
          <cell r="D1109" t="str">
            <v>B2101005</v>
          </cell>
          <cell r="AA1109">
            <v>1103</v>
          </cell>
        </row>
        <row r="1110">
          <cell r="D1110" t="str">
            <v>B2101015</v>
          </cell>
          <cell r="AA1110">
            <v>1104</v>
          </cell>
        </row>
        <row r="1111">
          <cell r="D1111" t="str">
            <v>B2101020</v>
          </cell>
          <cell r="AA1111">
            <v>1105</v>
          </cell>
        </row>
        <row r="1112">
          <cell r="D1112" t="str">
            <v>B2101025</v>
          </cell>
          <cell r="AA1112">
            <v>1106</v>
          </cell>
        </row>
        <row r="1113">
          <cell r="D1113" t="str">
            <v>B2101030</v>
          </cell>
          <cell r="AA1113">
            <v>1107</v>
          </cell>
        </row>
        <row r="1114">
          <cell r="D1114" t="str">
            <v>B2101035</v>
          </cell>
          <cell r="AA1114">
            <v>1108</v>
          </cell>
        </row>
        <row r="1115">
          <cell r="AA1115">
            <v>1109</v>
          </cell>
        </row>
        <row r="1116">
          <cell r="AA1116">
            <v>1110</v>
          </cell>
        </row>
        <row r="1117">
          <cell r="D1117" t="str">
            <v>21/400</v>
          </cell>
          <cell r="AA1117">
            <v>1111</v>
          </cell>
        </row>
        <row r="1118">
          <cell r="D1118" t="str">
            <v>21/405</v>
          </cell>
          <cell r="AA1118">
            <v>1112</v>
          </cell>
        </row>
        <row r="1119">
          <cell r="AA1119">
            <v>1113</v>
          </cell>
        </row>
        <row r="1120">
          <cell r="D1120"/>
          <cell r="AA1120">
            <v>1114</v>
          </cell>
        </row>
        <row r="1121">
          <cell r="D1121" t="str">
            <v>21/110</v>
          </cell>
          <cell r="AA1121">
            <v>1115</v>
          </cell>
        </row>
        <row r="1122">
          <cell r="D1122" t="str">
            <v>21/125</v>
          </cell>
          <cell r="AA1122">
            <v>1116</v>
          </cell>
        </row>
        <row r="1123">
          <cell r="D1123" t="str">
            <v>21/380</v>
          </cell>
          <cell r="AA1123">
            <v>1117</v>
          </cell>
        </row>
        <row r="1124">
          <cell r="D1124" t="str">
            <v>21/600</v>
          </cell>
          <cell r="AA1124">
            <v>1118</v>
          </cell>
        </row>
        <row r="1125">
          <cell r="D1125"/>
          <cell r="AA1125">
            <v>1119</v>
          </cell>
        </row>
        <row r="1126">
          <cell r="D1126"/>
          <cell r="AA1126">
            <v>1120</v>
          </cell>
        </row>
        <row r="1127">
          <cell r="D1127" t="str">
            <v>21/200</v>
          </cell>
          <cell r="AA1127">
            <v>1121</v>
          </cell>
        </row>
        <row r="1128">
          <cell r="D1128" t="str">
            <v>21/350</v>
          </cell>
          <cell r="AA1128">
            <v>1122</v>
          </cell>
        </row>
        <row r="1129">
          <cell r="D1129" t="str">
            <v>21/210</v>
          </cell>
          <cell r="AA1129">
            <v>1123</v>
          </cell>
        </row>
        <row r="1130">
          <cell r="D1130" t="str">
            <v>21/215</v>
          </cell>
          <cell r="AA1130">
            <v>1124</v>
          </cell>
        </row>
        <row r="1131">
          <cell r="D1131" t="str">
            <v>21/216</v>
          </cell>
          <cell r="AA1131">
            <v>1125</v>
          </cell>
        </row>
        <row r="1132">
          <cell r="D1132" t="str">
            <v>21/220</v>
          </cell>
          <cell r="AA1132">
            <v>1126</v>
          </cell>
        </row>
        <row r="1133">
          <cell r="D1133" t="str">
            <v>21/235</v>
          </cell>
          <cell r="AA1133">
            <v>1127</v>
          </cell>
        </row>
        <row r="1134">
          <cell r="D1134" t="str">
            <v>21/190</v>
          </cell>
          <cell r="AA1134">
            <v>1128</v>
          </cell>
        </row>
        <row r="1135">
          <cell r="D1135" t="str">
            <v>21/192</v>
          </cell>
          <cell r="AA1135">
            <v>1129</v>
          </cell>
        </row>
        <row r="1136">
          <cell r="D1136" t="str">
            <v>21/195</v>
          </cell>
          <cell r="AA1136">
            <v>1130</v>
          </cell>
        </row>
        <row r="1137">
          <cell r="D1137" t="str">
            <v>21/196</v>
          </cell>
          <cell r="AA1137">
            <v>1131</v>
          </cell>
        </row>
        <row r="1138">
          <cell r="D1138" t="str">
            <v>17/340</v>
          </cell>
          <cell r="AA1138">
            <v>1132</v>
          </cell>
        </row>
        <row r="1139">
          <cell r="D1139" t="str">
            <v>17/355</v>
          </cell>
          <cell r="AA1139">
            <v>1133</v>
          </cell>
        </row>
        <row r="1140">
          <cell r="D1140" t="str">
            <v>17/365</v>
          </cell>
          <cell r="AA1140">
            <v>1134</v>
          </cell>
        </row>
        <row r="1141">
          <cell r="D1141" t="str">
            <v>21/280</v>
          </cell>
          <cell r="AA1141">
            <v>1135</v>
          </cell>
        </row>
        <row r="1142">
          <cell r="D1142" t="str">
            <v>21/285</v>
          </cell>
          <cell r="AA1142">
            <v>1136</v>
          </cell>
        </row>
        <row r="1143">
          <cell r="D1143" t="str">
            <v>21/290</v>
          </cell>
          <cell r="AA1143">
            <v>1137</v>
          </cell>
        </row>
        <row r="1144">
          <cell r="D1144" t="str">
            <v>21/300</v>
          </cell>
          <cell r="AA1144">
            <v>1138</v>
          </cell>
        </row>
        <row r="1145">
          <cell r="D1145" t="str">
            <v>21/170</v>
          </cell>
          <cell r="AA1145">
            <v>1139</v>
          </cell>
        </row>
        <row r="1146">
          <cell r="D1146" t="str">
            <v>21/175</v>
          </cell>
          <cell r="AA1146">
            <v>1140</v>
          </cell>
        </row>
        <row r="1147">
          <cell r="D1147" t="str">
            <v>21/480</v>
          </cell>
          <cell r="AA1147">
            <v>1141</v>
          </cell>
        </row>
        <row r="1148">
          <cell r="D1148" t="str">
            <v>21/490</v>
          </cell>
          <cell r="AA1148">
            <v>1142</v>
          </cell>
        </row>
        <row r="1149">
          <cell r="D1149" t="str">
            <v>B2102025</v>
          </cell>
          <cell r="AA1149">
            <v>1143</v>
          </cell>
        </row>
        <row r="1150">
          <cell r="D1150" t="str">
            <v>Code</v>
          </cell>
          <cell r="AA1150">
            <v>1144</v>
          </cell>
        </row>
        <row r="1151">
          <cell r="D1151" t="str">
            <v>21/295</v>
          </cell>
          <cell r="AA1151">
            <v>1145</v>
          </cell>
        </row>
        <row r="1152">
          <cell r="D1152" t="str">
            <v>21/305</v>
          </cell>
          <cell r="AA1152">
            <v>1146</v>
          </cell>
        </row>
        <row r="1153">
          <cell r="D1153"/>
          <cell r="AA1153">
            <v>1147</v>
          </cell>
        </row>
        <row r="1154">
          <cell r="AA1154">
            <v>1148</v>
          </cell>
        </row>
        <row r="1155">
          <cell r="D1155" t="str">
            <v>21/510</v>
          </cell>
          <cell r="AA1155">
            <v>1149</v>
          </cell>
        </row>
        <row r="1156">
          <cell r="D1156" t="str">
            <v>21/540</v>
          </cell>
          <cell r="AA1156">
            <v>1150</v>
          </cell>
        </row>
        <row r="1157">
          <cell r="AA1157">
            <v>1151</v>
          </cell>
        </row>
        <row r="1158">
          <cell r="AA1158">
            <v>1152</v>
          </cell>
        </row>
        <row r="1159">
          <cell r="D1159" t="str">
            <v>B2104020</v>
          </cell>
          <cell r="AA1159">
            <v>1153</v>
          </cell>
        </row>
        <row r="1160">
          <cell r="D1160" t="str">
            <v>B2104025</v>
          </cell>
          <cell r="AA1160">
            <v>1154</v>
          </cell>
        </row>
        <row r="1161">
          <cell r="D1161" t="str">
            <v>B2104030</v>
          </cell>
          <cell r="AA1161">
            <v>1155</v>
          </cell>
        </row>
        <row r="1162">
          <cell r="D1162" t="str">
            <v>B2104040</v>
          </cell>
          <cell r="AA1162">
            <v>1156</v>
          </cell>
        </row>
        <row r="1163">
          <cell r="D1163" t="str">
            <v>B2104045</v>
          </cell>
          <cell r="AA1163">
            <v>1157</v>
          </cell>
        </row>
        <row r="1164">
          <cell r="D1164" t="str">
            <v>B2104005</v>
          </cell>
          <cell r="AA1164">
            <v>1158</v>
          </cell>
        </row>
        <row r="1165">
          <cell r="D1165" t="str">
            <v>B2104010</v>
          </cell>
          <cell r="AA1165">
            <v>1159</v>
          </cell>
        </row>
        <row r="1166">
          <cell r="D1166" t="str">
            <v>21/410</v>
          </cell>
          <cell r="AA1166">
            <v>1160</v>
          </cell>
        </row>
        <row r="1167">
          <cell r="D1167"/>
        </row>
      </sheetData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4"/>
    <tableColumn id="3" xr3:uid="{DA46F787-2B54-499B-ADBB-AF0F616BA16B}" name="EquipmentName" dataDxfId="33"/>
    <tableColumn id="4" xr3:uid="{ED80F4AC-616B-4890-8AFA-1984620137A4}" name="HireRateWeekly"/>
    <tableColumn id="5" xr3:uid="{99C2B94B-8AA2-4BFA-8714-6B1B7C71D090}" name="GroupName" dataDxfId="32"/>
    <tableColumn id="6" xr3:uid="{19DA14FB-1BDB-4CE1-BD6C-D915BE5FAD8A}" name="Sub Section" dataDxfId="31"/>
    <tableColumn id="7" xr3:uid="{0CE04579-9A40-4B4D-A58B-C5A3E812CBCB}" name="Max Discount" dataDxfId="30"/>
    <tableColumn id="8" xr3:uid="{652F2B14-F093-4CEA-B325-3B4CC612FED5}" name="Include" dataDxfId="29"/>
    <tableColumn id="9" xr3:uid="{5346C8B6-E19D-41CC-9DE3-C7990E2E9479}" name="Order" dataDxfId="2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R1307"/>
  <sheetViews>
    <sheetView tabSelected="1" workbookViewId="0">
      <pane ySplit="1" topLeftCell="A530" activePane="bottomLeft" state="frozen"/>
      <selection pane="bottomLeft" activeCell="E550" sqref="E550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38.28515625" customWidth="1"/>
    <col min="6" max="7" width="16.7109375" customWidth="1"/>
    <col min="9" max="9" width="6.42578125" customWidth="1"/>
    <col min="10" max="10" width="5.5703125" style="191" customWidth="1"/>
    <col min="11" max="11" width="6.7109375" style="191" customWidth="1"/>
    <col min="12" max="12" width="8.140625" style="188" customWidth="1"/>
    <col min="13" max="13" width="14.28515625" style="188" customWidth="1"/>
    <col min="14" max="14" width="69.140625" style="188" customWidth="1"/>
    <col min="15" max="15" width="25" style="198" customWidth="1"/>
    <col min="18" max="18" width="9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s="194" t="s">
        <v>6</v>
      </c>
      <c r="H1" t="s">
        <v>7</v>
      </c>
      <c r="I1" t="s">
        <v>8</v>
      </c>
      <c r="J1" s="190" t="s">
        <v>9</v>
      </c>
      <c r="K1" s="190" t="s">
        <v>10</v>
      </c>
      <c r="L1" s="188" t="s">
        <v>11</v>
      </c>
      <c r="M1" s="188" t="s">
        <v>12</v>
      </c>
      <c r="N1" s="188" t="s">
        <v>13</v>
      </c>
      <c r="O1" s="198" t="s">
        <v>14</v>
      </c>
      <c r="P1" s="188" t="s">
        <v>15</v>
      </c>
      <c r="Q1" s="188" t="s">
        <v>16</v>
      </c>
      <c r="R1" s="188" t="s">
        <v>17</v>
      </c>
    </row>
    <row r="2" spans="1:18" x14ac:dyDescent="0.25">
      <c r="A2" t="s">
        <v>18</v>
      </c>
      <c r="B2" t="s">
        <v>19</v>
      </c>
      <c r="C2">
        <v>34.78</v>
      </c>
      <c r="D2" t="s">
        <v>20</v>
      </c>
      <c r="E2" t="str">
        <f t="shared" ref="E2:E33" si="0">CONCATENATE(K2,". ",O2)</f>
        <v>01. Non-powered Access</v>
      </c>
      <c r="F2">
        <v>75</v>
      </c>
      <c r="H2" t="b">
        <v>0</v>
      </c>
      <c r="I2">
        <v>0</v>
      </c>
      <c r="J2" s="192" t="s">
        <v>21</v>
      </c>
      <c r="K2" s="192" t="s">
        <v>21</v>
      </c>
      <c r="L2" s="188">
        <f>IFERROR(_xlfn.XLOOKUP(A2,[1]Fleet!A:A,[1]Fleet!E:E,""),"")</f>
        <v>32</v>
      </c>
      <c r="M2" s="188" t="s">
        <v>22</v>
      </c>
      <c r="N2" s="188" t="s">
        <v>22</v>
      </c>
      <c r="O2" s="198" t="s">
        <v>23</v>
      </c>
      <c r="P2">
        <v>4</v>
      </c>
      <c r="Q2">
        <f>_xlfn.XLOOKUP(A2,'[1]Classic Net to delete'!D:D,'[1]Classic Net to delete'!AA:AA,0)</f>
        <v>0</v>
      </c>
    </row>
    <row r="3" spans="1:18" x14ac:dyDescent="0.25">
      <c r="A3" t="s">
        <v>24</v>
      </c>
      <c r="B3" t="s">
        <v>25</v>
      </c>
      <c r="C3" t="s">
        <v>22</v>
      </c>
      <c r="D3" t="s">
        <v>20</v>
      </c>
      <c r="E3" t="str">
        <f t="shared" si="0"/>
        <v>01. Non-powered Access</v>
      </c>
      <c r="F3">
        <v>75</v>
      </c>
      <c r="H3" t="b">
        <v>0</v>
      </c>
      <c r="I3">
        <v>0</v>
      </c>
      <c r="J3" s="192" t="s">
        <v>21</v>
      </c>
      <c r="K3" s="192" t="s">
        <v>21</v>
      </c>
      <c r="L3" s="188" t="str">
        <f>IFERROR(_xlfn.XLOOKUP(A3,[1]Fleet!A:A,[1]Fleet!E:E,""),"")</f>
        <v/>
      </c>
      <c r="M3" s="188" t="s">
        <v>22</v>
      </c>
      <c r="N3" s="188" t="s">
        <v>22</v>
      </c>
      <c r="O3" s="198" t="s">
        <v>23</v>
      </c>
      <c r="P3">
        <v>6</v>
      </c>
      <c r="Q3">
        <f>_xlfn.XLOOKUP(A3,'[1]Classic Net to delete'!D:D,'[1]Classic Net to delete'!AA:AA,0)</f>
        <v>0</v>
      </c>
    </row>
    <row r="4" spans="1:18" x14ac:dyDescent="0.25">
      <c r="A4" t="s">
        <v>26</v>
      </c>
      <c r="B4" t="s">
        <v>27</v>
      </c>
      <c r="C4">
        <v>213.63</v>
      </c>
      <c r="D4" t="s">
        <v>20</v>
      </c>
      <c r="E4" t="str">
        <f t="shared" si="0"/>
        <v>01. Non-powered Access</v>
      </c>
      <c r="F4">
        <v>75</v>
      </c>
      <c r="H4" t="b">
        <v>1</v>
      </c>
      <c r="I4">
        <v>0</v>
      </c>
      <c r="J4" s="192" t="s">
        <v>21</v>
      </c>
      <c r="K4" s="192" t="s">
        <v>21</v>
      </c>
      <c r="L4" s="188">
        <f>IFERROR(_xlfn.XLOOKUP(A4,[1]Fleet!A:A,[1]Fleet!E:E,""),"")</f>
        <v>19</v>
      </c>
      <c r="M4" s="188" t="s">
        <v>22</v>
      </c>
      <c r="N4" s="188" t="s">
        <v>22</v>
      </c>
      <c r="O4" s="198" t="s">
        <v>23</v>
      </c>
      <c r="P4">
        <v>9</v>
      </c>
      <c r="Q4">
        <f>_xlfn.XLOOKUP(A4,'[1]Classic Net to delete'!D:D,'[1]Classic Net to delete'!AA:AA,0)</f>
        <v>0</v>
      </c>
    </row>
    <row r="5" spans="1:18" x14ac:dyDescent="0.25">
      <c r="A5" t="s">
        <v>28</v>
      </c>
      <c r="B5" t="s">
        <v>29</v>
      </c>
      <c r="C5">
        <v>34.78</v>
      </c>
      <c r="D5" t="s">
        <v>20</v>
      </c>
      <c r="E5" t="str">
        <f t="shared" si="0"/>
        <v>01. Non-powered Access</v>
      </c>
      <c r="F5">
        <v>75</v>
      </c>
      <c r="H5" t="b">
        <v>1</v>
      </c>
      <c r="I5">
        <v>0</v>
      </c>
      <c r="J5" s="192" t="s">
        <v>21</v>
      </c>
      <c r="K5" s="192" t="s">
        <v>21</v>
      </c>
      <c r="L5" s="188">
        <f>IFERROR(_xlfn.XLOOKUP(A5,[1]Fleet!A:A,[1]Fleet!E:E,""),"")</f>
        <v>10</v>
      </c>
      <c r="M5" s="188" t="s">
        <v>22</v>
      </c>
      <c r="N5" s="188" t="s">
        <v>22</v>
      </c>
      <c r="O5" s="198" t="s">
        <v>23</v>
      </c>
      <c r="P5">
        <v>10</v>
      </c>
      <c r="Q5">
        <f>_xlfn.XLOOKUP(A5,'[1]Classic Net to delete'!D:D,'[1]Classic Net to delete'!AA:AA,0)</f>
        <v>0</v>
      </c>
    </row>
    <row r="6" spans="1:18" x14ac:dyDescent="0.25">
      <c r="A6" t="s">
        <v>30</v>
      </c>
      <c r="B6" t="s">
        <v>31</v>
      </c>
      <c r="C6">
        <v>194.77</v>
      </c>
      <c r="D6" t="s">
        <v>20</v>
      </c>
      <c r="E6" t="str">
        <f t="shared" si="0"/>
        <v>01. Non-powered Access</v>
      </c>
      <c r="F6">
        <v>75</v>
      </c>
      <c r="H6" t="b">
        <v>1</v>
      </c>
      <c r="I6" s="193" t="s">
        <v>32</v>
      </c>
      <c r="J6" s="192" t="s">
        <v>21</v>
      </c>
      <c r="K6" s="192" t="s">
        <v>21</v>
      </c>
      <c r="L6" s="188">
        <f>IFERROR(_xlfn.XLOOKUP(A6,[1]Fleet!A:A,[1]Fleet!E:E,""),"")</f>
        <v>12</v>
      </c>
      <c r="M6" s="188">
        <v>173.9</v>
      </c>
      <c r="N6" s="188" t="s">
        <v>33</v>
      </c>
      <c r="O6" s="198" t="s">
        <v>23</v>
      </c>
      <c r="P6">
        <v>8</v>
      </c>
      <c r="Q6">
        <f>_xlfn.XLOOKUP(A6,'[1]Classic Net to delete'!D:D,'[1]Classic Net to delete'!AA:AA,0)</f>
        <v>5</v>
      </c>
    </row>
    <row r="7" spans="1:18" x14ac:dyDescent="0.25">
      <c r="A7" t="s">
        <v>34</v>
      </c>
      <c r="B7" t="s">
        <v>35</v>
      </c>
      <c r="C7">
        <v>280.34000000000003</v>
      </c>
      <c r="D7" t="s">
        <v>20</v>
      </c>
      <c r="E7" t="str">
        <f t="shared" si="0"/>
        <v>01. Non-powered Access</v>
      </c>
      <c r="F7">
        <v>75</v>
      </c>
      <c r="H7" t="b">
        <v>1</v>
      </c>
      <c r="I7" s="193" t="s">
        <v>36</v>
      </c>
      <c r="J7" s="192" t="s">
        <v>21</v>
      </c>
      <c r="K7" s="192" t="s">
        <v>21</v>
      </c>
      <c r="L7" s="188">
        <f>IFERROR(_xlfn.XLOOKUP(A7,[1]Fleet!A:A,[1]Fleet!E:E,""),"")</f>
        <v>10</v>
      </c>
      <c r="M7" s="188">
        <v>250.3</v>
      </c>
      <c r="N7" s="188" t="s">
        <v>37</v>
      </c>
      <c r="O7" s="198" t="s">
        <v>23</v>
      </c>
      <c r="P7">
        <v>7</v>
      </c>
      <c r="Q7">
        <f>_xlfn.XLOOKUP(A7,'[1]Classic Net to delete'!D:D,'[1]Classic Net to delete'!AA:AA,0)</f>
        <v>6</v>
      </c>
    </row>
    <row r="8" spans="1:18" x14ac:dyDescent="0.25">
      <c r="A8" t="s">
        <v>38</v>
      </c>
      <c r="B8" t="s">
        <v>39</v>
      </c>
      <c r="C8">
        <v>162.64000000000001</v>
      </c>
      <c r="D8" t="s">
        <v>20</v>
      </c>
      <c r="E8" t="str">
        <f t="shared" si="0"/>
        <v>01. Non-powered Access</v>
      </c>
      <c r="F8">
        <v>75</v>
      </c>
      <c r="H8" t="b">
        <v>1</v>
      </c>
      <c r="I8" s="193" t="s">
        <v>40</v>
      </c>
      <c r="J8" s="192" t="s">
        <v>21</v>
      </c>
      <c r="K8" s="192" t="s">
        <v>21</v>
      </c>
      <c r="L8" s="188">
        <f>IFERROR(_xlfn.XLOOKUP(A8,[1]Fleet!A:A,[1]Fleet!E:E,""),"")</f>
        <v>117</v>
      </c>
      <c r="M8" s="188">
        <v>152</v>
      </c>
      <c r="N8" s="188" t="s">
        <v>41</v>
      </c>
      <c r="O8" s="198" t="s">
        <v>23</v>
      </c>
      <c r="P8">
        <v>2</v>
      </c>
      <c r="Q8">
        <f>_xlfn.XLOOKUP(A8,'[1]Classic Net to delete'!D:D,'[1]Classic Net to delete'!AA:AA,0)</f>
        <v>7</v>
      </c>
    </row>
    <row r="9" spans="1:18" x14ac:dyDescent="0.25">
      <c r="A9" t="s">
        <v>42</v>
      </c>
      <c r="B9" t="s">
        <v>43</v>
      </c>
      <c r="C9">
        <v>213.63</v>
      </c>
      <c r="D9" t="s">
        <v>20</v>
      </c>
      <c r="E9" t="str">
        <f t="shared" si="0"/>
        <v>01. Non-powered Access</v>
      </c>
      <c r="F9">
        <v>75</v>
      </c>
      <c r="H9" t="b">
        <v>1</v>
      </c>
      <c r="I9" s="193" t="s">
        <v>44</v>
      </c>
      <c r="J9" s="192" t="s">
        <v>21</v>
      </c>
      <c r="K9" s="192" t="s">
        <v>21</v>
      </c>
      <c r="L9" s="188">
        <f>IFERROR(_xlfn.XLOOKUP(A9,[1]Fleet!A:A,[1]Fleet!E:E,""),"")</f>
        <v>133</v>
      </c>
      <c r="M9" s="188">
        <v>199.65</v>
      </c>
      <c r="N9" s="188" t="s">
        <v>45</v>
      </c>
      <c r="O9" s="198" t="s">
        <v>23</v>
      </c>
      <c r="P9">
        <v>1</v>
      </c>
      <c r="Q9">
        <f>_xlfn.XLOOKUP(A9,'[1]Classic Net to delete'!D:D,'[1]Classic Net to delete'!AA:AA,0)</f>
        <v>8</v>
      </c>
    </row>
    <row r="10" spans="1:18" x14ac:dyDescent="0.25">
      <c r="A10" t="s">
        <v>46</v>
      </c>
      <c r="B10" t="s">
        <v>47</v>
      </c>
      <c r="C10">
        <v>307.45999999999998</v>
      </c>
      <c r="D10" t="s">
        <v>20</v>
      </c>
      <c r="E10" t="str">
        <f t="shared" si="0"/>
        <v>01. Non-powered Access</v>
      </c>
      <c r="F10">
        <v>75</v>
      </c>
      <c r="H10" t="b">
        <v>1</v>
      </c>
      <c r="I10" s="193" t="s">
        <v>48</v>
      </c>
      <c r="J10" s="192" t="s">
        <v>21</v>
      </c>
      <c r="K10" s="192" t="s">
        <v>21</v>
      </c>
      <c r="L10" s="188">
        <f>IFERROR(_xlfn.XLOOKUP(A10,[1]Fleet!A:A,[1]Fleet!E:E,""),"")</f>
        <v>4</v>
      </c>
      <c r="M10" s="188">
        <v>287.35000000000002</v>
      </c>
      <c r="N10" s="188" t="s">
        <v>47</v>
      </c>
      <c r="O10" s="198" t="s">
        <v>23</v>
      </c>
      <c r="P10">
        <v>3</v>
      </c>
      <c r="Q10">
        <f>_xlfn.XLOOKUP(A10,'[1]Classic Net to delete'!D:D,'[1]Classic Net to delete'!AA:AA,0)</f>
        <v>9</v>
      </c>
    </row>
    <row r="11" spans="1:18" x14ac:dyDescent="0.25">
      <c r="A11" t="s">
        <v>49</v>
      </c>
      <c r="B11" t="s">
        <v>50</v>
      </c>
      <c r="C11">
        <v>34.78</v>
      </c>
      <c r="D11" t="s">
        <v>20</v>
      </c>
      <c r="E11" t="str">
        <f t="shared" si="0"/>
        <v>01. Non-powered Access</v>
      </c>
      <c r="F11">
        <v>75</v>
      </c>
      <c r="H11" t="b">
        <v>1</v>
      </c>
      <c r="I11">
        <v>10</v>
      </c>
      <c r="J11" s="192" t="s">
        <v>21</v>
      </c>
      <c r="K11" s="192" t="s">
        <v>21</v>
      </c>
      <c r="L11" s="188">
        <f>IFERROR(_xlfn.XLOOKUP(A11,[1]Fleet!A:A,[1]Fleet!E:E,""),"")</f>
        <v>29</v>
      </c>
      <c r="M11" s="188">
        <v>32.5</v>
      </c>
      <c r="N11" s="188" t="s">
        <v>51</v>
      </c>
      <c r="O11" s="198" t="s">
        <v>23</v>
      </c>
      <c r="P11">
        <v>5</v>
      </c>
      <c r="Q11">
        <f>_xlfn.XLOOKUP(A11,'[1]Classic Net to delete'!D:D,'[1]Classic Net to delete'!AA:AA,0)</f>
        <v>10</v>
      </c>
    </row>
    <row r="12" spans="1:18" x14ac:dyDescent="0.25">
      <c r="A12" t="s">
        <v>52</v>
      </c>
      <c r="B12" t="s">
        <v>53</v>
      </c>
      <c r="C12">
        <v>225.56</v>
      </c>
      <c r="D12" t="s">
        <v>20</v>
      </c>
      <c r="E12" t="str">
        <f t="shared" si="0"/>
        <v>02. Powered Access</v>
      </c>
      <c r="F12">
        <v>75</v>
      </c>
      <c r="H12" t="b">
        <v>1</v>
      </c>
      <c r="I12">
        <v>0</v>
      </c>
      <c r="J12" s="192" t="s">
        <v>21</v>
      </c>
      <c r="K12" s="192" t="s">
        <v>54</v>
      </c>
      <c r="L12" s="188">
        <f>IFERROR(_xlfn.XLOOKUP(A12,[1]Fleet!A:A,[1]Fleet!E:E,""),"")</f>
        <v>22</v>
      </c>
      <c r="M12" s="188" t="s">
        <v>22</v>
      </c>
      <c r="N12" s="188" t="s">
        <v>22</v>
      </c>
      <c r="O12" s="198" t="s">
        <v>55</v>
      </c>
      <c r="P12">
        <v>12</v>
      </c>
      <c r="Q12">
        <f>_xlfn.XLOOKUP(A12,'[1]Classic Net to delete'!D:D,'[1]Classic Net to delete'!AA:AA,0)</f>
        <v>0</v>
      </c>
    </row>
    <row r="13" spans="1:18" x14ac:dyDescent="0.25">
      <c r="A13" t="s">
        <v>56</v>
      </c>
      <c r="B13" t="s">
        <v>57</v>
      </c>
      <c r="C13">
        <v>500</v>
      </c>
      <c r="D13" t="s">
        <v>20</v>
      </c>
      <c r="E13" t="str">
        <f t="shared" si="0"/>
        <v>02. Powered Access</v>
      </c>
      <c r="F13">
        <v>75</v>
      </c>
      <c r="H13" t="b">
        <v>0</v>
      </c>
      <c r="I13">
        <v>0</v>
      </c>
      <c r="J13" s="192" t="s">
        <v>21</v>
      </c>
      <c r="K13" s="192" t="s">
        <v>54</v>
      </c>
      <c r="L13" s="188" t="str">
        <f>IFERROR(_xlfn.XLOOKUP(A13,[1]Fleet!A:A,[1]Fleet!E:E,""),"")</f>
        <v/>
      </c>
      <c r="M13" s="188" t="s">
        <v>22</v>
      </c>
      <c r="N13" s="188" t="s">
        <v>22</v>
      </c>
      <c r="O13" s="198" t="s">
        <v>55</v>
      </c>
      <c r="P13">
        <v>34</v>
      </c>
      <c r="Q13">
        <f>_xlfn.XLOOKUP(A13,'[1]Classic Net to delete'!D:D,'[1]Classic Net to delete'!AA:AA,0)</f>
        <v>0</v>
      </c>
    </row>
    <row r="14" spans="1:18" x14ac:dyDescent="0.25">
      <c r="A14" t="s">
        <v>58</v>
      </c>
      <c r="B14" t="s">
        <v>59</v>
      </c>
      <c r="C14">
        <v>128.4</v>
      </c>
      <c r="D14" t="s">
        <v>20</v>
      </c>
      <c r="E14" t="str">
        <f t="shared" si="0"/>
        <v>02. Powered Access</v>
      </c>
      <c r="F14">
        <v>0</v>
      </c>
      <c r="H14" t="b">
        <v>0</v>
      </c>
      <c r="I14">
        <v>0</v>
      </c>
      <c r="J14" s="192" t="s">
        <v>21</v>
      </c>
      <c r="K14" s="192" t="s">
        <v>54</v>
      </c>
      <c r="L14" s="188">
        <f>IFERROR(_xlfn.XLOOKUP(A14,[1]Fleet!A:A,[1]Fleet!E:E,""),"")</f>
        <v>3</v>
      </c>
      <c r="M14" s="188" t="s">
        <v>22</v>
      </c>
      <c r="N14" s="188" t="s">
        <v>22</v>
      </c>
      <c r="O14" s="198" t="s">
        <v>55</v>
      </c>
      <c r="P14">
        <v>33</v>
      </c>
      <c r="Q14">
        <f>_xlfn.XLOOKUP(A14,'[1]Classic Net to delete'!D:D,'[1]Classic Net to delete'!AA:AA,0)</f>
        <v>0</v>
      </c>
    </row>
    <row r="15" spans="1:18" x14ac:dyDescent="0.25">
      <c r="A15" t="s">
        <v>60</v>
      </c>
      <c r="B15" t="s">
        <v>57</v>
      </c>
      <c r="C15">
        <v>500</v>
      </c>
      <c r="D15" t="s">
        <v>20</v>
      </c>
      <c r="E15" t="str">
        <f t="shared" si="0"/>
        <v>02. Powered Access</v>
      </c>
      <c r="F15">
        <v>75</v>
      </c>
      <c r="H15" t="b">
        <v>0</v>
      </c>
      <c r="I15">
        <v>0</v>
      </c>
      <c r="J15" s="192" t="s">
        <v>21</v>
      </c>
      <c r="K15" s="192" t="s">
        <v>54</v>
      </c>
      <c r="L15" s="188">
        <f>IFERROR(_xlfn.XLOOKUP(A15,[1]Fleet!A:A,[1]Fleet!E:E,""),"")</f>
        <v>17</v>
      </c>
      <c r="M15" s="188" t="s">
        <v>22</v>
      </c>
      <c r="N15" s="188" t="s">
        <v>22</v>
      </c>
      <c r="O15" s="198" t="s">
        <v>55</v>
      </c>
      <c r="P15">
        <v>15</v>
      </c>
      <c r="Q15">
        <f>_xlfn.XLOOKUP(A15,'[1]Classic Net to delete'!D:D,'[1]Classic Net to delete'!AA:AA,0)</f>
        <v>0</v>
      </c>
    </row>
    <row r="16" spans="1:18" x14ac:dyDescent="0.25">
      <c r="A16" t="s">
        <v>60</v>
      </c>
      <c r="B16" t="s">
        <v>61</v>
      </c>
      <c r="C16">
        <v>500</v>
      </c>
      <c r="D16" t="s">
        <v>20</v>
      </c>
      <c r="E16" t="str">
        <f t="shared" si="0"/>
        <v>02. Powered Access</v>
      </c>
      <c r="F16">
        <v>75</v>
      </c>
      <c r="H16" t="b">
        <v>0</v>
      </c>
      <c r="I16">
        <v>0</v>
      </c>
      <c r="J16" s="192" t="s">
        <v>21</v>
      </c>
      <c r="K16" s="192" t="s">
        <v>54</v>
      </c>
      <c r="L16" s="188">
        <f>IFERROR(_xlfn.XLOOKUP(A16,[1]Fleet!A:A,[1]Fleet!E:E,""),"")</f>
        <v>17</v>
      </c>
      <c r="M16" s="188" t="s">
        <v>22</v>
      </c>
      <c r="N16" s="188" t="s">
        <v>22</v>
      </c>
      <c r="O16" s="198" t="s">
        <v>55</v>
      </c>
      <c r="P16">
        <v>16</v>
      </c>
      <c r="Q16">
        <f>_xlfn.XLOOKUP(A16,'[1]Classic Net to delete'!D:D,'[1]Classic Net to delete'!AA:AA,0)</f>
        <v>0</v>
      </c>
    </row>
    <row r="17" spans="1:17" x14ac:dyDescent="0.25">
      <c r="A17" t="s">
        <v>60</v>
      </c>
      <c r="B17" t="s">
        <v>62</v>
      </c>
      <c r="C17">
        <v>500</v>
      </c>
      <c r="D17" t="s">
        <v>20</v>
      </c>
      <c r="E17" t="str">
        <f t="shared" si="0"/>
        <v>02. Powered Access</v>
      </c>
      <c r="F17">
        <v>75</v>
      </c>
      <c r="H17" t="b">
        <v>0</v>
      </c>
      <c r="I17">
        <v>0</v>
      </c>
      <c r="J17" s="192" t="s">
        <v>21</v>
      </c>
      <c r="K17" s="192" t="s">
        <v>54</v>
      </c>
      <c r="L17" s="188">
        <f>IFERROR(_xlfn.XLOOKUP(A17,[1]Fleet!A:A,[1]Fleet!E:E,""),"")</f>
        <v>17</v>
      </c>
      <c r="M17" s="188" t="s">
        <v>22</v>
      </c>
      <c r="N17" s="188" t="s">
        <v>22</v>
      </c>
      <c r="O17" s="198" t="s">
        <v>55</v>
      </c>
      <c r="P17">
        <v>17</v>
      </c>
      <c r="Q17">
        <f>_xlfn.XLOOKUP(A17,'[1]Classic Net to delete'!D:D,'[1]Classic Net to delete'!AA:AA,0)</f>
        <v>0</v>
      </c>
    </row>
    <row r="18" spans="1:17" x14ac:dyDescent="0.25">
      <c r="A18" t="s">
        <v>60</v>
      </c>
      <c r="B18" t="s">
        <v>63</v>
      </c>
      <c r="C18">
        <v>500</v>
      </c>
      <c r="D18" t="s">
        <v>20</v>
      </c>
      <c r="E18" t="str">
        <f t="shared" si="0"/>
        <v>02. Powered Access</v>
      </c>
      <c r="F18">
        <v>75</v>
      </c>
      <c r="H18" t="b">
        <v>0</v>
      </c>
      <c r="I18">
        <v>0</v>
      </c>
      <c r="J18" s="192" t="s">
        <v>21</v>
      </c>
      <c r="K18" s="192" t="s">
        <v>54</v>
      </c>
      <c r="L18" s="188">
        <f>IFERROR(_xlfn.XLOOKUP(A18,[1]Fleet!A:A,[1]Fleet!E:E,""),"")</f>
        <v>17</v>
      </c>
      <c r="M18" s="188" t="s">
        <v>22</v>
      </c>
      <c r="N18" s="188" t="s">
        <v>22</v>
      </c>
      <c r="O18" s="198" t="s">
        <v>55</v>
      </c>
      <c r="P18">
        <v>18</v>
      </c>
      <c r="Q18">
        <f>_xlfn.XLOOKUP(A18,'[1]Classic Net to delete'!D:D,'[1]Classic Net to delete'!AA:AA,0)</f>
        <v>0</v>
      </c>
    </row>
    <row r="19" spans="1:17" x14ac:dyDescent="0.25">
      <c r="A19" t="s">
        <v>60</v>
      </c>
      <c r="B19" t="s">
        <v>64</v>
      </c>
      <c r="C19">
        <v>500</v>
      </c>
      <c r="D19" t="s">
        <v>20</v>
      </c>
      <c r="E19" t="str">
        <f t="shared" si="0"/>
        <v>02. Powered Access</v>
      </c>
      <c r="F19">
        <v>75</v>
      </c>
      <c r="H19" t="b">
        <v>0</v>
      </c>
      <c r="I19">
        <v>0</v>
      </c>
      <c r="J19" s="192" t="s">
        <v>21</v>
      </c>
      <c r="K19" s="192" t="s">
        <v>54</v>
      </c>
      <c r="L19" s="188">
        <f>IFERROR(_xlfn.XLOOKUP(A19,[1]Fleet!A:A,[1]Fleet!E:E,""),"")</f>
        <v>17</v>
      </c>
      <c r="M19" s="188" t="s">
        <v>22</v>
      </c>
      <c r="N19" s="188" t="s">
        <v>22</v>
      </c>
      <c r="O19" s="198" t="s">
        <v>55</v>
      </c>
      <c r="P19">
        <v>20</v>
      </c>
      <c r="Q19">
        <f>_xlfn.XLOOKUP(A19,'[1]Classic Net to delete'!D:D,'[1]Classic Net to delete'!AA:AA,0)</f>
        <v>0</v>
      </c>
    </row>
    <row r="20" spans="1:17" x14ac:dyDescent="0.25">
      <c r="A20" t="s">
        <v>60</v>
      </c>
      <c r="B20" t="s">
        <v>65</v>
      </c>
      <c r="C20">
        <v>500</v>
      </c>
      <c r="D20" t="s">
        <v>20</v>
      </c>
      <c r="E20" t="str">
        <f t="shared" si="0"/>
        <v>02. Powered Access</v>
      </c>
      <c r="F20">
        <v>75</v>
      </c>
      <c r="H20" t="b">
        <v>0</v>
      </c>
      <c r="I20">
        <v>0</v>
      </c>
      <c r="J20" s="192" t="s">
        <v>21</v>
      </c>
      <c r="K20" s="192" t="s">
        <v>54</v>
      </c>
      <c r="L20" s="188">
        <f>IFERROR(_xlfn.XLOOKUP(A20,[1]Fleet!A:A,[1]Fleet!E:E,""),"")</f>
        <v>17</v>
      </c>
      <c r="M20" s="188" t="s">
        <v>22</v>
      </c>
      <c r="N20" s="188" t="s">
        <v>22</v>
      </c>
      <c r="O20" s="198" t="s">
        <v>55</v>
      </c>
      <c r="P20">
        <v>21</v>
      </c>
      <c r="Q20">
        <f>_xlfn.XLOOKUP(A20,'[1]Classic Net to delete'!D:D,'[1]Classic Net to delete'!AA:AA,0)</f>
        <v>0</v>
      </c>
    </row>
    <row r="21" spans="1:17" x14ac:dyDescent="0.25">
      <c r="A21" t="s">
        <v>60</v>
      </c>
      <c r="B21" t="s">
        <v>66</v>
      </c>
      <c r="C21">
        <v>500</v>
      </c>
      <c r="D21" t="s">
        <v>20</v>
      </c>
      <c r="E21" t="str">
        <f t="shared" si="0"/>
        <v>02. Powered Access</v>
      </c>
      <c r="F21">
        <v>75</v>
      </c>
      <c r="H21" t="b">
        <v>0</v>
      </c>
      <c r="I21">
        <v>0</v>
      </c>
      <c r="J21" s="192" t="s">
        <v>21</v>
      </c>
      <c r="K21" s="192" t="s">
        <v>54</v>
      </c>
      <c r="L21" s="188">
        <f>IFERROR(_xlfn.XLOOKUP(A21,[1]Fleet!A:A,[1]Fleet!E:E,""),"")</f>
        <v>17</v>
      </c>
      <c r="M21" s="188" t="s">
        <v>22</v>
      </c>
      <c r="N21" s="188" t="s">
        <v>22</v>
      </c>
      <c r="O21" s="198" t="s">
        <v>55</v>
      </c>
      <c r="P21">
        <v>22</v>
      </c>
      <c r="Q21">
        <f>_xlfn.XLOOKUP(A21,'[1]Classic Net to delete'!D:D,'[1]Classic Net to delete'!AA:AA,0)</f>
        <v>0</v>
      </c>
    </row>
    <row r="22" spans="1:17" x14ac:dyDescent="0.25">
      <c r="A22" t="s">
        <v>60</v>
      </c>
      <c r="B22" t="s">
        <v>67</v>
      </c>
      <c r="C22">
        <v>500</v>
      </c>
      <c r="D22" t="s">
        <v>20</v>
      </c>
      <c r="E22" t="str">
        <f t="shared" si="0"/>
        <v>02. Powered Access</v>
      </c>
      <c r="F22">
        <v>75</v>
      </c>
      <c r="H22" t="b">
        <v>0</v>
      </c>
      <c r="I22">
        <v>0</v>
      </c>
      <c r="J22" s="192" t="s">
        <v>21</v>
      </c>
      <c r="K22" s="192" t="s">
        <v>54</v>
      </c>
      <c r="L22" s="188">
        <f>IFERROR(_xlfn.XLOOKUP(A22,[1]Fleet!A:A,[1]Fleet!E:E,""),"")</f>
        <v>17</v>
      </c>
      <c r="M22" s="188" t="s">
        <v>22</v>
      </c>
      <c r="N22" s="188" t="s">
        <v>22</v>
      </c>
      <c r="O22" s="198" t="s">
        <v>55</v>
      </c>
      <c r="P22">
        <v>23</v>
      </c>
      <c r="Q22">
        <f>_xlfn.XLOOKUP(A22,'[1]Classic Net to delete'!D:D,'[1]Classic Net to delete'!AA:AA,0)</f>
        <v>0</v>
      </c>
    </row>
    <row r="23" spans="1:17" x14ac:dyDescent="0.25">
      <c r="A23" t="s">
        <v>60</v>
      </c>
      <c r="B23" t="s">
        <v>68</v>
      </c>
      <c r="C23">
        <v>500</v>
      </c>
      <c r="D23" t="s">
        <v>20</v>
      </c>
      <c r="E23" t="str">
        <f t="shared" si="0"/>
        <v>02. Powered Access</v>
      </c>
      <c r="F23">
        <v>75</v>
      </c>
      <c r="H23" t="b">
        <v>0</v>
      </c>
      <c r="I23">
        <v>0</v>
      </c>
      <c r="J23" s="192" t="s">
        <v>21</v>
      </c>
      <c r="K23" s="192" t="s">
        <v>54</v>
      </c>
      <c r="L23" s="188">
        <f>IFERROR(_xlfn.XLOOKUP(A23,[1]Fleet!A:A,[1]Fleet!E:E,""),"")</f>
        <v>17</v>
      </c>
      <c r="M23" s="188" t="s">
        <v>22</v>
      </c>
      <c r="N23" s="188" t="s">
        <v>22</v>
      </c>
      <c r="O23" s="198" t="s">
        <v>55</v>
      </c>
      <c r="P23">
        <v>24</v>
      </c>
      <c r="Q23">
        <f>_xlfn.XLOOKUP(A23,'[1]Classic Net to delete'!D:D,'[1]Classic Net to delete'!AA:AA,0)</f>
        <v>0</v>
      </c>
    </row>
    <row r="24" spans="1:17" x14ac:dyDescent="0.25">
      <c r="A24" t="s">
        <v>60</v>
      </c>
      <c r="B24" t="s">
        <v>69</v>
      </c>
      <c r="C24">
        <v>500</v>
      </c>
      <c r="D24" t="s">
        <v>20</v>
      </c>
      <c r="E24" t="str">
        <f t="shared" si="0"/>
        <v>02. Powered Access</v>
      </c>
      <c r="F24">
        <v>75</v>
      </c>
      <c r="H24" t="b">
        <v>0</v>
      </c>
      <c r="I24">
        <v>0</v>
      </c>
      <c r="J24" s="192" t="s">
        <v>21</v>
      </c>
      <c r="K24" s="192" t="s">
        <v>54</v>
      </c>
      <c r="L24" s="188">
        <f>IFERROR(_xlfn.XLOOKUP(A24,[1]Fleet!A:A,[1]Fleet!E:E,""),"")</f>
        <v>17</v>
      </c>
      <c r="M24" s="188" t="s">
        <v>22</v>
      </c>
      <c r="N24" s="188" t="s">
        <v>22</v>
      </c>
      <c r="O24" s="198" t="s">
        <v>55</v>
      </c>
      <c r="P24">
        <v>25</v>
      </c>
      <c r="Q24">
        <f>_xlfn.XLOOKUP(A24,'[1]Classic Net to delete'!D:D,'[1]Classic Net to delete'!AA:AA,0)</f>
        <v>0</v>
      </c>
    </row>
    <row r="25" spans="1:17" x14ac:dyDescent="0.25">
      <c r="A25" t="s">
        <v>60</v>
      </c>
      <c r="B25" t="s">
        <v>70</v>
      </c>
      <c r="C25">
        <v>500</v>
      </c>
      <c r="D25" t="s">
        <v>20</v>
      </c>
      <c r="E25" t="str">
        <f t="shared" si="0"/>
        <v>02. Powered Access</v>
      </c>
      <c r="F25">
        <v>75</v>
      </c>
      <c r="H25" t="b">
        <v>0</v>
      </c>
      <c r="I25">
        <v>0</v>
      </c>
      <c r="J25" s="192" t="s">
        <v>21</v>
      </c>
      <c r="K25" s="192" t="s">
        <v>54</v>
      </c>
      <c r="L25" s="188">
        <f>IFERROR(_xlfn.XLOOKUP(A25,[1]Fleet!A:A,[1]Fleet!E:E,""),"")</f>
        <v>17</v>
      </c>
      <c r="M25" s="188" t="s">
        <v>22</v>
      </c>
      <c r="N25" s="188" t="s">
        <v>22</v>
      </c>
      <c r="O25" s="198" t="s">
        <v>55</v>
      </c>
      <c r="P25">
        <v>26</v>
      </c>
      <c r="Q25">
        <f>_xlfn.XLOOKUP(A25,'[1]Classic Net to delete'!D:D,'[1]Classic Net to delete'!AA:AA,0)</f>
        <v>0</v>
      </c>
    </row>
    <row r="26" spans="1:17" x14ac:dyDescent="0.25">
      <c r="A26" t="s">
        <v>60</v>
      </c>
      <c r="B26" t="s">
        <v>71</v>
      </c>
      <c r="C26">
        <v>500</v>
      </c>
      <c r="D26" t="s">
        <v>20</v>
      </c>
      <c r="E26" t="str">
        <f t="shared" si="0"/>
        <v>02. Powered Access</v>
      </c>
      <c r="F26">
        <v>75</v>
      </c>
      <c r="H26" t="b">
        <v>0</v>
      </c>
      <c r="I26">
        <v>0</v>
      </c>
      <c r="J26" s="192" t="s">
        <v>21</v>
      </c>
      <c r="K26" s="192" t="s">
        <v>54</v>
      </c>
      <c r="L26" s="188">
        <f>IFERROR(_xlfn.XLOOKUP(A26,[1]Fleet!A:A,[1]Fleet!E:E,""),"")</f>
        <v>17</v>
      </c>
      <c r="M26" s="188" t="s">
        <v>22</v>
      </c>
      <c r="N26" s="188" t="s">
        <v>22</v>
      </c>
      <c r="O26" s="198" t="s">
        <v>55</v>
      </c>
      <c r="P26">
        <v>27</v>
      </c>
      <c r="Q26">
        <f>_xlfn.XLOOKUP(A26,'[1]Classic Net to delete'!D:D,'[1]Classic Net to delete'!AA:AA,0)</f>
        <v>0</v>
      </c>
    </row>
    <row r="27" spans="1:17" x14ac:dyDescent="0.25">
      <c r="A27" t="s">
        <v>60</v>
      </c>
      <c r="B27" t="s">
        <v>72</v>
      </c>
      <c r="C27">
        <v>500</v>
      </c>
      <c r="D27" t="s">
        <v>20</v>
      </c>
      <c r="E27" t="str">
        <f t="shared" si="0"/>
        <v>02. Powered Access</v>
      </c>
      <c r="F27">
        <v>75</v>
      </c>
      <c r="H27" t="b">
        <v>0</v>
      </c>
      <c r="I27">
        <v>0</v>
      </c>
      <c r="J27" s="192" t="s">
        <v>21</v>
      </c>
      <c r="K27" s="192" t="s">
        <v>54</v>
      </c>
      <c r="L27" s="188">
        <f>IFERROR(_xlfn.XLOOKUP(A27,[1]Fleet!A:A,[1]Fleet!E:E,""),"")</f>
        <v>17</v>
      </c>
      <c r="M27" s="188" t="s">
        <v>22</v>
      </c>
      <c r="N27" s="188" t="s">
        <v>22</v>
      </c>
      <c r="O27" s="198" t="s">
        <v>55</v>
      </c>
      <c r="P27">
        <v>28</v>
      </c>
      <c r="Q27">
        <f>_xlfn.XLOOKUP(A27,'[1]Classic Net to delete'!D:D,'[1]Classic Net to delete'!AA:AA,0)</f>
        <v>0</v>
      </c>
    </row>
    <row r="28" spans="1:17" x14ac:dyDescent="0.25">
      <c r="A28" t="s">
        <v>60</v>
      </c>
      <c r="B28" t="s">
        <v>73</v>
      </c>
      <c r="C28">
        <v>500</v>
      </c>
      <c r="D28" t="s">
        <v>20</v>
      </c>
      <c r="E28" t="str">
        <f t="shared" si="0"/>
        <v>02. Powered Access</v>
      </c>
      <c r="F28">
        <v>75</v>
      </c>
      <c r="H28" t="b">
        <v>0</v>
      </c>
      <c r="I28">
        <v>0</v>
      </c>
      <c r="J28" s="192" t="s">
        <v>21</v>
      </c>
      <c r="K28" s="192" t="s">
        <v>54</v>
      </c>
      <c r="L28" s="188">
        <f>IFERROR(_xlfn.XLOOKUP(A28,[1]Fleet!A:A,[1]Fleet!E:E,""),"")</f>
        <v>17</v>
      </c>
      <c r="M28" s="188" t="s">
        <v>22</v>
      </c>
      <c r="N28" s="188" t="s">
        <v>22</v>
      </c>
      <c r="O28" s="198" t="s">
        <v>55</v>
      </c>
      <c r="P28">
        <v>29</v>
      </c>
      <c r="Q28">
        <f>_xlfn.XLOOKUP(A28,'[1]Classic Net to delete'!D:D,'[1]Classic Net to delete'!AA:AA,0)</f>
        <v>0</v>
      </c>
    </row>
    <row r="29" spans="1:17" x14ac:dyDescent="0.25">
      <c r="A29" t="s">
        <v>60</v>
      </c>
      <c r="B29" t="s">
        <v>74</v>
      </c>
      <c r="C29">
        <v>500</v>
      </c>
      <c r="D29" t="s">
        <v>20</v>
      </c>
      <c r="E29" t="str">
        <f t="shared" si="0"/>
        <v>02. Powered Access</v>
      </c>
      <c r="F29">
        <v>75</v>
      </c>
      <c r="H29" t="b">
        <v>0</v>
      </c>
      <c r="I29">
        <v>0</v>
      </c>
      <c r="J29" s="192" t="s">
        <v>21</v>
      </c>
      <c r="K29" s="192" t="s">
        <v>54</v>
      </c>
      <c r="L29" s="188">
        <f>IFERROR(_xlfn.XLOOKUP(A29,[1]Fleet!A:A,[1]Fleet!E:E,""),"")</f>
        <v>17</v>
      </c>
      <c r="M29" s="188" t="s">
        <v>22</v>
      </c>
      <c r="N29" s="188" t="s">
        <v>22</v>
      </c>
      <c r="O29" s="198" t="s">
        <v>55</v>
      </c>
      <c r="P29">
        <v>30</v>
      </c>
      <c r="Q29">
        <f>_xlfn.XLOOKUP(A29,'[1]Classic Net to delete'!D:D,'[1]Classic Net to delete'!AA:AA,0)</f>
        <v>0</v>
      </c>
    </row>
    <row r="30" spans="1:17" x14ac:dyDescent="0.25">
      <c r="A30" t="s">
        <v>60</v>
      </c>
      <c r="B30" t="s">
        <v>75</v>
      </c>
      <c r="C30">
        <v>500</v>
      </c>
      <c r="D30" t="s">
        <v>20</v>
      </c>
      <c r="E30" t="str">
        <f t="shared" si="0"/>
        <v>02. Powered Access</v>
      </c>
      <c r="F30">
        <v>75</v>
      </c>
      <c r="H30" t="b">
        <v>0</v>
      </c>
      <c r="I30">
        <v>0</v>
      </c>
      <c r="J30" s="192" t="s">
        <v>21</v>
      </c>
      <c r="K30" s="192" t="s">
        <v>54</v>
      </c>
      <c r="L30" s="188">
        <f>IFERROR(_xlfn.XLOOKUP(A30,[1]Fleet!A:A,[1]Fleet!E:E,""),"")</f>
        <v>17</v>
      </c>
      <c r="M30" s="188" t="s">
        <v>22</v>
      </c>
      <c r="N30" s="188" t="s">
        <v>22</v>
      </c>
      <c r="O30" s="198" t="s">
        <v>55</v>
      </c>
      <c r="P30">
        <v>31</v>
      </c>
      <c r="Q30">
        <f>_xlfn.XLOOKUP(A30,'[1]Classic Net to delete'!D:D,'[1]Classic Net to delete'!AA:AA,0)</f>
        <v>0</v>
      </c>
    </row>
    <row r="31" spans="1:17" x14ac:dyDescent="0.25">
      <c r="A31" t="s">
        <v>60</v>
      </c>
      <c r="B31" t="s">
        <v>76</v>
      </c>
      <c r="C31">
        <v>500</v>
      </c>
      <c r="D31" t="s">
        <v>20</v>
      </c>
      <c r="E31" t="str">
        <f t="shared" si="0"/>
        <v>02. Powered Access</v>
      </c>
      <c r="F31">
        <v>75</v>
      </c>
      <c r="H31" t="b">
        <v>0</v>
      </c>
      <c r="I31">
        <v>0</v>
      </c>
      <c r="J31" s="192" t="s">
        <v>21</v>
      </c>
      <c r="K31" s="192" t="s">
        <v>54</v>
      </c>
      <c r="L31" s="188">
        <f>IFERROR(_xlfn.XLOOKUP(A31,[1]Fleet!A:A,[1]Fleet!E:E,""),"")</f>
        <v>17</v>
      </c>
      <c r="M31" s="188" t="s">
        <v>22</v>
      </c>
      <c r="N31" s="188" t="s">
        <v>22</v>
      </c>
      <c r="O31" s="198" t="s">
        <v>55</v>
      </c>
      <c r="P31">
        <v>32</v>
      </c>
      <c r="Q31">
        <f>_xlfn.XLOOKUP(A31,'[1]Classic Net to delete'!D:D,'[1]Classic Net to delete'!AA:AA,0)</f>
        <v>0</v>
      </c>
    </row>
    <row r="32" spans="1:17" x14ac:dyDescent="0.25">
      <c r="A32" t="s">
        <v>77</v>
      </c>
      <c r="B32" t="s">
        <v>78</v>
      </c>
      <c r="C32">
        <v>220.26</v>
      </c>
      <c r="D32" t="s">
        <v>20</v>
      </c>
      <c r="E32" t="str">
        <f t="shared" si="0"/>
        <v>02. Powered Access</v>
      </c>
      <c r="F32">
        <v>75</v>
      </c>
      <c r="H32" t="b">
        <v>1</v>
      </c>
      <c r="I32" s="193" t="s">
        <v>21</v>
      </c>
      <c r="J32" s="192" t="s">
        <v>21</v>
      </c>
      <c r="K32" s="192" t="s">
        <v>54</v>
      </c>
      <c r="L32" s="188">
        <f>IFERROR(_xlfn.XLOOKUP(A32,[1]Fleet!A:A,[1]Fleet!E:E,""),"")</f>
        <v>19</v>
      </c>
      <c r="M32" s="188">
        <v>205.85000000000002</v>
      </c>
      <c r="N32" s="188" t="s">
        <v>79</v>
      </c>
      <c r="O32" s="198" t="s">
        <v>55</v>
      </c>
      <c r="P32">
        <v>13</v>
      </c>
      <c r="Q32">
        <f>_xlfn.XLOOKUP(A32,'[1]Classic Net to delete'!D:D,'[1]Classic Net to delete'!AA:AA,0)</f>
        <v>1</v>
      </c>
    </row>
    <row r="33" spans="1:17" x14ac:dyDescent="0.25">
      <c r="A33" t="s">
        <v>80</v>
      </c>
      <c r="B33" t="s">
        <v>81</v>
      </c>
      <c r="C33">
        <v>225.56</v>
      </c>
      <c r="D33" t="s">
        <v>20</v>
      </c>
      <c r="E33" t="str">
        <f t="shared" si="0"/>
        <v>02. Powered Access</v>
      </c>
      <c r="F33">
        <v>75</v>
      </c>
      <c r="H33" t="b">
        <v>1</v>
      </c>
      <c r="I33" s="193" t="s">
        <v>54</v>
      </c>
      <c r="J33" s="192" t="s">
        <v>21</v>
      </c>
      <c r="K33" s="192" t="s">
        <v>54</v>
      </c>
      <c r="L33" s="188">
        <f>IFERROR(_xlfn.XLOOKUP(A33,[1]Fleet!A:A,[1]Fleet!E:E,""),"")</f>
        <v>20</v>
      </c>
      <c r="M33" s="188">
        <v>210.8</v>
      </c>
      <c r="N33" s="188" t="s">
        <v>82</v>
      </c>
      <c r="O33" s="198" t="s">
        <v>55</v>
      </c>
      <c r="P33">
        <v>19</v>
      </c>
      <c r="Q33">
        <f>_xlfn.XLOOKUP(A33,'[1]Classic Net to delete'!D:D,'[1]Classic Net to delete'!AA:AA,0)</f>
        <v>2</v>
      </c>
    </row>
    <row r="34" spans="1:17" x14ac:dyDescent="0.25">
      <c r="A34" t="s">
        <v>83</v>
      </c>
      <c r="B34" t="s">
        <v>84</v>
      </c>
      <c r="C34">
        <v>258.99</v>
      </c>
      <c r="D34" t="s">
        <v>20</v>
      </c>
      <c r="E34" t="str">
        <f t="shared" ref="E34:E65" si="1">CONCATENATE(K34,". ",O34)</f>
        <v>02. Powered Access</v>
      </c>
      <c r="F34">
        <v>75</v>
      </c>
      <c r="H34" t="b">
        <v>1</v>
      </c>
      <c r="I34" s="193" t="s">
        <v>85</v>
      </c>
      <c r="J34" s="192" t="s">
        <v>21</v>
      </c>
      <c r="K34" s="192" t="s">
        <v>54</v>
      </c>
      <c r="L34" s="188">
        <f>IFERROR(_xlfn.XLOOKUP(A34,[1]Fleet!A:A,[1]Fleet!E:E,""),"")</f>
        <v>20</v>
      </c>
      <c r="M34" s="188">
        <v>242.05</v>
      </c>
      <c r="N34" s="188" t="s">
        <v>86</v>
      </c>
      <c r="O34" s="198" t="s">
        <v>55</v>
      </c>
      <c r="P34">
        <v>11</v>
      </c>
      <c r="Q34">
        <f>_xlfn.XLOOKUP(A34,'[1]Classic Net to delete'!D:D,'[1]Classic Net to delete'!AA:AA,0)</f>
        <v>3</v>
      </c>
    </row>
    <row r="35" spans="1:17" x14ac:dyDescent="0.25">
      <c r="A35" t="s">
        <v>87</v>
      </c>
      <c r="B35" t="s">
        <v>88</v>
      </c>
      <c r="C35">
        <v>238.13</v>
      </c>
      <c r="D35" t="s">
        <v>20</v>
      </c>
      <c r="E35" t="str">
        <f t="shared" si="1"/>
        <v>02. Powered Access</v>
      </c>
      <c r="F35">
        <v>75</v>
      </c>
      <c r="H35" t="b">
        <v>1</v>
      </c>
      <c r="I35" s="193" t="s">
        <v>89</v>
      </c>
      <c r="J35" s="192" t="s">
        <v>21</v>
      </c>
      <c r="K35" s="192" t="s">
        <v>54</v>
      </c>
      <c r="L35" s="188">
        <f>IFERROR(_xlfn.XLOOKUP(A35,[1]Fleet!A:A,[1]Fleet!E:E,""),"")</f>
        <v>20</v>
      </c>
      <c r="M35" s="188">
        <v>222.55</v>
      </c>
      <c r="N35" s="188" t="s">
        <v>90</v>
      </c>
      <c r="O35" s="198" t="s">
        <v>55</v>
      </c>
      <c r="P35">
        <v>14</v>
      </c>
      <c r="Q35">
        <f>_xlfn.XLOOKUP(A35,'[1]Classic Net to delete'!D:D,'[1]Classic Net to delete'!AA:AA,0)</f>
        <v>4</v>
      </c>
    </row>
    <row r="36" spans="1:17" x14ac:dyDescent="0.25">
      <c r="A36" t="s">
        <v>91</v>
      </c>
      <c r="B36" t="s">
        <v>92</v>
      </c>
      <c r="C36">
        <v>0</v>
      </c>
      <c r="D36" t="s">
        <v>20</v>
      </c>
      <c r="E36" t="str">
        <f t="shared" si="1"/>
        <v>03. Self-Propelled Powered Access</v>
      </c>
      <c r="F36">
        <v>75</v>
      </c>
      <c r="H36" t="b">
        <v>0</v>
      </c>
      <c r="I36">
        <v>0</v>
      </c>
      <c r="J36" s="192" t="s">
        <v>21</v>
      </c>
      <c r="K36" s="192" t="s">
        <v>85</v>
      </c>
      <c r="L36" s="188">
        <f>IFERROR(_xlfn.XLOOKUP(A36,[1]Fleet!A:A,[1]Fleet!E:E,""),"")</f>
        <v>1</v>
      </c>
      <c r="M36" s="188" t="s">
        <v>22</v>
      </c>
      <c r="N36" s="188" t="s">
        <v>22</v>
      </c>
      <c r="O36" s="198" t="s">
        <v>93</v>
      </c>
      <c r="P36">
        <v>40</v>
      </c>
      <c r="Q36">
        <f>_xlfn.XLOOKUP(A36,'[1]Classic Net to delete'!D:D,'[1]Classic Net to delete'!AA:AA,0)</f>
        <v>0</v>
      </c>
    </row>
    <row r="37" spans="1:17" x14ac:dyDescent="0.25">
      <c r="A37" t="s">
        <v>94</v>
      </c>
      <c r="B37" t="s">
        <v>95</v>
      </c>
      <c r="C37">
        <v>500</v>
      </c>
      <c r="D37" t="s">
        <v>20</v>
      </c>
      <c r="E37" t="str">
        <f t="shared" si="1"/>
        <v>03. Self-Propelled Powered Access</v>
      </c>
      <c r="F37">
        <v>75</v>
      </c>
      <c r="H37" t="b">
        <v>0</v>
      </c>
      <c r="I37">
        <v>11</v>
      </c>
      <c r="J37" s="192" t="s">
        <v>21</v>
      </c>
      <c r="K37" s="192" t="s">
        <v>85</v>
      </c>
      <c r="L37" s="188">
        <f>IFERROR(_xlfn.XLOOKUP(A37,[1]Fleet!A:A,[1]Fleet!E:E,""),"")</f>
        <v>0</v>
      </c>
      <c r="M37" s="188">
        <v>110</v>
      </c>
      <c r="N37" s="188" t="s">
        <v>96</v>
      </c>
      <c r="O37" s="198" t="s">
        <v>93</v>
      </c>
      <c r="P37">
        <v>35</v>
      </c>
      <c r="Q37">
        <f>_xlfn.XLOOKUP(A37,'[1]Classic Net to delete'!D:D,'[1]Classic Net to delete'!AA:AA,0)</f>
        <v>11</v>
      </c>
    </row>
    <row r="38" spans="1:17" x14ac:dyDescent="0.25">
      <c r="A38" t="s">
        <v>97</v>
      </c>
      <c r="B38" t="s">
        <v>98</v>
      </c>
      <c r="C38">
        <v>112.35000000000001</v>
      </c>
      <c r="D38" t="s">
        <v>20</v>
      </c>
      <c r="E38" t="str">
        <f t="shared" si="1"/>
        <v>03. Self-Propelled Powered Access</v>
      </c>
      <c r="F38">
        <v>0</v>
      </c>
      <c r="G38" t="b">
        <v>1</v>
      </c>
      <c r="H38" t="b">
        <v>1</v>
      </c>
      <c r="I38">
        <v>12</v>
      </c>
      <c r="J38" s="192" t="s">
        <v>21</v>
      </c>
      <c r="K38" s="192" t="s">
        <v>85</v>
      </c>
      <c r="L38" s="188">
        <f>IFERROR(_xlfn.XLOOKUP(A38,[1]Fleet!A:A,[1]Fleet!E:E,""),"")</f>
        <v>21</v>
      </c>
      <c r="M38" s="188">
        <v>105</v>
      </c>
      <c r="N38" s="188" t="s">
        <v>99</v>
      </c>
      <c r="O38" s="198" t="s">
        <v>93</v>
      </c>
      <c r="P38">
        <v>37</v>
      </c>
      <c r="Q38">
        <f>_xlfn.XLOOKUP(A38,'[1]Classic Net to delete'!D:D,'[1]Classic Net to delete'!AA:AA,0)</f>
        <v>12</v>
      </c>
    </row>
    <row r="39" spans="1:17" x14ac:dyDescent="0.25">
      <c r="A39" t="s">
        <v>100</v>
      </c>
      <c r="B39" t="s">
        <v>101</v>
      </c>
      <c r="C39">
        <v>128.4</v>
      </c>
      <c r="D39" t="s">
        <v>20</v>
      </c>
      <c r="E39" t="str">
        <f t="shared" si="1"/>
        <v>03. Self-Propelled Powered Access</v>
      </c>
      <c r="F39">
        <v>0</v>
      </c>
      <c r="G39" t="b">
        <v>1</v>
      </c>
      <c r="H39" t="b">
        <v>1</v>
      </c>
      <c r="I39">
        <v>13</v>
      </c>
      <c r="J39" s="192" t="s">
        <v>21</v>
      </c>
      <c r="K39" s="192" t="s">
        <v>85</v>
      </c>
      <c r="L39" s="188">
        <f>IFERROR(_xlfn.XLOOKUP(A39,[1]Fleet!A:A,[1]Fleet!E:E,""),"")</f>
        <v>16</v>
      </c>
      <c r="M39" s="188">
        <v>120</v>
      </c>
      <c r="N39" s="188" t="s">
        <v>102</v>
      </c>
      <c r="O39" s="198" t="s">
        <v>93</v>
      </c>
      <c r="P39">
        <v>36</v>
      </c>
      <c r="Q39">
        <f>_xlfn.XLOOKUP(A39,'[1]Classic Net to delete'!D:D,'[1]Classic Net to delete'!AA:AA,0)</f>
        <v>13</v>
      </c>
    </row>
    <row r="40" spans="1:17" x14ac:dyDescent="0.25">
      <c r="A40" t="s">
        <v>103</v>
      </c>
      <c r="B40" t="s">
        <v>104</v>
      </c>
      <c r="C40">
        <v>155.15</v>
      </c>
      <c r="D40" t="s">
        <v>20</v>
      </c>
      <c r="E40" t="str">
        <f t="shared" si="1"/>
        <v>03. Self-Propelled Powered Access</v>
      </c>
      <c r="F40">
        <v>0</v>
      </c>
      <c r="G40" t="b">
        <v>1</v>
      </c>
      <c r="H40" t="b">
        <v>1</v>
      </c>
      <c r="I40">
        <v>14</v>
      </c>
      <c r="J40" s="192" t="s">
        <v>21</v>
      </c>
      <c r="K40" s="192" t="s">
        <v>85</v>
      </c>
      <c r="L40" s="188">
        <f>IFERROR(_xlfn.XLOOKUP(A40,[1]Fleet!A:A,[1]Fleet!E:E,""),"")</f>
        <v>6</v>
      </c>
      <c r="M40" s="188">
        <v>145</v>
      </c>
      <c r="N40" s="188" t="s">
        <v>105</v>
      </c>
      <c r="O40" s="198" t="s">
        <v>93</v>
      </c>
      <c r="P40">
        <v>38</v>
      </c>
      <c r="Q40">
        <f>_xlfn.XLOOKUP(A40,'[1]Classic Net to delete'!D:D,'[1]Classic Net to delete'!AA:AA,0)</f>
        <v>14</v>
      </c>
    </row>
    <row r="41" spans="1:17" x14ac:dyDescent="0.25">
      <c r="A41" t="s">
        <v>106</v>
      </c>
      <c r="B41" t="s">
        <v>107</v>
      </c>
      <c r="C41">
        <v>361.66</v>
      </c>
      <c r="D41" t="s">
        <v>20</v>
      </c>
      <c r="E41" t="str">
        <f t="shared" si="1"/>
        <v>03. Self-Propelled Powered Access</v>
      </c>
      <c r="F41">
        <v>0</v>
      </c>
      <c r="G41" t="b">
        <v>1</v>
      </c>
      <c r="H41" t="b">
        <v>1</v>
      </c>
      <c r="I41">
        <v>15</v>
      </c>
      <c r="J41" s="192" t="s">
        <v>21</v>
      </c>
      <c r="K41" s="192" t="s">
        <v>85</v>
      </c>
      <c r="L41" s="188">
        <f>IFERROR(_xlfn.XLOOKUP(A41,[1]Fleet!A:A,[1]Fleet!E:E,""),"")</f>
        <v>2</v>
      </c>
      <c r="M41" s="188">
        <v>338</v>
      </c>
      <c r="N41" s="188" t="s">
        <v>108</v>
      </c>
      <c r="O41" s="198" t="s">
        <v>93</v>
      </c>
      <c r="P41">
        <v>39</v>
      </c>
      <c r="Q41">
        <f>_xlfn.XLOOKUP(A41,'[1]Classic Net to delete'!D:D,'[1]Classic Net to delete'!AA:AA,0)</f>
        <v>15</v>
      </c>
    </row>
    <row r="42" spans="1:17" x14ac:dyDescent="0.25">
      <c r="A42" s="4" t="s">
        <v>109</v>
      </c>
      <c r="B42" s="4" t="s">
        <v>110</v>
      </c>
      <c r="C42">
        <v>23.03</v>
      </c>
      <c r="D42" t="s">
        <v>20</v>
      </c>
      <c r="E42" t="str">
        <f t="shared" si="1"/>
        <v>04. Aluminium Tower (WxL)</v>
      </c>
      <c r="F42">
        <v>75</v>
      </c>
      <c r="H42" t="b">
        <v>1</v>
      </c>
      <c r="I42">
        <v>0</v>
      </c>
      <c r="J42" s="192" t="s">
        <v>21</v>
      </c>
      <c r="K42" s="192" t="s">
        <v>89</v>
      </c>
      <c r="L42" s="188" t="str">
        <f>IFERROR(_xlfn.XLOOKUP(A42,[1]Fleet!A:A,[1]Fleet!E:E,""),"")</f>
        <v/>
      </c>
      <c r="N42" s="188" t="s">
        <v>22</v>
      </c>
      <c r="O42" s="198" t="s">
        <v>111</v>
      </c>
      <c r="P42">
        <v>41</v>
      </c>
      <c r="Q42">
        <f>_xlfn.XLOOKUP(A42,'[1]Classic Net to delete'!D:D,'[1]Classic Net to delete'!AA:AA,0)</f>
        <v>0</v>
      </c>
    </row>
    <row r="43" spans="1:17" x14ac:dyDescent="0.25">
      <c r="A43" s="4" t="s">
        <v>112</v>
      </c>
      <c r="B43" s="4" t="s">
        <v>113</v>
      </c>
      <c r="C43">
        <v>23.03</v>
      </c>
      <c r="D43" t="s">
        <v>20</v>
      </c>
      <c r="E43" t="str">
        <f t="shared" si="1"/>
        <v>04. Aluminium Tower (WxL)</v>
      </c>
      <c r="F43">
        <v>75</v>
      </c>
      <c r="H43" t="b">
        <v>1</v>
      </c>
      <c r="I43">
        <v>0</v>
      </c>
      <c r="J43" s="192" t="s">
        <v>21</v>
      </c>
      <c r="K43" s="192" t="s">
        <v>89</v>
      </c>
      <c r="L43" s="188" t="str">
        <f>IFERROR(_xlfn.XLOOKUP(A43,[1]Fleet!A:A,[1]Fleet!E:E,""),"")</f>
        <v/>
      </c>
      <c r="N43" s="188" t="s">
        <v>22</v>
      </c>
      <c r="O43" s="198" t="s">
        <v>111</v>
      </c>
      <c r="P43">
        <v>42</v>
      </c>
      <c r="Q43">
        <f>_xlfn.XLOOKUP(A43,'[1]Classic Net to delete'!D:D,'[1]Classic Net to delete'!AA:AA,0)</f>
        <v>0</v>
      </c>
    </row>
    <row r="44" spans="1:17" x14ac:dyDescent="0.25">
      <c r="A44" s="4" t="s">
        <v>114</v>
      </c>
      <c r="B44" s="4" t="s">
        <v>115</v>
      </c>
      <c r="C44">
        <v>23.03</v>
      </c>
      <c r="D44" t="s">
        <v>20</v>
      </c>
      <c r="E44" t="str">
        <f t="shared" si="1"/>
        <v>04. Aluminium Tower (WxL)</v>
      </c>
      <c r="F44">
        <v>75</v>
      </c>
      <c r="H44" t="b">
        <v>1</v>
      </c>
      <c r="I44">
        <v>0</v>
      </c>
      <c r="J44" s="192" t="s">
        <v>21</v>
      </c>
      <c r="K44" s="192" t="s">
        <v>89</v>
      </c>
      <c r="L44" s="188" t="str">
        <f>IFERROR(_xlfn.XLOOKUP(A44,[1]Fleet!A:A,[1]Fleet!E:E,""),"")</f>
        <v/>
      </c>
      <c r="N44" s="188" t="s">
        <v>22</v>
      </c>
      <c r="O44" s="198" t="s">
        <v>111</v>
      </c>
      <c r="P44">
        <v>43</v>
      </c>
      <c r="Q44">
        <f>_xlfn.XLOOKUP(A44,'[1]Classic Net to delete'!D:D,'[1]Classic Net to delete'!AA:AA,0)</f>
        <v>0</v>
      </c>
    </row>
    <row r="45" spans="1:17" x14ac:dyDescent="0.25">
      <c r="A45" s="4" t="s">
        <v>116</v>
      </c>
      <c r="B45" s="4" t="s">
        <v>117</v>
      </c>
      <c r="C45">
        <v>23.03</v>
      </c>
      <c r="D45" t="s">
        <v>20</v>
      </c>
      <c r="E45" t="str">
        <f t="shared" si="1"/>
        <v>04. Aluminium Tower (WxL)</v>
      </c>
      <c r="F45">
        <v>75</v>
      </c>
      <c r="H45" t="b">
        <v>1</v>
      </c>
      <c r="I45">
        <v>27</v>
      </c>
      <c r="J45" s="192" t="s">
        <v>21</v>
      </c>
      <c r="K45" s="192" t="s">
        <v>89</v>
      </c>
      <c r="L45" s="188" t="str">
        <f>IFERROR(_xlfn.XLOOKUP(A45,[1]Fleet!A:A,[1]Fleet!E:E,""),"")</f>
        <v/>
      </c>
      <c r="N45" s="188" t="s">
        <v>117</v>
      </c>
      <c r="O45" s="198" t="s">
        <v>111</v>
      </c>
      <c r="P45">
        <v>44</v>
      </c>
      <c r="Q45">
        <f>_xlfn.XLOOKUP(A45,'[1]Classic Net to delete'!D:D,'[1]Classic Net to delete'!AA:AA,0)</f>
        <v>27</v>
      </c>
    </row>
    <row r="46" spans="1:17" x14ac:dyDescent="0.25">
      <c r="A46" s="4" t="s">
        <v>118</v>
      </c>
      <c r="B46" s="4" t="s">
        <v>119</v>
      </c>
      <c r="C46">
        <v>23.03</v>
      </c>
      <c r="D46" t="s">
        <v>20</v>
      </c>
      <c r="E46" t="str">
        <f t="shared" si="1"/>
        <v>04. Aluminium Tower (WxL)</v>
      </c>
      <c r="F46">
        <v>75</v>
      </c>
      <c r="H46" t="b">
        <v>1</v>
      </c>
      <c r="I46">
        <v>28</v>
      </c>
      <c r="J46" s="192" t="s">
        <v>21</v>
      </c>
      <c r="K46" s="192" t="s">
        <v>89</v>
      </c>
      <c r="L46" s="188" t="str">
        <f>IFERROR(_xlfn.XLOOKUP(A46,[1]Fleet!A:A,[1]Fleet!E:E,""),"")</f>
        <v/>
      </c>
      <c r="N46" s="188" t="s">
        <v>119</v>
      </c>
      <c r="O46" s="198" t="s">
        <v>111</v>
      </c>
      <c r="P46">
        <v>45</v>
      </c>
      <c r="Q46">
        <f>_xlfn.XLOOKUP(A46,'[1]Classic Net to delete'!D:D,'[1]Classic Net to delete'!AA:AA,0)</f>
        <v>28</v>
      </c>
    </row>
    <row r="47" spans="1:17" x14ac:dyDescent="0.25">
      <c r="A47" s="4" t="s">
        <v>120</v>
      </c>
      <c r="B47" s="4" t="s">
        <v>121</v>
      </c>
      <c r="C47">
        <v>23.03</v>
      </c>
      <c r="D47" t="s">
        <v>20</v>
      </c>
      <c r="E47" t="str">
        <f t="shared" si="1"/>
        <v>04. Aluminium Tower (WxL)</v>
      </c>
      <c r="F47">
        <v>75</v>
      </c>
      <c r="H47" t="b">
        <v>1</v>
      </c>
      <c r="I47">
        <v>29</v>
      </c>
      <c r="J47" s="192" t="s">
        <v>21</v>
      </c>
      <c r="K47" s="192" t="s">
        <v>89</v>
      </c>
      <c r="L47" s="188" t="str">
        <f>IFERROR(_xlfn.XLOOKUP(A47,[1]Fleet!A:A,[1]Fleet!E:E,""),"")</f>
        <v/>
      </c>
      <c r="N47" s="188" t="s">
        <v>121</v>
      </c>
      <c r="O47" s="198" t="s">
        <v>111</v>
      </c>
      <c r="P47">
        <v>46</v>
      </c>
      <c r="Q47">
        <f>_xlfn.XLOOKUP(A47,'[1]Classic Net to delete'!D:D,'[1]Classic Net to delete'!AA:AA,0)</f>
        <v>29</v>
      </c>
    </row>
    <row r="48" spans="1:17" x14ac:dyDescent="0.25">
      <c r="A48" s="4" t="s">
        <v>122</v>
      </c>
      <c r="B48" s="4" t="s">
        <v>123</v>
      </c>
      <c r="C48">
        <v>23.03</v>
      </c>
      <c r="D48" t="s">
        <v>20</v>
      </c>
      <c r="E48" t="str">
        <f t="shared" si="1"/>
        <v>04. Aluminium Tower (WxL)</v>
      </c>
      <c r="F48">
        <v>75</v>
      </c>
      <c r="H48" t="b">
        <v>1</v>
      </c>
      <c r="I48">
        <v>30</v>
      </c>
      <c r="J48" s="192" t="s">
        <v>21</v>
      </c>
      <c r="K48" s="192" t="s">
        <v>89</v>
      </c>
      <c r="L48" s="188" t="str">
        <f>IFERROR(_xlfn.XLOOKUP(A48,[1]Fleet!A:A,[1]Fleet!E:E,""),"")</f>
        <v/>
      </c>
      <c r="N48" s="188" t="s">
        <v>123</v>
      </c>
      <c r="O48" s="198" t="s">
        <v>111</v>
      </c>
      <c r="P48">
        <v>47</v>
      </c>
      <c r="Q48">
        <f>_xlfn.XLOOKUP(A48,'[1]Classic Net to delete'!D:D,'[1]Classic Net to delete'!AA:AA,0)</f>
        <v>30</v>
      </c>
    </row>
    <row r="49" spans="1:17" x14ac:dyDescent="0.25">
      <c r="A49" s="4" t="s">
        <v>124</v>
      </c>
      <c r="B49" s="4" t="s">
        <v>125</v>
      </c>
      <c r="C49">
        <v>23.03</v>
      </c>
      <c r="D49" t="s">
        <v>20</v>
      </c>
      <c r="E49" t="str">
        <f t="shared" si="1"/>
        <v>04. Aluminium Tower (WxL)</v>
      </c>
      <c r="F49">
        <v>75</v>
      </c>
      <c r="H49" t="b">
        <v>1</v>
      </c>
      <c r="I49">
        <v>31</v>
      </c>
      <c r="J49" s="192" t="s">
        <v>21</v>
      </c>
      <c r="K49" s="192" t="s">
        <v>89</v>
      </c>
      <c r="L49" s="188" t="str">
        <f>IFERROR(_xlfn.XLOOKUP(A49,[1]Fleet!A:A,[1]Fleet!E:E,""),"")</f>
        <v/>
      </c>
      <c r="N49" s="188" t="s">
        <v>125</v>
      </c>
      <c r="O49" s="198" t="s">
        <v>111</v>
      </c>
      <c r="P49">
        <v>48</v>
      </c>
      <c r="Q49">
        <f>_xlfn.XLOOKUP(A49,'[1]Classic Net to delete'!D:D,'[1]Classic Net to delete'!AA:AA,0)</f>
        <v>31</v>
      </c>
    </row>
    <row r="50" spans="1:17" x14ac:dyDescent="0.25">
      <c r="A50" s="4" t="s">
        <v>126</v>
      </c>
      <c r="B50" s="4" t="s">
        <v>127</v>
      </c>
      <c r="C50">
        <v>23.03</v>
      </c>
      <c r="D50" t="s">
        <v>20</v>
      </c>
      <c r="E50" t="str">
        <f t="shared" si="1"/>
        <v>04. Aluminium Tower (WxL)</v>
      </c>
      <c r="F50">
        <v>75</v>
      </c>
      <c r="H50" t="b">
        <v>1</v>
      </c>
      <c r="I50">
        <v>32</v>
      </c>
      <c r="J50" s="192" t="s">
        <v>21</v>
      </c>
      <c r="K50" s="192" t="s">
        <v>89</v>
      </c>
      <c r="L50" s="188" t="str">
        <f>IFERROR(_xlfn.XLOOKUP(A50,[1]Fleet!A:A,[1]Fleet!E:E,""),"")</f>
        <v/>
      </c>
      <c r="N50" s="188" t="s">
        <v>127</v>
      </c>
      <c r="O50" s="198" t="s">
        <v>111</v>
      </c>
      <c r="P50">
        <v>49</v>
      </c>
      <c r="Q50">
        <f>_xlfn.XLOOKUP(A50,'[1]Classic Net to delete'!D:D,'[1]Classic Net to delete'!AA:AA,0)</f>
        <v>32</v>
      </c>
    </row>
    <row r="51" spans="1:17" x14ac:dyDescent="0.25">
      <c r="A51" s="1" t="s">
        <v>128</v>
      </c>
      <c r="B51" t="s">
        <v>117</v>
      </c>
      <c r="C51">
        <v>29.04</v>
      </c>
      <c r="D51" t="s">
        <v>20</v>
      </c>
      <c r="E51" t="str">
        <f t="shared" si="1"/>
        <v>05. Aluminium Tower - AGR (WxL)</v>
      </c>
      <c r="F51">
        <v>75</v>
      </c>
      <c r="H51" t="b">
        <v>1</v>
      </c>
      <c r="I51">
        <v>37</v>
      </c>
      <c r="J51" s="192" t="s">
        <v>21</v>
      </c>
      <c r="K51" s="192" t="s">
        <v>32</v>
      </c>
      <c r="L51" s="188" t="str">
        <f>IFERROR(_xlfn.XLOOKUP(A51,[1]Fleet!A:A,[1]Fleet!E:E,""),"")</f>
        <v/>
      </c>
      <c r="N51" s="188" t="s">
        <v>117</v>
      </c>
      <c r="O51" s="198" t="s">
        <v>129</v>
      </c>
      <c r="P51">
        <v>50</v>
      </c>
      <c r="Q51">
        <f>_xlfn.XLOOKUP(A51,'[1]Classic Net to delete'!D:D,'[1]Classic Net to delete'!AA:AA,0)</f>
        <v>37</v>
      </c>
    </row>
    <row r="52" spans="1:17" x14ac:dyDescent="0.25">
      <c r="A52" s="1" t="s">
        <v>130</v>
      </c>
      <c r="B52" t="s">
        <v>119</v>
      </c>
      <c r="C52">
        <v>29.04</v>
      </c>
      <c r="D52" t="s">
        <v>20</v>
      </c>
      <c r="E52" t="str">
        <f t="shared" si="1"/>
        <v>05. Aluminium Tower - AGR (WxL)</v>
      </c>
      <c r="F52">
        <v>75</v>
      </c>
      <c r="H52" t="b">
        <v>1</v>
      </c>
      <c r="I52">
        <v>38</v>
      </c>
      <c r="J52" s="192" t="s">
        <v>21</v>
      </c>
      <c r="K52" s="192" t="s">
        <v>32</v>
      </c>
      <c r="L52" s="188" t="str">
        <f>IFERROR(_xlfn.XLOOKUP(A52,[1]Fleet!A:A,[1]Fleet!E:E,""),"")</f>
        <v/>
      </c>
      <c r="N52" s="188" t="s">
        <v>119</v>
      </c>
      <c r="O52" s="198" t="s">
        <v>129</v>
      </c>
      <c r="P52">
        <v>51</v>
      </c>
      <c r="Q52">
        <f>_xlfn.XLOOKUP(A52,'[1]Classic Net to delete'!D:D,'[1]Classic Net to delete'!AA:AA,0)</f>
        <v>38</v>
      </c>
    </row>
    <row r="53" spans="1:17" x14ac:dyDescent="0.25">
      <c r="A53" s="1" t="s">
        <v>131</v>
      </c>
      <c r="B53" t="s">
        <v>132</v>
      </c>
      <c r="C53">
        <v>29.04</v>
      </c>
      <c r="D53" t="s">
        <v>20</v>
      </c>
      <c r="E53" t="str">
        <f t="shared" si="1"/>
        <v>05. Aluminium Tower - AGR (WxL)</v>
      </c>
      <c r="F53">
        <v>75</v>
      </c>
      <c r="H53" t="b">
        <v>1</v>
      </c>
      <c r="I53">
        <v>39</v>
      </c>
      <c r="J53" s="192" t="s">
        <v>21</v>
      </c>
      <c r="K53" s="192" t="s">
        <v>32</v>
      </c>
      <c r="L53" s="188" t="str">
        <f>IFERROR(_xlfn.XLOOKUP(A53,[1]Fleet!A:A,[1]Fleet!E:E,""),"")</f>
        <v/>
      </c>
      <c r="N53" s="188" t="s">
        <v>132</v>
      </c>
      <c r="O53" s="198" t="s">
        <v>129</v>
      </c>
      <c r="P53">
        <v>52</v>
      </c>
      <c r="Q53">
        <f>_xlfn.XLOOKUP(A53,'[1]Classic Net to delete'!D:D,'[1]Classic Net to delete'!AA:AA,0)</f>
        <v>39</v>
      </c>
    </row>
    <row r="54" spans="1:17" x14ac:dyDescent="0.25">
      <c r="A54" s="1" t="s">
        <v>133</v>
      </c>
      <c r="B54" t="s">
        <v>134</v>
      </c>
      <c r="C54">
        <v>29.04</v>
      </c>
      <c r="D54" t="s">
        <v>20</v>
      </c>
      <c r="E54" t="str">
        <f t="shared" si="1"/>
        <v>05. Aluminium Tower - AGR (WxL)</v>
      </c>
      <c r="F54">
        <v>75</v>
      </c>
      <c r="H54" t="b">
        <v>1</v>
      </c>
      <c r="I54">
        <v>40</v>
      </c>
      <c r="J54" s="192" t="s">
        <v>21</v>
      </c>
      <c r="K54" s="192" t="s">
        <v>32</v>
      </c>
      <c r="L54" s="188" t="str">
        <f>IFERROR(_xlfn.XLOOKUP(A54,[1]Fleet!A:A,[1]Fleet!E:E,""),"")</f>
        <v/>
      </c>
      <c r="N54" s="188" t="s">
        <v>134</v>
      </c>
      <c r="O54" s="198" t="s">
        <v>129</v>
      </c>
      <c r="P54">
        <v>53</v>
      </c>
      <c r="Q54">
        <f>_xlfn.XLOOKUP(A54,'[1]Classic Net to delete'!D:D,'[1]Classic Net to delete'!AA:AA,0)</f>
        <v>40</v>
      </c>
    </row>
    <row r="55" spans="1:17" x14ac:dyDescent="0.25">
      <c r="A55" t="s">
        <v>135</v>
      </c>
      <c r="B55" s="1" t="s">
        <v>136</v>
      </c>
      <c r="C55">
        <v>105.72</v>
      </c>
      <c r="D55" t="s">
        <v>20</v>
      </c>
      <c r="E55" t="str">
        <f t="shared" si="1"/>
        <v>06. Aluminium Tower Bridging Deck c/w handrail (L)</v>
      </c>
      <c r="F55">
        <v>75</v>
      </c>
      <c r="H55" t="b">
        <v>1</v>
      </c>
      <c r="I55">
        <v>64</v>
      </c>
      <c r="J55" s="192" t="s">
        <v>21</v>
      </c>
      <c r="K55" s="192" t="s">
        <v>36</v>
      </c>
      <c r="L55" s="188" t="str">
        <f>IFERROR(_xlfn.XLOOKUP(A55,[1]Fleet!A:A,[1]Fleet!E:E,""),"")</f>
        <v/>
      </c>
      <c r="N55" s="188" t="s">
        <v>136</v>
      </c>
      <c r="O55" s="198" t="s">
        <v>137</v>
      </c>
      <c r="P55">
        <v>54</v>
      </c>
      <c r="Q55">
        <f>_xlfn.XLOOKUP(A55,'[1]Classic Net to delete'!D:D,'[1]Classic Net to delete'!AA:AA,0)</f>
        <v>64</v>
      </c>
    </row>
    <row r="56" spans="1:17" x14ac:dyDescent="0.25">
      <c r="A56" t="s">
        <v>138</v>
      </c>
      <c r="B56" s="1" t="s">
        <v>139</v>
      </c>
      <c r="C56">
        <v>122.73</v>
      </c>
      <c r="D56" t="s">
        <v>20</v>
      </c>
      <c r="E56" t="str">
        <f t="shared" si="1"/>
        <v>06. Aluminium Tower Bridging Deck c/w handrail (L)</v>
      </c>
      <c r="F56">
        <v>75</v>
      </c>
      <c r="H56" t="b">
        <v>1</v>
      </c>
      <c r="I56">
        <v>65</v>
      </c>
      <c r="J56" s="192" t="s">
        <v>21</v>
      </c>
      <c r="K56" s="192" t="s">
        <v>36</v>
      </c>
      <c r="L56" s="188" t="str">
        <f>IFERROR(_xlfn.XLOOKUP(A56,[1]Fleet!A:A,[1]Fleet!E:E,""),"")</f>
        <v/>
      </c>
      <c r="N56" s="188" t="s">
        <v>139</v>
      </c>
      <c r="O56" s="198" t="s">
        <v>137</v>
      </c>
      <c r="P56">
        <v>55</v>
      </c>
      <c r="Q56">
        <f>_xlfn.XLOOKUP(A56,'[1]Classic Net to delete'!D:D,'[1]Classic Net to delete'!AA:AA,0)</f>
        <v>65</v>
      </c>
    </row>
    <row r="57" spans="1:17" x14ac:dyDescent="0.25">
      <c r="A57" t="s">
        <v>140</v>
      </c>
      <c r="B57" s="1" t="s">
        <v>141</v>
      </c>
      <c r="C57">
        <v>134.39000000000001</v>
      </c>
      <c r="D57" t="s">
        <v>20</v>
      </c>
      <c r="E57" t="str">
        <f t="shared" si="1"/>
        <v>06. Aluminium Tower Bridging Deck c/w handrail (L)</v>
      </c>
      <c r="F57">
        <v>75</v>
      </c>
      <c r="H57" t="b">
        <v>1</v>
      </c>
      <c r="I57">
        <v>66</v>
      </c>
      <c r="J57" s="192" t="s">
        <v>21</v>
      </c>
      <c r="K57" s="192" t="s">
        <v>36</v>
      </c>
      <c r="L57" s="188" t="str">
        <f>IFERROR(_xlfn.XLOOKUP(A57,[1]Fleet!A:A,[1]Fleet!E:E,""),"")</f>
        <v/>
      </c>
      <c r="N57" s="188" t="s">
        <v>141</v>
      </c>
      <c r="O57" s="198" t="s">
        <v>137</v>
      </c>
      <c r="P57">
        <v>56</v>
      </c>
      <c r="Q57">
        <f>_xlfn.XLOOKUP(A57,'[1]Classic Net to delete'!D:D,'[1]Classic Net to delete'!AA:AA,0)</f>
        <v>66</v>
      </c>
    </row>
    <row r="58" spans="1:17" x14ac:dyDescent="0.25">
      <c r="A58" t="s">
        <v>142</v>
      </c>
      <c r="B58" s="1" t="s">
        <v>143</v>
      </c>
      <c r="C58">
        <v>144.5</v>
      </c>
      <c r="D58" t="s">
        <v>20</v>
      </c>
      <c r="E58" t="str">
        <f t="shared" si="1"/>
        <v>06. Aluminium Tower Bridging Deck c/w handrail (L)</v>
      </c>
      <c r="F58">
        <v>75</v>
      </c>
      <c r="H58" t="b">
        <v>1</v>
      </c>
      <c r="I58">
        <v>67</v>
      </c>
      <c r="J58" s="192" t="s">
        <v>21</v>
      </c>
      <c r="K58" s="192" t="s">
        <v>36</v>
      </c>
      <c r="L58" s="188" t="str">
        <f>IFERROR(_xlfn.XLOOKUP(A58,[1]Fleet!A:A,[1]Fleet!E:E,""),"")</f>
        <v/>
      </c>
      <c r="N58" s="188" t="s">
        <v>143</v>
      </c>
      <c r="O58" s="198" t="s">
        <v>137</v>
      </c>
      <c r="P58">
        <v>57</v>
      </c>
      <c r="Q58">
        <f>_xlfn.XLOOKUP(A58,'[1]Classic Net to delete'!D:D,'[1]Classic Net to delete'!AA:AA,0)</f>
        <v>67</v>
      </c>
    </row>
    <row r="59" spans="1:17" x14ac:dyDescent="0.25">
      <c r="A59" t="s">
        <v>144</v>
      </c>
      <c r="B59" s="1" t="s">
        <v>145</v>
      </c>
      <c r="C59">
        <v>69.39</v>
      </c>
      <c r="D59" t="s">
        <v>20</v>
      </c>
      <c r="E59" t="str">
        <f t="shared" si="1"/>
        <v>07. Deskspan Access Platforms (LxPl./H)</v>
      </c>
      <c r="F59">
        <v>75</v>
      </c>
      <c r="H59" t="b">
        <v>1</v>
      </c>
      <c r="I59">
        <v>57</v>
      </c>
      <c r="J59" s="192" t="s">
        <v>21</v>
      </c>
      <c r="K59" s="192" t="s">
        <v>40</v>
      </c>
      <c r="L59" s="188" t="str">
        <f>IFERROR(_xlfn.XLOOKUP(A59,[1]Fleet!A:A,[1]Fleet!E:E,""),"")</f>
        <v/>
      </c>
      <c r="N59" s="188" t="s">
        <v>145</v>
      </c>
      <c r="O59" s="198" t="s">
        <v>146</v>
      </c>
      <c r="P59">
        <v>58</v>
      </c>
      <c r="Q59">
        <f>_xlfn.XLOOKUP(A59,'[1]Classic Net to delete'!D:D,'[1]Classic Net to delete'!AA:AA,0)</f>
        <v>57</v>
      </c>
    </row>
    <row r="60" spans="1:17" x14ac:dyDescent="0.25">
      <c r="A60" t="s">
        <v>147</v>
      </c>
      <c r="B60" s="1" t="s">
        <v>148</v>
      </c>
      <c r="C60">
        <v>72.28</v>
      </c>
      <c r="D60" t="s">
        <v>20</v>
      </c>
      <c r="E60" t="str">
        <f t="shared" si="1"/>
        <v>07. Deskspan Access Platforms (LxPl./H)</v>
      </c>
      <c r="F60">
        <v>75</v>
      </c>
      <c r="H60" t="b">
        <v>1</v>
      </c>
      <c r="I60">
        <v>58</v>
      </c>
      <c r="J60" s="192" t="s">
        <v>21</v>
      </c>
      <c r="K60" s="192" t="s">
        <v>40</v>
      </c>
      <c r="L60" s="188" t="str">
        <f>IFERROR(_xlfn.XLOOKUP(A60,[1]Fleet!A:A,[1]Fleet!E:E,""),"")</f>
        <v/>
      </c>
      <c r="N60" s="188" t="s">
        <v>148</v>
      </c>
      <c r="O60" s="198" t="s">
        <v>146</v>
      </c>
      <c r="P60">
        <v>59</v>
      </c>
      <c r="Q60">
        <f>_xlfn.XLOOKUP(A60,'[1]Classic Net to delete'!D:D,'[1]Classic Net to delete'!AA:AA,0)</f>
        <v>58</v>
      </c>
    </row>
    <row r="61" spans="1:17" x14ac:dyDescent="0.25">
      <c r="A61" t="s">
        <v>149</v>
      </c>
      <c r="B61" s="1" t="s">
        <v>150</v>
      </c>
      <c r="C61">
        <v>75.11</v>
      </c>
      <c r="D61" t="s">
        <v>20</v>
      </c>
      <c r="E61" t="str">
        <f t="shared" si="1"/>
        <v>07. Deskspan Access Platforms (LxPl./H)</v>
      </c>
      <c r="F61">
        <v>75</v>
      </c>
      <c r="H61" t="b">
        <v>1</v>
      </c>
      <c r="I61">
        <v>59</v>
      </c>
      <c r="J61" s="192" t="s">
        <v>21</v>
      </c>
      <c r="K61" s="192" t="s">
        <v>40</v>
      </c>
      <c r="L61" s="188" t="str">
        <f>IFERROR(_xlfn.XLOOKUP(A61,[1]Fleet!A:A,[1]Fleet!E:E,""),"")</f>
        <v/>
      </c>
      <c r="N61" s="188" t="s">
        <v>150</v>
      </c>
      <c r="O61" s="198" t="s">
        <v>146</v>
      </c>
      <c r="P61">
        <v>60</v>
      </c>
      <c r="Q61">
        <f>_xlfn.XLOOKUP(A61,'[1]Classic Net to delete'!D:D,'[1]Classic Net to delete'!AA:AA,0)</f>
        <v>59</v>
      </c>
    </row>
    <row r="62" spans="1:17" x14ac:dyDescent="0.25">
      <c r="A62" s="1" t="s">
        <v>151</v>
      </c>
      <c r="B62" s="1" t="s">
        <v>152</v>
      </c>
      <c r="C62">
        <v>39.14</v>
      </c>
      <c r="D62" t="s">
        <v>20</v>
      </c>
      <c r="E62" t="str">
        <f t="shared" si="1"/>
        <v>08. Non-conductive GRP Tower (WxL)</v>
      </c>
      <c r="F62">
        <v>75</v>
      </c>
      <c r="H62" t="b">
        <v>1</v>
      </c>
      <c r="I62">
        <v>19</v>
      </c>
      <c r="J62" s="192" t="s">
        <v>21</v>
      </c>
      <c r="K62" s="192" t="s">
        <v>44</v>
      </c>
      <c r="L62" s="188" t="str">
        <f>IFERROR(_xlfn.XLOOKUP(A62,[1]Fleet!A:A,[1]Fleet!E:E,""),"")</f>
        <v/>
      </c>
      <c r="N62" s="188" t="s">
        <v>152</v>
      </c>
      <c r="O62" s="199" t="s">
        <v>153</v>
      </c>
      <c r="P62">
        <v>61</v>
      </c>
      <c r="Q62">
        <f>_xlfn.XLOOKUP(A62,'[1]Classic Net to delete'!D:D,'[1]Classic Net to delete'!AA:AA,0)</f>
        <v>19</v>
      </c>
    </row>
    <row r="63" spans="1:17" x14ac:dyDescent="0.25">
      <c r="A63" s="1" t="s">
        <v>154</v>
      </c>
      <c r="B63" s="1" t="s">
        <v>155</v>
      </c>
      <c r="C63">
        <v>39.14</v>
      </c>
      <c r="D63" t="s">
        <v>20</v>
      </c>
      <c r="E63" t="str">
        <f t="shared" si="1"/>
        <v>08. Non-conductive GRP Tower (WxL)</v>
      </c>
      <c r="F63">
        <v>75</v>
      </c>
      <c r="H63" t="b">
        <v>1</v>
      </c>
      <c r="I63">
        <v>20</v>
      </c>
      <c r="J63" s="192" t="s">
        <v>21</v>
      </c>
      <c r="K63" s="192" t="s">
        <v>44</v>
      </c>
      <c r="L63" s="188" t="str">
        <f>IFERROR(_xlfn.XLOOKUP(A63,[1]Fleet!A:A,[1]Fleet!E:E,""),"")</f>
        <v/>
      </c>
      <c r="N63" s="188" t="s">
        <v>155</v>
      </c>
      <c r="O63" s="199" t="s">
        <v>153</v>
      </c>
      <c r="P63">
        <v>62</v>
      </c>
      <c r="Q63">
        <f>_xlfn.XLOOKUP(A63,'[1]Classic Net to delete'!D:D,'[1]Classic Net to delete'!AA:AA,0)</f>
        <v>20</v>
      </c>
    </row>
    <row r="64" spans="1:17" x14ac:dyDescent="0.25">
      <c r="A64" s="1" t="s">
        <v>156</v>
      </c>
      <c r="B64" s="1" t="s">
        <v>157</v>
      </c>
      <c r="C64">
        <v>39.14</v>
      </c>
      <c r="D64" t="s">
        <v>20</v>
      </c>
      <c r="E64" t="str">
        <f t="shared" si="1"/>
        <v>08. Non-conductive GRP Tower (WxL)</v>
      </c>
      <c r="F64">
        <v>75</v>
      </c>
      <c r="H64" t="b">
        <v>1</v>
      </c>
      <c r="I64">
        <v>21</v>
      </c>
      <c r="J64" s="192" t="s">
        <v>21</v>
      </c>
      <c r="K64" s="192" t="s">
        <v>44</v>
      </c>
      <c r="L64" s="188" t="str">
        <f>IFERROR(_xlfn.XLOOKUP(A64,[1]Fleet!A:A,[1]Fleet!E:E,""),"")</f>
        <v/>
      </c>
      <c r="N64" s="188" t="s">
        <v>157</v>
      </c>
      <c r="O64" s="199" t="s">
        <v>153</v>
      </c>
      <c r="P64">
        <v>63</v>
      </c>
      <c r="Q64">
        <f>_xlfn.XLOOKUP(A64,'[1]Classic Net to delete'!D:D,'[1]Classic Net to delete'!AA:AA,0)</f>
        <v>21</v>
      </c>
    </row>
    <row r="65" spans="1:17" x14ac:dyDescent="0.25">
      <c r="A65" s="1" t="s">
        <v>158</v>
      </c>
      <c r="B65" s="1" t="s">
        <v>159</v>
      </c>
      <c r="C65">
        <v>39.14</v>
      </c>
      <c r="D65" t="s">
        <v>20</v>
      </c>
      <c r="E65" t="str">
        <f t="shared" si="1"/>
        <v>08. Non-conductive GRP Tower (WxL)</v>
      </c>
      <c r="F65">
        <v>75</v>
      </c>
      <c r="H65" t="b">
        <v>1</v>
      </c>
      <c r="I65">
        <v>22</v>
      </c>
      <c r="J65" s="192" t="s">
        <v>21</v>
      </c>
      <c r="K65" s="192" t="s">
        <v>44</v>
      </c>
      <c r="L65" s="188" t="str">
        <f>IFERROR(_xlfn.XLOOKUP(A65,[1]Fleet!A:A,[1]Fleet!E:E,""),"")</f>
        <v/>
      </c>
      <c r="N65" s="188" t="s">
        <v>159</v>
      </c>
      <c r="O65" s="199" t="s">
        <v>153</v>
      </c>
      <c r="P65">
        <v>64</v>
      </c>
      <c r="Q65">
        <f>_xlfn.XLOOKUP(A65,'[1]Classic Net to delete'!D:D,'[1]Classic Net to delete'!AA:AA,0)</f>
        <v>22</v>
      </c>
    </row>
    <row r="66" spans="1:17" x14ac:dyDescent="0.25">
      <c r="A66" t="s">
        <v>160</v>
      </c>
      <c r="B66" t="s">
        <v>161</v>
      </c>
      <c r="C66">
        <v>100.95</v>
      </c>
      <c r="D66" t="s">
        <v>20</v>
      </c>
      <c r="E66" t="str">
        <f t="shared" ref="E66:E102" si="2">CONCATENATE(K66,". ",O66)</f>
        <v>09. Stairwell Tower (WxLxPl.H)</v>
      </c>
      <c r="F66">
        <v>75</v>
      </c>
      <c r="H66" t="b">
        <v>1</v>
      </c>
      <c r="I66">
        <v>52</v>
      </c>
      <c r="J66" s="192" t="s">
        <v>21</v>
      </c>
      <c r="K66" s="192" t="s">
        <v>48</v>
      </c>
      <c r="L66" s="188" t="str">
        <f>IFERROR(_xlfn.XLOOKUP(A66,[1]Fleet!A:A,[1]Fleet!E:E,""),"")</f>
        <v/>
      </c>
      <c r="N66" s="188" t="s">
        <v>161</v>
      </c>
      <c r="O66" s="198" t="s">
        <v>162</v>
      </c>
      <c r="P66">
        <v>65</v>
      </c>
      <c r="Q66">
        <f>_xlfn.XLOOKUP(A66,'[1]Classic Net to delete'!D:D,'[1]Classic Net to delete'!AA:AA,0)</f>
        <v>52</v>
      </c>
    </row>
    <row r="67" spans="1:17" x14ac:dyDescent="0.25">
      <c r="A67" t="s">
        <v>163</v>
      </c>
      <c r="B67" t="s">
        <v>164</v>
      </c>
      <c r="C67">
        <v>37.56</v>
      </c>
      <c r="D67" t="s">
        <v>20</v>
      </c>
      <c r="E67" t="str">
        <f t="shared" si="2"/>
        <v>09. Stairwell Tower (WxLxPl.H)</v>
      </c>
      <c r="F67">
        <v>75</v>
      </c>
      <c r="H67" t="b">
        <v>1</v>
      </c>
      <c r="I67">
        <v>53</v>
      </c>
      <c r="J67" s="192" t="s">
        <v>21</v>
      </c>
      <c r="K67" s="192" t="s">
        <v>48</v>
      </c>
      <c r="L67" s="188" t="str">
        <f>IFERROR(_xlfn.XLOOKUP(A67,[1]Fleet!A:A,[1]Fleet!E:E,""),"")</f>
        <v/>
      </c>
      <c r="N67" s="188" t="s">
        <v>164</v>
      </c>
      <c r="O67" s="198" t="s">
        <v>162</v>
      </c>
      <c r="P67">
        <v>66</v>
      </c>
      <c r="Q67">
        <f>_xlfn.XLOOKUP(A67,'[1]Classic Net to delete'!D:D,'[1]Classic Net to delete'!AA:AA,0)</f>
        <v>53</v>
      </c>
    </row>
    <row r="68" spans="1:17" x14ac:dyDescent="0.25">
      <c r="A68" s="1" t="s">
        <v>165</v>
      </c>
      <c r="B68" t="s">
        <v>166</v>
      </c>
      <c r="C68">
        <v>80.62</v>
      </c>
      <c r="D68" t="s">
        <v>20</v>
      </c>
      <c r="E68" t="str">
        <f t="shared" si="2"/>
        <v>09. Stairwell Tower (WxLxPl.H)</v>
      </c>
      <c r="F68">
        <v>75</v>
      </c>
      <c r="H68" t="b">
        <v>1</v>
      </c>
      <c r="I68">
        <v>54</v>
      </c>
      <c r="J68" s="192" t="s">
        <v>21</v>
      </c>
      <c r="K68" s="192" t="s">
        <v>48</v>
      </c>
      <c r="O68" s="198" t="s">
        <v>162</v>
      </c>
      <c r="P68">
        <v>66</v>
      </c>
      <c r="Q68">
        <f>_xlfn.XLOOKUP(A68,'[1]Classic Net to delete'!D:D,'[1]Classic Net to delete'!AA:AA,0)</f>
        <v>0</v>
      </c>
    </row>
    <row r="69" spans="1:17" x14ac:dyDescent="0.25">
      <c r="A69" s="1" t="s">
        <v>167</v>
      </c>
      <c r="B69" t="s">
        <v>168</v>
      </c>
      <c r="C69">
        <v>123.21000000000001</v>
      </c>
      <c r="D69" t="s">
        <v>20</v>
      </c>
      <c r="E69" t="str">
        <f t="shared" si="2"/>
        <v>09. Stairwell Tower (WxLxPl.H)</v>
      </c>
      <c r="F69">
        <v>75</v>
      </c>
      <c r="H69" t="b">
        <v>1</v>
      </c>
      <c r="I69">
        <v>55</v>
      </c>
      <c r="J69" s="192" t="s">
        <v>21</v>
      </c>
      <c r="K69" s="192" t="s">
        <v>48</v>
      </c>
      <c r="O69" s="198" t="s">
        <v>162</v>
      </c>
      <c r="P69">
        <v>66</v>
      </c>
      <c r="Q69">
        <f>_xlfn.XLOOKUP(A69,'[1]Classic Net to delete'!D:D,'[1]Classic Net to delete'!AA:AA,0)</f>
        <v>0</v>
      </c>
    </row>
    <row r="70" spans="1:17" x14ac:dyDescent="0.25">
      <c r="A70" s="1" t="s">
        <v>169</v>
      </c>
      <c r="B70" t="s">
        <v>170</v>
      </c>
      <c r="C70">
        <v>166.06</v>
      </c>
      <c r="D70" t="s">
        <v>20</v>
      </c>
      <c r="E70" t="str">
        <f t="shared" si="2"/>
        <v>09. Stairwell Tower (WxLxPl.H)</v>
      </c>
      <c r="F70">
        <v>75</v>
      </c>
      <c r="H70" t="b">
        <v>1</v>
      </c>
      <c r="I70">
        <v>56</v>
      </c>
      <c r="J70" s="192" t="s">
        <v>21</v>
      </c>
      <c r="K70" s="192" t="s">
        <v>48</v>
      </c>
      <c r="O70" s="198" t="s">
        <v>162</v>
      </c>
      <c r="P70">
        <v>66</v>
      </c>
      <c r="Q70">
        <f>_xlfn.XLOOKUP(A70,'[1]Classic Net to delete'!D:D,'[1]Classic Net to delete'!AA:AA,0)</f>
        <v>0</v>
      </c>
    </row>
    <row r="71" spans="1:17" x14ac:dyDescent="0.25">
      <c r="A71" s="1" t="s">
        <v>171</v>
      </c>
      <c r="B71" t="s">
        <v>172</v>
      </c>
      <c r="C71">
        <v>208.65</v>
      </c>
      <c r="D71" t="s">
        <v>20</v>
      </c>
      <c r="E71" t="str">
        <f t="shared" si="2"/>
        <v>09. Stairwell Tower (WxLxPl.H)</v>
      </c>
      <c r="F71">
        <v>75</v>
      </c>
      <c r="H71" t="b">
        <v>1</v>
      </c>
      <c r="I71">
        <v>57</v>
      </c>
      <c r="J71" s="192" t="s">
        <v>21</v>
      </c>
      <c r="K71" s="192" t="s">
        <v>48</v>
      </c>
      <c r="O71" s="198" t="s">
        <v>162</v>
      </c>
      <c r="P71">
        <v>66</v>
      </c>
      <c r="Q71">
        <f>_xlfn.XLOOKUP(A71,'[1]Classic Net to delete'!D:D,'[1]Classic Net to delete'!AA:AA,0)</f>
        <v>0</v>
      </c>
    </row>
    <row r="72" spans="1:17" x14ac:dyDescent="0.25">
      <c r="A72" s="1" t="s">
        <v>173</v>
      </c>
      <c r="B72" t="s">
        <v>174</v>
      </c>
      <c r="C72">
        <v>251.45000000000002</v>
      </c>
      <c r="D72" t="s">
        <v>20</v>
      </c>
      <c r="E72" t="str">
        <f t="shared" si="2"/>
        <v>09. Stairwell Tower (WxLxPl.H)</v>
      </c>
      <c r="F72">
        <v>75</v>
      </c>
      <c r="H72" t="b">
        <v>1</v>
      </c>
      <c r="I72">
        <v>58</v>
      </c>
      <c r="J72" s="192" t="s">
        <v>21</v>
      </c>
      <c r="K72" s="192" t="s">
        <v>48</v>
      </c>
      <c r="O72" s="198" t="s">
        <v>162</v>
      </c>
      <c r="P72">
        <v>66</v>
      </c>
      <c r="Q72">
        <f>_xlfn.XLOOKUP(A72,'[1]Classic Net to delete'!D:D,'[1]Classic Net to delete'!AA:AA,0)</f>
        <v>0</v>
      </c>
    </row>
    <row r="73" spans="1:17" x14ac:dyDescent="0.25">
      <c r="A73" t="s">
        <v>175</v>
      </c>
      <c r="B73" t="s">
        <v>176</v>
      </c>
      <c r="C73">
        <v>23.03</v>
      </c>
      <c r="D73" t="s">
        <v>20</v>
      </c>
      <c r="E73" t="str">
        <f t="shared" si="2"/>
        <v>10. Lift Shaft Aluminium Tower (WxL)</v>
      </c>
      <c r="F73">
        <v>75</v>
      </c>
      <c r="H73" t="b">
        <v>1</v>
      </c>
      <c r="I73">
        <v>46</v>
      </c>
      <c r="J73" s="192" t="s">
        <v>21</v>
      </c>
      <c r="K73" s="191">
        <v>10</v>
      </c>
      <c r="L73" s="188" t="str">
        <f>IFERROR(_xlfn.XLOOKUP(A73,[1]Fleet!A:A,[1]Fleet!E:E,""),"")</f>
        <v/>
      </c>
      <c r="N73" s="188" t="s">
        <v>177</v>
      </c>
      <c r="O73" s="198" t="s">
        <v>178</v>
      </c>
      <c r="P73">
        <v>67</v>
      </c>
      <c r="Q73">
        <f>_xlfn.XLOOKUP(A73,'[1]Classic Net to delete'!D:D,'[1]Classic Net to delete'!AA:AA,0)</f>
        <v>46</v>
      </c>
    </row>
    <row r="74" spans="1:17" x14ac:dyDescent="0.25">
      <c r="A74" t="s">
        <v>179</v>
      </c>
      <c r="B74" t="s">
        <v>180</v>
      </c>
      <c r="C74">
        <v>23.03</v>
      </c>
      <c r="D74" t="s">
        <v>20</v>
      </c>
      <c r="E74" t="str">
        <f t="shared" si="2"/>
        <v>10. Lift Shaft Aluminium Tower (WxL)</v>
      </c>
      <c r="F74">
        <v>75</v>
      </c>
      <c r="H74" t="b">
        <v>1</v>
      </c>
      <c r="I74">
        <v>47</v>
      </c>
      <c r="J74" s="192" t="s">
        <v>21</v>
      </c>
      <c r="K74" s="191">
        <v>10</v>
      </c>
      <c r="L74" s="188" t="str">
        <f>IFERROR(_xlfn.XLOOKUP(A74,[1]Fleet!A:A,[1]Fleet!E:E,""),"")</f>
        <v/>
      </c>
      <c r="N74" s="188" t="s">
        <v>181</v>
      </c>
      <c r="O74" s="198" t="s">
        <v>178</v>
      </c>
      <c r="P74">
        <v>68</v>
      </c>
      <c r="Q74">
        <f>_xlfn.XLOOKUP(A74,'[1]Classic Net to delete'!D:D,'[1]Classic Net to delete'!AA:AA,0)</f>
        <v>47</v>
      </c>
    </row>
    <row r="75" spans="1:17" x14ac:dyDescent="0.25">
      <c r="A75" t="s">
        <v>182</v>
      </c>
      <c r="B75" t="s">
        <v>183</v>
      </c>
      <c r="C75">
        <v>178.16</v>
      </c>
      <c r="D75" t="s">
        <v>20</v>
      </c>
      <c r="E75" t="str">
        <f t="shared" si="2"/>
        <v>11. Tower (WxLxH)</v>
      </c>
      <c r="F75">
        <v>75</v>
      </c>
      <c r="H75" t="b">
        <v>1</v>
      </c>
      <c r="I75">
        <v>0</v>
      </c>
      <c r="J75" s="192" t="s">
        <v>21</v>
      </c>
      <c r="K75" s="191">
        <v>11</v>
      </c>
      <c r="L75" s="188" t="str">
        <f>IFERROR(_xlfn.XLOOKUP(A75,[1]Fleet!A:A,[1]Fleet!E:E,""),"")</f>
        <v/>
      </c>
      <c r="M75" s="188" t="s">
        <v>22</v>
      </c>
      <c r="N75" s="188" t="s">
        <v>22</v>
      </c>
      <c r="O75" s="198" t="s">
        <v>184</v>
      </c>
      <c r="P75">
        <v>74</v>
      </c>
      <c r="Q75">
        <f>_xlfn.XLOOKUP(A75,'[1]Classic Net to delete'!D:D,'[1]Classic Net to delete'!AA:AA,0)</f>
        <v>0</v>
      </c>
    </row>
    <row r="76" spans="1:17" x14ac:dyDescent="0.25">
      <c r="A76" t="s">
        <v>185</v>
      </c>
      <c r="B76" t="s">
        <v>186</v>
      </c>
      <c r="C76">
        <v>162.16</v>
      </c>
      <c r="D76" t="s">
        <v>20</v>
      </c>
      <c r="E76" t="str">
        <f t="shared" si="2"/>
        <v>11. Tower (WxLxH)</v>
      </c>
      <c r="F76">
        <v>75</v>
      </c>
      <c r="H76" t="b">
        <v>0</v>
      </c>
      <c r="I76">
        <v>0</v>
      </c>
      <c r="J76" s="192" t="s">
        <v>21</v>
      </c>
      <c r="K76" s="191">
        <v>11</v>
      </c>
      <c r="L76" s="188">
        <f>IFERROR(_xlfn.XLOOKUP(A76,[1]Fleet!A:A,[1]Fleet!E:E,""),"")</f>
        <v>0</v>
      </c>
      <c r="M76" s="188" t="s">
        <v>22</v>
      </c>
      <c r="N76" s="188" t="s">
        <v>22</v>
      </c>
      <c r="O76" s="198" t="s">
        <v>184</v>
      </c>
      <c r="P76">
        <v>73</v>
      </c>
      <c r="Q76">
        <f>_xlfn.XLOOKUP(A76,'[1]Classic Net to delete'!D:D,'[1]Classic Net to delete'!AA:AA,0)</f>
        <v>0</v>
      </c>
    </row>
    <row r="77" spans="1:17" x14ac:dyDescent="0.25">
      <c r="A77" t="s">
        <v>187</v>
      </c>
      <c r="B77" t="s">
        <v>188</v>
      </c>
      <c r="C77">
        <v>162.16</v>
      </c>
      <c r="D77" t="s">
        <v>20</v>
      </c>
      <c r="E77" t="str">
        <f t="shared" si="2"/>
        <v>11. Tower (WxLxH)</v>
      </c>
      <c r="F77">
        <v>75</v>
      </c>
      <c r="H77" t="b">
        <v>1</v>
      </c>
      <c r="I77">
        <v>89</v>
      </c>
      <c r="J77" s="192" t="s">
        <v>21</v>
      </c>
      <c r="K77" s="191">
        <v>11</v>
      </c>
      <c r="L77" s="188">
        <f>IFERROR(_xlfn.XLOOKUP(A77,[1]Fleet!A:A,[1]Fleet!E:E,""),"")</f>
        <v>36</v>
      </c>
      <c r="M77" s="188">
        <v>151.55000000000001</v>
      </c>
      <c r="N77" s="188" t="s">
        <v>189</v>
      </c>
      <c r="O77" s="198" t="s">
        <v>184</v>
      </c>
      <c r="P77">
        <v>70</v>
      </c>
      <c r="Q77">
        <f>_xlfn.XLOOKUP(A77,'[1]Classic Net to delete'!D:D,'[1]Classic Net to delete'!AA:AA,0)</f>
        <v>89</v>
      </c>
    </row>
    <row r="78" spans="1:17" x14ac:dyDescent="0.25">
      <c r="A78" t="s">
        <v>190</v>
      </c>
      <c r="B78" t="s">
        <v>191</v>
      </c>
      <c r="C78">
        <v>206.67000000000002</v>
      </c>
      <c r="D78" t="s">
        <v>20</v>
      </c>
      <c r="E78" t="str">
        <f t="shared" si="2"/>
        <v>11. Tower (WxLxH)</v>
      </c>
      <c r="F78">
        <v>75</v>
      </c>
      <c r="H78" t="b">
        <v>1</v>
      </c>
      <c r="I78">
        <v>90</v>
      </c>
      <c r="J78" s="192" t="s">
        <v>21</v>
      </c>
      <c r="K78" s="191">
        <v>11</v>
      </c>
      <c r="L78" s="188">
        <f>IFERROR(_xlfn.XLOOKUP(A78,[1]Fleet!A:A,[1]Fleet!E:E,""),"")</f>
        <v>8</v>
      </c>
      <c r="M78" s="188">
        <v>193.15</v>
      </c>
      <c r="N78" s="188" t="s">
        <v>192</v>
      </c>
      <c r="O78" s="198" t="s">
        <v>184</v>
      </c>
      <c r="P78">
        <v>72</v>
      </c>
      <c r="Q78">
        <f>_xlfn.XLOOKUP(A78,'[1]Classic Net to delete'!D:D,'[1]Classic Net to delete'!AA:AA,0)</f>
        <v>90</v>
      </c>
    </row>
    <row r="79" spans="1:17" x14ac:dyDescent="0.25">
      <c r="A79" t="s">
        <v>193</v>
      </c>
      <c r="B79" t="s">
        <v>194</v>
      </c>
      <c r="C79">
        <v>50.45</v>
      </c>
      <c r="D79" t="s">
        <v>20</v>
      </c>
      <c r="E79" t="str">
        <f t="shared" si="2"/>
        <v>11. Tower (WxLxH)</v>
      </c>
      <c r="F79">
        <v>75</v>
      </c>
      <c r="H79" t="b">
        <v>1</v>
      </c>
      <c r="I79">
        <v>94</v>
      </c>
      <c r="J79" s="192" t="s">
        <v>21</v>
      </c>
      <c r="K79" s="191">
        <v>11</v>
      </c>
      <c r="L79" s="188">
        <f>IFERROR(_xlfn.XLOOKUP(A79,[1]Fleet!A:A,[1]Fleet!E:E,""),"")</f>
        <v>2</v>
      </c>
      <c r="M79" s="188">
        <v>47.150000000000006</v>
      </c>
      <c r="N79" s="188" t="s">
        <v>195</v>
      </c>
      <c r="O79" s="198" t="s">
        <v>184</v>
      </c>
      <c r="P79">
        <v>69</v>
      </c>
      <c r="Q79">
        <f>_xlfn.XLOOKUP(A79,'[1]Classic Net to delete'!D:D,'[1]Classic Net to delete'!AA:AA,0)</f>
        <v>94</v>
      </c>
    </row>
    <row r="80" spans="1:17" x14ac:dyDescent="0.25">
      <c r="A80" t="s">
        <v>196</v>
      </c>
      <c r="B80" t="s">
        <v>197</v>
      </c>
      <c r="C80">
        <v>52.06</v>
      </c>
      <c r="D80" t="s">
        <v>20</v>
      </c>
      <c r="E80" t="str">
        <f t="shared" si="2"/>
        <v>11. Tower (WxLxH)</v>
      </c>
      <c r="F80">
        <v>75</v>
      </c>
      <c r="H80" t="b">
        <v>1</v>
      </c>
      <c r="I80">
        <v>98</v>
      </c>
      <c r="J80" s="192" t="s">
        <v>21</v>
      </c>
      <c r="K80" s="191">
        <v>11</v>
      </c>
      <c r="L80" s="188">
        <f>IFERROR(_xlfn.XLOOKUP(A80,[1]Fleet!A:A,[1]Fleet!E:E,""),"")</f>
        <v>59</v>
      </c>
      <c r="M80" s="188">
        <v>48.650000000000006</v>
      </c>
      <c r="N80" s="188" t="s">
        <v>198</v>
      </c>
      <c r="O80" s="198" t="s">
        <v>184</v>
      </c>
      <c r="P80">
        <v>71</v>
      </c>
      <c r="Q80">
        <f>_xlfn.XLOOKUP(A80,'[1]Classic Net to delete'!D:D,'[1]Classic Net to delete'!AA:AA,0)</f>
        <v>98</v>
      </c>
    </row>
    <row r="81" spans="1:17" x14ac:dyDescent="0.25">
      <c r="A81" t="s">
        <v>199</v>
      </c>
      <c r="B81" t="s">
        <v>200</v>
      </c>
      <c r="C81">
        <v>61.2</v>
      </c>
      <c r="D81" t="s">
        <v>20</v>
      </c>
      <c r="E81" t="str">
        <f t="shared" si="2"/>
        <v>12. Podiums &amp; Platforms</v>
      </c>
      <c r="F81">
        <v>75</v>
      </c>
      <c r="H81" t="b">
        <v>0</v>
      </c>
      <c r="I81">
        <v>0</v>
      </c>
      <c r="J81" s="192" t="s">
        <v>21</v>
      </c>
      <c r="K81" s="191">
        <v>12</v>
      </c>
      <c r="L81" s="188">
        <f>IFERROR(_xlfn.XLOOKUP(A81,[1]Fleet!A:A,[1]Fleet!E:E,""),"")</f>
        <v>21</v>
      </c>
      <c r="M81" s="188" t="s">
        <v>22</v>
      </c>
      <c r="N81" s="188" t="s">
        <v>22</v>
      </c>
      <c r="O81" s="198" t="s">
        <v>201</v>
      </c>
      <c r="P81">
        <v>78</v>
      </c>
      <c r="Q81">
        <f>_xlfn.XLOOKUP(A81,'[1]Classic Net to delete'!D:D,'[1]Classic Net to delete'!AA:AA,0)</f>
        <v>0</v>
      </c>
    </row>
    <row r="82" spans="1:17" x14ac:dyDescent="0.25">
      <c r="A82" t="s">
        <v>202</v>
      </c>
      <c r="B82" t="s">
        <v>203</v>
      </c>
      <c r="C82">
        <v>61.2</v>
      </c>
      <c r="D82" t="s">
        <v>20</v>
      </c>
      <c r="E82" t="str">
        <f t="shared" si="2"/>
        <v>12. Podiums &amp; Platforms</v>
      </c>
      <c r="F82">
        <v>75</v>
      </c>
      <c r="H82" t="b">
        <v>0</v>
      </c>
      <c r="I82">
        <v>0</v>
      </c>
      <c r="J82" s="192" t="s">
        <v>21</v>
      </c>
      <c r="K82" s="191">
        <v>12</v>
      </c>
      <c r="L82" s="188">
        <f>IFERROR(_xlfn.XLOOKUP(A82,[1]Fleet!A:A,[1]Fleet!E:E,""),"")</f>
        <v>93</v>
      </c>
      <c r="M82" s="188" t="s">
        <v>22</v>
      </c>
      <c r="N82" s="188" t="s">
        <v>22</v>
      </c>
      <c r="O82" s="198" t="s">
        <v>201</v>
      </c>
      <c r="P82">
        <v>82</v>
      </c>
      <c r="Q82">
        <f>_xlfn.XLOOKUP(A82,'[1]Classic Net to delete'!D:D,'[1]Classic Net to delete'!AA:AA,0)</f>
        <v>0</v>
      </c>
    </row>
    <row r="83" spans="1:17" x14ac:dyDescent="0.25">
      <c r="A83" t="s">
        <v>204</v>
      </c>
      <c r="B83" t="s">
        <v>205</v>
      </c>
      <c r="C83">
        <v>70.989999999999995</v>
      </c>
      <c r="D83" t="s">
        <v>20</v>
      </c>
      <c r="E83" t="str">
        <f t="shared" si="2"/>
        <v>12. Podiums &amp; Platforms</v>
      </c>
      <c r="F83">
        <v>75</v>
      </c>
      <c r="H83" t="b">
        <v>0</v>
      </c>
      <c r="I83">
        <v>0</v>
      </c>
      <c r="J83" s="192" t="s">
        <v>21</v>
      </c>
      <c r="K83" s="191">
        <v>12</v>
      </c>
      <c r="L83" s="188">
        <f>IFERROR(_xlfn.XLOOKUP(A83,[1]Fleet!A:A,[1]Fleet!E:E,""),"")</f>
        <v>86</v>
      </c>
      <c r="M83" s="188" t="s">
        <v>22</v>
      </c>
      <c r="N83" s="188" t="s">
        <v>22</v>
      </c>
      <c r="O83" s="198" t="s">
        <v>201</v>
      </c>
      <c r="P83">
        <v>83</v>
      </c>
      <c r="Q83">
        <f>_xlfn.XLOOKUP(A83,'[1]Classic Net to delete'!D:D,'[1]Classic Net to delete'!AA:AA,0)</f>
        <v>0</v>
      </c>
    </row>
    <row r="84" spans="1:17" x14ac:dyDescent="0.25">
      <c r="A84" t="s">
        <v>206</v>
      </c>
      <c r="B84" t="s">
        <v>207</v>
      </c>
      <c r="C84">
        <v>0</v>
      </c>
      <c r="D84" t="s">
        <v>20</v>
      </c>
      <c r="E84" t="str">
        <f t="shared" si="2"/>
        <v>12. Podiums &amp; Platforms</v>
      </c>
      <c r="F84">
        <v>75</v>
      </c>
      <c r="H84" t="b">
        <v>0</v>
      </c>
      <c r="I84">
        <v>0</v>
      </c>
      <c r="J84" s="192" t="s">
        <v>21</v>
      </c>
      <c r="K84" s="191">
        <v>12</v>
      </c>
      <c r="L84" s="188" t="str">
        <f>IFERROR(_xlfn.XLOOKUP(A84,[1]Fleet!A:A,[1]Fleet!E:E,""),"")</f>
        <v/>
      </c>
      <c r="M84" s="188" t="s">
        <v>22</v>
      </c>
      <c r="N84" s="188" t="s">
        <v>22</v>
      </c>
      <c r="O84" s="198" t="s">
        <v>201</v>
      </c>
      <c r="P84">
        <v>89</v>
      </c>
      <c r="Q84">
        <f>_xlfn.XLOOKUP(A84,'[1]Classic Net to delete'!D:D,'[1]Classic Net to delete'!AA:AA,0)</f>
        <v>0</v>
      </c>
    </row>
    <row r="85" spans="1:17" x14ac:dyDescent="0.25">
      <c r="A85" t="s">
        <v>208</v>
      </c>
      <c r="B85" t="s">
        <v>209</v>
      </c>
      <c r="C85">
        <v>113.58</v>
      </c>
      <c r="D85" t="s">
        <v>20</v>
      </c>
      <c r="E85" t="str">
        <f t="shared" si="2"/>
        <v>12. Podiums &amp; Platforms</v>
      </c>
      <c r="F85">
        <v>75</v>
      </c>
      <c r="H85" t="b">
        <v>0</v>
      </c>
      <c r="I85">
        <v>0</v>
      </c>
      <c r="J85" s="192" t="s">
        <v>21</v>
      </c>
      <c r="K85" s="191">
        <v>12</v>
      </c>
      <c r="L85" s="188">
        <f>IFERROR(_xlfn.XLOOKUP(A85,[1]Fleet!A:A,[1]Fleet!E:E,""),"")</f>
        <v>23</v>
      </c>
      <c r="M85" s="188" t="s">
        <v>22</v>
      </c>
      <c r="N85" s="188" t="s">
        <v>22</v>
      </c>
      <c r="O85" s="198" t="s">
        <v>201</v>
      </c>
      <c r="P85">
        <v>79</v>
      </c>
      <c r="Q85">
        <f>_xlfn.XLOOKUP(A85,'[1]Classic Net to delete'!D:D,'[1]Classic Net to delete'!AA:AA,0)</f>
        <v>0</v>
      </c>
    </row>
    <row r="86" spans="1:17" x14ac:dyDescent="0.25">
      <c r="A86" t="s">
        <v>210</v>
      </c>
      <c r="B86" t="s">
        <v>211</v>
      </c>
      <c r="C86">
        <v>58.69</v>
      </c>
      <c r="D86" t="s">
        <v>20</v>
      </c>
      <c r="E86" t="str">
        <f t="shared" si="2"/>
        <v>12. Podiums &amp; Platforms</v>
      </c>
      <c r="F86">
        <v>75</v>
      </c>
      <c r="H86" t="b">
        <v>0</v>
      </c>
      <c r="I86">
        <v>0</v>
      </c>
      <c r="J86" s="192" t="s">
        <v>21</v>
      </c>
      <c r="K86" s="191">
        <v>12</v>
      </c>
      <c r="L86" s="188">
        <f>IFERROR(_xlfn.XLOOKUP(A86,[1]Fleet!A:A,[1]Fleet!E:E,""),"")</f>
        <v>1</v>
      </c>
      <c r="M86" s="188" t="s">
        <v>22</v>
      </c>
      <c r="N86" s="188" t="s">
        <v>22</v>
      </c>
      <c r="O86" s="198" t="s">
        <v>201</v>
      </c>
      <c r="P86">
        <v>90</v>
      </c>
      <c r="Q86">
        <f>_xlfn.XLOOKUP(A86,'[1]Classic Net to delete'!D:D,'[1]Classic Net to delete'!AA:AA,0)</f>
        <v>0</v>
      </c>
    </row>
    <row r="87" spans="1:17" x14ac:dyDescent="0.25">
      <c r="A87" t="s">
        <v>212</v>
      </c>
      <c r="B87" t="s">
        <v>213</v>
      </c>
      <c r="C87">
        <v>230.72</v>
      </c>
      <c r="D87" t="s">
        <v>20</v>
      </c>
      <c r="E87" t="str">
        <f t="shared" si="2"/>
        <v>12. Podiums &amp; Platforms</v>
      </c>
      <c r="F87">
        <v>75</v>
      </c>
      <c r="H87" t="b">
        <v>0</v>
      </c>
      <c r="I87">
        <v>0</v>
      </c>
      <c r="J87" s="192" t="s">
        <v>21</v>
      </c>
      <c r="K87" s="191">
        <v>12</v>
      </c>
      <c r="L87" s="188">
        <f>IFERROR(_xlfn.XLOOKUP(A87,[1]Fleet!A:A,[1]Fleet!E:E,""),"")</f>
        <v>14</v>
      </c>
      <c r="M87" s="188" t="s">
        <v>22</v>
      </c>
      <c r="N87" s="188" t="s">
        <v>22</v>
      </c>
      <c r="O87" s="198" t="s">
        <v>201</v>
      </c>
      <c r="P87">
        <v>91</v>
      </c>
      <c r="Q87">
        <f>_xlfn.XLOOKUP(A87,'[1]Classic Net to delete'!D:D,'[1]Classic Net to delete'!AA:AA,0)</f>
        <v>0</v>
      </c>
    </row>
    <row r="88" spans="1:17" x14ac:dyDescent="0.25">
      <c r="A88" t="s">
        <v>214</v>
      </c>
      <c r="B88" t="s">
        <v>215</v>
      </c>
      <c r="C88">
        <v>66.88</v>
      </c>
      <c r="D88" t="s">
        <v>20</v>
      </c>
      <c r="E88" t="str">
        <f t="shared" si="2"/>
        <v>12. Podiums &amp; Platforms</v>
      </c>
      <c r="F88">
        <v>75</v>
      </c>
      <c r="H88" t="b">
        <v>1</v>
      </c>
      <c r="I88">
        <v>70</v>
      </c>
      <c r="J88" s="192" t="s">
        <v>21</v>
      </c>
      <c r="K88" s="191">
        <v>12</v>
      </c>
      <c r="L88" s="188">
        <f>IFERROR(_xlfn.XLOOKUP(A88,[1]Fleet!A:A,[1]Fleet!E:E,""),"")</f>
        <v>25</v>
      </c>
      <c r="M88" s="188">
        <v>62.5</v>
      </c>
      <c r="N88" s="188" t="s">
        <v>216</v>
      </c>
      <c r="O88" s="198" t="s">
        <v>201</v>
      </c>
      <c r="P88">
        <v>92</v>
      </c>
      <c r="Q88">
        <f>_xlfn.XLOOKUP(A88,'[1]Classic Net to delete'!D:D,'[1]Classic Net to delete'!AA:AA,0)</f>
        <v>70</v>
      </c>
    </row>
    <row r="89" spans="1:17" x14ac:dyDescent="0.25">
      <c r="A89" t="s">
        <v>217</v>
      </c>
      <c r="B89" t="s">
        <v>218</v>
      </c>
      <c r="C89">
        <v>61.2</v>
      </c>
      <c r="D89" t="s">
        <v>20</v>
      </c>
      <c r="E89" t="str">
        <f t="shared" si="2"/>
        <v>12. Podiums &amp; Platforms</v>
      </c>
      <c r="F89">
        <v>75</v>
      </c>
      <c r="H89" t="b">
        <v>1</v>
      </c>
      <c r="I89">
        <v>71</v>
      </c>
      <c r="J89" s="192" t="s">
        <v>21</v>
      </c>
      <c r="K89" s="191">
        <v>12</v>
      </c>
      <c r="L89" s="188">
        <f>IFERROR(_xlfn.XLOOKUP(A89,[1]Fleet!A:A,[1]Fleet!E:E,""),"")</f>
        <v>10</v>
      </c>
      <c r="M89" s="188">
        <v>57.2</v>
      </c>
      <c r="N89" s="188" t="s">
        <v>219</v>
      </c>
      <c r="O89" s="198" t="s">
        <v>201</v>
      </c>
      <c r="P89">
        <v>80</v>
      </c>
      <c r="Q89">
        <f>_xlfn.XLOOKUP(A89,'[1]Classic Net to delete'!D:D,'[1]Classic Net to delete'!AA:AA,0)</f>
        <v>71</v>
      </c>
    </row>
    <row r="90" spans="1:17" x14ac:dyDescent="0.25">
      <c r="A90" t="s">
        <v>220</v>
      </c>
      <c r="B90" t="s">
        <v>221</v>
      </c>
      <c r="C90">
        <v>61.2</v>
      </c>
      <c r="D90" t="s">
        <v>20</v>
      </c>
      <c r="E90" t="str">
        <f t="shared" si="2"/>
        <v>12. Podiums &amp; Platforms</v>
      </c>
      <c r="F90">
        <v>75</v>
      </c>
      <c r="H90" t="b">
        <v>1</v>
      </c>
      <c r="I90">
        <v>72</v>
      </c>
      <c r="J90" s="192" t="s">
        <v>21</v>
      </c>
      <c r="K90" s="191">
        <v>12</v>
      </c>
      <c r="L90" s="188">
        <f>IFERROR(_xlfn.XLOOKUP(A90,[1]Fleet!A:A,[1]Fleet!E:E,""),"")</f>
        <v>4</v>
      </c>
      <c r="M90" s="188">
        <v>57.2</v>
      </c>
      <c r="N90" s="188" t="s">
        <v>222</v>
      </c>
      <c r="O90" s="198" t="s">
        <v>201</v>
      </c>
      <c r="P90">
        <v>85</v>
      </c>
      <c r="Q90">
        <f>_xlfn.XLOOKUP(A90,'[1]Classic Net to delete'!D:D,'[1]Classic Net to delete'!AA:AA,0)</f>
        <v>72</v>
      </c>
    </row>
    <row r="91" spans="1:17" x14ac:dyDescent="0.25">
      <c r="A91" t="s">
        <v>223</v>
      </c>
      <c r="B91" t="s">
        <v>224</v>
      </c>
      <c r="C91">
        <v>70.989999999999995</v>
      </c>
      <c r="D91" t="s">
        <v>20</v>
      </c>
      <c r="E91" t="str">
        <f t="shared" si="2"/>
        <v>12. Podiums &amp; Platforms</v>
      </c>
      <c r="F91">
        <v>75</v>
      </c>
      <c r="H91" t="b">
        <v>1</v>
      </c>
      <c r="I91">
        <v>73</v>
      </c>
      <c r="J91" s="192" t="s">
        <v>21</v>
      </c>
      <c r="K91" s="191">
        <v>12</v>
      </c>
      <c r="L91" s="188">
        <f>IFERROR(_xlfn.XLOOKUP(A91,[1]Fleet!A:A,[1]Fleet!E:E,""),"")</f>
        <v>103</v>
      </c>
      <c r="M91" s="188">
        <v>66.350000000000009</v>
      </c>
      <c r="N91" s="188" t="s">
        <v>225</v>
      </c>
      <c r="O91" s="198" t="s">
        <v>201</v>
      </c>
      <c r="P91">
        <v>76</v>
      </c>
      <c r="Q91">
        <f>_xlfn.XLOOKUP(A91,'[1]Classic Net to delete'!D:D,'[1]Classic Net to delete'!AA:AA,0)</f>
        <v>73</v>
      </c>
    </row>
    <row r="92" spans="1:17" x14ac:dyDescent="0.25">
      <c r="A92" t="s">
        <v>226</v>
      </c>
      <c r="B92" t="s">
        <v>227</v>
      </c>
      <c r="C92">
        <v>113.58</v>
      </c>
      <c r="D92" t="s">
        <v>20</v>
      </c>
      <c r="E92" t="str">
        <f t="shared" si="2"/>
        <v>12. Podiums &amp; Platforms</v>
      </c>
      <c r="F92">
        <v>75</v>
      </c>
      <c r="H92" t="b">
        <v>1</v>
      </c>
      <c r="I92">
        <v>74</v>
      </c>
      <c r="J92" s="192" t="s">
        <v>21</v>
      </c>
      <c r="K92" s="191">
        <v>12</v>
      </c>
      <c r="L92" s="188">
        <f>IFERROR(_xlfn.XLOOKUP(A92,[1]Fleet!A:A,[1]Fleet!E:E,""),"")</f>
        <v>51</v>
      </c>
      <c r="M92" s="188">
        <v>106.15</v>
      </c>
      <c r="N92" s="188" t="s">
        <v>228</v>
      </c>
      <c r="O92" s="198" t="s">
        <v>201</v>
      </c>
      <c r="P92">
        <v>84</v>
      </c>
      <c r="Q92">
        <f>_xlfn.XLOOKUP(A92,'[1]Classic Net to delete'!D:D,'[1]Classic Net to delete'!AA:AA,0)</f>
        <v>74</v>
      </c>
    </row>
    <row r="93" spans="1:17" x14ac:dyDescent="0.25">
      <c r="A93" t="s">
        <v>229</v>
      </c>
      <c r="B93" t="s">
        <v>230</v>
      </c>
      <c r="C93">
        <v>151.41</v>
      </c>
      <c r="D93" t="s">
        <v>20</v>
      </c>
      <c r="E93" t="str">
        <f t="shared" si="2"/>
        <v>12. Podiums &amp; Platforms</v>
      </c>
      <c r="F93">
        <v>75</v>
      </c>
      <c r="H93" t="b">
        <v>1</v>
      </c>
      <c r="I93">
        <v>75</v>
      </c>
      <c r="J93" s="192" t="s">
        <v>21</v>
      </c>
      <c r="K93" s="191">
        <v>12</v>
      </c>
      <c r="L93" s="188">
        <f>IFERROR(_xlfn.XLOOKUP(A93,[1]Fleet!A:A,[1]Fleet!E:E,""),"")</f>
        <v>2</v>
      </c>
      <c r="M93" s="188">
        <v>141.5</v>
      </c>
      <c r="N93" s="188" t="s">
        <v>231</v>
      </c>
      <c r="O93" s="198" t="s">
        <v>201</v>
      </c>
      <c r="P93">
        <v>86</v>
      </c>
      <c r="Q93">
        <f>_xlfn.XLOOKUP(A93,'[1]Classic Net to delete'!D:D,'[1]Classic Net to delete'!AA:AA,0)</f>
        <v>75</v>
      </c>
    </row>
    <row r="94" spans="1:17" x14ac:dyDescent="0.25">
      <c r="A94" t="s">
        <v>232</v>
      </c>
      <c r="B94" t="s">
        <v>233</v>
      </c>
      <c r="C94">
        <v>8.61</v>
      </c>
      <c r="D94" t="s">
        <v>20</v>
      </c>
      <c r="E94" t="str">
        <f t="shared" si="2"/>
        <v>12. Podiums &amp; Platforms</v>
      </c>
      <c r="F94">
        <v>75</v>
      </c>
      <c r="H94" t="b">
        <v>1</v>
      </c>
      <c r="I94">
        <v>79</v>
      </c>
      <c r="J94" s="192" t="s">
        <v>21</v>
      </c>
      <c r="K94" s="191">
        <v>12</v>
      </c>
      <c r="L94" s="188">
        <f>IFERROR(_xlfn.XLOOKUP(A94,[1]Fleet!A:A,[1]Fleet!E:E,""),"")</f>
        <v>5</v>
      </c>
      <c r="M94" s="188">
        <v>8.0500000000000007</v>
      </c>
      <c r="N94" s="188" t="s">
        <v>234</v>
      </c>
      <c r="O94" s="198" t="s">
        <v>201</v>
      </c>
      <c r="P94">
        <v>77</v>
      </c>
      <c r="Q94">
        <f>_xlfn.XLOOKUP(A94,'[1]Classic Net to delete'!D:D,'[1]Classic Net to delete'!AA:AA,0)</f>
        <v>79</v>
      </c>
    </row>
    <row r="95" spans="1:17" x14ac:dyDescent="0.25">
      <c r="A95" t="s">
        <v>235</v>
      </c>
      <c r="B95" t="s">
        <v>236</v>
      </c>
      <c r="C95">
        <v>14.23</v>
      </c>
      <c r="D95" t="s">
        <v>20</v>
      </c>
      <c r="E95" t="str">
        <f t="shared" si="2"/>
        <v>12. Podiums &amp; Platforms</v>
      </c>
      <c r="F95">
        <v>75</v>
      </c>
      <c r="H95" t="b">
        <v>1</v>
      </c>
      <c r="I95">
        <v>80</v>
      </c>
      <c r="J95" s="192" t="s">
        <v>21</v>
      </c>
      <c r="K95" s="191">
        <v>12</v>
      </c>
      <c r="L95" s="188">
        <f>IFERROR(_xlfn.XLOOKUP(A95,[1]Fleet!A:A,[1]Fleet!E:E,""),"")</f>
        <v>33</v>
      </c>
      <c r="M95" s="188">
        <v>13.3</v>
      </c>
      <c r="N95" s="188" t="s">
        <v>237</v>
      </c>
      <c r="O95" s="198" t="s">
        <v>201</v>
      </c>
      <c r="P95">
        <v>87</v>
      </c>
      <c r="Q95">
        <f>_xlfn.XLOOKUP(A95,'[1]Classic Net to delete'!D:D,'[1]Classic Net to delete'!AA:AA,0)</f>
        <v>80</v>
      </c>
    </row>
    <row r="96" spans="1:17" x14ac:dyDescent="0.25">
      <c r="A96" t="s">
        <v>238</v>
      </c>
      <c r="B96" t="s">
        <v>239</v>
      </c>
      <c r="C96">
        <v>14.23</v>
      </c>
      <c r="D96" t="s">
        <v>20</v>
      </c>
      <c r="E96" t="str">
        <f t="shared" si="2"/>
        <v>12. Podiums &amp; Platforms</v>
      </c>
      <c r="F96">
        <v>75</v>
      </c>
      <c r="H96" t="b">
        <v>1</v>
      </c>
      <c r="I96">
        <v>81</v>
      </c>
      <c r="J96" s="192" t="s">
        <v>21</v>
      </c>
      <c r="K96" s="191">
        <v>12</v>
      </c>
      <c r="L96" s="188">
        <f>IFERROR(_xlfn.XLOOKUP(A96,[1]Fleet!A:A,[1]Fleet!E:E,""),"")</f>
        <v>2</v>
      </c>
      <c r="M96" s="188">
        <v>13.3</v>
      </c>
      <c r="N96" s="188" t="s">
        <v>240</v>
      </c>
      <c r="O96" s="198" t="s">
        <v>201</v>
      </c>
      <c r="P96">
        <v>88</v>
      </c>
      <c r="Q96">
        <f>_xlfn.XLOOKUP(A96,'[1]Classic Net to delete'!D:D,'[1]Classic Net to delete'!AA:AA,0)</f>
        <v>81</v>
      </c>
    </row>
    <row r="97" spans="1:17" x14ac:dyDescent="0.25">
      <c r="A97" t="s">
        <v>241</v>
      </c>
      <c r="B97" t="s">
        <v>242</v>
      </c>
      <c r="C97">
        <v>58.69</v>
      </c>
      <c r="D97" t="s">
        <v>20</v>
      </c>
      <c r="E97" t="str">
        <f t="shared" si="2"/>
        <v>12. Podiums &amp; Platforms</v>
      </c>
      <c r="F97">
        <v>75</v>
      </c>
      <c r="H97" t="b">
        <v>1</v>
      </c>
      <c r="I97">
        <v>85</v>
      </c>
      <c r="J97" s="192" t="s">
        <v>21</v>
      </c>
      <c r="K97" s="191">
        <v>12</v>
      </c>
      <c r="L97" s="188">
        <f>IFERROR(_xlfn.XLOOKUP(A97,[1]Fleet!A:A,[1]Fleet!E:E,""),"")</f>
        <v>293</v>
      </c>
      <c r="M97" s="188">
        <v>54.85</v>
      </c>
      <c r="N97" s="188" t="s">
        <v>243</v>
      </c>
      <c r="O97" s="198" t="s">
        <v>201</v>
      </c>
      <c r="P97">
        <v>81</v>
      </c>
      <c r="Q97">
        <f>_xlfn.XLOOKUP(A97,'[1]Classic Net to delete'!D:D,'[1]Classic Net to delete'!AA:AA,0)</f>
        <v>85</v>
      </c>
    </row>
    <row r="98" spans="1:17" x14ac:dyDescent="0.25">
      <c r="A98" t="s">
        <v>244</v>
      </c>
      <c r="B98" t="s">
        <v>245</v>
      </c>
      <c r="C98">
        <v>34.19</v>
      </c>
      <c r="D98" t="s">
        <v>20</v>
      </c>
      <c r="E98" t="str">
        <f t="shared" si="2"/>
        <v>13. Steps</v>
      </c>
      <c r="F98">
        <v>75</v>
      </c>
      <c r="H98" t="b">
        <v>1</v>
      </c>
      <c r="I98">
        <v>0</v>
      </c>
      <c r="J98" s="192" t="s">
        <v>21</v>
      </c>
      <c r="K98" s="191">
        <v>13</v>
      </c>
      <c r="L98" s="188">
        <f>IFERROR(_xlfn.XLOOKUP(A98,[1]Fleet!A:A,[1]Fleet!E:E,""),"")</f>
        <v>4</v>
      </c>
      <c r="M98" s="188" t="s">
        <v>22</v>
      </c>
      <c r="N98" s="188" t="s">
        <v>22</v>
      </c>
      <c r="O98" s="198" t="s">
        <v>246</v>
      </c>
      <c r="P98">
        <v>133</v>
      </c>
      <c r="Q98">
        <f>_xlfn.XLOOKUP(A98,'[1]Classic Net to delete'!D:D,'[1]Classic Net to delete'!AA:AA,0)</f>
        <v>0</v>
      </c>
    </row>
    <row r="99" spans="1:17" x14ac:dyDescent="0.25">
      <c r="A99" t="s">
        <v>247</v>
      </c>
      <c r="B99" t="s">
        <v>248</v>
      </c>
      <c r="C99">
        <v>37.56</v>
      </c>
      <c r="D99" t="s">
        <v>20</v>
      </c>
      <c r="E99" t="str">
        <f t="shared" si="2"/>
        <v>13. Steps</v>
      </c>
      <c r="F99">
        <v>75</v>
      </c>
      <c r="H99" t="b">
        <v>1</v>
      </c>
      <c r="I99">
        <v>0</v>
      </c>
      <c r="J99" s="192" t="s">
        <v>21</v>
      </c>
      <c r="K99" s="191">
        <v>13</v>
      </c>
      <c r="L99" s="188">
        <f>IFERROR(_xlfn.XLOOKUP(A99,[1]Fleet!A:A,[1]Fleet!E:E,""),"")</f>
        <v>4</v>
      </c>
      <c r="M99" s="188" t="s">
        <v>22</v>
      </c>
      <c r="N99" s="188" t="s">
        <v>22</v>
      </c>
      <c r="O99" s="198" t="s">
        <v>246</v>
      </c>
      <c r="P99">
        <v>134</v>
      </c>
      <c r="Q99">
        <f>_xlfn.XLOOKUP(A99,'[1]Classic Net to delete'!D:D,'[1]Classic Net to delete'!AA:AA,0)</f>
        <v>0</v>
      </c>
    </row>
    <row r="100" spans="1:17" x14ac:dyDescent="0.25">
      <c r="A100" t="s">
        <v>249</v>
      </c>
      <c r="B100" t="s">
        <v>250</v>
      </c>
      <c r="C100">
        <v>23.97</v>
      </c>
      <c r="D100" t="s">
        <v>20</v>
      </c>
      <c r="E100" t="str">
        <f t="shared" si="2"/>
        <v>13. Steps</v>
      </c>
      <c r="F100">
        <v>75</v>
      </c>
      <c r="H100" t="b">
        <v>1</v>
      </c>
      <c r="I100">
        <v>105</v>
      </c>
      <c r="J100" s="192" t="s">
        <v>21</v>
      </c>
      <c r="K100" s="191">
        <v>13</v>
      </c>
      <c r="L100" s="188">
        <f>IFERROR(_xlfn.XLOOKUP(A100,[1]Fleet!A:A,[1]Fleet!E:E,""),"")</f>
        <v>33</v>
      </c>
      <c r="M100" s="188">
        <v>22.400000000000002</v>
      </c>
      <c r="N100" s="188" t="s">
        <v>251</v>
      </c>
      <c r="O100" s="198" t="s">
        <v>246</v>
      </c>
      <c r="P100">
        <v>95</v>
      </c>
      <c r="Q100">
        <f>_xlfn.XLOOKUP(A100,'[1]Classic Net to delete'!D:D,'[1]Classic Net to delete'!AA:AA,0)</f>
        <v>105</v>
      </c>
    </row>
    <row r="101" spans="1:17" x14ac:dyDescent="0.25">
      <c r="A101" t="s">
        <v>252</v>
      </c>
      <c r="B101" t="s">
        <v>253</v>
      </c>
      <c r="C101">
        <v>25.310000000000002</v>
      </c>
      <c r="D101" t="s">
        <v>20</v>
      </c>
      <c r="E101" t="str">
        <f t="shared" si="2"/>
        <v>13. Steps</v>
      </c>
      <c r="F101">
        <v>75</v>
      </c>
      <c r="H101" t="b">
        <v>1</v>
      </c>
      <c r="I101">
        <v>106</v>
      </c>
      <c r="J101" s="192" t="s">
        <v>21</v>
      </c>
      <c r="K101" s="191">
        <v>13</v>
      </c>
      <c r="L101" s="188">
        <f>IFERROR(_xlfn.XLOOKUP(A101,[1]Fleet!A:A,[1]Fleet!E:E,""),"")</f>
        <v>53</v>
      </c>
      <c r="M101" s="188">
        <v>23.650000000000002</v>
      </c>
      <c r="N101" s="188" t="s">
        <v>254</v>
      </c>
      <c r="O101" s="198" t="s">
        <v>246</v>
      </c>
      <c r="P101">
        <v>96</v>
      </c>
      <c r="Q101">
        <f>_xlfn.XLOOKUP(A101,'[1]Classic Net to delete'!D:D,'[1]Classic Net to delete'!AA:AA,0)</f>
        <v>106</v>
      </c>
    </row>
    <row r="102" spans="1:17" x14ac:dyDescent="0.25">
      <c r="A102" t="s">
        <v>255</v>
      </c>
      <c r="B102" t="s">
        <v>256</v>
      </c>
      <c r="C102">
        <v>27.02</v>
      </c>
      <c r="D102" t="s">
        <v>20</v>
      </c>
      <c r="E102" t="str">
        <f t="shared" si="2"/>
        <v>13. Steps</v>
      </c>
      <c r="F102">
        <v>75</v>
      </c>
      <c r="H102" t="b">
        <v>1</v>
      </c>
      <c r="I102">
        <v>107</v>
      </c>
      <c r="J102" s="192" t="s">
        <v>21</v>
      </c>
      <c r="K102" s="191">
        <v>13</v>
      </c>
      <c r="L102" s="188">
        <f>IFERROR(_xlfn.XLOOKUP(A102,[1]Fleet!A:A,[1]Fleet!E:E,""),"")</f>
        <v>29</v>
      </c>
      <c r="M102" s="188">
        <v>25.25</v>
      </c>
      <c r="N102" s="188" t="s">
        <v>257</v>
      </c>
      <c r="O102" s="198" t="s">
        <v>246</v>
      </c>
      <c r="P102">
        <v>97</v>
      </c>
      <c r="Q102">
        <f>_xlfn.XLOOKUP(A102,'[1]Classic Net to delete'!D:D,'[1]Classic Net to delete'!AA:AA,0)</f>
        <v>107</v>
      </c>
    </row>
    <row r="103" spans="1:17" x14ac:dyDescent="0.25">
      <c r="A103" t="s">
        <v>258</v>
      </c>
      <c r="B103" t="s">
        <v>259</v>
      </c>
      <c r="C103">
        <v>28.68</v>
      </c>
      <c r="D103" t="s">
        <v>20</v>
      </c>
      <c r="E103" t="str">
        <f t="shared" ref="E103:E134" si="3">CONCATENATE(K103,". ",O103)</f>
        <v>13. Steps</v>
      </c>
      <c r="F103">
        <v>75</v>
      </c>
      <c r="H103" t="b">
        <v>1</v>
      </c>
      <c r="I103">
        <v>108</v>
      </c>
      <c r="J103" s="192" t="s">
        <v>21</v>
      </c>
      <c r="K103" s="191">
        <v>13</v>
      </c>
      <c r="L103" s="188">
        <f>IFERROR(_xlfn.XLOOKUP(A103,[1]Fleet!A:A,[1]Fleet!E:E,""),"")</f>
        <v>11</v>
      </c>
      <c r="M103" s="188">
        <v>26.8</v>
      </c>
      <c r="N103" s="188" t="s">
        <v>260</v>
      </c>
      <c r="O103" s="198" t="s">
        <v>246</v>
      </c>
      <c r="P103">
        <v>98</v>
      </c>
      <c r="Q103">
        <f>_xlfn.XLOOKUP(A103,'[1]Classic Net to delete'!D:D,'[1]Classic Net to delete'!AA:AA,0)</f>
        <v>108</v>
      </c>
    </row>
    <row r="104" spans="1:17" x14ac:dyDescent="0.25">
      <c r="A104" t="s">
        <v>261</v>
      </c>
      <c r="B104" t="s">
        <v>262</v>
      </c>
      <c r="C104">
        <v>27.12</v>
      </c>
      <c r="D104" t="s">
        <v>20</v>
      </c>
      <c r="E104" t="str">
        <f t="shared" si="3"/>
        <v>13. Steps</v>
      </c>
      <c r="F104">
        <v>75</v>
      </c>
      <c r="H104" t="b">
        <v>1</v>
      </c>
      <c r="I104">
        <v>111</v>
      </c>
      <c r="J104" s="192" t="s">
        <v>21</v>
      </c>
      <c r="K104" s="191">
        <v>13</v>
      </c>
      <c r="L104" s="188">
        <f>IFERROR(_xlfn.XLOOKUP(A104,[1]Fleet!A:A,[1]Fleet!E:E,""),"")</f>
        <v>2</v>
      </c>
      <c r="M104" s="188">
        <v>25.35</v>
      </c>
      <c r="N104" s="188" t="s">
        <v>263</v>
      </c>
      <c r="O104" s="198" t="s">
        <v>246</v>
      </c>
      <c r="P104">
        <v>108</v>
      </c>
      <c r="Q104">
        <f>_xlfn.XLOOKUP(A104,'[1]Classic Net to delete'!D:D,'[1]Classic Net to delete'!AA:AA,0)</f>
        <v>111</v>
      </c>
    </row>
    <row r="105" spans="1:17" x14ac:dyDescent="0.25">
      <c r="A105" t="s">
        <v>264</v>
      </c>
      <c r="B105" t="s">
        <v>265</v>
      </c>
      <c r="C105">
        <v>30.98</v>
      </c>
      <c r="D105" t="s">
        <v>20</v>
      </c>
      <c r="E105" t="str">
        <f t="shared" si="3"/>
        <v>13. Steps</v>
      </c>
      <c r="F105">
        <v>75</v>
      </c>
      <c r="H105" t="b">
        <v>1</v>
      </c>
      <c r="I105">
        <v>112</v>
      </c>
      <c r="J105" s="192" t="s">
        <v>21</v>
      </c>
      <c r="K105" s="191">
        <v>13</v>
      </c>
      <c r="L105" s="188">
        <f>IFERROR(_xlfn.XLOOKUP(A105,[1]Fleet!A:A,[1]Fleet!E:E,""),"")</f>
        <v>127</v>
      </c>
      <c r="M105" s="188">
        <v>28.950000000000003</v>
      </c>
      <c r="N105" s="188" t="s">
        <v>266</v>
      </c>
      <c r="O105" s="198" t="s">
        <v>246</v>
      </c>
      <c r="P105">
        <v>109</v>
      </c>
      <c r="Q105">
        <f>_xlfn.XLOOKUP(A105,'[1]Classic Net to delete'!D:D,'[1]Classic Net to delete'!AA:AA,0)</f>
        <v>112</v>
      </c>
    </row>
    <row r="106" spans="1:17" x14ac:dyDescent="0.25">
      <c r="A106" t="s">
        <v>267</v>
      </c>
      <c r="B106" t="s">
        <v>268</v>
      </c>
      <c r="C106">
        <v>32.53</v>
      </c>
      <c r="D106" t="s">
        <v>20</v>
      </c>
      <c r="E106" t="str">
        <f t="shared" si="3"/>
        <v>13. Steps</v>
      </c>
      <c r="F106">
        <v>75</v>
      </c>
      <c r="H106" t="b">
        <v>1</v>
      </c>
      <c r="I106">
        <v>113</v>
      </c>
      <c r="J106" s="192" t="s">
        <v>21</v>
      </c>
      <c r="K106" s="191">
        <v>13</v>
      </c>
      <c r="L106" s="188">
        <f>IFERROR(_xlfn.XLOOKUP(A106,[1]Fleet!A:A,[1]Fleet!E:E,""),"")</f>
        <v>192</v>
      </c>
      <c r="M106" s="188">
        <v>30.400000000000002</v>
      </c>
      <c r="N106" s="188" t="s">
        <v>269</v>
      </c>
      <c r="O106" s="198" t="s">
        <v>246</v>
      </c>
      <c r="P106">
        <v>110</v>
      </c>
      <c r="Q106">
        <f>_xlfn.XLOOKUP(A106,'[1]Classic Net to delete'!D:D,'[1]Classic Net to delete'!AA:AA,0)</f>
        <v>113</v>
      </c>
    </row>
    <row r="107" spans="1:17" x14ac:dyDescent="0.25">
      <c r="A107" t="s">
        <v>270</v>
      </c>
      <c r="B107" t="s">
        <v>271</v>
      </c>
      <c r="C107">
        <v>33.76</v>
      </c>
      <c r="D107" t="s">
        <v>20</v>
      </c>
      <c r="E107" t="str">
        <f t="shared" si="3"/>
        <v>13. Steps</v>
      </c>
      <c r="F107">
        <v>75</v>
      </c>
      <c r="H107" t="b">
        <v>1</v>
      </c>
      <c r="I107">
        <v>114</v>
      </c>
      <c r="J107" s="192" t="s">
        <v>21</v>
      </c>
      <c r="K107" s="191">
        <v>13</v>
      </c>
      <c r="L107" s="188">
        <f>IFERROR(_xlfn.XLOOKUP(A107,[1]Fleet!A:A,[1]Fleet!E:E,""),"")</f>
        <v>58</v>
      </c>
      <c r="M107" s="188">
        <v>31.55</v>
      </c>
      <c r="N107" s="188" t="s">
        <v>272</v>
      </c>
      <c r="O107" s="198" t="s">
        <v>246</v>
      </c>
      <c r="P107">
        <v>111</v>
      </c>
      <c r="Q107">
        <f>_xlfn.XLOOKUP(A107,'[1]Classic Net to delete'!D:D,'[1]Classic Net to delete'!AA:AA,0)</f>
        <v>114</v>
      </c>
    </row>
    <row r="108" spans="1:17" x14ac:dyDescent="0.25">
      <c r="A108" t="s">
        <v>273</v>
      </c>
      <c r="B108" t="s">
        <v>274</v>
      </c>
      <c r="C108">
        <v>37.880000000000003</v>
      </c>
      <c r="D108" t="s">
        <v>20</v>
      </c>
      <c r="E108" t="str">
        <f t="shared" si="3"/>
        <v>13. Steps</v>
      </c>
      <c r="F108">
        <v>75</v>
      </c>
      <c r="H108" t="b">
        <v>1</v>
      </c>
      <c r="I108">
        <v>118</v>
      </c>
      <c r="J108" s="192" t="s">
        <v>21</v>
      </c>
      <c r="K108" s="191">
        <v>13</v>
      </c>
      <c r="L108" s="188">
        <f>IFERROR(_xlfn.XLOOKUP(A108,[1]Fleet!A:A,[1]Fleet!E:E,""),"")</f>
        <v>9</v>
      </c>
      <c r="M108" s="188">
        <v>35.4</v>
      </c>
      <c r="N108" s="188" t="s">
        <v>275</v>
      </c>
      <c r="O108" s="198" t="s">
        <v>246</v>
      </c>
      <c r="P108">
        <v>130</v>
      </c>
      <c r="Q108">
        <f>_xlfn.XLOOKUP(A108,'[1]Classic Net to delete'!D:D,'[1]Classic Net to delete'!AA:AA,0)</f>
        <v>118</v>
      </c>
    </row>
    <row r="109" spans="1:17" x14ac:dyDescent="0.25">
      <c r="A109" t="s">
        <v>276</v>
      </c>
      <c r="B109" t="s">
        <v>277</v>
      </c>
      <c r="C109">
        <v>40.130000000000003</v>
      </c>
      <c r="D109" t="s">
        <v>20</v>
      </c>
      <c r="E109" t="str">
        <f t="shared" si="3"/>
        <v>13. Steps</v>
      </c>
      <c r="F109">
        <v>75</v>
      </c>
      <c r="H109" t="b">
        <v>1</v>
      </c>
      <c r="I109">
        <v>119</v>
      </c>
      <c r="J109" s="192" t="s">
        <v>21</v>
      </c>
      <c r="K109" s="191">
        <v>13</v>
      </c>
      <c r="L109" s="188">
        <f>IFERROR(_xlfn.XLOOKUP(A109,[1]Fleet!A:A,[1]Fleet!E:E,""),"")</f>
        <v>15</v>
      </c>
      <c r="M109" s="188">
        <v>37.5</v>
      </c>
      <c r="N109" s="188" t="s">
        <v>278</v>
      </c>
      <c r="O109" s="198" t="s">
        <v>246</v>
      </c>
      <c r="P109">
        <v>131</v>
      </c>
      <c r="Q109">
        <f>_xlfn.XLOOKUP(A109,'[1]Classic Net to delete'!D:D,'[1]Classic Net to delete'!AA:AA,0)</f>
        <v>119</v>
      </c>
    </row>
    <row r="110" spans="1:17" x14ac:dyDescent="0.25">
      <c r="A110" t="s">
        <v>279</v>
      </c>
      <c r="B110" t="s">
        <v>280</v>
      </c>
      <c r="C110">
        <v>41.68</v>
      </c>
      <c r="D110" t="s">
        <v>20</v>
      </c>
      <c r="E110" t="str">
        <f t="shared" si="3"/>
        <v>13. Steps</v>
      </c>
      <c r="F110">
        <v>75</v>
      </c>
      <c r="H110" t="b">
        <v>1</v>
      </c>
      <c r="I110">
        <v>120</v>
      </c>
      <c r="J110" s="192" t="s">
        <v>21</v>
      </c>
      <c r="K110" s="191">
        <v>13</v>
      </c>
      <c r="L110" s="188">
        <f>IFERROR(_xlfn.XLOOKUP(A110,[1]Fleet!A:A,[1]Fleet!E:E,""),"")</f>
        <v>8</v>
      </c>
      <c r="M110" s="188">
        <v>38.950000000000003</v>
      </c>
      <c r="N110" s="188" t="s">
        <v>281</v>
      </c>
      <c r="O110" s="198" t="s">
        <v>246</v>
      </c>
      <c r="P110">
        <v>129</v>
      </c>
      <c r="Q110">
        <f>_xlfn.XLOOKUP(A110,'[1]Classic Net to delete'!D:D,'[1]Classic Net to delete'!AA:AA,0)</f>
        <v>120</v>
      </c>
    </row>
    <row r="111" spans="1:17" x14ac:dyDescent="0.25">
      <c r="A111" t="s">
        <v>282</v>
      </c>
      <c r="B111" t="s">
        <v>283</v>
      </c>
      <c r="C111">
        <v>47.35</v>
      </c>
      <c r="D111" t="s">
        <v>20</v>
      </c>
      <c r="E111" t="str">
        <f t="shared" si="3"/>
        <v>13. Steps</v>
      </c>
      <c r="F111">
        <v>75</v>
      </c>
      <c r="H111" t="b">
        <v>1</v>
      </c>
      <c r="I111">
        <v>121</v>
      </c>
      <c r="J111" s="192" t="s">
        <v>21</v>
      </c>
      <c r="K111" s="191">
        <v>13</v>
      </c>
      <c r="L111" s="188">
        <f>IFERROR(_xlfn.XLOOKUP(A111,[1]Fleet!A:A,[1]Fleet!E:E,""),"")</f>
        <v>9</v>
      </c>
      <c r="M111" s="188">
        <v>44.25</v>
      </c>
      <c r="N111" s="188" t="s">
        <v>284</v>
      </c>
      <c r="O111" s="198" t="s">
        <v>246</v>
      </c>
      <c r="P111">
        <v>132</v>
      </c>
      <c r="Q111">
        <f>_xlfn.XLOOKUP(A111,'[1]Classic Net to delete'!D:D,'[1]Classic Net to delete'!AA:AA,0)</f>
        <v>121</v>
      </c>
    </row>
    <row r="112" spans="1:17" x14ac:dyDescent="0.25">
      <c r="A112" t="s">
        <v>285</v>
      </c>
      <c r="B112" t="s">
        <v>286</v>
      </c>
      <c r="C112">
        <v>53.61</v>
      </c>
      <c r="D112" t="s">
        <v>20</v>
      </c>
      <c r="E112" t="str">
        <f t="shared" si="3"/>
        <v>13. Steps</v>
      </c>
      <c r="F112">
        <v>75</v>
      </c>
      <c r="H112" t="b">
        <v>1</v>
      </c>
      <c r="I112">
        <v>122</v>
      </c>
      <c r="J112" s="192" t="s">
        <v>21</v>
      </c>
      <c r="K112" s="191">
        <v>13</v>
      </c>
      <c r="L112" s="188">
        <f>IFERROR(_xlfn.XLOOKUP(A112,[1]Fleet!A:A,[1]Fleet!E:E,""),"")</f>
        <v>9</v>
      </c>
      <c r="M112" s="188">
        <v>50.1</v>
      </c>
      <c r="N112" s="188" t="s">
        <v>287</v>
      </c>
      <c r="O112" s="198" t="s">
        <v>246</v>
      </c>
      <c r="P112">
        <v>128</v>
      </c>
      <c r="Q112">
        <f>_xlfn.XLOOKUP(A112,'[1]Classic Net to delete'!D:D,'[1]Classic Net to delete'!AA:AA,0)</f>
        <v>122</v>
      </c>
    </row>
    <row r="113" spans="1:17" x14ac:dyDescent="0.25">
      <c r="A113" t="s">
        <v>288</v>
      </c>
      <c r="B113" t="s">
        <v>289</v>
      </c>
      <c r="C113">
        <v>59.33</v>
      </c>
      <c r="D113" t="s">
        <v>20</v>
      </c>
      <c r="E113" t="str">
        <f t="shared" si="3"/>
        <v>13. Steps</v>
      </c>
      <c r="F113">
        <v>75</v>
      </c>
      <c r="H113" t="b">
        <v>1</v>
      </c>
      <c r="I113">
        <v>125</v>
      </c>
      <c r="J113" s="192" t="s">
        <v>21</v>
      </c>
      <c r="K113" s="191">
        <v>13</v>
      </c>
      <c r="L113" s="188">
        <f>IFERROR(_xlfn.XLOOKUP(A113,[1]Fleet!A:A,[1]Fleet!E:E,""),"")</f>
        <v>3</v>
      </c>
      <c r="M113" s="188">
        <v>55.45</v>
      </c>
      <c r="N113" s="188" t="s">
        <v>290</v>
      </c>
      <c r="O113" s="198" t="s">
        <v>246</v>
      </c>
      <c r="P113">
        <v>125</v>
      </c>
      <c r="Q113">
        <f>_xlfn.XLOOKUP(A113,'[1]Classic Net to delete'!D:D,'[1]Classic Net to delete'!AA:AA,0)</f>
        <v>125</v>
      </c>
    </row>
    <row r="114" spans="1:17" x14ac:dyDescent="0.25">
      <c r="A114" t="s">
        <v>291</v>
      </c>
      <c r="B114" t="s">
        <v>292</v>
      </c>
      <c r="C114">
        <v>69.600000000000009</v>
      </c>
      <c r="D114" t="s">
        <v>20</v>
      </c>
      <c r="E114" t="str">
        <f t="shared" si="3"/>
        <v>13. Steps</v>
      </c>
      <c r="F114">
        <v>75</v>
      </c>
      <c r="H114" t="b">
        <v>1</v>
      </c>
      <c r="I114">
        <v>129</v>
      </c>
      <c r="J114" s="192" t="s">
        <v>21</v>
      </c>
      <c r="K114" s="191">
        <v>13</v>
      </c>
      <c r="L114" s="188">
        <f>IFERROR(_xlfn.XLOOKUP(A114,[1]Fleet!A:A,[1]Fleet!E:E,""),"")</f>
        <v>1</v>
      </c>
      <c r="M114" s="188">
        <v>65.05</v>
      </c>
      <c r="N114" s="188" t="s">
        <v>293</v>
      </c>
      <c r="O114" s="198" t="s">
        <v>246</v>
      </c>
      <c r="P114">
        <v>124</v>
      </c>
      <c r="Q114">
        <f>_xlfn.XLOOKUP(A114,'[1]Classic Net to delete'!D:D,'[1]Classic Net to delete'!AA:AA,0)</f>
        <v>129</v>
      </c>
    </row>
    <row r="115" spans="1:17" x14ac:dyDescent="0.25">
      <c r="A115" t="s">
        <v>294</v>
      </c>
      <c r="B115" t="s">
        <v>295</v>
      </c>
      <c r="C115">
        <v>55.27</v>
      </c>
      <c r="D115" t="s">
        <v>20</v>
      </c>
      <c r="E115" t="str">
        <f t="shared" si="3"/>
        <v>14. Ladders</v>
      </c>
      <c r="F115">
        <v>75</v>
      </c>
      <c r="H115" t="b">
        <v>1</v>
      </c>
      <c r="I115">
        <v>0</v>
      </c>
      <c r="J115" s="192" t="s">
        <v>21</v>
      </c>
      <c r="K115" s="191">
        <v>14</v>
      </c>
      <c r="L115" s="188">
        <f>IFERROR(_xlfn.XLOOKUP(A115,[1]Fleet!A:A,[1]Fleet!E:E,""),"")</f>
        <v>2</v>
      </c>
      <c r="M115" s="188" t="s">
        <v>22</v>
      </c>
      <c r="N115" s="188" t="s">
        <v>22</v>
      </c>
      <c r="O115" s="198" t="s">
        <v>296</v>
      </c>
      <c r="P115">
        <v>118</v>
      </c>
      <c r="Q115">
        <f>_xlfn.XLOOKUP(A115,'[1]Classic Net to delete'!D:D,'[1]Classic Net to delete'!AA:AA,0)</f>
        <v>0</v>
      </c>
    </row>
    <row r="116" spans="1:17" x14ac:dyDescent="0.25">
      <c r="A116" t="s">
        <v>297</v>
      </c>
      <c r="B116" t="s">
        <v>298</v>
      </c>
      <c r="C116">
        <v>56.76</v>
      </c>
      <c r="D116" t="s">
        <v>20</v>
      </c>
      <c r="E116" t="str">
        <f t="shared" si="3"/>
        <v>14. Ladders</v>
      </c>
      <c r="F116">
        <v>75</v>
      </c>
      <c r="H116" t="b">
        <v>1</v>
      </c>
      <c r="I116">
        <v>133</v>
      </c>
      <c r="J116" s="192" t="s">
        <v>21</v>
      </c>
      <c r="K116" s="191">
        <v>14</v>
      </c>
      <c r="L116" s="188">
        <f>IFERROR(_xlfn.XLOOKUP(A116,[1]Fleet!A:A,[1]Fleet!E:E,""),"")</f>
        <v>4</v>
      </c>
      <c r="M116" s="188">
        <v>53.050000000000004</v>
      </c>
      <c r="N116" s="188" t="s">
        <v>299</v>
      </c>
      <c r="O116" s="198" t="s">
        <v>296</v>
      </c>
      <c r="P116">
        <v>126</v>
      </c>
      <c r="Q116">
        <f>_xlfn.XLOOKUP(A116,'[1]Classic Net to delete'!D:D,'[1]Classic Net to delete'!AA:AA,0)</f>
        <v>133</v>
      </c>
    </row>
    <row r="117" spans="1:17" x14ac:dyDescent="0.25">
      <c r="A117" t="s">
        <v>300</v>
      </c>
      <c r="B117" t="s">
        <v>301</v>
      </c>
      <c r="C117">
        <v>74.150000000000006</v>
      </c>
      <c r="D117" t="s">
        <v>20</v>
      </c>
      <c r="E117" t="str">
        <f t="shared" si="3"/>
        <v>14. Ladders</v>
      </c>
      <c r="F117">
        <v>75</v>
      </c>
      <c r="H117" t="b">
        <v>1</v>
      </c>
      <c r="I117">
        <v>134</v>
      </c>
      <c r="J117" s="192" t="s">
        <v>21</v>
      </c>
      <c r="K117" s="191">
        <v>14</v>
      </c>
      <c r="L117" s="188">
        <f>IFERROR(_xlfn.XLOOKUP(A117,[1]Fleet!A:A,[1]Fleet!E:E,""),"")</f>
        <v>2</v>
      </c>
      <c r="M117" s="188">
        <v>69.3</v>
      </c>
      <c r="N117" s="188" t="s">
        <v>302</v>
      </c>
      <c r="O117" s="198" t="s">
        <v>296</v>
      </c>
      <c r="P117">
        <v>127</v>
      </c>
      <c r="Q117">
        <f>_xlfn.XLOOKUP(A117,'[1]Classic Net to delete'!D:D,'[1]Classic Net to delete'!AA:AA,0)</f>
        <v>134</v>
      </c>
    </row>
    <row r="118" spans="1:17" x14ac:dyDescent="0.25">
      <c r="A118" t="s">
        <v>303</v>
      </c>
      <c r="B118" t="s">
        <v>304</v>
      </c>
      <c r="C118">
        <v>31.35</v>
      </c>
      <c r="D118" t="s">
        <v>20</v>
      </c>
      <c r="E118" t="str">
        <f t="shared" si="3"/>
        <v>14. Ladders</v>
      </c>
      <c r="F118">
        <v>75</v>
      </c>
      <c r="H118" t="b">
        <v>1</v>
      </c>
      <c r="I118">
        <v>138</v>
      </c>
      <c r="J118" s="192" t="s">
        <v>21</v>
      </c>
      <c r="K118" s="191">
        <v>14</v>
      </c>
      <c r="L118" s="188">
        <f>IFERROR(_xlfn.XLOOKUP(A118,[1]Fleet!A:A,[1]Fleet!E:E,""),"")</f>
        <v>10</v>
      </c>
      <c r="M118" s="188">
        <v>29.3</v>
      </c>
      <c r="N118" s="188" t="s">
        <v>305</v>
      </c>
      <c r="O118" s="198" t="s">
        <v>296</v>
      </c>
      <c r="P118">
        <v>102</v>
      </c>
      <c r="Q118">
        <f>_xlfn.XLOOKUP(A118,'[1]Classic Net to delete'!D:D,'[1]Classic Net to delete'!AA:AA,0)</f>
        <v>138</v>
      </c>
    </row>
    <row r="119" spans="1:17" x14ac:dyDescent="0.25">
      <c r="A119" t="s">
        <v>306</v>
      </c>
      <c r="B119" t="s">
        <v>307</v>
      </c>
      <c r="C119">
        <v>31.94</v>
      </c>
      <c r="D119" t="s">
        <v>20</v>
      </c>
      <c r="E119" t="str">
        <f t="shared" si="3"/>
        <v>14. Ladders</v>
      </c>
      <c r="F119">
        <v>75</v>
      </c>
      <c r="H119" t="b">
        <v>1</v>
      </c>
      <c r="I119">
        <v>139</v>
      </c>
      <c r="J119" s="192" t="s">
        <v>21</v>
      </c>
      <c r="K119" s="191">
        <v>14</v>
      </c>
      <c r="L119" s="188">
        <f>IFERROR(_xlfn.XLOOKUP(A119,[1]Fleet!A:A,[1]Fleet!E:E,""),"")</f>
        <v>8</v>
      </c>
      <c r="M119" s="188">
        <v>29.85</v>
      </c>
      <c r="N119" s="188" t="s">
        <v>308</v>
      </c>
      <c r="O119" s="198" t="s">
        <v>296</v>
      </c>
      <c r="P119">
        <v>103</v>
      </c>
      <c r="Q119">
        <f>_xlfn.XLOOKUP(A119,'[1]Classic Net to delete'!D:D,'[1]Classic Net to delete'!AA:AA,0)</f>
        <v>139</v>
      </c>
    </row>
    <row r="120" spans="1:17" x14ac:dyDescent="0.25">
      <c r="A120" t="s">
        <v>309</v>
      </c>
      <c r="B120" t="s">
        <v>310</v>
      </c>
      <c r="C120">
        <v>34.67</v>
      </c>
      <c r="D120" t="s">
        <v>20</v>
      </c>
      <c r="E120" t="str">
        <f t="shared" si="3"/>
        <v>14. Ladders</v>
      </c>
      <c r="F120">
        <v>75</v>
      </c>
      <c r="H120" t="b">
        <v>1</v>
      </c>
      <c r="I120">
        <v>140</v>
      </c>
      <c r="J120" s="192" t="s">
        <v>21</v>
      </c>
      <c r="K120" s="191">
        <v>14</v>
      </c>
      <c r="L120" s="188">
        <f>IFERROR(_xlfn.XLOOKUP(A120,[1]Fleet!A:A,[1]Fleet!E:E,""),"")</f>
        <v>3</v>
      </c>
      <c r="M120" s="188">
        <v>32.4</v>
      </c>
      <c r="N120" s="188" t="s">
        <v>311</v>
      </c>
      <c r="O120" s="198" t="s">
        <v>296</v>
      </c>
      <c r="P120">
        <v>104</v>
      </c>
      <c r="Q120">
        <f>_xlfn.XLOOKUP(A120,'[1]Classic Net to delete'!D:D,'[1]Classic Net to delete'!AA:AA,0)</f>
        <v>140</v>
      </c>
    </row>
    <row r="121" spans="1:17" x14ac:dyDescent="0.25">
      <c r="A121" t="s">
        <v>312</v>
      </c>
      <c r="B121" t="s">
        <v>313</v>
      </c>
      <c r="C121">
        <v>37.29</v>
      </c>
      <c r="D121" t="s">
        <v>20</v>
      </c>
      <c r="E121" t="str">
        <f t="shared" si="3"/>
        <v>14. Ladders</v>
      </c>
      <c r="F121">
        <v>75</v>
      </c>
      <c r="H121" t="b">
        <v>1</v>
      </c>
      <c r="I121">
        <v>141</v>
      </c>
      <c r="J121" s="192" t="s">
        <v>21</v>
      </c>
      <c r="K121" s="191">
        <v>14</v>
      </c>
      <c r="L121" s="188">
        <f>IFERROR(_xlfn.XLOOKUP(A121,[1]Fleet!A:A,[1]Fleet!E:E,""),"")</f>
        <v>5</v>
      </c>
      <c r="M121" s="188">
        <v>34.85</v>
      </c>
      <c r="N121" s="188" t="s">
        <v>314</v>
      </c>
      <c r="O121" s="198" t="s">
        <v>296</v>
      </c>
      <c r="P121">
        <v>105</v>
      </c>
      <c r="Q121">
        <f>_xlfn.XLOOKUP(A121,'[1]Classic Net to delete'!D:D,'[1]Classic Net to delete'!AA:AA,0)</f>
        <v>141</v>
      </c>
    </row>
    <row r="122" spans="1:17" x14ac:dyDescent="0.25">
      <c r="A122" t="s">
        <v>315</v>
      </c>
      <c r="B122" t="s">
        <v>316</v>
      </c>
      <c r="C122">
        <v>42</v>
      </c>
      <c r="D122" t="s">
        <v>20</v>
      </c>
      <c r="E122" t="str">
        <f t="shared" si="3"/>
        <v>14. Ladders</v>
      </c>
      <c r="F122">
        <v>75</v>
      </c>
      <c r="H122" t="b">
        <v>1</v>
      </c>
      <c r="I122">
        <v>142</v>
      </c>
      <c r="J122" s="192" t="s">
        <v>21</v>
      </c>
      <c r="K122" s="191">
        <v>14</v>
      </c>
      <c r="L122" s="188">
        <f>IFERROR(_xlfn.XLOOKUP(A122,[1]Fleet!A:A,[1]Fleet!E:E,""),"")</f>
        <v>8</v>
      </c>
      <c r="M122" s="188">
        <v>39.25</v>
      </c>
      <c r="N122" s="188" t="s">
        <v>317</v>
      </c>
      <c r="O122" s="198" t="s">
        <v>296</v>
      </c>
      <c r="P122">
        <v>106</v>
      </c>
      <c r="Q122">
        <f>_xlfn.XLOOKUP(A122,'[1]Classic Net to delete'!D:D,'[1]Classic Net to delete'!AA:AA,0)</f>
        <v>142</v>
      </c>
    </row>
    <row r="123" spans="1:17" x14ac:dyDescent="0.25">
      <c r="A123" t="s">
        <v>318</v>
      </c>
      <c r="B123" t="s">
        <v>319</v>
      </c>
      <c r="C123">
        <v>44.94</v>
      </c>
      <c r="D123" t="s">
        <v>20</v>
      </c>
      <c r="E123" t="str">
        <f t="shared" si="3"/>
        <v>14. Ladders</v>
      </c>
      <c r="F123">
        <v>75</v>
      </c>
      <c r="H123" t="b">
        <v>1</v>
      </c>
      <c r="I123">
        <v>143</v>
      </c>
      <c r="J123" s="192" t="s">
        <v>21</v>
      </c>
      <c r="K123" s="191">
        <v>14</v>
      </c>
      <c r="L123" s="188">
        <f>IFERROR(_xlfn.XLOOKUP(A123,[1]Fleet!A:A,[1]Fleet!E:E,""),"")</f>
        <v>8</v>
      </c>
      <c r="M123" s="188">
        <v>42</v>
      </c>
      <c r="N123" s="188" t="s">
        <v>320</v>
      </c>
      <c r="O123" s="198" t="s">
        <v>296</v>
      </c>
      <c r="P123">
        <v>107</v>
      </c>
      <c r="Q123">
        <f>_xlfn.XLOOKUP(A123,'[1]Classic Net to delete'!D:D,'[1]Classic Net to delete'!AA:AA,0)</f>
        <v>143</v>
      </c>
    </row>
    <row r="124" spans="1:17" x14ac:dyDescent="0.25">
      <c r="A124" t="s">
        <v>321</v>
      </c>
      <c r="B124" t="s">
        <v>322</v>
      </c>
      <c r="C124">
        <v>44.94</v>
      </c>
      <c r="D124" t="s">
        <v>20</v>
      </c>
      <c r="E124" t="str">
        <f t="shared" si="3"/>
        <v>14. Ladders</v>
      </c>
      <c r="F124">
        <v>75</v>
      </c>
      <c r="H124" t="b">
        <v>1</v>
      </c>
      <c r="I124">
        <v>147</v>
      </c>
      <c r="J124" s="192" t="s">
        <v>21</v>
      </c>
      <c r="K124" s="191">
        <v>14</v>
      </c>
      <c r="L124" s="188">
        <f>IFERROR(_xlfn.XLOOKUP(A124,[1]Fleet!A:A,[1]Fleet!E:E,""),"")</f>
        <v>9</v>
      </c>
      <c r="M124" s="188">
        <v>42</v>
      </c>
      <c r="N124" s="188" t="s">
        <v>323</v>
      </c>
      <c r="O124" s="198" t="s">
        <v>296</v>
      </c>
      <c r="P124">
        <v>119</v>
      </c>
      <c r="Q124">
        <f>_xlfn.XLOOKUP(A124,'[1]Classic Net to delete'!D:D,'[1]Classic Net to delete'!AA:AA,0)</f>
        <v>147</v>
      </c>
    </row>
    <row r="125" spans="1:17" x14ac:dyDescent="0.25">
      <c r="A125" t="s">
        <v>324</v>
      </c>
      <c r="B125" t="s">
        <v>325</v>
      </c>
      <c r="C125">
        <v>46.28</v>
      </c>
      <c r="D125" t="s">
        <v>20</v>
      </c>
      <c r="E125" t="str">
        <f t="shared" si="3"/>
        <v>14. Ladders</v>
      </c>
      <c r="F125">
        <v>75</v>
      </c>
      <c r="H125" t="b">
        <v>1</v>
      </c>
      <c r="I125">
        <v>148</v>
      </c>
      <c r="J125" s="192" t="s">
        <v>21</v>
      </c>
      <c r="K125" s="191">
        <v>14</v>
      </c>
      <c r="L125" s="188">
        <f>IFERROR(_xlfn.XLOOKUP(A125,[1]Fleet!A:A,[1]Fleet!E:E,""),"")</f>
        <v>11</v>
      </c>
      <c r="M125" s="188">
        <v>43.25</v>
      </c>
      <c r="N125" s="188" t="s">
        <v>326</v>
      </c>
      <c r="O125" s="198" t="s">
        <v>296</v>
      </c>
      <c r="P125">
        <v>120</v>
      </c>
      <c r="Q125">
        <f>_xlfn.XLOOKUP(A125,'[1]Classic Net to delete'!D:D,'[1]Classic Net to delete'!AA:AA,0)</f>
        <v>148</v>
      </c>
    </row>
    <row r="126" spans="1:17" x14ac:dyDescent="0.25">
      <c r="A126" t="s">
        <v>327</v>
      </c>
      <c r="B126" t="s">
        <v>328</v>
      </c>
      <c r="C126">
        <v>49.01</v>
      </c>
      <c r="D126" t="s">
        <v>20</v>
      </c>
      <c r="E126" t="str">
        <f t="shared" si="3"/>
        <v>14. Ladders</v>
      </c>
      <c r="F126">
        <v>75</v>
      </c>
      <c r="H126" t="b">
        <v>1</v>
      </c>
      <c r="I126">
        <v>149</v>
      </c>
      <c r="J126" s="192" t="s">
        <v>21</v>
      </c>
      <c r="K126" s="191">
        <v>14</v>
      </c>
      <c r="L126" s="188">
        <f>IFERROR(_xlfn.XLOOKUP(A126,[1]Fleet!A:A,[1]Fleet!E:E,""),"")</f>
        <v>2</v>
      </c>
      <c r="M126" s="188">
        <v>45.800000000000004</v>
      </c>
      <c r="N126" s="188" t="s">
        <v>329</v>
      </c>
      <c r="O126" s="198" t="s">
        <v>296</v>
      </c>
      <c r="P126">
        <v>121</v>
      </c>
      <c r="Q126">
        <f>_xlfn.XLOOKUP(A126,'[1]Classic Net to delete'!D:D,'[1]Classic Net to delete'!AA:AA,0)</f>
        <v>149</v>
      </c>
    </row>
    <row r="127" spans="1:17" x14ac:dyDescent="0.25">
      <c r="A127" t="s">
        <v>330</v>
      </c>
      <c r="B127" t="s">
        <v>331</v>
      </c>
      <c r="C127">
        <v>78.59</v>
      </c>
      <c r="D127" t="s">
        <v>20</v>
      </c>
      <c r="E127" t="str">
        <f t="shared" si="3"/>
        <v>14. Ladders</v>
      </c>
      <c r="F127">
        <v>75</v>
      </c>
      <c r="H127" t="b">
        <v>1</v>
      </c>
      <c r="I127">
        <v>150</v>
      </c>
      <c r="J127" s="192" t="s">
        <v>21</v>
      </c>
      <c r="K127" s="191">
        <v>14</v>
      </c>
      <c r="L127" s="188">
        <f>IFERROR(_xlfn.XLOOKUP(A127,[1]Fleet!A:A,[1]Fleet!E:E,""),"")</f>
        <v>9</v>
      </c>
      <c r="M127" s="188">
        <v>73.45</v>
      </c>
      <c r="N127" s="188" t="s">
        <v>332</v>
      </c>
      <c r="O127" s="198" t="s">
        <v>296</v>
      </c>
      <c r="P127">
        <v>122</v>
      </c>
      <c r="Q127">
        <f>_xlfn.XLOOKUP(A127,'[1]Classic Net to delete'!D:D,'[1]Classic Net to delete'!AA:AA,0)</f>
        <v>150</v>
      </c>
    </row>
    <row r="128" spans="1:17" x14ac:dyDescent="0.25">
      <c r="A128" t="s">
        <v>333</v>
      </c>
      <c r="B128" t="s">
        <v>334</v>
      </c>
      <c r="C128">
        <v>10.75</v>
      </c>
      <c r="D128" t="s">
        <v>20</v>
      </c>
      <c r="E128" t="str">
        <f t="shared" si="3"/>
        <v>14. Ladders</v>
      </c>
      <c r="F128">
        <v>75</v>
      </c>
      <c r="H128" t="b">
        <v>1</v>
      </c>
      <c r="I128">
        <v>152</v>
      </c>
      <c r="J128" s="192" t="s">
        <v>21</v>
      </c>
      <c r="K128" s="191">
        <v>14</v>
      </c>
      <c r="L128" s="188" t="str">
        <f>IFERROR(_xlfn.XLOOKUP(A128,[1]Fleet!A:A,[1]Fleet!E:E,""),"")</f>
        <v/>
      </c>
      <c r="M128" s="188">
        <v>10.050000000000001</v>
      </c>
      <c r="N128" s="188" t="s">
        <v>335</v>
      </c>
      <c r="O128" s="198" t="s">
        <v>296</v>
      </c>
      <c r="P128">
        <v>94</v>
      </c>
      <c r="Q128">
        <f>_xlfn.XLOOKUP(A128,'[1]Classic Net to delete'!D:D,'[1]Classic Net to delete'!AA:AA,0)</f>
        <v>152</v>
      </c>
    </row>
    <row r="129" spans="1:17" x14ac:dyDescent="0.25">
      <c r="A129" t="s">
        <v>336</v>
      </c>
      <c r="B129" t="s">
        <v>337</v>
      </c>
      <c r="C129">
        <v>6.69</v>
      </c>
      <c r="D129" t="s">
        <v>20</v>
      </c>
      <c r="E129" t="str">
        <f t="shared" si="3"/>
        <v>14. Ladders</v>
      </c>
      <c r="F129">
        <v>75</v>
      </c>
      <c r="H129" t="b">
        <v>1</v>
      </c>
      <c r="I129">
        <v>153</v>
      </c>
      <c r="J129" s="192" t="s">
        <v>21</v>
      </c>
      <c r="K129" s="191">
        <v>14</v>
      </c>
      <c r="L129" s="188" t="str">
        <f>IFERROR(_xlfn.XLOOKUP(A129,[1]Fleet!A:A,[1]Fleet!E:E,""),"")</f>
        <v/>
      </c>
      <c r="M129" s="188">
        <v>6.25</v>
      </c>
      <c r="N129" s="188" t="s">
        <v>337</v>
      </c>
      <c r="O129" s="198" t="s">
        <v>296</v>
      </c>
      <c r="P129">
        <v>93</v>
      </c>
      <c r="Q129">
        <f>_xlfn.XLOOKUP(A129,'[1]Classic Net to delete'!D:D,'[1]Classic Net to delete'!AA:AA,0)</f>
        <v>153</v>
      </c>
    </row>
    <row r="130" spans="1:17" x14ac:dyDescent="0.25">
      <c r="A130" t="s">
        <v>338</v>
      </c>
      <c r="B130" t="s">
        <v>339</v>
      </c>
      <c r="C130">
        <v>43.660000000000004</v>
      </c>
      <c r="D130" t="s">
        <v>20</v>
      </c>
      <c r="E130" t="str">
        <f t="shared" si="3"/>
        <v>14. Ladders</v>
      </c>
      <c r="F130">
        <v>75</v>
      </c>
      <c r="H130" t="b">
        <v>1</v>
      </c>
      <c r="I130">
        <v>157</v>
      </c>
      <c r="J130" s="192" t="s">
        <v>21</v>
      </c>
      <c r="K130" s="191">
        <v>14</v>
      </c>
      <c r="L130" s="188">
        <f>IFERROR(_xlfn.XLOOKUP(A130,[1]Fleet!A:A,[1]Fleet!E:E,""),"")</f>
        <v>8</v>
      </c>
      <c r="M130" s="188">
        <v>40.800000000000004</v>
      </c>
      <c r="N130" s="188" t="s">
        <v>323</v>
      </c>
      <c r="O130" s="198" t="s">
        <v>296</v>
      </c>
      <c r="P130">
        <v>99</v>
      </c>
      <c r="Q130">
        <f>_xlfn.XLOOKUP(A130,'[1]Classic Net to delete'!D:D,'[1]Classic Net to delete'!AA:AA,0)</f>
        <v>157</v>
      </c>
    </row>
    <row r="131" spans="1:17" x14ac:dyDescent="0.25">
      <c r="A131" t="s">
        <v>340</v>
      </c>
      <c r="B131" t="s">
        <v>341</v>
      </c>
      <c r="C131">
        <v>44.300000000000004</v>
      </c>
      <c r="D131" t="s">
        <v>20</v>
      </c>
      <c r="E131" t="str">
        <f t="shared" si="3"/>
        <v>14. Ladders</v>
      </c>
      <c r="F131">
        <v>75</v>
      </c>
      <c r="H131" t="b">
        <v>1</v>
      </c>
      <c r="I131">
        <v>158</v>
      </c>
      <c r="J131" s="192" t="s">
        <v>21</v>
      </c>
      <c r="K131" s="191">
        <v>14</v>
      </c>
      <c r="L131" s="188">
        <f>IFERROR(_xlfn.XLOOKUP(A131,[1]Fleet!A:A,[1]Fleet!E:E,""),"")</f>
        <v>4</v>
      </c>
      <c r="M131" s="188">
        <v>41.400000000000006</v>
      </c>
      <c r="N131" s="188" t="s">
        <v>342</v>
      </c>
      <c r="O131" s="198" t="s">
        <v>296</v>
      </c>
      <c r="P131">
        <v>123</v>
      </c>
      <c r="Q131">
        <f>_xlfn.XLOOKUP(A131,'[1]Classic Net to delete'!D:D,'[1]Classic Net to delete'!AA:AA,0)</f>
        <v>158</v>
      </c>
    </row>
    <row r="132" spans="1:17" x14ac:dyDescent="0.25">
      <c r="A132" t="s">
        <v>343</v>
      </c>
      <c r="B132" t="s">
        <v>344</v>
      </c>
      <c r="C132">
        <v>44.94</v>
      </c>
      <c r="D132" t="s">
        <v>20</v>
      </c>
      <c r="E132" t="str">
        <f t="shared" si="3"/>
        <v>14. Ladders</v>
      </c>
      <c r="F132">
        <v>75</v>
      </c>
      <c r="H132" t="b">
        <v>1</v>
      </c>
      <c r="I132">
        <v>159</v>
      </c>
      <c r="J132" s="192" t="s">
        <v>21</v>
      </c>
      <c r="K132" s="191">
        <v>14</v>
      </c>
      <c r="L132" s="188">
        <f>IFERROR(_xlfn.XLOOKUP(A132,[1]Fleet!A:A,[1]Fleet!E:E,""),"")</f>
        <v>6</v>
      </c>
      <c r="M132" s="188">
        <v>42</v>
      </c>
      <c r="N132" s="188" t="s">
        <v>345</v>
      </c>
      <c r="O132" s="198" t="s">
        <v>296</v>
      </c>
      <c r="P132">
        <v>100</v>
      </c>
      <c r="Q132">
        <f>_xlfn.XLOOKUP(A132,'[1]Classic Net to delete'!D:D,'[1]Classic Net to delete'!AA:AA,0)</f>
        <v>159</v>
      </c>
    </row>
    <row r="133" spans="1:17" x14ac:dyDescent="0.25">
      <c r="A133" t="s">
        <v>346</v>
      </c>
      <c r="B133" t="s">
        <v>347</v>
      </c>
      <c r="C133">
        <v>46.28</v>
      </c>
      <c r="D133" t="s">
        <v>20</v>
      </c>
      <c r="E133" t="str">
        <f t="shared" si="3"/>
        <v>14. Ladders</v>
      </c>
      <c r="F133">
        <v>75</v>
      </c>
      <c r="H133" t="b">
        <v>1</v>
      </c>
      <c r="I133">
        <v>160</v>
      </c>
      <c r="J133" s="192" t="s">
        <v>21</v>
      </c>
      <c r="K133" s="191">
        <v>14</v>
      </c>
      <c r="L133" s="188">
        <f>IFERROR(_xlfn.XLOOKUP(A133,[1]Fleet!A:A,[1]Fleet!E:E,""),"")</f>
        <v>2</v>
      </c>
      <c r="M133" s="188">
        <v>43.25</v>
      </c>
      <c r="N133" s="188" t="s">
        <v>348</v>
      </c>
      <c r="O133" s="198" t="s">
        <v>296</v>
      </c>
      <c r="P133">
        <v>101</v>
      </c>
      <c r="Q133">
        <f>_xlfn.XLOOKUP(A133,'[1]Classic Net to delete'!D:D,'[1]Classic Net to delete'!AA:AA,0)</f>
        <v>160</v>
      </c>
    </row>
    <row r="134" spans="1:17" x14ac:dyDescent="0.25">
      <c r="A134" t="s">
        <v>349</v>
      </c>
      <c r="B134" t="s">
        <v>350</v>
      </c>
      <c r="C134">
        <v>36.65</v>
      </c>
      <c r="D134" t="s">
        <v>20</v>
      </c>
      <c r="E134" t="str">
        <f t="shared" si="3"/>
        <v>14. Ladders</v>
      </c>
      <c r="F134">
        <v>75</v>
      </c>
      <c r="H134" t="b">
        <v>1</v>
      </c>
      <c r="I134">
        <v>164</v>
      </c>
      <c r="J134" s="192" t="s">
        <v>21</v>
      </c>
      <c r="K134" s="191">
        <v>14</v>
      </c>
      <c r="L134" s="188">
        <f>IFERROR(_xlfn.XLOOKUP(A134,[1]Fleet!A:A,[1]Fleet!E:E,""),"")</f>
        <v>1</v>
      </c>
      <c r="M134" s="188">
        <v>34.25</v>
      </c>
      <c r="N134" s="188" t="s">
        <v>351</v>
      </c>
      <c r="O134" s="198" t="s">
        <v>296</v>
      </c>
      <c r="P134">
        <v>112</v>
      </c>
      <c r="Q134">
        <f>_xlfn.XLOOKUP(A134,'[1]Classic Net to delete'!D:D,'[1]Classic Net to delete'!AA:AA,0)</f>
        <v>164</v>
      </c>
    </row>
    <row r="135" spans="1:17" x14ac:dyDescent="0.25">
      <c r="A135" t="s">
        <v>352</v>
      </c>
      <c r="B135" t="s">
        <v>353</v>
      </c>
      <c r="C135">
        <v>38.04</v>
      </c>
      <c r="D135" t="s">
        <v>20</v>
      </c>
      <c r="E135" t="str">
        <f t="shared" ref="E135:E166" si="4">CONCATENATE(K135,". ",O135)</f>
        <v>14. Ladders</v>
      </c>
      <c r="F135">
        <v>75</v>
      </c>
      <c r="H135" t="b">
        <v>1</v>
      </c>
      <c r="I135">
        <v>165</v>
      </c>
      <c r="J135" s="192" t="s">
        <v>21</v>
      </c>
      <c r="K135" s="191">
        <v>14</v>
      </c>
      <c r="L135" s="188">
        <f>IFERROR(_xlfn.XLOOKUP(A135,[1]Fleet!A:A,[1]Fleet!E:E,""),"")</f>
        <v>1</v>
      </c>
      <c r="M135" s="188">
        <v>35.550000000000004</v>
      </c>
      <c r="N135" s="188" t="s">
        <v>354</v>
      </c>
      <c r="O135" s="198" t="s">
        <v>296</v>
      </c>
      <c r="P135">
        <v>113</v>
      </c>
      <c r="Q135">
        <f>_xlfn.XLOOKUP(A135,'[1]Classic Net to delete'!D:D,'[1]Classic Net to delete'!AA:AA,0)</f>
        <v>165</v>
      </c>
    </row>
    <row r="136" spans="1:17" x14ac:dyDescent="0.25">
      <c r="A136" t="s">
        <v>355</v>
      </c>
      <c r="B136" t="s">
        <v>356</v>
      </c>
      <c r="C136">
        <v>0</v>
      </c>
      <c r="D136" t="s">
        <v>20</v>
      </c>
      <c r="E136" t="str">
        <f t="shared" si="4"/>
        <v>14. Ladders</v>
      </c>
      <c r="F136">
        <v>75</v>
      </c>
      <c r="H136" t="b">
        <v>0</v>
      </c>
      <c r="I136">
        <v>166</v>
      </c>
      <c r="J136" s="192" t="s">
        <v>21</v>
      </c>
      <c r="K136" s="191">
        <v>14</v>
      </c>
      <c r="L136" s="188">
        <f>IFERROR(_xlfn.XLOOKUP(A136,[1]Fleet!A:A,[1]Fleet!E:E,""),"")</f>
        <v>0</v>
      </c>
      <c r="M136" s="188">
        <v>40.800000000000004</v>
      </c>
      <c r="N136" s="188" t="s">
        <v>357</v>
      </c>
      <c r="O136" s="198" t="s">
        <v>296</v>
      </c>
      <c r="P136">
        <v>114</v>
      </c>
      <c r="Q136">
        <f>_xlfn.XLOOKUP(A136,'[1]Classic Net to delete'!D:D,'[1]Classic Net to delete'!AA:AA,0)</f>
        <v>166</v>
      </c>
    </row>
    <row r="137" spans="1:17" x14ac:dyDescent="0.25">
      <c r="A137" t="s">
        <v>358</v>
      </c>
      <c r="B137" t="s">
        <v>359</v>
      </c>
      <c r="C137">
        <v>47.03</v>
      </c>
      <c r="D137" t="s">
        <v>20</v>
      </c>
      <c r="E137" t="str">
        <f t="shared" si="4"/>
        <v>14. Ladders</v>
      </c>
      <c r="F137">
        <v>75</v>
      </c>
      <c r="H137" t="b">
        <v>1</v>
      </c>
      <c r="I137">
        <v>171</v>
      </c>
      <c r="J137" s="192" t="s">
        <v>21</v>
      </c>
      <c r="K137" s="191">
        <v>14</v>
      </c>
      <c r="L137" s="188">
        <f>IFERROR(_xlfn.XLOOKUP(A137,[1]Fleet!A:A,[1]Fleet!E:E,""),"")</f>
        <v>1</v>
      </c>
      <c r="M137" s="188">
        <v>43.95</v>
      </c>
      <c r="N137" s="188" t="s">
        <v>360</v>
      </c>
      <c r="O137" s="198" t="s">
        <v>296</v>
      </c>
      <c r="P137">
        <v>115</v>
      </c>
      <c r="Q137">
        <f>_xlfn.XLOOKUP(A137,'[1]Classic Net to delete'!D:D,'[1]Classic Net to delete'!AA:AA,0)</f>
        <v>171</v>
      </c>
    </row>
    <row r="138" spans="1:17" x14ac:dyDescent="0.25">
      <c r="A138" t="s">
        <v>361</v>
      </c>
      <c r="B138" t="s">
        <v>362</v>
      </c>
      <c r="C138">
        <v>49.65</v>
      </c>
      <c r="D138" t="s">
        <v>20</v>
      </c>
      <c r="E138" t="str">
        <f t="shared" si="4"/>
        <v>14. Ladders</v>
      </c>
      <c r="F138">
        <v>75</v>
      </c>
      <c r="H138" t="b">
        <v>1</v>
      </c>
      <c r="I138">
        <v>172</v>
      </c>
      <c r="J138" s="192" t="s">
        <v>21</v>
      </c>
      <c r="K138" s="191">
        <v>14</v>
      </c>
      <c r="L138" s="188">
        <f>IFERROR(_xlfn.XLOOKUP(A138,[1]Fleet!A:A,[1]Fleet!E:E,""),"")</f>
        <v>4</v>
      </c>
      <c r="M138" s="188">
        <v>46.400000000000006</v>
      </c>
      <c r="N138" s="188" t="s">
        <v>363</v>
      </c>
      <c r="O138" s="198" t="s">
        <v>296</v>
      </c>
      <c r="P138">
        <v>116</v>
      </c>
      <c r="Q138">
        <f>_xlfn.XLOOKUP(A138,'[1]Classic Net to delete'!D:D,'[1]Classic Net to delete'!AA:AA,0)</f>
        <v>172</v>
      </c>
    </row>
    <row r="139" spans="1:17" x14ac:dyDescent="0.25">
      <c r="A139" t="s">
        <v>364</v>
      </c>
      <c r="B139" t="s">
        <v>365</v>
      </c>
      <c r="C139">
        <v>52.38</v>
      </c>
      <c r="D139" t="s">
        <v>20</v>
      </c>
      <c r="E139" t="str">
        <f t="shared" si="4"/>
        <v>14. Ladders</v>
      </c>
      <c r="F139">
        <v>75</v>
      </c>
      <c r="H139" t="b">
        <v>1</v>
      </c>
      <c r="I139">
        <v>173</v>
      </c>
      <c r="J139" s="192" t="s">
        <v>21</v>
      </c>
      <c r="K139" s="191">
        <v>14</v>
      </c>
      <c r="L139" s="188">
        <f>IFERROR(_xlfn.XLOOKUP(A139,[1]Fleet!A:A,[1]Fleet!E:E,""),"")</f>
        <v>6</v>
      </c>
      <c r="M139" s="188">
        <v>48.95</v>
      </c>
      <c r="N139" s="188" t="s">
        <v>366</v>
      </c>
      <c r="O139" s="198" t="s">
        <v>296</v>
      </c>
      <c r="P139">
        <v>117</v>
      </c>
      <c r="Q139">
        <f>_xlfn.XLOOKUP(A139,'[1]Classic Net to delete'!D:D,'[1]Classic Net to delete'!AA:AA,0)</f>
        <v>173</v>
      </c>
    </row>
    <row r="140" spans="1:17" x14ac:dyDescent="0.25">
      <c r="A140" t="s">
        <v>367</v>
      </c>
      <c r="B140" t="s">
        <v>368</v>
      </c>
      <c r="C140">
        <v>6.69</v>
      </c>
      <c r="D140" t="s">
        <v>20</v>
      </c>
      <c r="E140" t="str">
        <f t="shared" si="4"/>
        <v>15. Staging</v>
      </c>
      <c r="F140">
        <v>75</v>
      </c>
      <c r="H140" t="b">
        <v>0</v>
      </c>
      <c r="I140">
        <v>0</v>
      </c>
      <c r="J140" s="192" t="s">
        <v>21</v>
      </c>
      <c r="K140" s="191">
        <v>15</v>
      </c>
      <c r="L140" s="188" t="str">
        <f>IFERROR(_xlfn.XLOOKUP(A140,[1]Fleet!A:A,[1]Fleet!E:E,""),"")</f>
        <v/>
      </c>
      <c r="M140" s="188" t="s">
        <v>22</v>
      </c>
      <c r="N140" s="188" t="s">
        <v>22</v>
      </c>
      <c r="O140" s="198" t="s">
        <v>369</v>
      </c>
      <c r="P140">
        <v>163</v>
      </c>
      <c r="Q140">
        <f>_xlfn.XLOOKUP(A140,'[1]Classic Net to delete'!D:D,'[1]Classic Net to delete'!AA:AA,0)</f>
        <v>0</v>
      </c>
    </row>
    <row r="141" spans="1:17" x14ac:dyDescent="0.25">
      <c r="A141" t="s">
        <v>370</v>
      </c>
      <c r="B141" t="s">
        <v>371</v>
      </c>
      <c r="C141">
        <v>2.89</v>
      </c>
      <c r="D141" t="s">
        <v>20</v>
      </c>
      <c r="E141" t="str">
        <f t="shared" si="4"/>
        <v>15. Staging</v>
      </c>
      <c r="F141">
        <v>75</v>
      </c>
      <c r="H141" t="b">
        <v>0</v>
      </c>
      <c r="I141">
        <v>0</v>
      </c>
      <c r="J141" s="192" t="s">
        <v>21</v>
      </c>
      <c r="K141" s="191">
        <v>15</v>
      </c>
      <c r="L141" s="188" t="str">
        <f>IFERROR(_xlfn.XLOOKUP(A141,[1]Fleet!A:A,[1]Fleet!E:E,""),"")</f>
        <v/>
      </c>
      <c r="M141" s="188" t="s">
        <v>22</v>
      </c>
      <c r="N141" s="188" t="s">
        <v>22</v>
      </c>
      <c r="O141" s="198" t="s">
        <v>369</v>
      </c>
      <c r="P141">
        <v>157</v>
      </c>
      <c r="Q141">
        <f>_xlfn.XLOOKUP(A141,'[1]Classic Net to delete'!D:D,'[1]Classic Net to delete'!AA:AA,0)</f>
        <v>0</v>
      </c>
    </row>
    <row r="142" spans="1:17" x14ac:dyDescent="0.25">
      <c r="A142" t="s">
        <v>372</v>
      </c>
      <c r="B142" t="s">
        <v>373</v>
      </c>
      <c r="C142">
        <v>6.3100000000000005</v>
      </c>
      <c r="D142" t="s">
        <v>20</v>
      </c>
      <c r="E142" t="str">
        <f t="shared" si="4"/>
        <v>15. Staging</v>
      </c>
      <c r="F142">
        <v>75</v>
      </c>
      <c r="H142" t="b">
        <v>0</v>
      </c>
      <c r="I142">
        <v>0</v>
      </c>
      <c r="J142" s="192" t="s">
        <v>21</v>
      </c>
      <c r="K142" s="191">
        <v>15</v>
      </c>
      <c r="L142" s="188" t="str">
        <f>IFERROR(_xlfn.XLOOKUP(A142,[1]Fleet!A:A,[1]Fleet!E:E,""),"")</f>
        <v/>
      </c>
      <c r="M142" s="188" t="s">
        <v>22</v>
      </c>
      <c r="N142" s="188" t="s">
        <v>22</v>
      </c>
      <c r="O142" s="198" t="s">
        <v>369</v>
      </c>
      <c r="P142">
        <v>156</v>
      </c>
      <c r="Q142">
        <f>_xlfn.XLOOKUP(A142,'[1]Classic Net to delete'!D:D,'[1]Classic Net to delete'!AA:AA,0)</f>
        <v>0</v>
      </c>
    </row>
    <row r="143" spans="1:17" x14ac:dyDescent="0.25">
      <c r="A143" t="s">
        <v>374</v>
      </c>
      <c r="B143" t="s">
        <v>375</v>
      </c>
      <c r="C143">
        <v>1.98</v>
      </c>
      <c r="D143" t="s">
        <v>20</v>
      </c>
      <c r="E143" t="str">
        <f t="shared" si="4"/>
        <v>15. Staging</v>
      </c>
      <c r="F143">
        <v>75</v>
      </c>
      <c r="H143" t="b">
        <v>0</v>
      </c>
      <c r="I143">
        <v>0</v>
      </c>
      <c r="J143" s="192" t="s">
        <v>21</v>
      </c>
      <c r="K143" s="191">
        <v>15</v>
      </c>
      <c r="L143" s="188" t="str">
        <f>IFERROR(_xlfn.XLOOKUP(A143,[1]Fleet!A:A,[1]Fleet!E:E,""),"")</f>
        <v/>
      </c>
      <c r="M143" s="188" t="s">
        <v>22</v>
      </c>
      <c r="N143" s="188" t="s">
        <v>22</v>
      </c>
      <c r="O143" s="198" t="s">
        <v>369</v>
      </c>
      <c r="P143">
        <v>155</v>
      </c>
      <c r="Q143">
        <f>_xlfn.XLOOKUP(A143,'[1]Classic Net to delete'!D:D,'[1]Classic Net to delete'!AA:AA,0)</f>
        <v>0</v>
      </c>
    </row>
    <row r="144" spans="1:17" x14ac:dyDescent="0.25">
      <c r="A144" t="s">
        <v>376</v>
      </c>
      <c r="B144" t="s">
        <v>377</v>
      </c>
      <c r="C144">
        <v>2.35</v>
      </c>
      <c r="D144" t="s">
        <v>20</v>
      </c>
      <c r="E144" t="str">
        <f t="shared" si="4"/>
        <v>15. Staging</v>
      </c>
      <c r="F144">
        <v>75</v>
      </c>
      <c r="H144" t="b">
        <v>0</v>
      </c>
      <c r="I144">
        <v>0</v>
      </c>
      <c r="J144" s="192" t="s">
        <v>21</v>
      </c>
      <c r="K144" s="191">
        <v>15</v>
      </c>
      <c r="L144" s="188" t="str">
        <f>IFERROR(_xlfn.XLOOKUP(A144,[1]Fleet!A:A,[1]Fleet!E:E,""),"")</f>
        <v/>
      </c>
      <c r="M144" s="188" t="s">
        <v>22</v>
      </c>
      <c r="N144" s="188" t="s">
        <v>22</v>
      </c>
      <c r="O144" s="198" t="s">
        <v>369</v>
      </c>
      <c r="P144">
        <v>154</v>
      </c>
      <c r="Q144">
        <f>_xlfn.XLOOKUP(A144,'[1]Classic Net to delete'!D:D,'[1]Classic Net to delete'!AA:AA,0)</f>
        <v>0</v>
      </c>
    </row>
    <row r="145" spans="1:17" x14ac:dyDescent="0.25">
      <c r="A145" t="s">
        <v>378</v>
      </c>
      <c r="B145" t="s">
        <v>379</v>
      </c>
      <c r="C145">
        <v>3.0500000000000003</v>
      </c>
      <c r="D145" t="s">
        <v>20</v>
      </c>
      <c r="E145" t="str">
        <f t="shared" si="4"/>
        <v>15. Staging</v>
      </c>
      <c r="F145">
        <v>75</v>
      </c>
      <c r="H145" t="b">
        <v>0</v>
      </c>
      <c r="I145">
        <v>0</v>
      </c>
      <c r="J145" s="192" t="s">
        <v>21</v>
      </c>
      <c r="K145" s="191">
        <v>15</v>
      </c>
      <c r="L145" s="188" t="str">
        <f>IFERROR(_xlfn.XLOOKUP(A145,[1]Fleet!A:A,[1]Fleet!E:E,""),"")</f>
        <v/>
      </c>
      <c r="M145" s="188" t="s">
        <v>22</v>
      </c>
      <c r="N145" s="188" t="s">
        <v>22</v>
      </c>
      <c r="O145" s="198" t="s">
        <v>369</v>
      </c>
      <c r="P145">
        <v>153</v>
      </c>
      <c r="Q145">
        <f>_xlfn.XLOOKUP(A145,'[1]Classic Net to delete'!D:D,'[1]Classic Net to delete'!AA:AA,0)</f>
        <v>0</v>
      </c>
    </row>
    <row r="146" spans="1:17" x14ac:dyDescent="0.25">
      <c r="A146" t="s">
        <v>380</v>
      </c>
      <c r="B146" t="s">
        <v>381</v>
      </c>
      <c r="C146">
        <v>3.3200000000000003</v>
      </c>
      <c r="D146" t="s">
        <v>20</v>
      </c>
      <c r="E146" t="str">
        <f t="shared" si="4"/>
        <v>15. Staging</v>
      </c>
      <c r="F146">
        <v>75</v>
      </c>
      <c r="H146" t="b">
        <v>0</v>
      </c>
      <c r="I146">
        <v>0</v>
      </c>
      <c r="J146" s="192" t="s">
        <v>21</v>
      </c>
      <c r="K146" s="191">
        <v>15</v>
      </c>
      <c r="L146" s="188" t="str">
        <f>IFERROR(_xlfn.XLOOKUP(A146,[1]Fleet!A:A,[1]Fleet!E:E,""),"")</f>
        <v/>
      </c>
      <c r="M146" s="188" t="s">
        <v>22</v>
      </c>
      <c r="N146" s="188" t="s">
        <v>22</v>
      </c>
      <c r="O146" s="198" t="s">
        <v>369</v>
      </c>
      <c r="P146">
        <v>152</v>
      </c>
      <c r="Q146">
        <f>_xlfn.XLOOKUP(A146,'[1]Classic Net to delete'!D:D,'[1]Classic Net to delete'!AA:AA,0)</f>
        <v>0</v>
      </c>
    </row>
    <row r="147" spans="1:17" x14ac:dyDescent="0.25">
      <c r="A147" t="s">
        <v>382</v>
      </c>
      <c r="B147" t="s">
        <v>383</v>
      </c>
      <c r="C147">
        <v>3.69</v>
      </c>
      <c r="D147" t="s">
        <v>20</v>
      </c>
      <c r="E147" t="str">
        <f t="shared" si="4"/>
        <v>15. Staging</v>
      </c>
      <c r="F147">
        <v>75</v>
      </c>
      <c r="H147" t="b">
        <v>0</v>
      </c>
      <c r="I147">
        <v>0</v>
      </c>
      <c r="J147" s="192" t="s">
        <v>21</v>
      </c>
      <c r="K147" s="191">
        <v>15</v>
      </c>
      <c r="L147" s="188" t="str">
        <f>IFERROR(_xlfn.XLOOKUP(A147,[1]Fleet!A:A,[1]Fleet!E:E,""),"")</f>
        <v/>
      </c>
      <c r="M147" s="188" t="s">
        <v>22</v>
      </c>
      <c r="N147" s="188" t="s">
        <v>22</v>
      </c>
      <c r="O147" s="198" t="s">
        <v>369</v>
      </c>
      <c r="P147">
        <v>151</v>
      </c>
      <c r="Q147">
        <f>_xlfn.XLOOKUP(A147,'[1]Classic Net to delete'!D:D,'[1]Classic Net to delete'!AA:AA,0)</f>
        <v>0</v>
      </c>
    </row>
    <row r="148" spans="1:17" x14ac:dyDescent="0.25">
      <c r="A148" t="s">
        <v>384</v>
      </c>
      <c r="B148" t="s">
        <v>385</v>
      </c>
      <c r="C148">
        <v>4.01</v>
      </c>
      <c r="D148" t="s">
        <v>20</v>
      </c>
      <c r="E148" t="str">
        <f t="shared" si="4"/>
        <v>15. Staging</v>
      </c>
      <c r="F148">
        <v>75</v>
      </c>
      <c r="H148" t="b">
        <v>0</v>
      </c>
      <c r="I148">
        <v>0</v>
      </c>
      <c r="J148" s="192" t="s">
        <v>21</v>
      </c>
      <c r="K148" s="191">
        <v>15</v>
      </c>
      <c r="L148" s="188" t="str">
        <f>IFERROR(_xlfn.XLOOKUP(A148,[1]Fleet!A:A,[1]Fleet!E:E,""),"")</f>
        <v/>
      </c>
      <c r="M148" s="188" t="s">
        <v>22</v>
      </c>
      <c r="N148" s="188" t="s">
        <v>22</v>
      </c>
      <c r="O148" s="198" t="s">
        <v>369</v>
      </c>
      <c r="P148">
        <v>150</v>
      </c>
      <c r="Q148">
        <f>_xlfn.XLOOKUP(A148,'[1]Classic Net to delete'!D:D,'[1]Classic Net to delete'!AA:AA,0)</f>
        <v>0</v>
      </c>
    </row>
    <row r="149" spans="1:17" x14ac:dyDescent="0.25">
      <c r="A149" t="s">
        <v>386</v>
      </c>
      <c r="B149" t="s">
        <v>387</v>
      </c>
      <c r="C149">
        <v>4.76</v>
      </c>
      <c r="D149" t="s">
        <v>20</v>
      </c>
      <c r="E149" t="str">
        <f t="shared" si="4"/>
        <v>15. Staging</v>
      </c>
      <c r="F149">
        <v>75</v>
      </c>
      <c r="H149" t="b">
        <v>0</v>
      </c>
      <c r="I149">
        <v>0</v>
      </c>
      <c r="J149" s="192" t="s">
        <v>21</v>
      </c>
      <c r="K149" s="191">
        <v>15</v>
      </c>
      <c r="L149" s="188" t="str">
        <f>IFERROR(_xlfn.XLOOKUP(A149,[1]Fleet!A:A,[1]Fleet!E:E,""),"")</f>
        <v/>
      </c>
      <c r="M149" s="188" t="s">
        <v>22</v>
      </c>
      <c r="N149" s="188" t="s">
        <v>22</v>
      </c>
      <c r="O149" s="198" t="s">
        <v>369</v>
      </c>
      <c r="P149">
        <v>149</v>
      </c>
      <c r="Q149">
        <f>_xlfn.XLOOKUP(A149,'[1]Classic Net to delete'!D:D,'[1]Classic Net to delete'!AA:AA,0)</f>
        <v>0</v>
      </c>
    </row>
    <row r="150" spans="1:17" x14ac:dyDescent="0.25">
      <c r="A150" t="s">
        <v>388</v>
      </c>
      <c r="B150" t="s">
        <v>389</v>
      </c>
      <c r="C150">
        <v>1.34</v>
      </c>
      <c r="D150" t="s">
        <v>20</v>
      </c>
      <c r="E150" t="str">
        <f t="shared" si="4"/>
        <v>15. Staging</v>
      </c>
      <c r="F150">
        <v>75</v>
      </c>
      <c r="H150" t="b">
        <v>0</v>
      </c>
      <c r="I150">
        <v>100</v>
      </c>
      <c r="J150" s="192" t="s">
        <v>21</v>
      </c>
      <c r="K150" s="191">
        <v>15</v>
      </c>
      <c r="L150" s="188" t="str">
        <f>IFERROR(_xlfn.XLOOKUP(A150,[1]Fleet!A:A,[1]Fleet!E:E,""),"")</f>
        <v/>
      </c>
      <c r="M150" s="188">
        <v>1.25</v>
      </c>
      <c r="N150" s="188" t="s">
        <v>389</v>
      </c>
      <c r="O150" s="198" t="s">
        <v>369</v>
      </c>
      <c r="P150">
        <v>158</v>
      </c>
      <c r="Q150">
        <f>_xlfn.XLOOKUP(A150,'[1]Classic Net to delete'!D:D,'[1]Classic Net to delete'!AA:AA,0)</f>
        <v>100</v>
      </c>
    </row>
    <row r="151" spans="1:17" x14ac:dyDescent="0.25">
      <c r="A151" t="s">
        <v>390</v>
      </c>
      <c r="B151" t="s">
        <v>391</v>
      </c>
      <c r="C151">
        <v>6.69</v>
      </c>
      <c r="D151" t="s">
        <v>20</v>
      </c>
      <c r="E151" t="str">
        <f t="shared" si="4"/>
        <v>15. Staging</v>
      </c>
      <c r="F151">
        <v>75</v>
      </c>
      <c r="H151" t="b">
        <v>1</v>
      </c>
      <c r="I151">
        <v>178</v>
      </c>
      <c r="J151" s="192" t="s">
        <v>21</v>
      </c>
      <c r="K151" s="191">
        <v>15</v>
      </c>
      <c r="L151" s="188" t="str">
        <f>IFERROR(_xlfn.XLOOKUP(A151,[1]Fleet!A:A,[1]Fleet!E:E,""),"")</f>
        <v/>
      </c>
      <c r="M151" s="188">
        <v>6.25</v>
      </c>
      <c r="N151" s="188" t="s">
        <v>392</v>
      </c>
      <c r="O151" s="198" t="s">
        <v>369</v>
      </c>
      <c r="P151">
        <v>166</v>
      </c>
      <c r="Q151">
        <f>_xlfn.XLOOKUP(A151,'[1]Classic Net to delete'!D:D,'[1]Classic Net to delete'!AA:AA,0)</f>
        <v>178</v>
      </c>
    </row>
    <row r="152" spans="1:17" x14ac:dyDescent="0.25">
      <c r="A152" t="s">
        <v>393</v>
      </c>
      <c r="B152" t="s">
        <v>394</v>
      </c>
      <c r="C152">
        <v>6.69</v>
      </c>
      <c r="D152" t="s">
        <v>20</v>
      </c>
      <c r="E152" t="str">
        <f t="shared" si="4"/>
        <v>15. Staging</v>
      </c>
      <c r="F152">
        <v>75</v>
      </c>
      <c r="H152" t="b">
        <v>1</v>
      </c>
      <c r="I152">
        <v>179</v>
      </c>
      <c r="J152" s="192" t="s">
        <v>21</v>
      </c>
      <c r="K152" s="191">
        <v>15</v>
      </c>
      <c r="L152" s="188" t="str">
        <f>IFERROR(_xlfn.XLOOKUP(A152,[1]Fleet!A:A,[1]Fleet!E:E,""),"")</f>
        <v/>
      </c>
      <c r="M152" s="188">
        <v>6.25</v>
      </c>
      <c r="N152" s="188" t="s">
        <v>395</v>
      </c>
      <c r="O152" s="198" t="s">
        <v>369</v>
      </c>
      <c r="P152">
        <v>165</v>
      </c>
      <c r="Q152">
        <f>_xlfn.XLOOKUP(A152,'[1]Classic Net to delete'!D:D,'[1]Classic Net to delete'!AA:AA,0)</f>
        <v>179</v>
      </c>
    </row>
    <row r="153" spans="1:17" x14ac:dyDescent="0.25">
      <c r="A153" t="s">
        <v>396</v>
      </c>
      <c r="B153" t="s">
        <v>397</v>
      </c>
      <c r="C153">
        <v>6.69</v>
      </c>
      <c r="D153" t="s">
        <v>20</v>
      </c>
      <c r="E153" t="str">
        <f t="shared" si="4"/>
        <v>15. Staging</v>
      </c>
      <c r="F153">
        <v>75</v>
      </c>
      <c r="H153" t="b">
        <v>1</v>
      </c>
      <c r="I153">
        <v>180</v>
      </c>
      <c r="J153" s="192" t="s">
        <v>21</v>
      </c>
      <c r="K153" s="191">
        <v>15</v>
      </c>
      <c r="L153" s="188" t="str">
        <f>IFERROR(_xlfn.XLOOKUP(A153,[1]Fleet!A:A,[1]Fleet!E:E,""),"")</f>
        <v/>
      </c>
      <c r="M153" s="188">
        <v>6.25</v>
      </c>
      <c r="N153" s="188" t="s">
        <v>398</v>
      </c>
      <c r="O153" s="198" t="s">
        <v>369</v>
      </c>
      <c r="P153">
        <v>164</v>
      </c>
      <c r="Q153">
        <f>_xlfn.XLOOKUP(A153,'[1]Classic Net to delete'!D:D,'[1]Classic Net to delete'!AA:AA,0)</f>
        <v>180</v>
      </c>
    </row>
    <row r="154" spans="1:17" x14ac:dyDescent="0.25">
      <c r="A154" t="s">
        <v>399</v>
      </c>
      <c r="B154" t="s">
        <v>400</v>
      </c>
      <c r="C154">
        <v>3.0500000000000003</v>
      </c>
      <c r="D154" t="s">
        <v>20</v>
      </c>
      <c r="E154" t="str">
        <f t="shared" si="4"/>
        <v>15. Staging</v>
      </c>
      <c r="F154">
        <v>75</v>
      </c>
      <c r="H154" t="b">
        <v>1</v>
      </c>
      <c r="I154">
        <v>184</v>
      </c>
      <c r="J154" s="192" t="s">
        <v>21</v>
      </c>
      <c r="K154" s="191">
        <v>15</v>
      </c>
      <c r="L154" s="188" t="str">
        <f>IFERROR(_xlfn.XLOOKUP(A154,[1]Fleet!A:A,[1]Fleet!E:E,""),"")</f>
        <v/>
      </c>
      <c r="M154" s="188">
        <v>2.85</v>
      </c>
      <c r="N154" s="188" t="s">
        <v>401</v>
      </c>
      <c r="O154" s="198" t="s">
        <v>369</v>
      </c>
      <c r="P154">
        <v>162</v>
      </c>
      <c r="Q154">
        <f>_xlfn.XLOOKUP(A154,'[1]Classic Net to delete'!D:D,'[1]Classic Net to delete'!AA:AA,0)</f>
        <v>184</v>
      </c>
    </row>
    <row r="155" spans="1:17" x14ac:dyDescent="0.25">
      <c r="A155" t="s">
        <v>402</v>
      </c>
      <c r="B155" t="s">
        <v>403</v>
      </c>
      <c r="C155">
        <v>3.0500000000000003</v>
      </c>
      <c r="D155" t="s">
        <v>20</v>
      </c>
      <c r="E155" t="str">
        <f t="shared" si="4"/>
        <v>15. Staging</v>
      </c>
      <c r="F155">
        <v>75</v>
      </c>
      <c r="H155" t="b">
        <v>1</v>
      </c>
      <c r="I155">
        <v>185</v>
      </c>
      <c r="J155" s="192" t="s">
        <v>21</v>
      </c>
      <c r="K155" s="191">
        <v>15</v>
      </c>
      <c r="L155" s="188" t="str">
        <f>IFERROR(_xlfn.XLOOKUP(A155,[1]Fleet!A:A,[1]Fleet!E:E,""),"")</f>
        <v/>
      </c>
      <c r="M155" s="188">
        <v>2.85</v>
      </c>
      <c r="N155" s="188" t="s">
        <v>404</v>
      </c>
      <c r="O155" s="198" t="s">
        <v>369</v>
      </c>
      <c r="P155">
        <v>161</v>
      </c>
      <c r="Q155">
        <f>_xlfn.XLOOKUP(A155,'[1]Classic Net to delete'!D:D,'[1]Classic Net to delete'!AA:AA,0)</f>
        <v>185</v>
      </c>
    </row>
    <row r="156" spans="1:17" x14ac:dyDescent="0.25">
      <c r="A156" t="s">
        <v>405</v>
      </c>
      <c r="B156" t="s">
        <v>406</v>
      </c>
      <c r="C156">
        <v>3.0500000000000003</v>
      </c>
      <c r="D156" t="s">
        <v>20</v>
      </c>
      <c r="E156" t="str">
        <f t="shared" si="4"/>
        <v>15. Staging</v>
      </c>
      <c r="F156">
        <v>75</v>
      </c>
      <c r="H156" t="b">
        <v>1</v>
      </c>
      <c r="I156">
        <v>186</v>
      </c>
      <c r="J156" s="192" t="s">
        <v>21</v>
      </c>
      <c r="K156" s="191">
        <v>15</v>
      </c>
      <c r="L156" s="188" t="str">
        <f>IFERROR(_xlfn.XLOOKUP(A156,[1]Fleet!A:A,[1]Fleet!E:E,""),"")</f>
        <v/>
      </c>
      <c r="M156" s="188">
        <v>2.85</v>
      </c>
      <c r="N156" s="188" t="s">
        <v>407</v>
      </c>
      <c r="O156" s="198" t="s">
        <v>369</v>
      </c>
      <c r="P156">
        <v>160</v>
      </c>
      <c r="Q156">
        <f>_xlfn.XLOOKUP(A156,'[1]Classic Net to delete'!D:D,'[1]Classic Net to delete'!AA:AA,0)</f>
        <v>186</v>
      </c>
    </row>
    <row r="157" spans="1:17" x14ac:dyDescent="0.25">
      <c r="A157" t="s">
        <v>408</v>
      </c>
      <c r="B157" t="s">
        <v>409</v>
      </c>
      <c r="C157">
        <v>3.0500000000000003</v>
      </c>
      <c r="D157" t="s">
        <v>20</v>
      </c>
      <c r="E157" t="str">
        <f t="shared" si="4"/>
        <v>15. Staging</v>
      </c>
      <c r="F157">
        <v>75</v>
      </c>
      <c r="H157" t="b">
        <v>1</v>
      </c>
      <c r="I157">
        <v>187</v>
      </c>
      <c r="J157" s="192" t="s">
        <v>21</v>
      </c>
      <c r="K157" s="191">
        <v>15</v>
      </c>
      <c r="L157" s="188" t="str">
        <f>IFERROR(_xlfn.XLOOKUP(A157,[1]Fleet!A:A,[1]Fleet!E:E,""),"")</f>
        <v/>
      </c>
      <c r="M157" s="188">
        <v>2.85</v>
      </c>
      <c r="N157" s="188" t="s">
        <v>410</v>
      </c>
      <c r="O157" s="198" t="s">
        <v>369</v>
      </c>
      <c r="P157">
        <v>159</v>
      </c>
      <c r="Q157">
        <f>_xlfn.XLOOKUP(A157,'[1]Classic Net to delete'!D:D,'[1]Classic Net to delete'!AA:AA,0)</f>
        <v>187</v>
      </c>
    </row>
    <row r="158" spans="1:17" x14ac:dyDescent="0.25">
      <c r="A158" t="s">
        <v>411</v>
      </c>
      <c r="B158" t="s">
        <v>412</v>
      </c>
      <c r="C158">
        <v>18.62</v>
      </c>
      <c r="D158" t="s">
        <v>20</v>
      </c>
      <c r="E158" t="str">
        <f t="shared" si="4"/>
        <v>15. Staging</v>
      </c>
      <c r="F158">
        <v>75</v>
      </c>
      <c r="H158" t="b">
        <v>1</v>
      </c>
      <c r="I158">
        <v>191</v>
      </c>
      <c r="J158" s="192" t="s">
        <v>21</v>
      </c>
      <c r="K158" s="191">
        <v>15</v>
      </c>
      <c r="L158" s="188">
        <f>IFERROR(_xlfn.XLOOKUP(A158,[1]Fleet!A:A,[1]Fleet!E:E,""),"")</f>
        <v>11</v>
      </c>
      <c r="M158" s="188">
        <v>17.400000000000002</v>
      </c>
      <c r="N158" s="188" t="s">
        <v>413</v>
      </c>
      <c r="O158" s="198" t="s">
        <v>369</v>
      </c>
      <c r="P158">
        <v>167</v>
      </c>
      <c r="Q158">
        <f>_xlfn.XLOOKUP(A158,'[1]Classic Net to delete'!D:D,'[1]Classic Net to delete'!AA:AA,0)</f>
        <v>191</v>
      </c>
    </row>
    <row r="159" spans="1:17" x14ac:dyDescent="0.25">
      <c r="A159" t="s">
        <v>414</v>
      </c>
      <c r="B159" t="s">
        <v>415</v>
      </c>
      <c r="C159">
        <v>21.19</v>
      </c>
      <c r="D159" t="s">
        <v>20</v>
      </c>
      <c r="E159" t="str">
        <f t="shared" si="4"/>
        <v>15. Staging</v>
      </c>
      <c r="F159">
        <v>75</v>
      </c>
      <c r="H159" t="b">
        <v>1</v>
      </c>
      <c r="I159">
        <v>192</v>
      </c>
      <c r="J159" s="192" t="s">
        <v>21</v>
      </c>
      <c r="K159" s="191">
        <v>15</v>
      </c>
      <c r="L159" s="188">
        <f>IFERROR(_xlfn.XLOOKUP(A159,[1]Fleet!A:A,[1]Fleet!E:E,""),"")</f>
        <v>15</v>
      </c>
      <c r="M159" s="188">
        <v>19.8</v>
      </c>
      <c r="N159" s="188" t="s">
        <v>141</v>
      </c>
      <c r="O159" s="198" t="s">
        <v>369</v>
      </c>
      <c r="P159">
        <v>168</v>
      </c>
      <c r="Q159">
        <f>_xlfn.XLOOKUP(A159,'[1]Classic Net to delete'!D:D,'[1]Classic Net to delete'!AA:AA,0)</f>
        <v>192</v>
      </c>
    </row>
    <row r="160" spans="1:17" x14ac:dyDescent="0.25">
      <c r="A160" t="s">
        <v>416</v>
      </c>
      <c r="B160" t="s">
        <v>417</v>
      </c>
      <c r="C160">
        <v>23.97</v>
      </c>
      <c r="D160" t="s">
        <v>20</v>
      </c>
      <c r="E160" t="str">
        <f t="shared" si="4"/>
        <v>15. Staging</v>
      </c>
      <c r="F160">
        <v>75</v>
      </c>
      <c r="H160" t="b">
        <v>1</v>
      </c>
      <c r="I160">
        <v>193</v>
      </c>
      <c r="J160" s="192" t="s">
        <v>21</v>
      </c>
      <c r="K160" s="191">
        <v>15</v>
      </c>
      <c r="L160" s="188">
        <f>IFERROR(_xlfn.XLOOKUP(A160,[1]Fleet!A:A,[1]Fleet!E:E,""),"")</f>
        <v>16</v>
      </c>
      <c r="M160" s="188">
        <v>22.400000000000002</v>
      </c>
      <c r="N160" s="188" t="s">
        <v>143</v>
      </c>
      <c r="O160" s="198" t="s">
        <v>369</v>
      </c>
      <c r="P160">
        <v>169</v>
      </c>
      <c r="Q160">
        <f>_xlfn.XLOOKUP(A160,'[1]Classic Net to delete'!D:D,'[1]Classic Net to delete'!AA:AA,0)</f>
        <v>193</v>
      </c>
    </row>
    <row r="161" spans="1:17" x14ac:dyDescent="0.25">
      <c r="A161" t="s">
        <v>418</v>
      </c>
      <c r="B161" t="s">
        <v>419</v>
      </c>
      <c r="C161">
        <v>26.16</v>
      </c>
      <c r="D161" t="s">
        <v>20</v>
      </c>
      <c r="E161" t="str">
        <f t="shared" si="4"/>
        <v>15. Staging</v>
      </c>
      <c r="F161">
        <v>75</v>
      </c>
      <c r="H161" t="b">
        <v>1</v>
      </c>
      <c r="I161">
        <v>194</v>
      </c>
      <c r="J161" s="192" t="s">
        <v>21</v>
      </c>
      <c r="K161" s="191">
        <v>15</v>
      </c>
      <c r="L161" s="188">
        <f>IFERROR(_xlfn.XLOOKUP(A161,[1]Fleet!A:A,[1]Fleet!E:E,""),"")</f>
        <v>18</v>
      </c>
      <c r="M161" s="188">
        <v>24.450000000000003</v>
      </c>
      <c r="N161" s="188" t="s">
        <v>420</v>
      </c>
      <c r="O161" s="198" t="s">
        <v>369</v>
      </c>
      <c r="P161">
        <v>170</v>
      </c>
      <c r="Q161">
        <f>_xlfn.XLOOKUP(A161,'[1]Classic Net to delete'!D:D,'[1]Classic Net to delete'!AA:AA,0)</f>
        <v>194</v>
      </c>
    </row>
    <row r="162" spans="1:17" x14ac:dyDescent="0.25">
      <c r="A162" t="s">
        <v>421</v>
      </c>
      <c r="B162" t="s">
        <v>422</v>
      </c>
      <c r="C162">
        <v>29.69</v>
      </c>
      <c r="D162" t="s">
        <v>20</v>
      </c>
      <c r="E162" t="str">
        <f t="shared" si="4"/>
        <v>15. Staging</v>
      </c>
      <c r="F162">
        <v>75</v>
      </c>
      <c r="H162" t="b">
        <v>1</v>
      </c>
      <c r="I162">
        <v>195</v>
      </c>
      <c r="J162" s="192" t="s">
        <v>21</v>
      </c>
      <c r="K162" s="191">
        <v>15</v>
      </c>
      <c r="L162" s="188">
        <f>IFERROR(_xlfn.XLOOKUP(A162,[1]Fleet!A:A,[1]Fleet!E:E,""),"")</f>
        <v>7</v>
      </c>
      <c r="M162" s="188">
        <v>27.75</v>
      </c>
      <c r="N162" s="188" t="s">
        <v>423</v>
      </c>
      <c r="O162" s="198" t="s">
        <v>369</v>
      </c>
      <c r="P162">
        <v>171</v>
      </c>
      <c r="Q162">
        <f>_xlfn.XLOOKUP(A162,'[1]Classic Net to delete'!D:D,'[1]Classic Net to delete'!AA:AA,0)</f>
        <v>195</v>
      </c>
    </row>
    <row r="163" spans="1:17" x14ac:dyDescent="0.25">
      <c r="A163" t="s">
        <v>424</v>
      </c>
      <c r="B163" t="s">
        <v>425</v>
      </c>
      <c r="C163">
        <v>34.130000000000003</v>
      </c>
      <c r="D163" t="s">
        <v>20</v>
      </c>
      <c r="E163" t="str">
        <f t="shared" si="4"/>
        <v>15. Staging</v>
      </c>
      <c r="F163">
        <v>75</v>
      </c>
      <c r="H163" t="b">
        <v>1</v>
      </c>
      <c r="I163">
        <v>196</v>
      </c>
      <c r="J163" s="192" t="s">
        <v>21</v>
      </c>
      <c r="K163" s="191">
        <v>15</v>
      </c>
      <c r="L163" s="188">
        <f>IFERROR(_xlfn.XLOOKUP(A163,[1]Fleet!A:A,[1]Fleet!E:E,""),"")</f>
        <v>8</v>
      </c>
      <c r="M163" s="188">
        <v>31.900000000000002</v>
      </c>
      <c r="N163" s="188" t="s">
        <v>426</v>
      </c>
      <c r="O163" s="198" t="s">
        <v>369</v>
      </c>
      <c r="P163">
        <v>172</v>
      </c>
      <c r="Q163">
        <f>_xlfn.XLOOKUP(A163,'[1]Classic Net to delete'!D:D,'[1]Classic Net to delete'!AA:AA,0)</f>
        <v>196</v>
      </c>
    </row>
    <row r="164" spans="1:17" x14ac:dyDescent="0.25">
      <c r="A164" t="s">
        <v>427</v>
      </c>
      <c r="B164" t="s">
        <v>428</v>
      </c>
      <c r="C164">
        <v>38.200000000000003</v>
      </c>
      <c r="D164" t="s">
        <v>20</v>
      </c>
      <c r="E164" t="str">
        <f t="shared" si="4"/>
        <v>15. Staging</v>
      </c>
      <c r="F164">
        <v>75</v>
      </c>
      <c r="H164" t="b">
        <v>1</v>
      </c>
      <c r="I164">
        <v>197</v>
      </c>
      <c r="J164" s="192" t="s">
        <v>21</v>
      </c>
      <c r="K164" s="191">
        <v>15</v>
      </c>
      <c r="L164" s="188">
        <f>IFERROR(_xlfn.XLOOKUP(A164,[1]Fleet!A:A,[1]Fleet!E:E,""),"")</f>
        <v>23</v>
      </c>
      <c r="M164" s="188">
        <v>35.700000000000003</v>
      </c>
      <c r="N164" s="188" t="s">
        <v>357</v>
      </c>
      <c r="O164" s="198" t="s">
        <v>369</v>
      </c>
      <c r="P164">
        <v>173</v>
      </c>
      <c r="Q164">
        <f>_xlfn.XLOOKUP(A164,'[1]Classic Net to delete'!D:D,'[1]Classic Net to delete'!AA:AA,0)</f>
        <v>197</v>
      </c>
    </row>
    <row r="165" spans="1:17" x14ac:dyDescent="0.25">
      <c r="A165" t="s">
        <v>429</v>
      </c>
      <c r="B165" t="s">
        <v>430</v>
      </c>
      <c r="C165">
        <v>43.87</v>
      </c>
      <c r="D165" t="s">
        <v>20</v>
      </c>
      <c r="E165" t="str">
        <f t="shared" si="4"/>
        <v>15. Staging</v>
      </c>
      <c r="F165">
        <v>75</v>
      </c>
      <c r="H165" t="b">
        <v>1</v>
      </c>
      <c r="I165">
        <v>200</v>
      </c>
      <c r="J165" s="192" t="s">
        <v>21</v>
      </c>
      <c r="K165" s="191">
        <v>15</v>
      </c>
      <c r="L165" s="188">
        <f>IFERROR(_xlfn.XLOOKUP(A165,[1]Fleet!A:A,[1]Fleet!E:E,""),"")</f>
        <v>3</v>
      </c>
      <c r="M165" s="188">
        <v>41</v>
      </c>
      <c r="N165" s="188" t="s">
        <v>143</v>
      </c>
      <c r="O165" s="198" t="s">
        <v>369</v>
      </c>
      <c r="P165">
        <v>174</v>
      </c>
      <c r="Q165">
        <f>_xlfn.XLOOKUP(A165,'[1]Classic Net to delete'!D:D,'[1]Classic Net to delete'!AA:AA,0)</f>
        <v>200</v>
      </c>
    </row>
    <row r="166" spans="1:17" x14ac:dyDescent="0.25">
      <c r="A166" t="s">
        <v>431</v>
      </c>
      <c r="B166" t="s">
        <v>432</v>
      </c>
      <c r="C166">
        <v>48.26</v>
      </c>
      <c r="D166" t="s">
        <v>20</v>
      </c>
      <c r="E166" t="str">
        <f t="shared" si="4"/>
        <v>15. Staging</v>
      </c>
      <c r="F166">
        <v>75</v>
      </c>
      <c r="H166" t="b">
        <v>1</v>
      </c>
      <c r="I166">
        <v>201</v>
      </c>
      <c r="J166" s="192" t="s">
        <v>21</v>
      </c>
      <c r="K166" s="191">
        <v>15</v>
      </c>
      <c r="L166" s="188">
        <f>IFERROR(_xlfn.XLOOKUP(A166,[1]Fleet!A:A,[1]Fleet!E:E,""),"")</f>
        <v>3</v>
      </c>
      <c r="M166" s="188">
        <v>45.1</v>
      </c>
      <c r="N166" s="188" t="s">
        <v>420</v>
      </c>
      <c r="O166" s="198" t="s">
        <v>369</v>
      </c>
      <c r="P166">
        <v>176</v>
      </c>
      <c r="Q166">
        <f>_xlfn.XLOOKUP(A166,'[1]Classic Net to delete'!D:D,'[1]Classic Net to delete'!AA:AA,0)</f>
        <v>201</v>
      </c>
    </row>
    <row r="167" spans="1:17" x14ac:dyDescent="0.25">
      <c r="A167" t="s">
        <v>433</v>
      </c>
      <c r="B167" t="s">
        <v>434</v>
      </c>
      <c r="C167">
        <v>55.21</v>
      </c>
      <c r="D167" t="s">
        <v>20</v>
      </c>
      <c r="E167" t="str">
        <f t="shared" ref="E167:E203" si="5">CONCATENATE(K167,". ",O167)</f>
        <v>15. Staging</v>
      </c>
      <c r="F167">
        <v>75</v>
      </c>
      <c r="H167" t="b">
        <v>1</v>
      </c>
      <c r="I167">
        <v>202</v>
      </c>
      <c r="J167" s="192" t="s">
        <v>21</v>
      </c>
      <c r="K167" s="191">
        <v>15</v>
      </c>
      <c r="L167" s="188">
        <f>IFERROR(_xlfn.XLOOKUP(A167,[1]Fleet!A:A,[1]Fleet!E:E,""),"")</f>
        <v>1</v>
      </c>
      <c r="M167" s="188">
        <v>51.6</v>
      </c>
      <c r="N167" s="188" t="s">
        <v>426</v>
      </c>
      <c r="O167" s="198" t="s">
        <v>369</v>
      </c>
      <c r="P167">
        <v>177</v>
      </c>
      <c r="Q167">
        <f>_xlfn.XLOOKUP(A167,'[1]Classic Net to delete'!D:D,'[1]Classic Net to delete'!AA:AA,0)</f>
        <v>202</v>
      </c>
    </row>
    <row r="168" spans="1:17" x14ac:dyDescent="0.25">
      <c r="A168" t="s">
        <v>435</v>
      </c>
      <c r="B168" t="s">
        <v>436</v>
      </c>
      <c r="C168">
        <v>59.33</v>
      </c>
      <c r="D168" t="s">
        <v>20</v>
      </c>
      <c r="E168" t="str">
        <f t="shared" si="5"/>
        <v>15. Staging</v>
      </c>
      <c r="F168">
        <v>75</v>
      </c>
      <c r="H168" t="b">
        <v>1</v>
      </c>
      <c r="I168">
        <v>203</v>
      </c>
      <c r="J168" s="192" t="s">
        <v>21</v>
      </c>
      <c r="K168" s="191">
        <v>15</v>
      </c>
      <c r="L168" s="188">
        <f>IFERROR(_xlfn.XLOOKUP(A168,[1]Fleet!A:A,[1]Fleet!E:E,""),"")</f>
        <v>1</v>
      </c>
      <c r="M168" s="188">
        <v>55.45</v>
      </c>
      <c r="N168" s="188" t="s">
        <v>357</v>
      </c>
      <c r="O168" s="198" t="s">
        <v>369</v>
      </c>
      <c r="P168">
        <v>175</v>
      </c>
      <c r="Q168">
        <f>_xlfn.XLOOKUP(A168,'[1]Classic Net to delete'!D:D,'[1]Classic Net to delete'!AA:AA,0)</f>
        <v>203</v>
      </c>
    </row>
    <row r="169" spans="1:17" x14ac:dyDescent="0.25">
      <c r="A169" t="s">
        <v>437</v>
      </c>
      <c r="B169" t="s">
        <v>438</v>
      </c>
      <c r="C169">
        <v>14.71</v>
      </c>
      <c r="D169" t="s">
        <v>20</v>
      </c>
      <c r="E169" t="str">
        <f t="shared" si="5"/>
        <v>15. Staging</v>
      </c>
      <c r="F169">
        <v>75</v>
      </c>
      <c r="H169" t="b">
        <v>1</v>
      </c>
      <c r="I169">
        <v>206</v>
      </c>
      <c r="J169" s="192" t="s">
        <v>21</v>
      </c>
      <c r="K169" s="191">
        <v>15</v>
      </c>
      <c r="L169" s="188" t="str">
        <f>IFERROR(_xlfn.XLOOKUP(A169,[1]Fleet!A:A,[1]Fleet!E:E,""),"")</f>
        <v/>
      </c>
      <c r="M169" s="188">
        <v>13.75</v>
      </c>
      <c r="N169" s="188" t="s">
        <v>438</v>
      </c>
      <c r="O169" s="198" t="s">
        <v>369</v>
      </c>
      <c r="P169">
        <v>148</v>
      </c>
      <c r="Q169">
        <f>_xlfn.XLOOKUP(A169,'[1]Classic Net to delete'!D:D,'[1]Classic Net to delete'!AA:AA,0)</f>
        <v>206</v>
      </c>
    </row>
    <row r="170" spans="1:17" x14ac:dyDescent="0.25">
      <c r="A170" t="s">
        <v>439</v>
      </c>
      <c r="B170" t="s">
        <v>440</v>
      </c>
      <c r="C170">
        <v>18.350000000000001</v>
      </c>
      <c r="D170" t="s">
        <v>20</v>
      </c>
      <c r="E170" t="str">
        <f t="shared" si="5"/>
        <v>15. Staging</v>
      </c>
      <c r="F170">
        <v>75</v>
      </c>
      <c r="H170" t="b">
        <v>1</v>
      </c>
      <c r="I170">
        <v>207</v>
      </c>
      <c r="J170" s="192" t="s">
        <v>21</v>
      </c>
      <c r="K170" s="191">
        <v>15</v>
      </c>
      <c r="L170" s="188" t="str">
        <f>IFERROR(_xlfn.XLOOKUP(A170,[1]Fleet!A:A,[1]Fleet!E:E,""),"")</f>
        <v/>
      </c>
      <c r="M170" s="188">
        <v>17.150000000000002</v>
      </c>
      <c r="N170" s="188" t="s">
        <v>440</v>
      </c>
      <c r="O170" s="198" t="s">
        <v>369</v>
      </c>
      <c r="P170">
        <v>146</v>
      </c>
      <c r="Q170">
        <f>_xlfn.XLOOKUP(A170,'[1]Classic Net to delete'!D:D,'[1]Classic Net to delete'!AA:AA,0)</f>
        <v>207</v>
      </c>
    </row>
    <row r="171" spans="1:17" x14ac:dyDescent="0.25">
      <c r="A171" t="s">
        <v>441</v>
      </c>
      <c r="B171" t="s">
        <v>442</v>
      </c>
      <c r="C171">
        <v>21.67</v>
      </c>
      <c r="D171" t="s">
        <v>20</v>
      </c>
      <c r="E171" t="str">
        <f t="shared" si="5"/>
        <v>15. Staging</v>
      </c>
      <c r="F171">
        <v>75</v>
      </c>
      <c r="H171" t="b">
        <v>1</v>
      </c>
      <c r="I171">
        <v>208</v>
      </c>
      <c r="J171" s="192" t="s">
        <v>21</v>
      </c>
      <c r="K171" s="191">
        <v>15</v>
      </c>
      <c r="L171" s="188" t="str">
        <f>IFERROR(_xlfn.XLOOKUP(A171,[1]Fleet!A:A,[1]Fleet!E:E,""),"")</f>
        <v/>
      </c>
      <c r="M171" s="188">
        <v>20.25</v>
      </c>
      <c r="N171" s="188" t="s">
        <v>442</v>
      </c>
      <c r="O171" s="198" t="s">
        <v>369</v>
      </c>
      <c r="P171">
        <v>145</v>
      </c>
      <c r="Q171">
        <f>_xlfn.XLOOKUP(A171,'[1]Classic Net to delete'!D:D,'[1]Classic Net to delete'!AA:AA,0)</f>
        <v>208</v>
      </c>
    </row>
    <row r="172" spans="1:17" x14ac:dyDescent="0.25">
      <c r="A172" t="s">
        <v>443</v>
      </c>
      <c r="B172" t="s">
        <v>444</v>
      </c>
      <c r="C172">
        <v>25.310000000000002</v>
      </c>
      <c r="D172" t="s">
        <v>20</v>
      </c>
      <c r="E172" t="str">
        <f t="shared" si="5"/>
        <v>15. Staging</v>
      </c>
      <c r="F172">
        <v>75</v>
      </c>
      <c r="H172" t="b">
        <v>1</v>
      </c>
      <c r="I172">
        <v>209</v>
      </c>
      <c r="J172" s="192" t="s">
        <v>21</v>
      </c>
      <c r="K172" s="191">
        <v>15</v>
      </c>
      <c r="L172" s="188" t="str">
        <f>IFERROR(_xlfn.XLOOKUP(A172,[1]Fleet!A:A,[1]Fleet!E:E,""),"")</f>
        <v/>
      </c>
      <c r="M172" s="188">
        <v>23.650000000000002</v>
      </c>
      <c r="N172" s="188" t="s">
        <v>444</v>
      </c>
      <c r="O172" s="198" t="s">
        <v>369</v>
      </c>
      <c r="P172">
        <v>142</v>
      </c>
      <c r="Q172">
        <f>_xlfn.XLOOKUP(A172,'[1]Classic Net to delete'!D:D,'[1]Classic Net to delete'!AA:AA,0)</f>
        <v>209</v>
      </c>
    </row>
    <row r="173" spans="1:17" x14ac:dyDescent="0.25">
      <c r="A173" t="s">
        <v>445</v>
      </c>
      <c r="B173" t="s">
        <v>446</v>
      </c>
      <c r="C173">
        <v>29.05</v>
      </c>
      <c r="D173" t="s">
        <v>20</v>
      </c>
      <c r="E173" t="str">
        <f t="shared" si="5"/>
        <v>15. Staging</v>
      </c>
      <c r="F173">
        <v>75</v>
      </c>
      <c r="H173" t="b">
        <v>1</v>
      </c>
      <c r="I173">
        <v>210</v>
      </c>
      <c r="J173" s="192" t="s">
        <v>21</v>
      </c>
      <c r="K173" s="191">
        <v>15</v>
      </c>
      <c r="L173" s="188" t="str">
        <f>IFERROR(_xlfn.XLOOKUP(A173,[1]Fleet!A:A,[1]Fleet!E:E,""),"")</f>
        <v/>
      </c>
      <c r="M173" s="188">
        <v>27.150000000000002</v>
      </c>
      <c r="N173" s="188" t="s">
        <v>446</v>
      </c>
      <c r="O173" s="198" t="s">
        <v>369</v>
      </c>
      <c r="P173">
        <v>140</v>
      </c>
      <c r="Q173">
        <f>_xlfn.XLOOKUP(A173,'[1]Classic Net to delete'!D:D,'[1]Classic Net to delete'!AA:AA,0)</f>
        <v>210</v>
      </c>
    </row>
    <row r="174" spans="1:17" x14ac:dyDescent="0.25">
      <c r="A174" t="s">
        <v>447</v>
      </c>
      <c r="B174" t="s">
        <v>448</v>
      </c>
      <c r="C174">
        <v>32.69</v>
      </c>
      <c r="D174" t="s">
        <v>20</v>
      </c>
      <c r="E174" t="str">
        <f t="shared" si="5"/>
        <v>15. Staging</v>
      </c>
      <c r="F174">
        <v>75</v>
      </c>
      <c r="H174" t="b">
        <v>1</v>
      </c>
      <c r="I174">
        <v>211</v>
      </c>
      <c r="J174" s="192" t="s">
        <v>21</v>
      </c>
      <c r="K174" s="191">
        <v>15</v>
      </c>
      <c r="L174" s="188" t="str">
        <f>IFERROR(_xlfn.XLOOKUP(A174,[1]Fleet!A:A,[1]Fleet!E:E,""),"")</f>
        <v/>
      </c>
      <c r="M174" s="188">
        <v>30.55</v>
      </c>
      <c r="N174" s="188" t="s">
        <v>448</v>
      </c>
      <c r="O174" s="198" t="s">
        <v>369</v>
      </c>
      <c r="P174">
        <v>138</v>
      </c>
      <c r="Q174">
        <f>_xlfn.XLOOKUP(A174,'[1]Classic Net to delete'!D:D,'[1]Classic Net to delete'!AA:AA,0)</f>
        <v>211</v>
      </c>
    </row>
    <row r="175" spans="1:17" x14ac:dyDescent="0.25">
      <c r="A175" t="s">
        <v>449</v>
      </c>
      <c r="B175" t="s">
        <v>450</v>
      </c>
      <c r="C175">
        <v>36.33</v>
      </c>
      <c r="D175" t="s">
        <v>20</v>
      </c>
      <c r="E175" t="str">
        <f t="shared" si="5"/>
        <v>15. Staging</v>
      </c>
      <c r="F175">
        <v>75</v>
      </c>
      <c r="H175" t="b">
        <v>1</v>
      </c>
      <c r="I175">
        <v>212</v>
      </c>
      <c r="J175" s="192" t="s">
        <v>21</v>
      </c>
      <c r="K175" s="191">
        <v>15</v>
      </c>
      <c r="L175" s="188" t="str">
        <f>IFERROR(_xlfn.XLOOKUP(A175,[1]Fleet!A:A,[1]Fleet!E:E,""),"")</f>
        <v/>
      </c>
      <c r="M175" s="188">
        <v>33.950000000000003</v>
      </c>
      <c r="N175" s="188" t="s">
        <v>450</v>
      </c>
      <c r="O175" s="198" t="s">
        <v>369</v>
      </c>
      <c r="P175">
        <v>136</v>
      </c>
      <c r="Q175">
        <f>_xlfn.XLOOKUP(A175,'[1]Classic Net to delete'!D:D,'[1]Classic Net to delete'!AA:AA,0)</f>
        <v>212</v>
      </c>
    </row>
    <row r="176" spans="1:17" x14ac:dyDescent="0.25">
      <c r="A176" t="s">
        <v>451</v>
      </c>
      <c r="B176" t="s">
        <v>452</v>
      </c>
      <c r="C176">
        <v>25.68</v>
      </c>
      <c r="D176" t="s">
        <v>20</v>
      </c>
      <c r="E176" t="str">
        <f t="shared" si="5"/>
        <v>15. Staging</v>
      </c>
      <c r="F176">
        <v>75</v>
      </c>
      <c r="H176" t="b">
        <v>1</v>
      </c>
      <c r="I176">
        <v>213</v>
      </c>
      <c r="J176" s="192" t="s">
        <v>21</v>
      </c>
      <c r="K176" s="191">
        <v>15</v>
      </c>
      <c r="L176" s="188" t="str">
        <f>IFERROR(_xlfn.XLOOKUP(A176,[1]Fleet!A:A,[1]Fleet!E:E,""),"")</f>
        <v/>
      </c>
      <c r="M176" s="188">
        <v>24</v>
      </c>
      <c r="N176" s="188" t="s">
        <v>452</v>
      </c>
      <c r="O176" s="198" t="s">
        <v>369</v>
      </c>
      <c r="P176">
        <v>147</v>
      </c>
      <c r="Q176">
        <f>_xlfn.XLOOKUP(A176,'[1]Classic Net to delete'!D:D,'[1]Classic Net to delete'!AA:AA,0)</f>
        <v>213</v>
      </c>
    </row>
    <row r="177" spans="1:18" x14ac:dyDescent="0.25">
      <c r="A177" t="s">
        <v>453</v>
      </c>
      <c r="B177" t="s">
        <v>454</v>
      </c>
      <c r="C177">
        <v>31.94</v>
      </c>
      <c r="D177" t="s">
        <v>20</v>
      </c>
      <c r="E177" t="str">
        <f t="shared" si="5"/>
        <v>15. Staging</v>
      </c>
      <c r="F177">
        <v>75</v>
      </c>
      <c r="H177" t="b">
        <v>1</v>
      </c>
      <c r="I177">
        <v>214</v>
      </c>
      <c r="J177" s="192" t="s">
        <v>21</v>
      </c>
      <c r="K177" s="191">
        <v>15</v>
      </c>
      <c r="L177" s="188" t="str">
        <f>IFERROR(_xlfn.XLOOKUP(A177,[1]Fleet!A:A,[1]Fleet!E:E,""),"")</f>
        <v/>
      </c>
      <c r="M177" s="188">
        <v>29.85</v>
      </c>
      <c r="N177" s="188" t="s">
        <v>454</v>
      </c>
      <c r="O177" s="198" t="s">
        <v>369</v>
      </c>
      <c r="P177">
        <v>144</v>
      </c>
      <c r="Q177">
        <f>_xlfn.XLOOKUP(A177,'[1]Classic Net to delete'!D:D,'[1]Classic Net to delete'!AA:AA,0)</f>
        <v>214</v>
      </c>
    </row>
    <row r="178" spans="1:18" x14ac:dyDescent="0.25">
      <c r="A178" t="s">
        <v>455</v>
      </c>
      <c r="B178" t="s">
        <v>456</v>
      </c>
      <c r="C178">
        <v>38.630000000000003</v>
      </c>
      <c r="D178" t="s">
        <v>20</v>
      </c>
      <c r="E178" t="str">
        <f t="shared" si="5"/>
        <v>15. Staging</v>
      </c>
      <c r="F178">
        <v>75</v>
      </c>
      <c r="H178" t="b">
        <v>1</v>
      </c>
      <c r="I178">
        <v>215</v>
      </c>
      <c r="J178" s="192" t="s">
        <v>21</v>
      </c>
      <c r="K178" s="191">
        <v>15</v>
      </c>
      <c r="L178" s="188" t="str">
        <f>IFERROR(_xlfn.XLOOKUP(A178,[1]Fleet!A:A,[1]Fleet!E:E,""),"")</f>
        <v/>
      </c>
      <c r="M178" s="188">
        <v>36.1</v>
      </c>
      <c r="N178" s="188" t="s">
        <v>456</v>
      </c>
      <c r="O178" s="198" t="s">
        <v>369</v>
      </c>
      <c r="P178">
        <v>143</v>
      </c>
      <c r="Q178">
        <f>_xlfn.XLOOKUP(A178,'[1]Classic Net to delete'!D:D,'[1]Classic Net to delete'!AA:AA,0)</f>
        <v>215</v>
      </c>
    </row>
    <row r="179" spans="1:18" x14ac:dyDescent="0.25">
      <c r="A179" t="s">
        <v>457</v>
      </c>
      <c r="B179" t="s">
        <v>458</v>
      </c>
      <c r="C179">
        <v>44.94</v>
      </c>
      <c r="D179" t="s">
        <v>20</v>
      </c>
      <c r="E179" t="str">
        <f t="shared" si="5"/>
        <v>15. Staging</v>
      </c>
      <c r="F179">
        <v>75</v>
      </c>
      <c r="H179" t="b">
        <v>1</v>
      </c>
      <c r="I179">
        <v>216</v>
      </c>
      <c r="J179" s="192" t="s">
        <v>21</v>
      </c>
      <c r="K179" s="191">
        <v>15</v>
      </c>
      <c r="L179" s="188" t="str">
        <f>IFERROR(_xlfn.XLOOKUP(A179,[1]Fleet!A:A,[1]Fleet!E:E,""),"")</f>
        <v/>
      </c>
      <c r="M179" s="188">
        <v>42</v>
      </c>
      <c r="N179" s="188" t="s">
        <v>458</v>
      </c>
      <c r="O179" s="198" t="s">
        <v>369</v>
      </c>
      <c r="P179">
        <v>141</v>
      </c>
      <c r="Q179">
        <f>_xlfn.XLOOKUP(A179,'[1]Classic Net to delete'!D:D,'[1]Classic Net to delete'!AA:AA,0)</f>
        <v>216</v>
      </c>
    </row>
    <row r="180" spans="1:18" x14ac:dyDescent="0.25">
      <c r="A180" t="s">
        <v>459</v>
      </c>
      <c r="B180" t="s">
        <v>460</v>
      </c>
      <c r="C180">
        <v>51.31</v>
      </c>
      <c r="D180" t="s">
        <v>20</v>
      </c>
      <c r="E180" t="str">
        <f t="shared" si="5"/>
        <v>15. Staging</v>
      </c>
      <c r="F180">
        <v>75</v>
      </c>
      <c r="H180" t="b">
        <v>1</v>
      </c>
      <c r="I180">
        <v>217</v>
      </c>
      <c r="J180" s="192" t="s">
        <v>21</v>
      </c>
      <c r="K180" s="191">
        <v>15</v>
      </c>
      <c r="L180" s="188" t="str">
        <f>IFERROR(_xlfn.XLOOKUP(A180,[1]Fleet!A:A,[1]Fleet!E:E,""),"")</f>
        <v/>
      </c>
      <c r="M180" s="188">
        <v>47.95</v>
      </c>
      <c r="N180" s="188" t="s">
        <v>460</v>
      </c>
      <c r="O180" s="198" t="s">
        <v>369</v>
      </c>
      <c r="P180">
        <v>139</v>
      </c>
      <c r="Q180">
        <f>_xlfn.XLOOKUP(A180,'[1]Classic Net to delete'!D:D,'[1]Classic Net to delete'!AA:AA,0)</f>
        <v>217</v>
      </c>
    </row>
    <row r="181" spans="1:18" x14ac:dyDescent="0.25">
      <c r="A181" t="s">
        <v>461</v>
      </c>
      <c r="B181" t="s">
        <v>462</v>
      </c>
      <c r="C181">
        <v>57.57</v>
      </c>
      <c r="D181" t="s">
        <v>20</v>
      </c>
      <c r="E181" t="str">
        <f t="shared" si="5"/>
        <v>15. Staging</v>
      </c>
      <c r="F181">
        <v>75</v>
      </c>
      <c r="H181" t="b">
        <v>1</v>
      </c>
      <c r="I181">
        <v>218</v>
      </c>
      <c r="J181" s="192" t="s">
        <v>21</v>
      </c>
      <c r="K181" s="191">
        <v>15</v>
      </c>
      <c r="L181" s="188" t="str">
        <f>IFERROR(_xlfn.XLOOKUP(A181,[1]Fleet!A:A,[1]Fleet!E:E,""),"")</f>
        <v/>
      </c>
      <c r="M181" s="188">
        <v>53.800000000000004</v>
      </c>
      <c r="N181" s="188" t="s">
        <v>462</v>
      </c>
      <c r="O181" s="198" t="s">
        <v>369</v>
      </c>
      <c r="P181">
        <v>137</v>
      </c>
      <c r="Q181">
        <f>_xlfn.XLOOKUP(A181,'[1]Classic Net to delete'!D:D,'[1]Classic Net to delete'!AA:AA,0)</f>
        <v>218</v>
      </c>
    </row>
    <row r="182" spans="1:18" x14ac:dyDescent="0.25">
      <c r="A182" t="s">
        <v>463</v>
      </c>
      <c r="B182" t="s">
        <v>464</v>
      </c>
      <c r="C182">
        <v>64.25</v>
      </c>
      <c r="D182" t="s">
        <v>20</v>
      </c>
      <c r="E182" t="str">
        <f t="shared" si="5"/>
        <v>15. Staging</v>
      </c>
      <c r="F182">
        <v>75</v>
      </c>
      <c r="H182" t="b">
        <v>1</v>
      </c>
      <c r="I182">
        <v>219</v>
      </c>
      <c r="J182" s="192" t="s">
        <v>21</v>
      </c>
      <c r="K182" s="191">
        <v>15</v>
      </c>
      <c r="L182" s="188" t="str">
        <f>IFERROR(_xlfn.XLOOKUP(A182,[1]Fleet!A:A,[1]Fleet!E:E,""),"")</f>
        <v/>
      </c>
      <c r="M182" s="188">
        <v>60.050000000000004</v>
      </c>
      <c r="N182" s="188" t="s">
        <v>464</v>
      </c>
      <c r="O182" s="198" t="s">
        <v>369</v>
      </c>
      <c r="P182">
        <v>135</v>
      </c>
      <c r="Q182">
        <f>_xlfn.XLOOKUP(A182,'[1]Classic Net to delete'!D:D,'[1]Classic Net to delete'!AA:AA,0)</f>
        <v>219</v>
      </c>
    </row>
    <row r="183" spans="1:18" x14ac:dyDescent="0.25">
      <c r="A183" t="s">
        <v>465</v>
      </c>
      <c r="B183" t="s">
        <v>466</v>
      </c>
      <c r="C183">
        <v>235.29</v>
      </c>
      <c r="D183" t="s">
        <v>467</v>
      </c>
      <c r="E183" t="str">
        <f t="shared" si="5"/>
        <v>01. Compressors</v>
      </c>
      <c r="F183">
        <v>75</v>
      </c>
      <c r="H183" t="b">
        <v>1</v>
      </c>
      <c r="I183">
        <v>222</v>
      </c>
      <c r="K183" s="192" t="s">
        <v>21</v>
      </c>
      <c r="L183" s="188">
        <f>IFERROR(_xlfn.XLOOKUP(A183,[1]Fleet!A:A,[1]Fleet!E:E,""),"")</f>
        <v>23</v>
      </c>
      <c r="M183" s="188">
        <v>219.9</v>
      </c>
      <c r="N183" s="188" t="s">
        <v>468</v>
      </c>
      <c r="O183" s="198" t="s">
        <v>469</v>
      </c>
      <c r="P183">
        <v>196</v>
      </c>
      <c r="Q183">
        <f>_xlfn.XLOOKUP(A183,'[1]Classic Net to delete'!D:D,'[1]Classic Net to delete'!AA:AA,0)</f>
        <v>222</v>
      </c>
      <c r="R183" t="s">
        <v>89</v>
      </c>
    </row>
    <row r="184" spans="1:18" x14ac:dyDescent="0.25">
      <c r="A184" t="s">
        <v>470</v>
      </c>
      <c r="B184" t="s">
        <v>471</v>
      </c>
      <c r="C184">
        <v>334.8</v>
      </c>
      <c r="D184" t="s">
        <v>467</v>
      </c>
      <c r="E184" t="str">
        <f t="shared" si="5"/>
        <v>01. Compressors</v>
      </c>
      <c r="F184">
        <v>75</v>
      </c>
      <c r="H184" t="b">
        <v>1</v>
      </c>
      <c r="I184">
        <v>223</v>
      </c>
      <c r="K184" s="192" t="s">
        <v>21</v>
      </c>
      <c r="L184" s="188">
        <f>IFERROR(_xlfn.XLOOKUP(A184,[1]Fleet!A:A,[1]Fleet!E:E,""),"")</f>
        <v>23</v>
      </c>
      <c r="M184" s="188">
        <v>312.90000000000003</v>
      </c>
      <c r="N184" s="188" t="s">
        <v>471</v>
      </c>
      <c r="O184" s="198" t="s">
        <v>469</v>
      </c>
      <c r="P184">
        <v>198</v>
      </c>
      <c r="Q184">
        <f>_xlfn.XLOOKUP(A184,'[1]Classic Net to delete'!D:D,'[1]Classic Net to delete'!AA:AA,0)</f>
        <v>223</v>
      </c>
      <c r="R184" t="s">
        <v>36</v>
      </c>
    </row>
    <row r="185" spans="1:18" x14ac:dyDescent="0.25">
      <c r="A185" t="s">
        <v>472</v>
      </c>
      <c r="B185" t="s">
        <v>473</v>
      </c>
      <c r="C185">
        <v>11.34</v>
      </c>
      <c r="D185" t="s">
        <v>467</v>
      </c>
      <c r="E185" t="str">
        <f t="shared" si="5"/>
        <v>01. Compressors</v>
      </c>
      <c r="F185">
        <v>75</v>
      </c>
      <c r="H185" t="b">
        <v>1</v>
      </c>
      <c r="I185">
        <v>224</v>
      </c>
      <c r="K185" s="192" t="s">
        <v>21</v>
      </c>
      <c r="L185" s="188">
        <f>IFERROR(_xlfn.XLOOKUP(A185,[1]Fleet!A:A,[1]Fleet!E:E,""),"")</f>
        <v>3</v>
      </c>
      <c r="M185" s="188">
        <v>10.600000000000001</v>
      </c>
      <c r="N185" s="188" t="s">
        <v>474</v>
      </c>
      <c r="O185" s="198" t="s">
        <v>469</v>
      </c>
      <c r="P185">
        <v>201</v>
      </c>
      <c r="Q185">
        <f>_xlfn.XLOOKUP(A185,'[1]Classic Net to delete'!D:D,'[1]Classic Net to delete'!AA:AA,0)</f>
        <v>224</v>
      </c>
      <c r="R185" t="s">
        <v>40</v>
      </c>
    </row>
    <row r="186" spans="1:18" x14ac:dyDescent="0.25">
      <c r="A186" t="s">
        <v>475</v>
      </c>
      <c r="B186" t="s">
        <v>476</v>
      </c>
      <c r="C186">
        <v>96.570000000000007</v>
      </c>
      <c r="D186" t="s">
        <v>467</v>
      </c>
      <c r="E186" t="str">
        <f t="shared" si="5"/>
        <v>01. Compressors</v>
      </c>
      <c r="F186">
        <v>75</v>
      </c>
      <c r="H186" t="b">
        <v>1</v>
      </c>
      <c r="I186">
        <v>250</v>
      </c>
      <c r="K186" s="192" t="s">
        <v>21</v>
      </c>
      <c r="L186" s="188">
        <f>IFERROR(_xlfn.XLOOKUP(A186,[1]Fleet!A:A,[1]Fleet!E:E,""),"")</f>
        <v>4</v>
      </c>
      <c r="M186" s="188">
        <v>90.25</v>
      </c>
      <c r="N186" s="188" t="s">
        <v>476</v>
      </c>
      <c r="O186" s="198" t="s">
        <v>469</v>
      </c>
      <c r="P186">
        <v>197</v>
      </c>
      <c r="Q186">
        <f>_xlfn.XLOOKUP(A186,'[1]Classic Net to delete'!D:D,'[1]Classic Net to delete'!AA:AA,0)</f>
        <v>250</v>
      </c>
      <c r="R186" t="s">
        <v>44</v>
      </c>
    </row>
    <row r="187" spans="1:18" x14ac:dyDescent="0.25">
      <c r="A187" t="s">
        <v>477</v>
      </c>
      <c r="B187" t="s">
        <v>478</v>
      </c>
      <c r="C187">
        <v>9.7900000000000009</v>
      </c>
      <c r="D187" t="s">
        <v>467</v>
      </c>
      <c r="E187" t="str">
        <f t="shared" si="5"/>
        <v>01. Compressors</v>
      </c>
      <c r="F187">
        <v>75</v>
      </c>
      <c r="H187" t="b">
        <v>1</v>
      </c>
      <c r="I187">
        <v>257</v>
      </c>
      <c r="K187" s="192" t="s">
        <v>21</v>
      </c>
      <c r="L187" s="188" t="str">
        <f>IFERROR(_xlfn.XLOOKUP(A187,[1]Fleet!A:A,[1]Fleet!E:E,""),"")</f>
        <v/>
      </c>
      <c r="M187" s="188">
        <v>9.15</v>
      </c>
      <c r="N187" s="188" t="s">
        <v>479</v>
      </c>
      <c r="O187" s="198" t="s">
        <v>469</v>
      </c>
      <c r="P187">
        <v>200</v>
      </c>
      <c r="Q187">
        <f>_xlfn.XLOOKUP(A187,'[1]Classic Net to delete'!D:D,'[1]Classic Net to delete'!AA:AA,0)</f>
        <v>257</v>
      </c>
      <c r="R187" t="s">
        <v>48</v>
      </c>
    </row>
    <row r="188" spans="1:18" x14ac:dyDescent="0.25">
      <c r="A188" t="s">
        <v>480</v>
      </c>
      <c r="B188" t="s">
        <v>481</v>
      </c>
      <c r="C188">
        <v>15.46</v>
      </c>
      <c r="D188" t="s">
        <v>467</v>
      </c>
      <c r="E188" t="str">
        <f t="shared" si="5"/>
        <v>01. Compressors</v>
      </c>
      <c r="F188">
        <v>75</v>
      </c>
      <c r="H188" t="b">
        <v>1</v>
      </c>
      <c r="I188">
        <v>258</v>
      </c>
      <c r="K188" s="192" t="s">
        <v>21</v>
      </c>
      <c r="L188" s="188" t="str">
        <f>IFERROR(_xlfn.XLOOKUP(A188,[1]Fleet!A:A,[1]Fleet!E:E,""),"")</f>
        <v/>
      </c>
      <c r="M188" s="188">
        <v>14.450000000000001</v>
      </c>
      <c r="N188" s="188" t="s">
        <v>481</v>
      </c>
      <c r="O188" s="198" t="s">
        <v>469</v>
      </c>
      <c r="P188">
        <v>199</v>
      </c>
      <c r="Q188">
        <f>_xlfn.XLOOKUP(A188,'[1]Classic Net to delete'!D:D,'[1]Classic Net to delete'!AA:AA,0)</f>
        <v>258</v>
      </c>
      <c r="R188">
        <v>10</v>
      </c>
    </row>
    <row r="189" spans="1:18" x14ac:dyDescent="0.25">
      <c r="A189" t="s">
        <v>482</v>
      </c>
      <c r="B189" t="s">
        <v>483</v>
      </c>
      <c r="C189">
        <v>56.76</v>
      </c>
      <c r="D189" t="s">
        <v>467</v>
      </c>
      <c r="E189" t="str">
        <f t="shared" si="5"/>
        <v>02. Picks, Breakers &amp; Drills</v>
      </c>
      <c r="F189">
        <v>75</v>
      </c>
      <c r="H189" t="b">
        <v>1</v>
      </c>
      <c r="I189" s="193">
        <v>227</v>
      </c>
      <c r="K189" s="192" t="s">
        <v>54</v>
      </c>
      <c r="L189" s="188">
        <f>IFERROR(_xlfn.XLOOKUP(A189,[1]Fleet!A:A,[1]Fleet!E:E,""),"")</f>
        <v>20</v>
      </c>
      <c r="M189" s="188">
        <v>53.050000000000004</v>
      </c>
      <c r="N189" s="188" t="s">
        <v>484</v>
      </c>
      <c r="O189" s="198" t="s">
        <v>485</v>
      </c>
      <c r="P189">
        <v>183</v>
      </c>
      <c r="Q189">
        <f>_xlfn.XLOOKUP(A189,'[1]Classic Net to delete'!D:D,'[1]Classic Net to delete'!AA:AA,0)</f>
        <v>227</v>
      </c>
      <c r="R189">
        <v>11</v>
      </c>
    </row>
    <row r="190" spans="1:18" x14ac:dyDescent="0.25">
      <c r="A190" t="s">
        <v>486</v>
      </c>
      <c r="B190" t="s">
        <v>487</v>
      </c>
      <c r="C190">
        <v>103.47</v>
      </c>
      <c r="D190" t="s">
        <v>467</v>
      </c>
      <c r="E190" t="str">
        <f t="shared" si="5"/>
        <v>02. Picks, Breakers &amp; Drills</v>
      </c>
      <c r="F190">
        <v>75</v>
      </c>
      <c r="H190" t="b">
        <v>1</v>
      </c>
      <c r="I190" s="193">
        <v>228</v>
      </c>
      <c r="K190" s="192" t="s">
        <v>54</v>
      </c>
      <c r="L190" s="188">
        <f>IFERROR(_xlfn.XLOOKUP(A190,[1]Fleet!A:A,[1]Fleet!E:E,""),"")</f>
        <v>49</v>
      </c>
      <c r="M190" s="188">
        <v>96.7</v>
      </c>
      <c r="N190" s="188" t="s">
        <v>488</v>
      </c>
      <c r="O190" s="198" t="s">
        <v>485</v>
      </c>
      <c r="P190">
        <v>182</v>
      </c>
      <c r="Q190">
        <f>_xlfn.XLOOKUP(A190,'[1]Classic Net to delete'!D:D,'[1]Classic Net to delete'!AA:AA,0)</f>
        <v>228</v>
      </c>
      <c r="R190">
        <v>12</v>
      </c>
    </row>
    <row r="191" spans="1:18" x14ac:dyDescent="0.25">
      <c r="A191" t="s">
        <v>489</v>
      </c>
      <c r="B191" t="s">
        <v>490</v>
      </c>
      <c r="C191">
        <v>65.97</v>
      </c>
      <c r="D191" t="s">
        <v>467</v>
      </c>
      <c r="E191" t="str">
        <f t="shared" si="5"/>
        <v>02. Picks, Breakers &amp; Drills</v>
      </c>
      <c r="F191">
        <v>75</v>
      </c>
      <c r="H191" t="b">
        <v>1</v>
      </c>
      <c r="I191" s="193">
        <v>229</v>
      </c>
      <c r="K191" s="192" t="s">
        <v>54</v>
      </c>
      <c r="L191" s="188">
        <f>IFERROR(_xlfn.XLOOKUP(A191,[1]Fleet!A:A,[1]Fleet!E:E,""),"")</f>
        <v>9</v>
      </c>
      <c r="M191" s="188">
        <v>61.650000000000006</v>
      </c>
      <c r="N191" s="188" t="s">
        <v>491</v>
      </c>
      <c r="O191" s="198" t="s">
        <v>485</v>
      </c>
      <c r="P191">
        <v>178</v>
      </c>
      <c r="Q191">
        <f>_xlfn.XLOOKUP(A191,'[1]Classic Net to delete'!D:D,'[1]Classic Net to delete'!AA:AA,0)</f>
        <v>229</v>
      </c>
      <c r="R191">
        <v>13</v>
      </c>
    </row>
    <row r="192" spans="1:18" x14ac:dyDescent="0.25">
      <c r="A192" t="s">
        <v>492</v>
      </c>
      <c r="B192" t="s">
        <v>493</v>
      </c>
      <c r="C192">
        <v>55.21</v>
      </c>
      <c r="D192" t="s">
        <v>467</v>
      </c>
      <c r="E192" t="str">
        <f t="shared" si="5"/>
        <v>02. Picks, Breakers &amp; Drills</v>
      </c>
      <c r="F192">
        <v>75</v>
      </c>
      <c r="H192" t="b">
        <v>1</v>
      </c>
      <c r="I192" s="193">
        <v>232</v>
      </c>
      <c r="K192" s="192" t="s">
        <v>54</v>
      </c>
      <c r="L192" s="188">
        <f>IFERROR(_xlfn.XLOOKUP(A192,[1]Fleet!A:A,[1]Fleet!E:E,""),"")</f>
        <v>7</v>
      </c>
      <c r="M192" s="188">
        <v>51.6</v>
      </c>
      <c r="N192" s="188" t="s">
        <v>494</v>
      </c>
      <c r="O192" s="198" t="s">
        <v>485</v>
      </c>
      <c r="P192">
        <v>180</v>
      </c>
      <c r="Q192">
        <f>_xlfn.XLOOKUP(A192,'[1]Classic Net to delete'!D:D,'[1]Classic Net to delete'!AA:AA,0)</f>
        <v>232</v>
      </c>
      <c r="R192">
        <v>14</v>
      </c>
    </row>
    <row r="193" spans="1:18" x14ac:dyDescent="0.25">
      <c r="A193" t="s">
        <v>495</v>
      </c>
      <c r="B193" t="s">
        <v>496</v>
      </c>
      <c r="C193">
        <v>55.21</v>
      </c>
      <c r="D193" t="s">
        <v>467</v>
      </c>
      <c r="E193" t="str">
        <f t="shared" si="5"/>
        <v>03. Cleaning &amp; Clearing</v>
      </c>
      <c r="F193">
        <v>75</v>
      </c>
      <c r="H193" t="b">
        <v>1</v>
      </c>
      <c r="I193">
        <v>236</v>
      </c>
      <c r="K193" s="192" t="s">
        <v>85</v>
      </c>
      <c r="L193" s="188">
        <f>IFERROR(_xlfn.XLOOKUP(A193,[1]Fleet!A:A,[1]Fleet!E:E,""),"")</f>
        <v>8</v>
      </c>
      <c r="M193" s="188">
        <v>51.6</v>
      </c>
      <c r="N193" s="188" t="s">
        <v>496</v>
      </c>
      <c r="O193" s="198" t="s">
        <v>497</v>
      </c>
      <c r="P193">
        <v>190</v>
      </c>
      <c r="Q193">
        <f>_xlfn.XLOOKUP(A193,'[1]Classic Net to delete'!D:D,'[1]Classic Net to delete'!AA:AA,0)</f>
        <v>236</v>
      </c>
      <c r="R193">
        <v>15</v>
      </c>
    </row>
    <row r="194" spans="1:18" x14ac:dyDescent="0.25">
      <c r="A194" t="s">
        <v>498</v>
      </c>
      <c r="B194" t="s">
        <v>499</v>
      </c>
      <c r="C194">
        <v>19.900000000000002</v>
      </c>
      <c r="D194" t="s">
        <v>467</v>
      </c>
      <c r="E194" t="str">
        <f t="shared" si="5"/>
        <v>03. Cleaning &amp; Clearing</v>
      </c>
      <c r="F194">
        <v>75</v>
      </c>
      <c r="H194" t="b">
        <v>1</v>
      </c>
      <c r="I194">
        <v>237</v>
      </c>
      <c r="K194" s="192" t="s">
        <v>85</v>
      </c>
      <c r="L194" s="188">
        <f>IFERROR(_xlfn.XLOOKUP(A194,[1]Fleet!A:A,[1]Fleet!E:E,""),"")</f>
        <v>7</v>
      </c>
      <c r="M194" s="188">
        <v>18.600000000000001</v>
      </c>
      <c r="N194" s="188" t="s">
        <v>500</v>
      </c>
      <c r="O194" s="198" t="s">
        <v>497</v>
      </c>
      <c r="P194">
        <v>195</v>
      </c>
      <c r="Q194">
        <f>_xlfn.XLOOKUP(A194,'[1]Classic Net to delete'!D:D,'[1]Classic Net to delete'!AA:AA,0)</f>
        <v>237</v>
      </c>
      <c r="R194">
        <v>16</v>
      </c>
    </row>
    <row r="195" spans="1:18" x14ac:dyDescent="0.25">
      <c r="A195" t="s">
        <v>501</v>
      </c>
      <c r="B195" t="s">
        <v>502</v>
      </c>
      <c r="C195">
        <v>59.33</v>
      </c>
      <c r="D195" t="s">
        <v>467</v>
      </c>
      <c r="E195" t="str">
        <f t="shared" si="5"/>
        <v>04. Scrabblers</v>
      </c>
      <c r="F195">
        <v>75</v>
      </c>
      <c r="H195" t="b">
        <v>1</v>
      </c>
      <c r="I195">
        <v>240</v>
      </c>
      <c r="K195" s="192" t="s">
        <v>89</v>
      </c>
      <c r="L195" s="188">
        <f>IFERROR(_xlfn.XLOOKUP(A195,[1]Fleet!A:A,[1]Fleet!E:E,""),"")</f>
        <v>14</v>
      </c>
      <c r="M195" s="188">
        <v>55.45</v>
      </c>
      <c r="N195" s="188" t="s">
        <v>503</v>
      </c>
      <c r="O195" s="198" t="s">
        <v>504</v>
      </c>
      <c r="P195">
        <v>187</v>
      </c>
      <c r="Q195">
        <f>_xlfn.XLOOKUP(A195,'[1]Classic Net to delete'!D:D,'[1]Classic Net to delete'!AA:AA,0)</f>
        <v>240</v>
      </c>
      <c r="R195">
        <v>17</v>
      </c>
    </row>
    <row r="196" spans="1:18" x14ac:dyDescent="0.25">
      <c r="A196" t="s">
        <v>505</v>
      </c>
      <c r="B196" t="s">
        <v>506</v>
      </c>
      <c r="C196">
        <v>70.989999999999995</v>
      </c>
      <c r="D196" t="s">
        <v>467</v>
      </c>
      <c r="E196" t="str">
        <f t="shared" si="5"/>
        <v>04. Scrabblers</v>
      </c>
      <c r="F196">
        <v>75</v>
      </c>
      <c r="H196" t="b">
        <v>1</v>
      </c>
      <c r="I196">
        <v>241</v>
      </c>
      <c r="K196" s="192" t="s">
        <v>89</v>
      </c>
      <c r="L196" s="188">
        <f>IFERROR(_xlfn.XLOOKUP(A196,[1]Fleet!A:A,[1]Fleet!E:E,""),"")</f>
        <v>27</v>
      </c>
      <c r="M196" s="188">
        <v>66.350000000000009</v>
      </c>
      <c r="N196" s="188" t="s">
        <v>507</v>
      </c>
      <c r="O196" s="198" t="s">
        <v>504</v>
      </c>
      <c r="P196">
        <v>188</v>
      </c>
      <c r="Q196">
        <f>_xlfn.XLOOKUP(A196,'[1]Classic Net to delete'!D:D,'[1]Classic Net to delete'!AA:AA,0)</f>
        <v>241</v>
      </c>
      <c r="R196">
        <v>18</v>
      </c>
    </row>
    <row r="197" spans="1:18" x14ac:dyDescent="0.25">
      <c r="A197" t="s">
        <v>508</v>
      </c>
      <c r="B197" t="s">
        <v>509</v>
      </c>
      <c r="C197">
        <v>86.460000000000008</v>
      </c>
      <c r="D197" t="s">
        <v>467</v>
      </c>
      <c r="E197" t="str">
        <f t="shared" si="5"/>
        <v>04. Scrabblers</v>
      </c>
      <c r="F197">
        <v>75</v>
      </c>
      <c r="H197" t="b">
        <v>1</v>
      </c>
      <c r="I197">
        <v>242</v>
      </c>
      <c r="K197" s="192" t="s">
        <v>89</v>
      </c>
      <c r="L197" s="188">
        <f>IFERROR(_xlfn.XLOOKUP(A197,[1]Fleet!A:A,[1]Fleet!E:E,""),"")</f>
        <v>18</v>
      </c>
      <c r="M197" s="188">
        <v>80.800000000000011</v>
      </c>
      <c r="N197" s="188" t="s">
        <v>509</v>
      </c>
      <c r="O197" s="198" t="s">
        <v>504</v>
      </c>
      <c r="P197">
        <v>186</v>
      </c>
      <c r="Q197">
        <f>_xlfn.XLOOKUP(A197,'[1]Classic Net to delete'!D:D,'[1]Classic Net to delete'!AA:AA,0)</f>
        <v>242</v>
      </c>
      <c r="R197">
        <v>19</v>
      </c>
    </row>
    <row r="198" spans="1:18" x14ac:dyDescent="0.25">
      <c r="A198" t="s">
        <v>510</v>
      </c>
      <c r="B198" t="s">
        <v>511</v>
      </c>
      <c r="C198">
        <v>377.92</v>
      </c>
      <c r="D198" t="s">
        <v>467</v>
      </c>
      <c r="E198" t="str">
        <f t="shared" si="5"/>
        <v>04. Scrabblers</v>
      </c>
      <c r="F198">
        <v>75</v>
      </c>
      <c r="H198" t="b">
        <v>1</v>
      </c>
      <c r="I198">
        <v>243</v>
      </c>
      <c r="K198" s="192" t="s">
        <v>89</v>
      </c>
      <c r="L198" s="188">
        <f>IFERROR(_xlfn.XLOOKUP(A198,[1]Fleet!A:A,[1]Fleet!E:E,""),"")</f>
        <v>4</v>
      </c>
      <c r="M198" s="188">
        <v>353.20000000000005</v>
      </c>
      <c r="N198" s="188" t="s">
        <v>512</v>
      </c>
      <c r="O198" s="198" t="s">
        <v>504</v>
      </c>
      <c r="P198">
        <v>189</v>
      </c>
      <c r="Q198">
        <f>_xlfn.XLOOKUP(A198,'[1]Classic Net to delete'!D:D,'[1]Classic Net to delete'!AA:AA,0)</f>
        <v>243</v>
      </c>
      <c r="R198">
        <v>20</v>
      </c>
    </row>
    <row r="199" spans="1:18" x14ac:dyDescent="0.25">
      <c r="A199" t="s">
        <v>513</v>
      </c>
      <c r="B199" t="s">
        <v>514</v>
      </c>
      <c r="C199">
        <v>0</v>
      </c>
      <c r="D199" t="s">
        <v>467</v>
      </c>
      <c r="E199" t="str">
        <f t="shared" si="5"/>
        <v>05. Pokers</v>
      </c>
      <c r="F199">
        <v>75</v>
      </c>
      <c r="H199" t="b">
        <v>0</v>
      </c>
      <c r="I199" s="193">
        <v>246</v>
      </c>
      <c r="K199" s="192" t="s">
        <v>32</v>
      </c>
      <c r="L199" s="188">
        <f>IFERROR(_xlfn.XLOOKUP(A199,[1]Fleet!A:A,[1]Fleet!E:E,""),"")</f>
        <v>0</v>
      </c>
      <c r="M199" s="188">
        <v>54.300000000000004</v>
      </c>
      <c r="N199" s="188" t="s">
        <v>515</v>
      </c>
      <c r="O199" s="198" t="s">
        <v>516</v>
      </c>
      <c r="P199">
        <v>185</v>
      </c>
      <c r="Q199">
        <f>_xlfn.XLOOKUP(A199,'[1]Classic Net to delete'!D:D,'[1]Classic Net to delete'!AA:AA,0)</f>
        <v>246</v>
      </c>
      <c r="R199">
        <v>21</v>
      </c>
    </row>
    <row r="200" spans="1:18" x14ac:dyDescent="0.25">
      <c r="A200" t="s">
        <v>517</v>
      </c>
      <c r="B200" t="s">
        <v>518</v>
      </c>
      <c r="C200">
        <v>62.49</v>
      </c>
      <c r="D200" t="s">
        <v>467</v>
      </c>
      <c r="E200" t="str">
        <f t="shared" si="5"/>
        <v>05. Pokers</v>
      </c>
      <c r="F200">
        <v>75</v>
      </c>
      <c r="H200" t="b">
        <v>1</v>
      </c>
      <c r="I200" s="193">
        <v>247</v>
      </c>
      <c r="K200" s="192" t="s">
        <v>32</v>
      </c>
      <c r="L200" s="188">
        <f>IFERROR(_xlfn.XLOOKUP(A200,[1]Fleet!A:A,[1]Fleet!E:E,""),"")</f>
        <v>2</v>
      </c>
      <c r="M200" s="188">
        <v>58.400000000000006</v>
      </c>
      <c r="N200" s="188" t="s">
        <v>519</v>
      </c>
      <c r="O200" s="198" t="s">
        <v>516</v>
      </c>
      <c r="P200">
        <v>184</v>
      </c>
      <c r="Q200">
        <f>_xlfn.XLOOKUP(A200,'[1]Classic Net to delete'!D:D,'[1]Classic Net to delete'!AA:AA,0)</f>
        <v>247</v>
      </c>
      <c r="R200">
        <v>22</v>
      </c>
    </row>
    <row r="201" spans="1:18" x14ac:dyDescent="0.25">
      <c r="A201" t="s">
        <v>520</v>
      </c>
      <c r="B201" t="s">
        <v>521</v>
      </c>
      <c r="C201">
        <v>59.97</v>
      </c>
      <c r="D201" t="s">
        <v>467</v>
      </c>
      <c r="E201" t="str">
        <f t="shared" si="5"/>
        <v>06. Tools</v>
      </c>
      <c r="F201">
        <v>75</v>
      </c>
      <c r="H201" t="b">
        <v>1</v>
      </c>
      <c r="I201">
        <v>253</v>
      </c>
      <c r="K201" s="192" t="s">
        <v>36</v>
      </c>
      <c r="L201" s="188">
        <f>IFERROR(_xlfn.XLOOKUP(A201,[1]Fleet!A:A,[1]Fleet!E:E,""),"")</f>
        <v>3</v>
      </c>
      <c r="M201" s="188">
        <v>56.050000000000004</v>
      </c>
      <c r="N201" s="188" t="s">
        <v>521</v>
      </c>
      <c r="O201" s="198" t="s">
        <v>522</v>
      </c>
      <c r="P201">
        <v>194</v>
      </c>
      <c r="Q201">
        <f>_xlfn.XLOOKUP(A201,'[1]Classic Net to delete'!D:D,'[1]Classic Net to delete'!AA:AA,0)</f>
        <v>253</v>
      </c>
      <c r="R201">
        <v>23</v>
      </c>
    </row>
    <row r="202" spans="1:18" x14ac:dyDescent="0.25">
      <c r="A202" t="s">
        <v>523</v>
      </c>
      <c r="B202" t="s">
        <v>524</v>
      </c>
      <c r="C202">
        <v>38.200000000000003</v>
      </c>
      <c r="D202" t="s">
        <v>467</v>
      </c>
      <c r="E202" t="str">
        <f t="shared" si="5"/>
        <v>06. Tools</v>
      </c>
      <c r="F202">
        <v>75</v>
      </c>
      <c r="H202" t="b">
        <v>1</v>
      </c>
      <c r="I202">
        <v>564</v>
      </c>
      <c r="K202" s="192" t="s">
        <v>36</v>
      </c>
      <c r="L202" s="188">
        <f>IFERROR(_xlfn.XLOOKUP(A202,[1]Fleet!A:A,[1]Fleet!E:E,""),"")</f>
        <v>1</v>
      </c>
      <c r="M202" s="188">
        <v>35.700000000000003</v>
      </c>
      <c r="N202" s="188" t="s">
        <v>524</v>
      </c>
      <c r="O202" s="198" t="s">
        <v>522</v>
      </c>
      <c r="P202">
        <v>192</v>
      </c>
      <c r="Q202">
        <f>_xlfn.XLOOKUP(A202,'[1]Classic Net to delete'!D:D,'[1]Classic Net to delete'!AA:AA,0)</f>
        <v>564</v>
      </c>
      <c r="R202">
        <v>25</v>
      </c>
    </row>
    <row r="203" spans="1:18" x14ac:dyDescent="0.25">
      <c r="A203" t="s">
        <v>525</v>
      </c>
      <c r="B203" t="s">
        <v>526</v>
      </c>
      <c r="C203">
        <v>59.33</v>
      </c>
      <c r="D203" t="s">
        <v>467</v>
      </c>
      <c r="E203" t="str">
        <f t="shared" si="5"/>
        <v>06. Tools</v>
      </c>
      <c r="F203">
        <v>75</v>
      </c>
      <c r="H203" t="b">
        <v>1</v>
      </c>
      <c r="I203">
        <v>570</v>
      </c>
      <c r="K203" s="192" t="s">
        <v>36</v>
      </c>
      <c r="L203" s="188">
        <f>IFERROR(_xlfn.XLOOKUP(A203,[1]Fleet!A:A,[1]Fleet!E:E,""),"")</f>
        <v>1</v>
      </c>
      <c r="M203" s="188">
        <v>55.45</v>
      </c>
      <c r="N203" s="188" t="s">
        <v>526</v>
      </c>
      <c r="O203" s="198" t="s">
        <v>522</v>
      </c>
      <c r="P203">
        <v>191</v>
      </c>
      <c r="Q203">
        <f>_xlfn.XLOOKUP(A203,'[1]Classic Net to delete'!D:D,'[1]Classic Net to delete'!AA:AA,0)</f>
        <v>570</v>
      </c>
    </row>
    <row r="204" spans="1:18" x14ac:dyDescent="0.25">
      <c r="A204" t="s">
        <v>527</v>
      </c>
      <c r="B204" t="s">
        <v>528</v>
      </c>
      <c r="C204">
        <v>103.47</v>
      </c>
      <c r="D204" t="s">
        <v>467</v>
      </c>
      <c r="E204" t="s">
        <v>529</v>
      </c>
      <c r="F204">
        <v>75</v>
      </c>
      <c r="H204" t="b">
        <v>0</v>
      </c>
      <c r="I204" s="193">
        <v>0</v>
      </c>
      <c r="L204" s="188">
        <f>IFERROR(_xlfn.XLOOKUP(A204,[1]Fleet!A:A,[1]Fleet!E:E,""),"")</f>
        <v>5</v>
      </c>
      <c r="M204" s="188" t="s">
        <v>22</v>
      </c>
      <c r="N204" s="188" t="s">
        <v>22</v>
      </c>
      <c r="O204" s="198" t="s">
        <v>530</v>
      </c>
      <c r="P204">
        <v>179</v>
      </c>
      <c r="Q204">
        <f>_xlfn.XLOOKUP(A204,'[1]Classic Net to delete'!D:D,'[1]Classic Net to delete'!AA:AA,0)</f>
        <v>0</v>
      </c>
      <c r="R204" t="s">
        <v>21</v>
      </c>
    </row>
    <row r="205" spans="1:18" x14ac:dyDescent="0.25">
      <c r="A205" t="s">
        <v>531</v>
      </c>
      <c r="B205" t="s">
        <v>532</v>
      </c>
      <c r="C205">
        <v>103.47</v>
      </c>
      <c r="D205" t="s">
        <v>467</v>
      </c>
      <c r="E205" t="s">
        <v>529</v>
      </c>
      <c r="F205">
        <v>75</v>
      </c>
      <c r="H205" t="b">
        <v>0</v>
      </c>
      <c r="I205" s="193">
        <v>0</v>
      </c>
      <c r="L205" s="188">
        <f>IFERROR(_xlfn.XLOOKUP(A205,[1]Fleet!A:A,[1]Fleet!E:E,""),"")</f>
        <v>9</v>
      </c>
      <c r="M205" s="188" t="s">
        <v>22</v>
      </c>
      <c r="N205" s="188" t="s">
        <v>22</v>
      </c>
      <c r="O205" s="198" t="s">
        <v>530</v>
      </c>
      <c r="P205">
        <v>181</v>
      </c>
      <c r="Q205">
        <f>_xlfn.XLOOKUP(A205,'[1]Classic Net to delete'!D:D,'[1]Classic Net to delete'!AA:AA,0)</f>
        <v>0</v>
      </c>
      <c r="R205" t="s">
        <v>54</v>
      </c>
    </row>
    <row r="206" spans="1:18" x14ac:dyDescent="0.25">
      <c r="A206" t="s">
        <v>533</v>
      </c>
      <c r="B206" t="s">
        <v>534</v>
      </c>
      <c r="C206">
        <v>60.88</v>
      </c>
      <c r="D206" t="s">
        <v>467</v>
      </c>
      <c r="E206" t="s">
        <v>529</v>
      </c>
      <c r="F206">
        <v>75</v>
      </c>
      <c r="H206" t="b">
        <v>0</v>
      </c>
      <c r="I206">
        <v>0</v>
      </c>
      <c r="L206" s="188">
        <f>IFERROR(_xlfn.XLOOKUP(A206,[1]Fleet!A:A,[1]Fleet!E:E,""),"")</f>
        <v>1</v>
      </c>
      <c r="M206" s="188" t="s">
        <v>22</v>
      </c>
      <c r="N206" s="188" t="s">
        <v>22</v>
      </c>
      <c r="O206" s="198" t="s">
        <v>522</v>
      </c>
      <c r="P206">
        <v>193</v>
      </c>
      <c r="Q206">
        <f>_xlfn.XLOOKUP(A206,'[1]Classic Net to delete'!D:D,'[1]Classic Net to delete'!AA:AA,0)</f>
        <v>0</v>
      </c>
      <c r="R206" t="s">
        <v>85</v>
      </c>
    </row>
    <row r="207" spans="1:18" x14ac:dyDescent="0.25">
      <c r="A207" t="s">
        <v>535</v>
      </c>
      <c r="B207" t="s">
        <v>536</v>
      </c>
      <c r="C207">
        <v>11.34</v>
      </c>
      <c r="D207" t="s">
        <v>467</v>
      </c>
      <c r="E207" t="s">
        <v>529</v>
      </c>
      <c r="F207">
        <v>75</v>
      </c>
      <c r="H207" t="b">
        <v>0</v>
      </c>
      <c r="I207">
        <v>320</v>
      </c>
      <c r="L207" s="188" t="str">
        <f>IFERROR(_xlfn.XLOOKUP(A207,[1]Fleet!A:A,[1]Fleet!E:E,""),"")</f>
        <v/>
      </c>
      <c r="M207" s="188">
        <v>10.600000000000001</v>
      </c>
      <c r="N207" s="188" t="s">
        <v>537</v>
      </c>
      <c r="O207" s="198" t="s">
        <v>538</v>
      </c>
      <c r="P207">
        <v>202</v>
      </c>
      <c r="Q207">
        <f>_xlfn.XLOOKUP(A207,'[1]Classic Net to delete'!D:D,'[1]Classic Net to delete'!AA:AA,0)</f>
        <v>320</v>
      </c>
      <c r="R207">
        <v>24</v>
      </c>
    </row>
    <row r="208" spans="1:18" x14ac:dyDescent="0.25">
      <c r="A208" t="s">
        <v>539</v>
      </c>
      <c r="B208" t="s">
        <v>540</v>
      </c>
      <c r="C208">
        <v>72.09</v>
      </c>
      <c r="D208" t="s">
        <v>541</v>
      </c>
      <c r="E208" t="str">
        <f t="shared" ref="E208:E244" si="6">CONCATENATE(K208,". ",O208)</f>
        <v>01. Breakers</v>
      </c>
      <c r="F208">
        <v>75</v>
      </c>
      <c r="H208" t="b">
        <v>1</v>
      </c>
      <c r="I208">
        <v>265</v>
      </c>
      <c r="K208" s="192" t="s">
        <v>21</v>
      </c>
      <c r="L208" s="188">
        <f>IFERROR(_xlfn.XLOOKUP(A208,[1]Fleet!A:A,[1]Fleet!E:E,""),"")</f>
        <v>56</v>
      </c>
      <c r="M208" s="188">
        <v>55.45</v>
      </c>
      <c r="N208" s="188" t="s">
        <v>542</v>
      </c>
      <c r="O208" s="198" t="s">
        <v>530</v>
      </c>
      <c r="P208">
        <v>203</v>
      </c>
      <c r="Q208">
        <f>_xlfn.XLOOKUP(A208,'[1]Classic Net to delete'!D:D,'[1]Classic Net to delete'!AA:AA,0)</f>
        <v>265</v>
      </c>
      <c r="R208">
        <v>31</v>
      </c>
    </row>
    <row r="209" spans="1:18" x14ac:dyDescent="0.25">
      <c r="A209" t="s">
        <v>3969</v>
      </c>
      <c r="B209" t="s">
        <v>3970</v>
      </c>
      <c r="C209" s="196">
        <v>59.33</v>
      </c>
      <c r="D209" t="s">
        <v>541</v>
      </c>
      <c r="E209" t="str">
        <f t="shared" si="6"/>
        <v>01. Breakers</v>
      </c>
      <c r="F209">
        <v>75</v>
      </c>
      <c r="H209" t="b">
        <v>1</v>
      </c>
      <c r="I209">
        <v>265.10000000000002</v>
      </c>
      <c r="K209" s="192" t="s">
        <v>21</v>
      </c>
      <c r="O209" s="198" t="s">
        <v>530</v>
      </c>
    </row>
    <row r="210" spans="1:18" x14ac:dyDescent="0.25">
      <c r="A210" t="s">
        <v>543</v>
      </c>
      <c r="B210" t="s">
        <v>544</v>
      </c>
      <c r="C210">
        <v>138</v>
      </c>
      <c r="D210" t="s">
        <v>541</v>
      </c>
      <c r="E210" t="str">
        <f t="shared" si="6"/>
        <v>01. Breakers</v>
      </c>
      <c r="F210">
        <v>75</v>
      </c>
      <c r="H210" t="b">
        <v>1</v>
      </c>
      <c r="I210">
        <v>266</v>
      </c>
      <c r="K210" s="192" t="s">
        <v>21</v>
      </c>
      <c r="L210" s="188">
        <f>IFERROR(_xlfn.XLOOKUP(A210,[1]Fleet!A:A,[1]Fleet!E:E,""),"")</f>
        <v>4</v>
      </c>
      <c r="M210" s="188">
        <v>106.15</v>
      </c>
      <c r="N210" s="188" t="s">
        <v>544</v>
      </c>
      <c r="O210" s="198" t="s">
        <v>530</v>
      </c>
      <c r="P210">
        <v>204</v>
      </c>
      <c r="Q210">
        <f>_xlfn.XLOOKUP(A210,'[1]Classic Net to delete'!D:D,'[1]Classic Net to delete'!AA:AA,0)</f>
        <v>266</v>
      </c>
      <c r="R210">
        <v>32</v>
      </c>
    </row>
    <row r="211" spans="1:18" x14ac:dyDescent="0.25">
      <c r="A211" t="s">
        <v>545</v>
      </c>
      <c r="B211" t="s">
        <v>546</v>
      </c>
      <c r="C211">
        <v>53.980000000000004</v>
      </c>
      <c r="D211" t="s">
        <v>541</v>
      </c>
      <c r="E211" t="str">
        <f t="shared" si="6"/>
        <v>01. Breakers</v>
      </c>
      <c r="F211">
        <v>75</v>
      </c>
      <c r="H211" t="b">
        <v>1</v>
      </c>
      <c r="I211">
        <v>267</v>
      </c>
      <c r="K211" s="192" t="s">
        <v>21</v>
      </c>
      <c r="L211" s="188">
        <f>IFERROR(_xlfn.XLOOKUP(A211,[1]Fleet!A:A,[1]Fleet!E:E,""),"")</f>
        <v>6</v>
      </c>
      <c r="M211" s="188">
        <v>50.45</v>
      </c>
      <c r="N211" s="188" t="s">
        <v>547</v>
      </c>
      <c r="O211" s="198" t="s">
        <v>530</v>
      </c>
      <c r="P211">
        <v>206</v>
      </c>
      <c r="Q211">
        <f>_xlfn.XLOOKUP(A211,'[1]Classic Net to delete'!D:D,'[1]Classic Net to delete'!AA:AA,0)</f>
        <v>267</v>
      </c>
      <c r="R211">
        <v>33</v>
      </c>
    </row>
    <row r="212" spans="1:18" x14ac:dyDescent="0.25">
      <c r="A212" t="s">
        <v>548</v>
      </c>
      <c r="B212" t="s">
        <v>549</v>
      </c>
      <c r="C212">
        <v>96.73</v>
      </c>
      <c r="D212" t="s">
        <v>541</v>
      </c>
      <c r="E212" t="str">
        <f t="shared" si="6"/>
        <v>01. Breakers</v>
      </c>
      <c r="F212">
        <v>75</v>
      </c>
      <c r="H212" t="b">
        <v>1</v>
      </c>
      <c r="I212">
        <v>268</v>
      </c>
      <c r="K212" s="192" t="s">
        <v>21</v>
      </c>
      <c r="L212" s="188">
        <f>IFERROR(_xlfn.XLOOKUP(A212,[1]Fleet!A:A,[1]Fleet!E:E,""),"")</f>
        <v>69</v>
      </c>
      <c r="M212" s="188">
        <v>56.900000000000006</v>
      </c>
      <c r="N212" s="188" t="s">
        <v>550</v>
      </c>
      <c r="O212" s="198" t="s">
        <v>530</v>
      </c>
      <c r="P212">
        <v>205</v>
      </c>
      <c r="Q212">
        <f>_xlfn.XLOOKUP(A212,'[1]Classic Net to delete'!D:D,'[1]Classic Net to delete'!AA:AA,0)</f>
        <v>268</v>
      </c>
      <c r="R212">
        <v>34</v>
      </c>
    </row>
    <row r="213" spans="1:18" x14ac:dyDescent="0.25">
      <c r="A213" t="s">
        <v>551</v>
      </c>
      <c r="B213" t="s">
        <v>552</v>
      </c>
      <c r="C213">
        <v>53.980000000000004</v>
      </c>
      <c r="D213" t="s">
        <v>541</v>
      </c>
      <c r="E213" t="str">
        <f t="shared" si="6"/>
        <v>01. Breakers</v>
      </c>
      <c r="F213">
        <v>75</v>
      </c>
      <c r="H213" t="b">
        <v>1</v>
      </c>
      <c r="I213">
        <v>269</v>
      </c>
      <c r="K213" s="192" t="s">
        <v>21</v>
      </c>
      <c r="L213" s="188">
        <f>IFERROR(_xlfn.XLOOKUP(A213,[1]Fleet!A:A,[1]Fleet!E:E,""),"")</f>
        <v>8</v>
      </c>
      <c r="M213" s="188">
        <v>50.45</v>
      </c>
      <c r="N213" s="188" t="s">
        <v>553</v>
      </c>
      <c r="O213" s="198" t="s">
        <v>530</v>
      </c>
      <c r="P213">
        <v>208</v>
      </c>
      <c r="Q213">
        <f>_xlfn.XLOOKUP(A213,'[1]Classic Net to delete'!D:D,'[1]Classic Net to delete'!AA:AA,0)</f>
        <v>269</v>
      </c>
      <c r="R213">
        <v>35</v>
      </c>
    </row>
    <row r="214" spans="1:18" x14ac:dyDescent="0.25">
      <c r="A214" t="s">
        <v>554</v>
      </c>
      <c r="B214" t="s">
        <v>555</v>
      </c>
      <c r="C214">
        <v>96.2</v>
      </c>
      <c r="D214" t="s">
        <v>541</v>
      </c>
      <c r="E214" t="str">
        <f t="shared" si="6"/>
        <v>01. Breakers</v>
      </c>
      <c r="F214">
        <v>75</v>
      </c>
      <c r="H214" t="b">
        <v>1</v>
      </c>
      <c r="I214">
        <v>271</v>
      </c>
      <c r="K214" s="192" t="s">
        <v>21</v>
      </c>
      <c r="L214" s="188">
        <f>IFERROR(_xlfn.XLOOKUP(A214,[1]Fleet!A:A,[1]Fleet!E:E,""),"")</f>
        <v>94</v>
      </c>
      <c r="M214" s="188">
        <v>74</v>
      </c>
      <c r="N214" s="188" t="s">
        <v>556</v>
      </c>
      <c r="O214" s="198" t="s">
        <v>530</v>
      </c>
      <c r="P214">
        <v>207</v>
      </c>
      <c r="Q214">
        <f>_xlfn.XLOOKUP(A214,'[1]Classic Net to delete'!D:D,'[1]Classic Net to delete'!AA:AA,0)</f>
        <v>271</v>
      </c>
      <c r="R214">
        <v>36</v>
      </c>
    </row>
    <row r="215" spans="1:18" x14ac:dyDescent="0.25">
      <c r="A215" s="186" t="s">
        <v>675</v>
      </c>
      <c r="B215" s="186" t="s">
        <v>676</v>
      </c>
      <c r="C215" s="186">
        <v>79.180000000000007</v>
      </c>
      <c r="D215" s="186" t="s">
        <v>541</v>
      </c>
      <c r="E215" t="str">
        <f t="shared" ref="E215" si="7">CONCATENATE(K215,". ",O215)</f>
        <v>01. Breakers</v>
      </c>
      <c r="F215">
        <v>76</v>
      </c>
      <c r="H215" t="b">
        <v>1</v>
      </c>
      <c r="I215">
        <v>271.10000000000002</v>
      </c>
      <c r="K215" s="192" t="s">
        <v>21</v>
      </c>
      <c r="O215" s="198" t="s">
        <v>530</v>
      </c>
    </row>
    <row r="216" spans="1:18" x14ac:dyDescent="0.25">
      <c r="A216" t="s">
        <v>557</v>
      </c>
      <c r="B216" t="s">
        <v>558</v>
      </c>
      <c r="C216">
        <v>145.6</v>
      </c>
      <c r="D216" t="s">
        <v>541</v>
      </c>
      <c r="E216" t="str">
        <f t="shared" si="6"/>
        <v>01. Breakers</v>
      </c>
      <c r="F216">
        <v>75</v>
      </c>
      <c r="H216" t="b">
        <v>1</v>
      </c>
      <c r="I216">
        <v>272</v>
      </c>
      <c r="K216" s="192" t="s">
        <v>21</v>
      </c>
      <c r="L216" s="188">
        <f>IFERROR(_xlfn.XLOOKUP(A216,[1]Fleet!A:A,[1]Fleet!E:E,""),"")</f>
        <v>10</v>
      </c>
      <c r="M216" s="188">
        <v>112</v>
      </c>
      <c r="N216" s="188" t="s">
        <v>559</v>
      </c>
      <c r="O216" s="198" t="s">
        <v>530</v>
      </c>
      <c r="P216">
        <v>210</v>
      </c>
      <c r="Q216">
        <f>_xlfn.XLOOKUP(A216,'[1]Classic Net to delete'!D:D,'[1]Classic Net to delete'!AA:AA,0)</f>
        <v>272</v>
      </c>
      <c r="R216">
        <v>36</v>
      </c>
    </row>
    <row r="217" spans="1:18" x14ac:dyDescent="0.25">
      <c r="A217" s="186" t="s">
        <v>677</v>
      </c>
      <c r="B217" s="186" t="s">
        <v>678</v>
      </c>
      <c r="C217" s="186">
        <v>119.84</v>
      </c>
      <c r="D217" s="186" t="s">
        <v>541</v>
      </c>
      <c r="E217" t="str">
        <f t="shared" ref="E217" si="8">CONCATENATE(K217,". ",O217)</f>
        <v>01. Breakers</v>
      </c>
      <c r="F217">
        <v>76</v>
      </c>
      <c r="H217" t="b">
        <v>1</v>
      </c>
      <c r="I217">
        <v>272.10000000000002</v>
      </c>
      <c r="K217" s="192" t="s">
        <v>21</v>
      </c>
      <c r="O217" s="198" t="s">
        <v>530</v>
      </c>
    </row>
    <row r="218" spans="1:18" x14ac:dyDescent="0.25">
      <c r="A218" t="s">
        <v>560</v>
      </c>
      <c r="B218" t="s">
        <v>561</v>
      </c>
      <c r="C218">
        <v>87.04</v>
      </c>
      <c r="D218" t="s">
        <v>541</v>
      </c>
      <c r="E218" t="str">
        <f t="shared" si="6"/>
        <v>01. Breakers</v>
      </c>
      <c r="F218">
        <v>75</v>
      </c>
      <c r="H218" t="b">
        <v>1</v>
      </c>
      <c r="I218">
        <v>273</v>
      </c>
      <c r="K218" s="192" t="s">
        <v>21</v>
      </c>
      <c r="L218" s="188">
        <f>IFERROR(_xlfn.XLOOKUP(A218,[1]Fleet!A:A,[1]Fleet!E:E,""),"")</f>
        <v>7</v>
      </c>
      <c r="M218" s="188">
        <v>81.350000000000009</v>
      </c>
      <c r="N218" s="188" t="s">
        <v>562</v>
      </c>
      <c r="O218" s="198" t="s">
        <v>530</v>
      </c>
      <c r="P218">
        <v>211</v>
      </c>
      <c r="Q218">
        <f>_xlfn.XLOOKUP(A218,'[1]Classic Net to delete'!D:D,'[1]Classic Net to delete'!AA:AA,0)</f>
        <v>273</v>
      </c>
      <c r="R218">
        <v>36.1</v>
      </c>
    </row>
    <row r="219" spans="1:18" x14ac:dyDescent="0.25">
      <c r="A219" t="s">
        <v>563</v>
      </c>
      <c r="B219" t="s">
        <v>564</v>
      </c>
      <c r="C219">
        <v>113.58</v>
      </c>
      <c r="D219" t="s">
        <v>541</v>
      </c>
      <c r="E219" t="str">
        <f t="shared" si="6"/>
        <v>01. Breakers</v>
      </c>
      <c r="F219">
        <v>75</v>
      </c>
      <c r="H219" t="b">
        <v>1</v>
      </c>
      <c r="I219">
        <v>274</v>
      </c>
      <c r="K219" s="192" t="s">
        <v>21</v>
      </c>
      <c r="L219" s="188">
        <f>IFERROR(_xlfn.XLOOKUP(A219,[1]Fleet!A:A,[1]Fleet!E:E,""),"")</f>
        <v>6</v>
      </c>
      <c r="M219" s="188">
        <v>106.15</v>
      </c>
      <c r="N219" s="188" t="s">
        <v>565</v>
      </c>
      <c r="O219" s="198" t="s">
        <v>530</v>
      </c>
      <c r="P219">
        <v>214</v>
      </c>
      <c r="Q219">
        <f>_xlfn.XLOOKUP(A219,'[1]Classic Net to delete'!D:D,'[1]Classic Net to delete'!AA:AA,0)</f>
        <v>274</v>
      </c>
      <c r="R219">
        <v>37</v>
      </c>
    </row>
    <row r="220" spans="1:18" x14ac:dyDescent="0.25">
      <c r="A220" t="s">
        <v>566</v>
      </c>
      <c r="B220" t="s">
        <v>567</v>
      </c>
      <c r="C220">
        <v>232.92000000000002</v>
      </c>
      <c r="D220" t="s">
        <v>541</v>
      </c>
      <c r="E220" t="str">
        <f t="shared" si="6"/>
        <v>01. Breakers</v>
      </c>
      <c r="F220">
        <v>75</v>
      </c>
      <c r="H220" t="b">
        <v>1</v>
      </c>
      <c r="I220">
        <v>275</v>
      </c>
      <c r="K220" s="192" t="s">
        <v>21</v>
      </c>
      <c r="L220" s="188">
        <f>IFERROR(_xlfn.XLOOKUP(A220,[1]Fleet!A:A,[1]Fleet!E:E,""),"")</f>
        <v>8</v>
      </c>
      <c r="M220" s="188">
        <v>129.4</v>
      </c>
      <c r="N220" s="188" t="s">
        <v>568</v>
      </c>
      <c r="O220" s="198" t="s">
        <v>530</v>
      </c>
      <c r="P220">
        <v>212</v>
      </c>
      <c r="Q220">
        <f>_xlfn.XLOOKUP(A220,'[1]Classic Net to delete'!D:D,'[1]Classic Net to delete'!AA:AA,0)</f>
        <v>275</v>
      </c>
      <c r="R220">
        <v>38</v>
      </c>
    </row>
    <row r="221" spans="1:18" x14ac:dyDescent="0.25">
      <c r="A221" s="197" t="s">
        <v>681</v>
      </c>
      <c r="B221" s="186" t="s">
        <v>682</v>
      </c>
      <c r="C221" s="186">
        <v>138.46</v>
      </c>
      <c r="D221" s="186" t="s">
        <v>541</v>
      </c>
      <c r="E221" t="str">
        <f t="shared" si="6"/>
        <v>01. Breakers</v>
      </c>
      <c r="F221">
        <v>75</v>
      </c>
      <c r="H221" t="b">
        <v>1</v>
      </c>
      <c r="I221">
        <v>276</v>
      </c>
      <c r="K221" s="192" t="s">
        <v>21</v>
      </c>
      <c r="O221" s="198" t="s">
        <v>530</v>
      </c>
      <c r="Q221">
        <f>_xlfn.XLOOKUP(A221,'[1]Classic Net to delete'!D:D,'[1]Classic Net to delete'!AA:AA,0)</f>
        <v>0</v>
      </c>
    </row>
    <row r="222" spans="1:18" x14ac:dyDescent="0.25">
      <c r="A222" t="s">
        <v>569</v>
      </c>
      <c r="B222" t="s">
        <v>570</v>
      </c>
      <c r="C222">
        <v>45.15</v>
      </c>
      <c r="D222" t="s">
        <v>541</v>
      </c>
      <c r="E222" t="str">
        <f t="shared" si="6"/>
        <v>01. Breakers</v>
      </c>
      <c r="F222">
        <v>75</v>
      </c>
      <c r="H222" t="b">
        <v>1</v>
      </c>
      <c r="I222">
        <v>277</v>
      </c>
      <c r="K222" s="192" t="s">
        <v>21</v>
      </c>
      <c r="L222" s="188">
        <f>IFERROR(_xlfn.XLOOKUP(A222,[1]Fleet!A:A,[1]Fleet!E:E,""),"")</f>
        <v>15</v>
      </c>
      <c r="M222" s="188">
        <v>42.2</v>
      </c>
      <c r="N222" s="188" t="s">
        <v>570</v>
      </c>
      <c r="O222" s="198" t="s">
        <v>530</v>
      </c>
      <c r="P222">
        <v>218</v>
      </c>
      <c r="Q222">
        <f>_xlfn.XLOOKUP(A222,'[1]Classic Net to delete'!D:D,'[1]Classic Net to delete'!AA:AA,0)</f>
        <v>277</v>
      </c>
      <c r="R222">
        <v>42</v>
      </c>
    </row>
    <row r="223" spans="1:18" x14ac:dyDescent="0.25">
      <c r="A223" t="s">
        <v>571</v>
      </c>
      <c r="B223" t="s">
        <v>572</v>
      </c>
      <c r="C223">
        <v>113.58</v>
      </c>
      <c r="D223" t="s">
        <v>541</v>
      </c>
      <c r="E223" t="str">
        <f t="shared" si="6"/>
        <v>01. Breakers</v>
      </c>
      <c r="F223">
        <v>75</v>
      </c>
      <c r="H223" t="b">
        <v>1</v>
      </c>
      <c r="I223">
        <v>278</v>
      </c>
      <c r="K223" s="192" t="s">
        <v>21</v>
      </c>
      <c r="L223" s="188">
        <f>IFERROR(_xlfn.XLOOKUP(A223,[1]Fleet!A:A,[1]Fleet!E:E,""),"")</f>
        <v>14</v>
      </c>
      <c r="M223" s="188">
        <v>106.15</v>
      </c>
      <c r="N223" s="188" t="s">
        <v>573</v>
      </c>
      <c r="O223" s="198" t="s">
        <v>530</v>
      </c>
      <c r="P223">
        <v>219</v>
      </c>
      <c r="Q223">
        <f>_xlfn.XLOOKUP(A223,'[1]Classic Net to delete'!D:D,'[1]Classic Net to delete'!AA:AA,0)</f>
        <v>278</v>
      </c>
      <c r="R223">
        <v>43</v>
      </c>
    </row>
    <row r="224" spans="1:18" x14ac:dyDescent="0.25">
      <c r="A224" t="s">
        <v>574</v>
      </c>
      <c r="B224" t="s">
        <v>575</v>
      </c>
      <c r="C224">
        <v>73.97</v>
      </c>
      <c r="D224" t="s">
        <v>541</v>
      </c>
      <c r="E224" t="str">
        <f t="shared" si="6"/>
        <v>02. Combi-hammers</v>
      </c>
      <c r="F224">
        <v>75</v>
      </c>
      <c r="H224" t="b">
        <v>1</v>
      </c>
      <c r="I224">
        <v>262</v>
      </c>
      <c r="K224" s="192" t="s">
        <v>54</v>
      </c>
      <c r="L224" s="188">
        <f>IFERROR(_xlfn.XLOOKUP(A224,[1]Fleet!A:A,[1]Fleet!E:E,""),"")</f>
        <v>22</v>
      </c>
      <c r="M224" s="188">
        <v>56.900000000000006</v>
      </c>
      <c r="N224" s="188" t="s">
        <v>576</v>
      </c>
      <c r="O224" s="198" t="s">
        <v>577</v>
      </c>
      <c r="P224">
        <v>226</v>
      </c>
      <c r="Q224">
        <f>_xlfn.XLOOKUP(A224,'[1]Classic Net to delete'!D:D,'[1]Classic Net to delete'!AA:AA,0)</f>
        <v>262</v>
      </c>
      <c r="R224">
        <v>47</v>
      </c>
    </row>
    <row r="225" spans="1:18" x14ac:dyDescent="0.25">
      <c r="A225" t="s">
        <v>578</v>
      </c>
      <c r="B225" t="s">
        <v>579</v>
      </c>
      <c r="C225">
        <v>27.5</v>
      </c>
      <c r="D225" t="s">
        <v>541</v>
      </c>
      <c r="E225" t="str">
        <f t="shared" si="6"/>
        <v>02. Combi-hammers</v>
      </c>
      <c r="F225">
        <v>75</v>
      </c>
      <c r="H225" t="b">
        <v>1</v>
      </c>
      <c r="I225">
        <v>263</v>
      </c>
      <c r="K225" s="192" t="s">
        <v>54</v>
      </c>
      <c r="L225" s="188" t="str">
        <f>IFERROR(_xlfn.XLOOKUP(A225,[1]Fleet!A:A,[1]Fleet!E:E,""),"")</f>
        <v/>
      </c>
      <c r="M225" s="188">
        <v>25.700000000000003</v>
      </c>
      <c r="N225" s="188" t="s">
        <v>580</v>
      </c>
      <c r="O225" s="198" t="s">
        <v>577</v>
      </c>
      <c r="P225">
        <v>227</v>
      </c>
      <c r="Q225">
        <f>_xlfn.XLOOKUP(A225,'[1]Classic Net to delete'!D:D,'[1]Classic Net to delete'!AA:AA,0)</f>
        <v>263</v>
      </c>
      <c r="R225">
        <v>49</v>
      </c>
    </row>
    <row r="226" spans="1:18" x14ac:dyDescent="0.25">
      <c r="A226" t="s">
        <v>581</v>
      </c>
      <c r="B226" t="s">
        <v>582</v>
      </c>
      <c r="C226">
        <v>56.76</v>
      </c>
      <c r="D226" t="s">
        <v>541</v>
      </c>
      <c r="E226" t="str">
        <f t="shared" si="6"/>
        <v>02. Combi-hammers</v>
      </c>
      <c r="F226">
        <v>75</v>
      </c>
      <c r="H226" t="b">
        <v>1</v>
      </c>
      <c r="I226">
        <v>282</v>
      </c>
      <c r="K226" s="192" t="s">
        <v>54</v>
      </c>
      <c r="L226" s="188">
        <f>IFERROR(_xlfn.XLOOKUP(A226,[1]Fleet!A:A,[1]Fleet!E:E,""),"")</f>
        <v>2</v>
      </c>
      <c r="M226" s="188">
        <v>53.050000000000004</v>
      </c>
      <c r="N226" s="188" t="s">
        <v>583</v>
      </c>
      <c r="O226" s="198" t="s">
        <v>577</v>
      </c>
      <c r="P226">
        <v>220</v>
      </c>
      <c r="Q226">
        <f>_xlfn.XLOOKUP(A226,'[1]Classic Net to delete'!D:D,'[1]Classic Net to delete'!AA:AA,0)</f>
        <v>282</v>
      </c>
      <c r="R226">
        <v>49.1</v>
      </c>
    </row>
    <row r="227" spans="1:18" x14ac:dyDescent="0.25">
      <c r="A227" t="s">
        <v>584</v>
      </c>
      <c r="B227" t="s">
        <v>585</v>
      </c>
      <c r="C227">
        <v>62.49</v>
      </c>
      <c r="D227" t="s">
        <v>541</v>
      </c>
      <c r="E227" t="str">
        <f t="shared" si="6"/>
        <v>02. Combi-hammers</v>
      </c>
      <c r="F227">
        <v>75</v>
      </c>
      <c r="H227" t="b">
        <v>1</v>
      </c>
      <c r="I227">
        <v>283</v>
      </c>
      <c r="K227" s="192" t="s">
        <v>54</v>
      </c>
      <c r="L227" s="188">
        <f>IFERROR(_xlfn.XLOOKUP(A227,[1]Fleet!A:A,[1]Fleet!E:E,""),"")</f>
        <v>4</v>
      </c>
      <c r="M227" s="188">
        <v>58.400000000000006</v>
      </c>
      <c r="N227" s="188" t="s">
        <v>586</v>
      </c>
      <c r="O227" s="198" t="s">
        <v>577</v>
      </c>
      <c r="P227">
        <v>221</v>
      </c>
      <c r="Q227">
        <f>_xlfn.XLOOKUP(A227,'[1]Classic Net to delete'!D:D,'[1]Classic Net to delete'!AA:AA,0)</f>
        <v>283</v>
      </c>
      <c r="R227">
        <v>50</v>
      </c>
    </row>
    <row r="228" spans="1:18" x14ac:dyDescent="0.25">
      <c r="A228" t="s">
        <v>587</v>
      </c>
      <c r="B228" t="s">
        <v>588</v>
      </c>
      <c r="C228">
        <v>97.44</v>
      </c>
      <c r="D228" t="s">
        <v>541</v>
      </c>
      <c r="E228" t="str">
        <f t="shared" si="6"/>
        <v>02. Combi-hammers</v>
      </c>
      <c r="F228">
        <v>75</v>
      </c>
      <c r="H228" t="b">
        <v>1</v>
      </c>
      <c r="I228">
        <v>284</v>
      </c>
      <c r="K228" s="192" t="s">
        <v>54</v>
      </c>
      <c r="L228" s="188">
        <f>IFERROR(_xlfn.XLOOKUP(A228,[1]Fleet!A:A,[1]Fleet!E:E,""),"")</f>
        <v>24</v>
      </c>
      <c r="M228" s="188">
        <v>74.95</v>
      </c>
      <c r="N228" s="188" t="s">
        <v>589</v>
      </c>
      <c r="O228" s="198" t="s">
        <v>577</v>
      </c>
      <c r="P228">
        <v>223</v>
      </c>
      <c r="Q228">
        <f>_xlfn.XLOOKUP(A228,'[1]Classic Net to delete'!D:D,'[1]Classic Net to delete'!AA:AA,0)</f>
        <v>284</v>
      </c>
      <c r="R228">
        <v>51</v>
      </c>
    </row>
    <row r="229" spans="1:18" x14ac:dyDescent="0.25">
      <c r="A229" s="186" t="s">
        <v>3967</v>
      </c>
      <c r="B229" s="186" t="s">
        <v>3968</v>
      </c>
      <c r="C229" s="186">
        <v>56.9</v>
      </c>
      <c r="D229" t="s">
        <v>541</v>
      </c>
      <c r="E229" t="str">
        <f t="shared" si="6"/>
        <v>02. Combi-hammers</v>
      </c>
      <c r="F229">
        <v>75</v>
      </c>
      <c r="H229" t="b">
        <v>1</v>
      </c>
      <c r="I229" s="195">
        <v>284.01</v>
      </c>
      <c r="K229" s="192" t="s">
        <v>54</v>
      </c>
      <c r="O229" s="198" t="s">
        <v>577</v>
      </c>
    </row>
    <row r="230" spans="1:18" x14ac:dyDescent="0.25">
      <c r="A230" t="s">
        <v>590</v>
      </c>
      <c r="B230" t="s">
        <v>591</v>
      </c>
      <c r="C230">
        <v>68.16</v>
      </c>
      <c r="D230" t="s">
        <v>541</v>
      </c>
      <c r="E230" t="str">
        <f t="shared" si="6"/>
        <v>03. Drilling</v>
      </c>
      <c r="F230">
        <v>75</v>
      </c>
      <c r="H230" t="b">
        <v>1</v>
      </c>
      <c r="I230">
        <v>285</v>
      </c>
      <c r="K230" s="192" t="s">
        <v>85</v>
      </c>
      <c r="L230" s="188">
        <f>IFERROR(_xlfn.XLOOKUP(A230,[1]Fleet!A:A,[1]Fleet!E:E,""),"")</f>
        <v>10</v>
      </c>
      <c r="M230" s="188">
        <v>63.7</v>
      </c>
      <c r="N230" s="188" t="s">
        <v>592</v>
      </c>
      <c r="O230" s="198" t="s">
        <v>593</v>
      </c>
      <c r="P230">
        <v>230</v>
      </c>
      <c r="Q230">
        <f>_xlfn.XLOOKUP(A230,'[1]Classic Net to delete'!D:D,'[1]Classic Net to delete'!AA:AA,0)</f>
        <v>285</v>
      </c>
      <c r="R230">
        <v>57</v>
      </c>
    </row>
    <row r="231" spans="1:18" x14ac:dyDescent="0.25">
      <c r="A231" t="s">
        <v>594</v>
      </c>
      <c r="B231" t="s">
        <v>595</v>
      </c>
      <c r="C231">
        <v>69.66</v>
      </c>
      <c r="D231" t="s">
        <v>541</v>
      </c>
      <c r="E231" t="str">
        <f t="shared" si="6"/>
        <v>03. Drilling</v>
      </c>
      <c r="F231">
        <v>75</v>
      </c>
      <c r="H231" t="b">
        <v>1</v>
      </c>
      <c r="I231">
        <v>286</v>
      </c>
      <c r="K231" s="192" t="s">
        <v>85</v>
      </c>
      <c r="L231" s="188">
        <f>IFERROR(_xlfn.XLOOKUP(A231,[1]Fleet!A:A,[1]Fleet!E:E,""),"")</f>
        <v>5</v>
      </c>
      <c r="M231" s="188">
        <v>65.100000000000009</v>
      </c>
      <c r="N231" s="188" t="s">
        <v>596</v>
      </c>
      <c r="O231" s="198" t="s">
        <v>593</v>
      </c>
      <c r="P231">
        <v>229</v>
      </c>
      <c r="Q231">
        <f>_xlfn.XLOOKUP(A231,'[1]Classic Net to delete'!D:D,'[1]Classic Net to delete'!AA:AA,0)</f>
        <v>286</v>
      </c>
      <c r="R231">
        <v>58</v>
      </c>
    </row>
    <row r="232" spans="1:18" x14ac:dyDescent="0.25">
      <c r="A232" t="s">
        <v>597</v>
      </c>
      <c r="B232" t="s">
        <v>598</v>
      </c>
      <c r="C232">
        <v>78.180000000000007</v>
      </c>
      <c r="D232" t="s">
        <v>541</v>
      </c>
      <c r="E232" t="str">
        <f t="shared" si="6"/>
        <v>03. Drilling</v>
      </c>
      <c r="F232">
        <v>75</v>
      </c>
      <c r="H232" t="b">
        <v>1</v>
      </c>
      <c r="I232">
        <v>287</v>
      </c>
      <c r="K232" s="192" t="s">
        <v>85</v>
      </c>
      <c r="L232" s="188">
        <f>IFERROR(_xlfn.XLOOKUP(A232,[1]Fleet!A:A,[1]Fleet!E:E,""),"")</f>
        <v>3</v>
      </c>
      <c r="M232" s="188">
        <v>69.8</v>
      </c>
      <c r="N232" s="188" t="s">
        <v>599</v>
      </c>
      <c r="O232" s="198" t="s">
        <v>593</v>
      </c>
      <c r="P232">
        <v>232</v>
      </c>
      <c r="Q232">
        <f>_xlfn.XLOOKUP(A232,'[1]Classic Net to delete'!D:D,'[1]Classic Net to delete'!AA:AA,0)</f>
        <v>287</v>
      </c>
      <c r="R232">
        <v>59</v>
      </c>
    </row>
    <row r="233" spans="1:18" x14ac:dyDescent="0.25">
      <c r="A233" t="s">
        <v>600</v>
      </c>
      <c r="B233" t="s">
        <v>601</v>
      </c>
      <c r="C233">
        <v>25.57</v>
      </c>
      <c r="D233" t="s">
        <v>541</v>
      </c>
      <c r="E233" t="str">
        <f t="shared" si="6"/>
        <v>03. Drilling</v>
      </c>
      <c r="F233">
        <v>75</v>
      </c>
      <c r="H233" t="b">
        <v>1</v>
      </c>
      <c r="I233">
        <v>290</v>
      </c>
      <c r="K233" s="192" t="s">
        <v>85</v>
      </c>
      <c r="L233" s="188">
        <f>IFERROR(_xlfn.XLOOKUP(A233,[1]Fleet!A:A,[1]Fleet!E:E,""),"")</f>
        <v>13</v>
      </c>
      <c r="M233" s="188">
        <v>23.900000000000002</v>
      </c>
      <c r="N233" s="188" t="s">
        <v>601</v>
      </c>
      <c r="O233" s="198" t="s">
        <v>593</v>
      </c>
      <c r="P233">
        <v>247</v>
      </c>
      <c r="Q233">
        <f>_xlfn.XLOOKUP(A233,'[1]Classic Net to delete'!D:D,'[1]Classic Net to delete'!AA:AA,0)</f>
        <v>290</v>
      </c>
      <c r="R233">
        <v>60</v>
      </c>
    </row>
    <row r="234" spans="1:18" x14ac:dyDescent="0.25">
      <c r="A234" t="s">
        <v>602</v>
      </c>
      <c r="B234" t="s">
        <v>603</v>
      </c>
      <c r="C234">
        <v>47.03</v>
      </c>
      <c r="D234" t="s">
        <v>541</v>
      </c>
      <c r="E234" t="str">
        <f t="shared" si="6"/>
        <v>03. Drilling</v>
      </c>
      <c r="F234">
        <v>75</v>
      </c>
      <c r="H234" t="b">
        <v>1</v>
      </c>
      <c r="I234">
        <v>291</v>
      </c>
      <c r="K234" s="192" t="s">
        <v>85</v>
      </c>
      <c r="L234" s="188">
        <f>IFERROR(_xlfn.XLOOKUP(A234,[1]Fleet!A:A,[1]Fleet!E:E,""),"")</f>
        <v>2</v>
      </c>
      <c r="M234" s="188">
        <v>43.95</v>
      </c>
      <c r="N234" s="188" t="s">
        <v>603</v>
      </c>
      <c r="O234" s="198" t="s">
        <v>593</v>
      </c>
      <c r="P234">
        <v>244</v>
      </c>
      <c r="Q234">
        <f>_xlfn.XLOOKUP(A234,'[1]Classic Net to delete'!D:D,'[1]Classic Net to delete'!AA:AA,0)</f>
        <v>291</v>
      </c>
      <c r="R234">
        <v>60.1</v>
      </c>
    </row>
    <row r="235" spans="1:18" x14ac:dyDescent="0.25">
      <c r="A235" t="s">
        <v>604</v>
      </c>
      <c r="B235" t="s">
        <v>605</v>
      </c>
      <c r="C235">
        <v>48.26</v>
      </c>
      <c r="D235" t="s">
        <v>541</v>
      </c>
      <c r="E235" t="str">
        <f t="shared" si="6"/>
        <v>03. Drilling</v>
      </c>
      <c r="F235">
        <v>75</v>
      </c>
      <c r="H235" t="b">
        <v>1</v>
      </c>
      <c r="I235">
        <v>292</v>
      </c>
      <c r="K235" s="192" t="s">
        <v>85</v>
      </c>
      <c r="L235" s="188">
        <f>IFERROR(_xlfn.XLOOKUP(A235,[1]Fleet!A:A,[1]Fleet!E:E,""),"")</f>
        <v>3</v>
      </c>
      <c r="M235" s="188">
        <v>45.1</v>
      </c>
      <c r="N235" s="188" t="s">
        <v>605</v>
      </c>
      <c r="O235" s="198" t="s">
        <v>593</v>
      </c>
      <c r="P235">
        <v>246</v>
      </c>
      <c r="Q235">
        <f>_xlfn.XLOOKUP(A235,'[1]Classic Net to delete'!D:D,'[1]Classic Net to delete'!AA:AA,0)</f>
        <v>292</v>
      </c>
      <c r="R235">
        <v>61</v>
      </c>
    </row>
    <row r="236" spans="1:18" x14ac:dyDescent="0.25">
      <c r="A236" t="s">
        <v>606</v>
      </c>
      <c r="B236" t="s">
        <v>607</v>
      </c>
      <c r="C236">
        <v>51.15</v>
      </c>
      <c r="D236" t="s">
        <v>541</v>
      </c>
      <c r="E236" t="str">
        <f t="shared" si="6"/>
        <v>03. Drilling</v>
      </c>
      <c r="F236">
        <v>75</v>
      </c>
      <c r="H236" t="b">
        <v>1</v>
      </c>
      <c r="I236">
        <v>293</v>
      </c>
      <c r="K236" s="192" t="s">
        <v>85</v>
      </c>
      <c r="L236" s="188">
        <f>IFERROR(_xlfn.XLOOKUP(A236,[1]Fleet!A:A,[1]Fleet!E:E,""),"")</f>
        <v>5</v>
      </c>
      <c r="M236" s="188">
        <v>47.800000000000004</v>
      </c>
      <c r="N236" s="188" t="s">
        <v>608</v>
      </c>
      <c r="O236" s="198" t="s">
        <v>593</v>
      </c>
      <c r="P236">
        <v>242</v>
      </c>
      <c r="Q236">
        <f>_xlfn.XLOOKUP(A236,'[1]Classic Net to delete'!D:D,'[1]Classic Net to delete'!AA:AA,0)</f>
        <v>293</v>
      </c>
      <c r="R236">
        <v>62</v>
      </c>
    </row>
    <row r="237" spans="1:18" x14ac:dyDescent="0.25">
      <c r="A237" t="s">
        <v>609</v>
      </c>
      <c r="B237" t="s">
        <v>610</v>
      </c>
      <c r="C237">
        <v>58.26</v>
      </c>
      <c r="D237" t="s">
        <v>541</v>
      </c>
      <c r="E237" t="str">
        <f t="shared" si="6"/>
        <v>03. Drilling</v>
      </c>
      <c r="F237">
        <v>75</v>
      </c>
      <c r="H237" t="b">
        <v>1</v>
      </c>
      <c r="I237">
        <v>294</v>
      </c>
      <c r="K237" s="192" t="s">
        <v>85</v>
      </c>
      <c r="L237" s="188">
        <f>IFERROR(_xlfn.XLOOKUP(A237,[1]Fleet!A:A,[1]Fleet!E:E,""),"")</f>
        <v>6</v>
      </c>
      <c r="M237" s="188">
        <v>54.45</v>
      </c>
      <c r="N237" s="188" t="s">
        <v>611</v>
      </c>
      <c r="O237" s="198" t="s">
        <v>593</v>
      </c>
      <c r="P237">
        <v>228</v>
      </c>
      <c r="Q237">
        <f>_xlfn.XLOOKUP(A237,'[1]Classic Net to delete'!D:D,'[1]Classic Net to delete'!AA:AA,0)</f>
        <v>294</v>
      </c>
      <c r="R237">
        <v>70</v>
      </c>
    </row>
    <row r="238" spans="1:18" x14ac:dyDescent="0.25">
      <c r="A238" t="s">
        <v>612</v>
      </c>
      <c r="B238" t="s">
        <v>613</v>
      </c>
      <c r="C238">
        <v>58.1</v>
      </c>
      <c r="D238" t="s">
        <v>541</v>
      </c>
      <c r="E238" t="str">
        <f t="shared" si="6"/>
        <v>03. Drilling</v>
      </c>
      <c r="F238">
        <v>75</v>
      </c>
      <c r="H238" t="b">
        <v>1</v>
      </c>
      <c r="I238">
        <v>295</v>
      </c>
      <c r="K238" s="192" t="s">
        <v>85</v>
      </c>
      <c r="L238" s="188">
        <f>IFERROR(_xlfn.XLOOKUP(A238,[1]Fleet!A:A,[1]Fleet!E:E,""),"")</f>
        <v>10</v>
      </c>
      <c r="M238" s="188">
        <v>54.300000000000004</v>
      </c>
      <c r="N238" s="188" t="s">
        <v>614</v>
      </c>
      <c r="O238" s="198" t="s">
        <v>593</v>
      </c>
      <c r="P238">
        <v>233</v>
      </c>
      <c r="Q238">
        <f>_xlfn.XLOOKUP(A238,'[1]Classic Net to delete'!D:D,'[1]Classic Net to delete'!AA:AA,0)</f>
        <v>295</v>
      </c>
      <c r="R238">
        <v>71</v>
      </c>
    </row>
    <row r="239" spans="1:18" x14ac:dyDescent="0.25">
      <c r="A239" t="s">
        <v>615</v>
      </c>
      <c r="B239" t="s">
        <v>616</v>
      </c>
      <c r="C239">
        <v>30.330000000000002</v>
      </c>
      <c r="D239" t="s">
        <v>541</v>
      </c>
      <c r="E239" t="str">
        <f t="shared" si="6"/>
        <v>03. Drilling</v>
      </c>
      <c r="F239">
        <v>75</v>
      </c>
      <c r="H239" t="b">
        <v>1</v>
      </c>
      <c r="I239">
        <v>296</v>
      </c>
      <c r="K239" s="192" t="s">
        <v>85</v>
      </c>
      <c r="L239" s="188">
        <f>IFERROR(_xlfn.XLOOKUP(A239,[1]Fleet!A:A,[1]Fleet!E:E,""),"")</f>
        <v>3</v>
      </c>
      <c r="M239" s="188">
        <v>28.35</v>
      </c>
      <c r="N239" s="188" t="s">
        <v>616</v>
      </c>
      <c r="O239" s="198" t="s">
        <v>593</v>
      </c>
      <c r="P239">
        <v>243</v>
      </c>
      <c r="Q239">
        <f>_xlfn.XLOOKUP(A239,'[1]Classic Net to delete'!D:D,'[1]Classic Net to delete'!AA:AA,0)</f>
        <v>296</v>
      </c>
      <c r="R239">
        <v>72</v>
      </c>
    </row>
    <row r="240" spans="1:18" x14ac:dyDescent="0.25">
      <c r="A240" t="s">
        <v>617</v>
      </c>
      <c r="B240" t="s">
        <v>618</v>
      </c>
      <c r="C240">
        <v>37.450000000000003</v>
      </c>
      <c r="D240" t="s">
        <v>541</v>
      </c>
      <c r="E240" t="str">
        <f t="shared" si="6"/>
        <v>03. Drilling</v>
      </c>
      <c r="F240">
        <v>75</v>
      </c>
      <c r="H240" t="b">
        <v>1</v>
      </c>
      <c r="I240">
        <v>297</v>
      </c>
      <c r="K240" s="192" t="s">
        <v>85</v>
      </c>
      <c r="L240" s="188">
        <f>IFERROR(_xlfn.XLOOKUP(A240,[1]Fleet!A:A,[1]Fleet!E:E,""),"")</f>
        <v>32</v>
      </c>
      <c r="M240" s="188">
        <v>35</v>
      </c>
      <c r="N240" s="188" t="s">
        <v>619</v>
      </c>
      <c r="O240" s="198" t="s">
        <v>593</v>
      </c>
      <c r="P240">
        <v>231</v>
      </c>
      <c r="Q240">
        <f>_xlfn.XLOOKUP(A240,'[1]Classic Net to delete'!D:D,'[1]Classic Net to delete'!AA:AA,0)</f>
        <v>297</v>
      </c>
      <c r="R240">
        <v>73</v>
      </c>
    </row>
    <row r="241" spans="1:18" x14ac:dyDescent="0.25">
      <c r="A241" t="s">
        <v>620</v>
      </c>
      <c r="B241" t="s">
        <v>621</v>
      </c>
      <c r="C241">
        <v>58.82</v>
      </c>
      <c r="D241" t="s">
        <v>541</v>
      </c>
      <c r="E241" t="str">
        <f t="shared" si="6"/>
        <v>03. Drilling</v>
      </c>
      <c r="F241">
        <v>75</v>
      </c>
      <c r="H241" t="b">
        <v>1</v>
      </c>
      <c r="I241">
        <v>298</v>
      </c>
      <c r="K241" s="192" t="s">
        <v>85</v>
      </c>
      <c r="L241" s="188">
        <f>IFERROR(_xlfn.XLOOKUP(A241,[1]Fleet!A:A,[1]Fleet!E:E,""),"")</f>
        <v>4</v>
      </c>
      <c r="M241" s="188">
        <v>49.85</v>
      </c>
      <c r="N241" s="188" t="s">
        <v>622</v>
      </c>
      <c r="O241" s="198" t="s">
        <v>593</v>
      </c>
      <c r="P241">
        <v>259</v>
      </c>
      <c r="Q241">
        <f>_xlfn.XLOOKUP(A241,'[1]Classic Net to delete'!D:D,'[1]Classic Net to delete'!AA:AA,0)</f>
        <v>298</v>
      </c>
      <c r="R241">
        <v>74</v>
      </c>
    </row>
    <row r="242" spans="1:18" x14ac:dyDescent="0.25">
      <c r="A242" t="s">
        <v>623</v>
      </c>
      <c r="B242" s="188" t="s">
        <v>624</v>
      </c>
      <c r="C242">
        <v>10.540000000000001</v>
      </c>
      <c r="D242" t="s">
        <v>541</v>
      </c>
      <c r="E242" t="str">
        <f t="shared" si="6"/>
        <v>03. Drilling</v>
      </c>
      <c r="F242">
        <v>75</v>
      </c>
      <c r="H242" t="b">
        <v>1</v>
      </c>
      <c r="I242">
        <v>299</v>
      </c>
      <c r="K242" s="192" t="s">
        <v>85</v>
      </c>
      <c r="L242" s="188" t="str">
        <f>IFERROR(_xlfn.XLOOKUP(A242,[1]Fleet!A:A,[1]Fleet!E:E,""),"")</f>
        <v/>
      </c>
      <c r="M242" s="188">
        <v>9.8500000000000014</v>
      </c>
      <c r="N242" s="188" t="s">
        <v>624</v>
      </c>
      <c r="O242" s="198" t="s">
        <v>593</v>
      </c>
      <c r="P242">
        <v>251</v>
      </c>
      <c r="Q242">
        <f>_xlfn.XLOOKUP(A242,'[1]Classic Net to delete'!D:D,'[1]Classic Net to delete'!AA:AA,0)</f>
        <v>299</v>
      </c>
      <c r="R242">
        <v>80</v>
      </c>
    </row>
    <row r="243" spans="1:18" x14ac:dyDescent="0.25">
      <c r="A243" t="s">
        <v>625</v>
      </c>
      <c r="B243" t="s">
        <v>626</v>
      </c>
      <c r="C243">
        <v>64.070000000000007</v>
      </c>
      <c r="D243" t="s">
        <v>541</v>
      </c>
      <c r="E243" t="str">
        <f t="shared" si="6"/>
        <v>03. Drilling</v>
      </c>
      <c r="F243">
        <v>75</v>
      </c>
      <c r="H243" t="b">
        <v>1</v>
      </c>
      <c r="I243">
        <v>301</v>
      </c>
      <c r="K243" s="192" t="s">
        <v>85</v>
      </c>
      <c r="L243" s="188">
        <f>IFERROR(_xlfn.XLOOKUP(A243,[1]Fleet!A:A,[1]Fleet!E:E,""),"")</f>
        <v>24</v>
      </c>
      <c r="M243" s="188">
        <v>54.300000000000004</v>
      </c>
      <c r="N243" s="188" t="s">
        <v>627</v>
      </c>
      <c r="O243" s="198" t="s">
        <v>593</v>
      </c>
      <c r="P243">
        <v>237</v>
      </c>
      <c r="Q243">
        <f>_xlfn.XLOOKUP(A243,'[1]Classic Net to delete'!D:D,'[1]Classic Net to delete'!AA:AA,0)</f>
        <v>301</v>
      </c>
      <c r="R243">
        <v>81</v>
      </c>
    </row>
    <row r="244" spans="1:18" x14ac:dyDescent="0.25">
      <c r="A244" t="s">
        <v>628</v>
      </c>
      <c r="B244" t="s">
        <v>629</v>
      </c>
      <c r="C244">
        <v>62.22</v>
      </c>
      <c r="D244" t="s">
        <v>541</v>
      </c>
      <c r="E244" t="str">
        <f t="shared" si="6"/>
        <v>03. Drilling</v>
      </c>
      <c r="F244">
        <v>75</v>
      </c>
      <c r="H244" t="b">
        <v>0</v>
      </c>
      <c r="I244">
        <v>302</v>
      </c>
      <c r="K244" s="192" t="s">
        <v>85</v>
      </c>
      <c r="L244" s="188">
        <f>IFERROR(_xlfn.XLOOKUP(A244,[1]Fleet!A:A,[1]Fleet!E:E,""),"")</f>
        <v>0</v>
      </c>
      <c r="M244" s="188">
        <v>58.150000000000006</v>
      </c>
      <c r="N244" s="188" t="s">
        <v>630</v>
      </c>
      <c r="O244" s="198" t="s">
        <v>593</v>
      </c>
      <c r="P244">
        <v>240</v>
      </c>
      <c r="Q244">
        <f>_xlfn.XLOOKUP(A244,'[1]Classic Net to delete'!D:D,'[1]Classic Net to delete'!AA:AA,0)</f>
        <v>302</v>
      </c>
      <c r="R244">
        <v>82</v>
      </c>
    </row>
    <row r="245" spans="1:18" x14ac:dyDescent="0.25">
      <c r="A245" t="s">
        <v>631</v>
      </c>
      <c r="B245" t="s">
        <v>632</v>
      </c>
      <c r="C245">
        <v>95.55</v>
      </c>
      <c r="D245" t="s">
        <v>541</v>
      </c>
      <c r="E245" t="str">
        <f t="shared" ref="E245:E262" si="9">CONCATENATE(K245,". ",O245)</f>
        <v>03. Drilling</v>
      </c>
      <c r="F245">
        <v>75</v>
      </c>
      <c r="H245" t="b">
        <v>1</v>
      </c>
      <c r="I245">
        <v>303</v>
      </c>
      <c r="K245" s="192" t="s">
        <v>85</v>
      </c>
      <c r="L245" s="188">
        <f>IFERROR(_xlfn.XLOOKUP(A245,[1]Fleet!A:A,[1]Fleet!E:E,""),"")</f>
        <v>27</v>
      </c>
      <c r="M245" s="188">
        <v>63.7</v>
      </c>
      <c r="N245" s="188" t="s">
        <v>633</v>
      </c>
      <c r="O245" s="198" t="s">
        <v>593</v>
      </c>
      <c r="P245">
        <v>238</v>
      </c>
      <c r="Q245">
        <f>_xlfn.XLOOKUP(A245,'[1]Classic Net to delete'!D:D,'[1]Classic Net to delete'!AA:AA,0)</f>
        <v>303</v>
      </c>
      <c r="R245">
        <v>84</v>
      </c>
    </row>
    <row r="246" spans="1:18" x14ac:dyDescent="0.25">
      <c r="A246" t="s">
        <v>634</v>
      </c>
      <c r="B246" s="188" t="s">
        <v>635</v>
      </c>
      <c r="C246">
        <v>15.84</v>
      </c>
      <c r="D246" t="s">
        <v>541</v>
      </c>
      <c r="E246" t="str">
        <f t="shared" si="9"/>
        <v>03. Drilling</v>
      </c>
      <c r="F246">
        <v>75</v>
      </c>
      <c r="H246" t="b">
        <v>1</v>
      </c>
      <c r="I246">
        <v>304</v>
      </c>
      <c r="K246" s="192" t="s">
        <v>85</v>
      </c>
      <c r="L246" s="188" t="str">
        <f>IFERROR(_xlfn.XLOOKUP(A246,[1]Fleet!A:A,[1]Fleet!E:E,""),"")</f>
        <v/>
      </c>
      <c r="M246" s="188">
        <v>14.8</v>
      </c>
      <c r="N246" s="188" t="s">
        <v>635</v>
      </c>
      <c r="O246" s="198" t="s">
        <v>593</v>
      </c>
      <c r="P246">
        <v>250</v>
      </c>
      <c r="Q246">
        <f>_xlfn.XLOOKUP(A246,'[1]Classic Net to delete'!D:D,'[1]Classic Net to delete'!AA:AA,0)</f>
        <v>304</v>
      </c>
    </row>
    <row r="247" spans="1:18" x14ac:dyDescent="0.25">
      <c r="A247" t="s">
        <v>636</v>
      </c>
      <c r="B247" t="s">
        <v>637</v>
      </c>
      <c r="C247">
        <v>41.94</v>
      </c>
      <c r="D247" t="s">
        <v>541</v>
      </c>
      <c r="E247" t="str">
        <f t="shared" si="9"/>
        <v>03. Drilling</v>
      </c>
      <c r="F247">
        <v>75</v>
      </c>
      <c r="H247" t="b">
        <v>1</v>
      </c>
      <c r="I247">
        <v>308</v>
      </c>
      <c r="K247" s="192" t="s">
        <v>85</v>
      </c>
      <c r="L247" s="188">
        <f>IFERROR(_xlfn.XLOOKUP(A247,[1]Fleet!A:A,[1]Fleet!E:E,""),"")</f>
        <v>2</v>
      </c>
      <c r="M247" s="188">
        <v>39.200000000000003</v>
      </c>
      <c r="N247" s="188" t="s">
        <v>638</v>
      </c>
      <c r="O247" s="198" t="s">
        <v>593</v>
      </c>
      <c r="P247">
        <v>260</v>
      </c>
      <c r="Q247">
        <f>_xlfn.XLOOKUP(A247,'[1]Classic Net to delete'!D:D,'[1]Classic Net to delete'!AA:AA,0)</f>
        <v>308</v>
      </c>
    </row>
    <row r="248" spans="1:18" x14ac:dyDescent="0.25">
      <c r="A248" t="s">
        <v>639</v>
      </c>
      <c r="B248" t="s">
        <v>640</v>
      </c>
      <c r="C248">
        <v>61.300000000000004</v>
      </c>
      <c r="D248" t="s">
        <v>541</v>
      </c>
      <c r="E248" t="str">
        <f t="shared" si="9"/>
        <v>03. Drilling</v>
      </c>
      <c r="F248">
        <v>75</v>
      </c>
      <c r="H248" t="b">
        <v>1</v>
      </c>
      <c r="I248">
        <v>309</v>
      </c>
      <c r="K248" s="192" t="s">
        <v>85</v>
      </c>
      <c r="L248" s="188">
        <f>IFERROR(_xlfn.XLOOKUP(A248,[1]Fleet!A:A,[1]Fleet!E:E,""),"")</f>
        <v>46</v>
      </c>
      <c r="M248" s="188">
        <v>47.150000000000006</v>
      </c>
      <c r="N248" s="188" t="s">
        <v>641</v>
      </c>
      <c r="O248" s="198" t="s">
        <v>593</v>
      </c>
      <c r="P248">
        <v>241</v>
      </c>
      <c r="Q248">
        <f>_xlfn.XLOOKUP(A248,'[1]Classic Net to delete'!D:D,'[1]Classic Net to delete'!AA:AA,0)</f>
        <v>309</v>
      </c>
      <c r="R248">
        <v>62</v>
      </c>
    </row>
    <row r="249" spans="1:18" x14ac:dyDescent="0.25">
      <c r="A249" s="186" t="s">
        <v>3971</v>
      </c>
      <c r="B249" s="200" t="s">
        <v>3972</v>
      </c>
      <c r="C249" s="186">
        <v>47.15</v>
      </c>
      <c r="D249" t="s">
        <v>541</v>
      </c>
      <c r="E249" t="str">
        <f t="shared" si="9"/>
        <v>03. Drilling</v>
      </c>
      <c r="F249">
        <v>75</v>
      </c>
      <c r="H249" t="b">
        <v>1</v>
      </c>
      <c r="I249">
        <v>309.10000000000002</v>
      </c>
      <c r="K249" s="192" t="s">
        <v>85</v>
      </c>
      <c r="O249" s="198" t="s">
        <v>593</v>
      </c>
    </row>
    <row r="250" spans="1:18" x14ac:dyDescent="0.25">
      <c r="A250" t="s">
        <v>642</v>
      </c>
      <c r="B250" t="s">
        <v>643</v>
      </c>
      <c r="C250">
        <v>0</v>
      </c>
      <c r="D250" t="s">
        <v>541</v>
      </c>
      <c r="E250" t="str">
        <f t="shared" si="9"/>
        <v>03. Drilling</v>
      </c>
      <c r="F250">
        <v>75</v>
      </c>
      <c r="H250" t="b">
        <v>0</v>
      </c>
      <c r="I250">
        <v>310</v>
      </c>
      <c r="K250" s="192" t="s">
        <v>85</v>
      </c>
      <c r="L250" s="188">
        <f>IFERROR(_xlfn.XLOOKUP(A250,[1]Fleet!A:A,[1]Fleet!E:E,""),"")</f>
        <v>4</v>
      </c>
      <c r="M250" s="188">
        <v>54.300000000000004</v>
      </c>
      <c r="N250" s="188" t="s">
        <v>644</v>
      </c>
      <c r="O250" s="198" t="s">
        <v>593</v>
      </c>
      <c r="P250">
        <v>258</v>
      </c>
      <c r="Q250">
        <f>_xlfn.XLOOKUP(A250,'[1]Classic Net to delete'!D:D,'[1]Classic Net to delete'!AA:AA,0)</f>
        <v>310</v>
      </c>
      <c r="R250">
        <v>62</v>
      </c>
    </row>
    <row r="251" spans="1:18" x14ac:dyDescent="0.25">
      <c r="A251" t="s">
        <v>645</v>
      </c>
      <c r="B251" s="188" t="s">
        <v>646</v>
      </c>
      <c r="C251">
        <v>15.84</v>
      </c>
      <c r="D251" t="s">
        <v>541</v>
      </c>
      <c r="E251" t="str">
        <f t="shared" si="9"/>
        <v>03. Drilling</v>
      </c>
      <c r="F251">
        <v>75</v>
      </c>
      <c r="H251" t="b">
        <v>1</v>
      </c>
      <c r="I251">
        <v>581</v>
      </c>
      <c r="K251" s="192" t="s">
        <v>85</v>
      </c>
      <c r="L251" s="188" t="str">
        <f>IFERROR(_xlfn.XLOOKUP(A251,[1]Fleet!A:A,[1]Fleet!E:E,""),"")</f>
        <v/>
      </c>
      <c r="M251" s="188">
        <v>9.8500000000000014</v>
      </c>
      <c r="N251" s="188" t="s">
        <v>646</v>
      </c>
      <c r="O251" s="198" t="s">
        <v>593</v>
      </c>
      <c r="P251">
        <v>248</v>
      </c>
      <c r="Q251">
        <f>_xlfn.XLOOKUP(A251,'[1]Classic Net to delete'!D:D,'[1]Classic Net to delete'!AA:AA,0)</f>
        <v>581</v>
      </c>
      <c r="R251">
        <v>32.1</v>
      </c>
    </row>
    <row r="252" spans="1:18" x14ac:dyDescent="0.25">
      <c r="A252" t="s">
        <v>645</v>
      </c>
      <c r="B252" s="188" t="s">
        <v>646</v>
      </c>
      <c r="C252">
        <v>15.84</v>
      </c>
      <c r="D252" t="s">
        <v>541</v>
      </c>
      <c r="E252" t="str">
        <f t="shared" si="9"/>
        <v>03. Drilling</v>
      </c>
      <c r="F252">
        <v>75</v>
      </c>
      <c r="H252" t="b">
        <v>0</v>
      </c>
      <c r="I252">
        <v>581</v>
      </c>
      <c r="K252" s="192" t="s">
        <v>85</v>
      </c>
      <c r="L252" s="188" t="str">
        <f>IFERROR(_xlfn.XLOOKUP(A252,[1]Fleet!A:A,[1]Fleet!E:E,""),"")</f>
        <v/>
      </c>
      <c r="M252" s="188">
        <v>9.8500000000000014</v>
      </c>
      <c r="N252" s="188" t="s">
        <v>646</v>
      </c>
      <c r="O252" s="198" t="s">
        <v>593</v>
      </c>
      <c r="P252">
        <v>249</v>
      </c>
      <c r="Q252">
        <f>_xlfn.XLOOKUP(A252,'[1]Classic Net to delete'!D:D,'[1]Classic Net to delete'!AA:AA,0)</f>
        <v>581</v>
      </c>
      <c r="R252">
        <v>31</v>
      </c>
    </row>
    <row r="253" spans="1:18" x14ac:dyDescent="0.25">
      <c r="A253" t="s">
        <v>647</v>
      </c>
      <c r="B253" t="s">
        <v>648</v>
      </c>
      <c r="C253">
        <v>52.38</v>
      </c>
      <c r="D253" t="s">
        <v>541</v>
      </c>
      <c r="E253" t="str">
        <f t="shared" si="9"/>
        <v xml:space="preserve">07. Specialty </v>
      </c>
      <c r="F253">
        <v>75</v>
      </c>
      <c r="H253" t="b">
        <v>1</v>
      </c>
      <c r="I253">
        <v>315</v>
      </c>
      <c r="K253" s="192" t="s">
        <v>40</v>
      </c>
      <c r="L253" s="188">
        <f>IFERROR(_xlfn.XLOOKUP(A253,[1]Fleet!A:A,[1]Fleet!E:E,""),"")</f>
        <v>11</v>
      </c>
      <c r="M253" s="188">
        <v>48.95</v>
      </c>
      <c r="N253" s="188" t="s">
        <v>649</v>
      </c>
      <c r="O253" s="198" t="s">
        <v>538</v>
      </c>
      <c r="P253">
        <v>262</v>
      </c>
      <c r="Q253">
        <f>_xlfn.XLOOKUP(A253,'[1]Classic Net to delete'!D:D,'[1]Classic Net to delete'!AA:AA,0)</f>
        <v>315</v>
      </c>
      <c r="R253">
        <v>21</v>
      </c>
    </row>
    <row r="254" spans="1:18" x14ac:dyDescent="0.25">
      <c r="A254" t="s">
        <v>650</v>
      </c>
      <c r="B254" t="s">
        <v>651</v>
      </c>
      <c r="C254">
        <v>107.21000000000001</v>
      </c>
      <c r="D254" t="s">
        <v>541</v>
      </c>
      <c r="E254" t="str">
        <f t="shared" si="9"/>
        <v xml:space="preserve">07. Specialty </v>
      </c>
      <c r="F254">
        <v>75</v>
      </c>
      <c r="H254" t="b">
        <v>1</v>
      </c>
      <c r="I254">
        <v>316</v>
      </c>
      <c r="K254" s="192" t="s">
        <v>40</v>
      </c>
      <c r="L254" s="188">
        <f>IFERROR(_xlfn.XLOOKUP(A254,[1]Fleet!A:A,[1]Fleet!E:E,""),"")</f>
        <v>9</v>
      </c>
      <c r="M254" s="188">
        <v>100.2</v>
      </c>
      <c r="N254" s="188" t="s">
        <v>652</v>
      </c>
      <c r="O254" s="198" t="s">
        <v>538</v>
      </c>
      <c r="P254">
        <v>272</v>
      </c>
      <c r="Q254">
        <f>_xlfn.XLOOKUP(A254,'[1]Classic Net to delete'!D:D,'[1]Classic Net to delete'!AA:AA,0)</f>
        <v>316</v>
      </c>
      <c r="R254">
        <v>40.1</v>
      </c>
    </row>
    <row r="255" spans="1:18" x14ac:dyDescent="0.25">
      <c r="A255" t="s">
        <v>653</v>
      </c>
      <c r="B255" t="s">
        <v>654</v>
      </c>
      <c r="C255">
        <v>82.02</v>
      </c>
      <c r="D255" t="s">
        <v>541</v>
      </c>
      <c r="E255" t="str">
        <f t="shared" si="9"/>
        <v xml:space="preserve">07. Specialty </v>
      </c>
      <c r="F255">
        <v>75</v>
      </c>
      <c r="H255" t="b">
        <v>1</v>
      </c>
      <c r="I255">
        <v>317</v>
      </c>
      <c r="K255" s="192" t="s">
        <v>40</v>
      </c>
      <c r="L255" s="188">
        <f>IFERROR(_xlfn.XLOOKUP(A255,[1]Fleet!A:A,[1]Fleet!E:E,""),"")</f>
        <v>6</v>
      </c>
      <c r="M255" s="188">
        <v>76.650000000000006</v>
      </c>
      <c r="N255" s="188" t="s">
        <v>655</v>
      </c>
      <c r="O255" s="198" t="s">
        <v>538</v>
      </c>
      <c r="P255">
        <v>273</v>
      </c>
      <c r="Q255">
        <f>_xlfn.XLOOKUP(A255,'[1]Classic Net to delete'!D:D,'[1]Classic Net to delete'!AA:AA,0)</f>
        <v>317</v>
      </c>
      <c r="R255">
        <v>36</v>
      </c>
    </row>
    <row r="256" spans="1:18" x14ac:dyDescent="0.25">
      <c r="A256" t="s">
        <v>656</v>
      </c>
      <c r="B256" t="s">
        <v>657</v>
      </c>
      <c r="C256">
        <v>130.80000000000001</v>
      </c>
      <c r="D256" t="s">
        <v>541</v>
      </c>
      <c r="E256" t="str">
        <f t="shared" si="9"/>
        <v xml:space="preserve">07. Specialty </v>
      </c>
      <c r="F256">
        <v>75</v>
      </c>
      <c r="H256" t="b">
        <v>1</v>
      </c>
      <c r="I256">
        <v>318</v>
      </c>
      <c r="K256" s="192" t="s">
        <v>40</v>
      </c>
      <c r="L256" s="188">
        <f>IFERROR(_xlfn.XLOOKUP(A256,[1]Fleet!A:A,[1]Fleet!E:E,""),"")</f>
        <v>12</v>
      </c>
      <c r="M256" s="188">
        <v>110.85000000000001</v>
      </c>
      <c r="N256" s="188" t="s">
        <v>658</v>
      </c>
      <c r="O256" s="198" t="s">
        <v>538</v>
      </c>
      <c r="P256">
        <v>263</v>
      </c>
      <c r="Q256">
        <f>_xlfn.XLOOKUP(A256,'[1]Classic Net to delete'!D:D,'[1]Classic Net to delete'!AA:AA,0)</f>
        <v>318</v>
      </c>
      <c r="R256">
        <v>33</v>
      </c>
    </row>
    <row r="257" spans="1:18" x14ac:dyDescent="0.25">
      <c r="A257" t="s">
        <v>659</v>
      </c>
      <c r="B257" t="s">
        <v>660</v>
      </c>
      <c r="C257">
        <v>17.71</v>
      </c>
      <c r="D257" t="s">
        <v>541</v>
      </c>
      <c r="E257" t="str">
        <f t="shared" si="9"/>
        <v xml:space="preserve">07. Specialty </v>
      </c>
      <c r="F257">
        <v>75</v>
      </c>
      <c r="H257" t="b">
        <v>1</v>
      </c>
      <c r="I257">
        <v>319</v>
      </c>
      <c r="K257" s="192" t="s">
        <v>40</v>
      </c>
      <c r="L257" s="188" t="str">
        <f>IFERROR(_xlfn.XLOOKUP(A257,[1]Fleet!A:A,[1]Fleet!E:E,""),"")</f>
        <v/>
      </c>
      <c r="M257" s="188">
        <v>16.55</v>
      </c>
      <c r="N257" s="188" t="s">
        <v>661</v>
      </c>
      <c r="O257" s="198" t="s">
        <v>538</v>
      </c>
      <c r="P257">
        <v>261</v>
      </c>
      <c r="Q257">
        <f>_xlfn.XLOOKUP(A257,'[1]Classic Net to delete'!D:D,'[1]Classic Net to delete'!AA:AA,0)</f>
        <v>319</v>
      </c>
      <c r="R257">
        <v>34</v>
      </c>
    </row>
    <row r="258" spans="1:18" x14ac:dyDescent="0.25">
      <c r="A258" t="s">
        <v>662</v>
      </c>
      <c r="B258" t="s">
        <v>663</v>
      </c>
      <c r="C258">
        <v>282.37</v>
      </c>
      <c r="D258" t="s">
        <v>541</v>
      </c>
      <c r="E258" t="str">
        <f t="shared" si="9"/>
        <v xml:space="preserve">07. Specialty </v>
      </c>
      <c r="F258">
        <v>75</v>
      </c>
      <c r="H258" t="b">
        <v>1</v>
      </c>
      <c r="I258">
        <v>321</v>
      </c>
      <c r="K258" s="192" t="s">
        <v>40</v>
      </c>
      <c r="L258" s="188">
        <f>IFERROR(_xlfn.XLOOKUP(A258,[1]Fleet!A:A,[1]Fleet!E:E,""),"")</f>
        <v>9</v>
      </c>
      <c r="M258" s="188">
        <v>263.90000000000003</v>
      </c>
      <c r="N258" s="188" t="s">
        <v>664</v>
      </c>
      <c r="O258" s="198" t="s">
        <v>538</v>
      </c>
      <c r="P258">
        <v>264</v>
      </c>
      <c r="Q258">
        <f>_xlfn.XLOOKUP(A258,'[1]Classic Net to delete'!D:D,'[1]Classic Net to delete'!AA:AA,0)</f>
        <v>321</v>
      </c>
      <c r="R258">
        <v>22</v>
      </c>
    </row>
    <row r="259" spans="1:18" x14ac:dyDescent="0.25">
      <c r="A259" t="s">
        <v>665</v>
      </c>
      <c r="B259" t="s">
        <v>666</v>
      </c>
      <c r="C259">
        <v>61.2</v>
      </c>
      <c r="D259" t="s">
        <v>541</v>
      </c>
      <c r="E259" t="str">
        <f t="shared" si="9"/>
        <v xml:space="preserve">07. Specialty </v>
      </c>
      <c r="F259">
        <v>75</v>
      </c>
      <c r="H259" t="b">
        <v>1</v>
      </c>
      <c r="I259">
        <v>322</v>
      </c>
      <c r="K259" s="192" t="s">
        <v>40</v>
      </c>
      <c r="L259" s="188">
        <f>IFERROR(_xlfn.XLOOKUP(A259,[1]Fleet!A:A,[1]Fleet!E:E,""),"")</f>
        <v>2</v>
      </c>
      <c r="M259" s="188">
        <v>57.2</v>
      </c>
      <c r="N259" s="188" t="s">
        <v>667</v>
      </c>
      <c r="O259" s="198" t="s">
        <v>538</v>
      </c>
      <c r="P259">
        <v>266</v>
      </c>
      <c r="Q259">
        <f>_xlfn.XLOOKUP(A259,'[1]Classic Net to delete'!D:D,'[1]Classic Net to delete'!AA:AA,0)</f>
        <v>322</v>
      </c>
      <c r="R259">
        <v>37</v>
      </c>
    </row>
    <row r="260" spans="1:18" x14ac:dyDescent="0.25">
      <c r="A260" t="s">
        <v>668</v>
      </c>
      <c r="B260" t="s">
        <v>669</v>
      </c>
      <c r="C260">
        <v>25.150000000000002</v>
      </c>
      <c r="D260" t="s">
        <v>541</v>
      </c>
      <c r="E260" t="str">
        <f t="shared" si="9"/>
        <v xml:space="preserve">07. Specialty </v>
      </c>
      <c r="F260">
        <v>75</v>
      </c>
      <c r="H260" t="b">
        <v>1</v>
      </c>
      <c r="I260">
        <v>323</v>
      </c>
      <c r="K260" s="192" t="s">
        <v>40</v>
      </c>
      <c r="L260" s="188">
        <f>IFERROR(_xlfn.XLOOKUP(A260,[1]Fleet!A:A,[1]Fleet!E:E,""),"")</f>
        <v>36</v>
      </c>
      <c r="M260" s="188">
        <v>23.5</v>
      </c>
      <c r="N260" s="188" t="s">
        <v>670</v>
      </c>
      <c r="O260" s="198" t="s">
        <v>538</v>
      </c>
      <c r="P260">
        <v>270</v>
      </c>
      <c r="Q260">
        <f>_xlfn.XLOOKUP(A260,'[1]Classic Net to delete'!D:D,'[1]Classic Net to delete'!AA:AA,0)</f>
        <v>323</v>
      </c>
      <c r="R260">
        <v>38</v>
      </c>
    </row>
    <row r="261" spans="1:18" x14ac:dyDescent="0.25">
      <c r="A261" t="s">
        <v>671</v>
      </c>
      <c r="B261" t="s">
        <v>672</v>
      </c>
      <c r="C261">
        <v>126.21000000000001</v>
      </c>
      <c r="D261" t="s">
        <v>541</v>
      </c>
      <c r="E261" t="str">
        <f t="shared" si="9"/>
        <v xml:space="preserve">07. Specialty </v>
      </c>
      <c r="F261">
        <v>75</v>
      </c>
      <c r="H261" t="b">
        <v>1</v>
      </c>
      <c r="I261">
        <v>326</v>
      </c>
      <c r="K261" s="192" t="s">
        <v>40</v>
      </c>
      <c r="L261" s="188">
        <f>IFERROR(_xlfn.XLOOKUP(A261,[1]Fleet!A:A,[1]Fleet!E:E,""),"")</f>
        <v>20</v>
      </c>
      <c r="M261" s="188">
        <v>117.95</v>
      </c>
      <c r="N261" s="188" t="s">
        <v>672</v>
      </c>
      <c r="O261" s="198" t="s">
        <v>538</v>
      </c>
      <c r="P261">
        <v>265</v>
      </c>
      <c r="Q261">
        <f>_xlfn.XLOOKUP(A261,'[1]Classic Net to delete'!D:D,'[1]Classic Net to delete'!AA:AA,0)</f>
        <v>326</v>
      </c>
      <c r="R261">
        <v>39</v>
      </c>
    </row>
    <row r="262" spans="1:18" x14ac:dyDescent="0.25">
      <c r="A262" t="s">
        <v>673</v>
      </c>
      <c r="B262" t="s">
        <v>674</v>
      </c>
      <c r="C262">
        <v>148.62</v>
      </c>
      <c r="D262" t="s">
        <v>541</v>
      </c>
      <c r="E262" t="str">
        <f t="shared" si="9"/>
        <v xml:space="preserve">07. Specialty </v>
      </c>
      <c r="F262">
        <v>75</v>
      </c>
      <c r="H262" t="b">
        <v>1</v>
      </c>
      <c r="I262">
        <v>327</v>
      </c>
      <c r="K262" s="192" t="s">
        <v>40</v>
      </c>
      <c r="L262" s="188">
        <f>IFERROR(_xlfn.XLOOKUP(A262,[1]Fleet!A:A,[1]Fleet!E:E,""),"")</f>
        <v>12</v>
      </c>
      <c r="M262" s="188">
        <v>138.9</v>
      </c>
      <c r="N262" s="188" t="s">
        <v>674</v>
      </c>
      <c r="O262" s="198" t="s">
        <v>538</v>
      </c>
      <c r="P262">
        <v>269</v>
      </c>
      <c r="Q262">
        <f>_xlfn.XLOOKUP(A262,'[1]Classic Net to delete'!D:D,'[1]Classic Net to delete'!AA:AA,0)</f>
        <v>327</v>
      </c>
      <c r="R262">
        <v>39.1</v>
      </c>
    </row>
    <row r="263" spans="1:18" x14ac:dyDescent="0.25">
      <c r="A263" t="s">
        <v>679</v>
      </c>
      <c r="B263" t="s">
        <v>680</v>
      </c>
      <c r="C263">
        <v>138.46</v>
      </c>
      <c r="D263" t="s">
        <v>541</v>
      </c>
      <c r="E263" t="s">
        <v>530</v>
      </c>
      <c r="F263">
        <v>75</v>
      </c>
      <c r="H263" t="b">
        <v>0</v>
      </c>
      <c r="I263">
        <v>0</v>
      </c>
      <c r="L263" s="188">
        <f>IFERROR(_xlfn.XLOOKUP(A263,[1]Fleet!A:A,[1]Fleet!E:E,""),"")</f>
        <v>0</v>
      </c>
      <c r="M263" s="188" t="s">
        <v>22</v>
      </c>
      <c r="N263" s="188" t="s">
        <v>22</v>
      </c>
      <c r="O263" s="198" t="s">
        <v>530</v>
      </c>
      <c r="P263">
        <v>255</v>
      </c>
      <c r="Q263">
        <f>_xlfn.XLOOKUP(A263,'[1]Classic Net to delete'!D:D,'[1]Classic Net to delete'!AA:AA,0)</f>
        <v>0</v>
      </c>
      <c r="R263">
        <v>23</v>
      </c>
    </row>
    <row r="264" spans="1:18" x14ac:dyDescent="0.25">
      <c r="A264" t="s">
        <v>683</v>
      </c>
      <c r="B264" t="s">
        <v>684</v>
      </c>
      <c r="C264">
        <v>0</v>
      </c>
      <c r="D264" t="s">
        <v>541</v>
      </c>
      <c r="E264" t="s">
        <v>530</v>
      </c>
      <c r="F264">
        <v>75</v>
      </c>
      <c r="H264" t="b">
        <v>0</v>
      </c>
      <c r="I264">
        <v>264</v>
      </c>
      <c r="L264" s="188">
        <f>IFERROR(_xlfn.XLOOKUP(A264,[1]Fleet!A:A,[1]Fleet!E:E,""),"")</f>
        <v>0</v>
      </c>
      <c r="M264" s="188">
        <v>48.95</v>
      </c>
      <c r="N264" s="188" t="s">
        <v>685</v>
      </c>
      <c r="O264" s="198" t="s">
        <v>530</v>
      </c>
      <c r="P264">
        <v>253</v>
      </c>
      <c r="Q264">
        <f>_xlfn.XLOOKUP(A264,'[1]Classic Net to delete'!D:D,'[1]Classic Net to delete'!AA:AA,0)</f>
        <v>264</v>
      </c>
      <c r="R264">
        <v>30</v>
      </c>
    </row>
    <row r="265" spans="1:18" x14ac:dyDescent="0.25">
      <c r="A265" t="s">
        <v>686</v>
      </c>
      <c r="B265" t="s">
        <v>687</v>
      </c>
      <c r="C265">
        <v>75.7</v>
      </c>
      <c r="D265" t="s">
        <v>541</v>
      </c>
      <c r="E265" t="s">
        <v>530</v>
      </c>
      <c r="F265">
        <v>75</v>
      </c>
      <c r="H265" t="b">
        <v>0</v>
      </c>
      <c r="I265">
        <v>270</v>
      </c>
      <c r="L265" s="188">
        <f>IFERROR(_xlfn.XLOOKUP(A265,[1]Fleet!A:A,[1]Fleet!E:E,""),"")</f>
        <v>1</v>
      </c>
      <c r="M265" s="188">
        <v>70.75</v>
      </c>
      <c r="N265" s="188" t="s">
        <v>688</v>
      </c>
      <c r="O265" s="198" t="s">
        <v>530</v>
      </c>
      <c r="P265">
        <v>254</v>
      </c>
      <c r="Q265">
        <f>_xlfn.XLOOKUP(A265,'[1]Classic Net to delete'!D:D,'[1]Classic Net to delete'!AA:AA,0)</f>
        <v>270</v>
      </c>
      <c r="R265">
        <v>35</v>
      </c>
    </row>
    <row r="266" spans="1:18" x14ac:dyDescent="0.25">
      <c r="A266" t="s">
        <v>689</v>
      </c>
      <c r="B266" t="s">
        <v>690</v>
      </c>
      <c r="C266">
        <v>232.92000000000002</v>
      </c>
      <c r="D266" t="s">
        <v>541</v>
      </c>
      <c r="E266" t="s">
        <v>530</v>
      </c>
      <c r="F266">
        <v>75</v>
      </c>
      <c r="H266" t="b">
        <v>0</v>
      </c>
      <c r="I266">
        <v>276</v>
      </c>
      <c r="L266" s="188">
        <f>IFERROR(_xlfn.XLOOKUP(A266,[1]Fleet!A:A,[1]Fleet!E:E,""),"")</f>
        <v>2</v>
      </c>
      <c r="M266" s="188">
        <v>129.4</v>
      </c>
      <c r="N266" s="188" t="s">
        <v>691</v>
      </c>
      <c r="O266" s="198" t="s">
        <v>530</v>
      </c>
      <c r="P266">
        <v>215</v>
      </c>
      <c r="Q266">
        <f>_xlfn.XLOOKUP(A266,'[1]Classic Net to delete'!D:D,'[1]Classic Net to delete'!AA:AA,0)</f>
        <v>276</v>
      </c>
      <c r="R266">
        <v>38.1</v>
      </c>
    </row>
    <row r="267" spans="1:18" x14ac:dyDescent="0.25">
      <c r="A267" t="s">
        <v>692</v>
      </c>
      <c r="B267" t="s">
        <v>693</v>
      </c>
      <c r="C267">
        <v>65.27</v>
      </c>
      <c r="D267" t="s">
        <v>541</v>
      </c>
      <c r="E267" t="s">
        <v>577</v>
      </c>
      <c r="F267">
        <v>75</v>
      </c>
      <c r="H267" t="b">
        <v>0</v>
      </c>
      <c r="I267">
        <v>0</v>
      </c>
      <c r="L267" s="188">
        <f>IFERROR(_xlfn.XLOOKUP(A267,[1]Fleet!A:A,[1]Fleet!E:E,""),"")</f>
        <v>3</v>
      </c>
      <c r="M267" s="188" t="s">
        <v>22</v>
      </c>
      <c r="N267" s="188" t="s">
        <v>22</v>
      </c>
      <c r="O267" s="198" t="s">
        <v>577</v>
      </c>
      <c r="P267">
        <v>225</v>
      </c>
      <c r="Q267">
        <f>_xlfn.XLOOKUP(A267,'[1]Classic Net to delete'!D:D,'[1]Classic Net to delete'!AA:AA,0)</f>
        <v>0</v>
      </c>
      <c r="R267">
        <v>46</v>
      </c>
    </row>
    <row r="268" spans="1:18" x14ac:dyDescent="0.25">
      <c r="A268" t="s">
        <v>694</v>
      </c>
      <c r="B268" t="s">
        <v>695</v>
      </c>
      <c r="C268">
        <v>76.7</v>
      </c>
      <c r="D268" t="s">
        <v>541</v>
      </c>
      <c r="E268" t="s">
        <v>577</v>
      </c>
      <c r="F268">
        <v>75</v>
      </c>
      <c r="H268" t="b">
        <v>0</v>
      </c>
      <c r="I268">
        <v>0</v>
      </c>
      <c r="L268" s="188">
        <f>IFERROR(_xlfn.XLOOKUP(A268,[1]Fleet!A:A,[1]Fleet!E:E,""),"")</f>
        <v>2</v>
      </c>
      <c r="M268" s="188" t="s">
        <v>22</v>
      </c>
      <c r="N268" s="188" t="s">
        <v>22</v>
      </c>
      <c r="O268" s="198" t="s">
        <v>577</v>
      </c>
      <c r="P268">
        <v>222</v>
      </c>
      <c r="Q268">
        <f>_xlfn.XLOOKUP(A268,'[1]Classic Net to delete'!D:D,'[1]Classic Net to delete'!AA:AA,0)</f>
        <v>0</v>
      </c>
      <c r="R268">
        <v>44</v>
      </c>
    </row>
    <row r="269" spans="1:18" x14ac:dyDescent="0.25">
      <c r="A269" t="s">
        <v>696</v>
      </c>
      <c r="B269" t="s">
        <v>697</v>
      </c>
      <c r="C269">
        <v>0</v>
      </c>
      <c r="D269" t="s">
        <v>541</v>
      </c>
      <c r="E269" t="s">
        <v>577</v>
      </c>
      <c r="F269">
        <v>75</v>
      </c>
      <c r="H269" t="b">
        <v>0</v>
      </c>
      <c r="I269">
        <v>0</v>
      </c>
      <c r="L269" s="188">
        <f>IFERROR(_xlfn.XLOOKUP(A269,[1]Fleet!A:A,[1]Fleet!E:E,""),"")</f>
        <v>11</v>
      </c>
      <c r="M269" s="188" t="s">
        <v>22</v>
      </c>
      <c r="N269" s="188" t="s">
        <v>22</v>
      </c>
      <c r="O269" s="198" t="s">
        <v>577</v>
      </c>
      <c r="P269">
        <v>224</v>
      </c>
      <c r="Q269">
        <f>_xlfn.XLOOKUP(A269,'[1]Classic Net to delete'!D:D,'[1]Classic Net to delete'!AA:AA,0)</f>
        <v>0</v>
      </c>
      <c r="R269">
        <v>45</v>
      </c>
    </row>
    <row r="270" spans="1:18" x14ac:dyDescent="0.25">
      <c r="A270" t="s">
        <v>698</v>
      </c>
      <c r="B270" t="s">
        <v>699</v>
      </c>
      <c r="C270">
        <v>35.68</v>
      </c>
      <c r="D270" t="s">
        <v>541</v>
      </c>
      <c r="E270" t="s">
        <v>593</v>
      </c>
      <c r="F270">
        <v>75</v>
      </c>
      <c r="H270" t="b">
        <v>0</v>
      </c>
      <c r="I270">
        <v>0</v>
      </c>
      <c r="L270" s="188">
        <f>IFERROR(_xlfn.XLOOKUP(A270,[1]Fleet!A:A,[1]Fleet!E:E,""),"")</f>
        <v>3</v>
      </c>
      <c r="M270" s="188" t="s">
        <v>22</v>
      </c>
      <c r="N270" s="188" t="s">
        <v>22</v>
      </c>
      <c r="O270" s="198" t="s">
        <v>538</v>
      </c>
      <c r="P270">
        <v>268</v>
      </c>
      <c r="Q270">
        <f>_xlfn.XLOOKUP(A270,'[1]Classic Net to delete'!D:D,'[1]Classic Net to delete'!AA:AA,0)</f>
        <v>0</v>
      </c>
      <c r="R270">
        <v>56</v>
      </c>
    </row>
    <row r="271" spans="1:18" x14ac:dyDescent="0.25">
      <c r="A271" t="s">
        <v>700</v>
      </c>
      <c r="B271" t="s">
        <v>701</v>
      </c>
      <c r="C271">
        <v>108.29</v>
      </c>
      <c r="D271" t="s">
        <v>541</v>
      </c>
      <c r="E271" t="s">
        <v>593</v>
      </c>
      <c r="F271">
        <v>75</v>
      </c>
      <c r="H271" t="b">
        <v>0</v>
      </c>
      <c r="I271">
        <v>0</v>
      </c>
      <c r="L271" s="188">
        <f>IFERROR(_xlfn.XLOOKUP(A271,[1]Fleet!A:A,[1]Fleet!E:E,""),"")</f>
        <v>14</v>
      </c>
      <c r="M271" s="188" t="s">
        <v>22</v>
      </c>
      <c r="N271" s="188" t="s">
        <v>22</v>
      </c>
      <c r="O271" s="198" t="s">
        <v>593</v>
      </c>
      <c r="P271">
        <v>235</v>
      </c>
      <c r="Q271">
        <f>_xlfn.XLOOKUP(A271,'[1]Classic Net to delete'!D:D,'[1]Classic Net to delete'!AA:AA,0)</f>
        <v>0</v>
      </c>
      <c r="R271">
        <v>53</v>
      </c>
    </row>
    <row r="272" spans="1:18" x14ac:dyDescent="0.25">
      <c r="A272" t="s">
        <v>702</v>
      </c>
      <c r="B272" t="s">
        <v>703</v>
      </c>
      <c r="C272">
        <v>47.03</v>
      </c>
      <c r="D272" t="s">
        <v>541</v>
      </c>
      <c r="E272" t="s">
        <v>593</v>
      </c>
      <c r="F272">
        <v>75</v>
      </c>
      <c r="H272" t="b">
        <v>0</v>
      </c>
      <c r="I272">
        <v>0</v>
      </c>
      <c r="L272" s="188">
        <f>IFERROR(_xlfn.XLOOKUP(A272,[1]Fleet!A:A,[1]Fleet!E:E,""),"")</f>
        <v>6</v>
      </c>
      <c r="M272" s="188" t="s">
        <v>22</v>
      </c>
      <c r="N272" s="188" t="s">
        <v>22</v>
      </c>
      <c r="O272" s="198" t="s">
        <v>593</v>
      </c>
      <c r="P272">
        <v>245</v>
      </c>
      <c r="Q272">
        <f>_xlfn.XLOOKUP(A272,'[1]Classic Net to delete'!D:D,'[1]Classic Net to delete'!AA:AA,0)</f>
        <v>0</v>
      </c>
      <c r="R272">
        <v>55</v>
      </c>
    </row>
    <row r="273" spans="1:18" x14ac:dyDescent="0.25">
      <c r="A273" t="s">
        <v>704</v>
      </c>
      <c r="B273" t="s">
        <v>705</v>
      </c>
      <c r="C273">
        <v>70.62</v>
      </c>
      <c r="D273" t="s">
        <v>541</v>
      </c>
      <c r="E273" t="s">
        <v>593</v>
      </c>
      <c r="F273">
        <v>75</v>
      </c>
      <c r="H273" t="b">
        <v>0</v>
      </c>
      <c r="I273">
        <v>0</v>
      </c>
      <c r="L273" s="188" t="str">
        <f>IFERROR(_xlfn.XLOOKUP(A273,[1]Fleet!A:A,[1]Fleet!E:E,""),"")</f>
        <v/>
      </c>
      <c r="M273" s="188" t="s">
        <v>22</v>
      </c>
      <c r="N273" s="188" t="s">
        <v>22</v>
      </c>
      <c r="O273" s="198" t="s">
        <v>593</v>
      </c>
      <c r="P273">
        <v>236</v>
      </c>
      <c r="Q273">
        <f>_xlfn.XLOOKUP(A273,'[1]Classic Net to delete'!D:D,'[1]Classic Net to delete'!AA:AA,0)</f>
        <v>0</v>
      </c>
      <c r="R273">
        <v>54</v>
      </c>
    </row>
    <row r="274" spans="1:18" x14ac:dyDescent="0.25">
      <c r="A274" t="s">
        <v>706</v>
      </c>
      <c r="B274" t="s">
        <v>707</v>
      </c>
      <c r="C274">
        <v>62.22</v>
      </c>
      <c r="D274" t="s">
        <v>541</v>
      </c>
      <c r="E274" t="s">
        <v>593</v>
      </c>
      <c r="F274">
        <v>75</v>
      </c>
      <c r="H274" t="b">
        <v>0</v>
      </c>
      <c r="I274">
        <v>0</v>
      </c>
      <c r="L274" s="188">
        <f>IFERROR(_xlfn.XLOOKUP(A274,[1]Fleet!A:A,[1]Fleet!E:E,""),"")</f>
        <v>4</v>
      </c>
      <c r="M274" s="188" t="s">
        <v>22</v>
      </c>
      <c r="N274" s="188" t="s">
        <v>22</v>
      </c>
      <c r="O274" s="198" t="s">
        <v>593</v>
      </c>
      <c r="P274">
        <v>234</v>
      </c>
      <c r="Q274">
        <f>_xlfn.XLOOKUP(A274,'[1]Classic Net to delete'!D:D,'[1]Classic Net to delete'!AA:AA,0)</f>
        <v>0</v>
      </c>
      <c r="R274">
        <v>52</v>
      </c>
    </row>
    <row r="275" spans="1:18" x14ac:dyDescent="0.25">
      <c r="A275" t="s">
        <v>708</v>
      </c>
      <c r="B275" t="s">
        <v>709</v>
      </c>
      <c r="C275">
        <v>51.15</v>
      </c>
      <c r="D275" t="s">
        <v>541</v>
      </c>
      <c r="E275" t="s">
        <v>593</v>
      </c>
      <c r="F275">
        <v>75</v>
      </c>
      <c r="H275" t="b">
        <v>0</v>
      </c>
      <c r="I275">
        <v>300</v>
      </c>
      <c r="L275" s="188">
        <f>IFERROR(_xlfn.XLOOKUP(A275,[1]Fleet!A:A,[1]Fleet!E:E,""),"")</f>
        <v>1</v>
      </c>
      <c r="M275" s="188">
        <v>47.800000000000004</v>
      </c>
      <c r="N275" s="188" t="s">
        <v>709</v>
      </c>
      <c r="O275" s="198" t="s">
        <v>538</v>
      </c>
      <c r="P275">
        <v>267</v>
      </c>
      <c r="Q275">
        <f>_xlfn.XLOOKUP(A275,'[1]Classic Net to delete'!D:D,'[1]Classic Net to delete'!AA:AA,0)</f>
        <v>300</v>
      </c>
      <c r="R275">
        <v>75</v>
      </c>
    </row>
    <row r="276" spans="1:18" x14ac:dyDescent="0.25">
      <c r="A276" t="s">
        <v>710</v>
      </c>
      <c r="B276" t="s">
        <v>711</v>
      </c>
      <c r="C276">
        <v>39.75</v>
      </c>
      <c r="D276" t="s">
        <v>541</v>
      </c>
      <c r="E276" t="s">
        <v>593</v>
      </c>
      <c r="F276">
        <v>75</v>
      </c>
      <c r="H276" t="b">
        <v>0</v>
      </c>
      <c r="I276">
        <v>307</v>
      </c>
      <c r="L276" s="188">
        <f>IFERROR(_xlfn.XLOOKUP(A276,[1]Fleet!A:A,[1]Fleet!E:E,""),"")</f>
        <v>0</v>
      </c>
      <c r="M276" s="188">
        <v>37.15</v>
      </c>
      <c r="N276" s="188" t="s">
        <v>712</v>
      </c>
      <c r="O276" s="198" t="s">
        <v>593</v>
      </c>
      <c r="P276">
        <v>256</v>
      </c>
      <c r="Q276">
        <f>_xlfn.XLOOKUP(A276,'[1]Classic Net to delete'!D:D,'[1]Classic Net to delete'!AA:AA,0)</f>
        <v>307</v>
      </c>
      <c r="R276">
        <v>83</v>
      </c>
    </row>
    <row r="277" spans="1:18" x14ac:dyDescent="0.25">
      <c r="A277" t="s">
        <v>713</v>
      </c>
      <c r="B277" t="s">
        <v>714</v>
      </c>
      <c r="C277">
        <v>15.69</v>
      </c>
      <c r="D277" t="s">
        <v>541</v>
      </c>
      <c r="E277" t="s">
        <v>715</v>
      </c>
      <c r="F277">
        <v>75</v>
      </c>
      <c r="H277" t="b">
        <v>0</v>
      </c>
      <c r="I277">
        <v>0</v>
      </c>
      <c r="L277" s="188">
        <f>IFERROR(_xlfn.XLOOKUP(A277,[1]Fleet!A:A,[1]Fleet!E:E,""),"")</f>
        <v>16</v>
      </c>
      <c r="M277" s="188" t="s">
        <v>22</v>
      </c>
      <c r="N277" s="188" t="s">
        <v>22</v>
      </c>
      <c r="O277" s="198" t="s">
        <v>715</v>
      </c>
      <c r="P277">
        <v>239</v>
      </c>
      <c r="Q277">
        <f>_xlfn.XLOOKUP(A277,'[1]Classic Net to delete'!D:D,'[1]Classic Net to delete'!AA:AA,0)</f>
        <v>0</v>
      </c>
    </row>
    <row r="278" spans="1:18" x14ac:dyDescent="0.25">
      <c r="A278" t="s">
        <v>716</v>
      </c>
      <c r="B278" t="s">
        <v>717</v>
      </c>
      <c r="C278">
        <v>15.69</v>
      </c>
      <c r="D278" t="s">
        <v>541</v>
      </c>
      <c r="E278" t="s">
        <v>715</v>
      </c>
      <c r="F278">
        <v>75</v>
      </c>
      <c r="H278" t="b">
        <v>0</v>
      </c>
      <c r="I278">
        <v>0</v>
      </c>
      <c r="L278" s="188">
        <f>IFERROR(_xlfn.XLOOKUP(A278,[1]Fleet!A:A,[1]Fleet!E:E,""),"")</f>
        <v>4</v>
      </c>
      <c r="M278" s="188" t="s">
        <v>22</v>
      </c>
      <c r="N278" s="188" t="s">
        <v>22</v>
      </c>
      <c r="O278" s="198" t="s">
        <v>715</v>
      </c>
      <c r="P278">
        <v>257</v>
      </c>
      <c r="Q278">
        <f>_xlfn.XLOOKUP(A278,'[1]Classic Net to delete'!D:D,'[1]Classic Net to delete'!AA:AA,0)</f>
        <v>0</v>
      </c>
    </row>
    <row r="279" spans="1:18" x14ac:dyDescent="0.25">
      <c r="A279" t="s">
        <v>718</v>
      </c>
      <c r="B279" t="s">
        <v>719</v>
      </c>
      <c r="C279">
        <v>15.69</v>
      </c>
      <c r="D279" t="s">
        <v>541</v>
      </c>
      <c r="E279" t="s">
        <v>715</v>
      </c>
      <c r="F279">
        <v>75</v>
      </c>
      <c r="H279" t="b">
        <v>0</v>
      </c>
      <c r="I279">
        <v>0</v>
      </c>
      <c r="L279" s="188">
        <f>IFERROR(_xlfn.XLOOKUP(A279,[1]Fleet!A:A,[1]Fleet!E:E,""),"")</f>
        <v>2</v>
      </c>
      <c r="M279" s="188" t="s">
        <v>22</v>
      </c>
      <c r="N279" s="188" t="s">
        <v>22</v>
      </c>
      <c r="O279" s="198" t="s">
        <v>715</v>
      </c>
      <c r="P279">
        <v>216</v>
      </c>
      <c r="Q279">
        <f>_xlfn.XLOOKUP(A279,'[1]Classic Net to delete'!D:D,'[1]Classic Net to delete'!AA:AA,0)</f>
        <v>0</v>
      </c>
    </row>
    <row r="280" spans="1:18" x14ac:dyDescent="0.25">
      <c r="A280" t="s">
        <v>720</v>
      </c>
      <c r="B280" t="s">
        <v>721</v>
      </c>
      <c r="C280">
        <v>0</v>
      </c>
      <c r="D280" t="s">
        <v>541</v>
      </c>
      <c r="E280" t="s">
        <v>722</v>
      </c>
      <c r="F280">
        <v>75</v>
      </c>
      <c r="H280" t="b">
        <v>0</v>
      </c>
      <c r="I280">
        <v>0</v>
      </c>
      <c r="L280" s="188" t="str">
        <f>IFERROR(_xlfn.XLOOKUP(A280,[1]Fleet!A:A,[1]Fleet!E:E,""),"")</f>
        <v/>
      </c>
      <c r="M280" s="188" t="s">
        <v>22</v>
      </c>
      <c r="N280" s="188" t="s">
        <v>22</v>
      </c>
      <c r="O280" s="198" t="s">
        <v>722</v>
      </c>
      <c r="P280">
        <v>252</v>
      </c>
      <c r="Q280">
        <f>_xlfn.XLOOKUP(A280,'[1]Classic Net to delete'!D:D,'[1]Classic Net to delete'!AA:AA,0)</f>
        <v>0</v>
      </c>
      <c r="R280">
        <v>62</v>
      </c>
    </row>
    <row r="281" spans="1:18" x14ac:dyDescent="0.25">
      <c r="A281" t="s">
        <v>723</v>
      </c>
      <c r="B281" t="s">
        <v>724</v>
      </c>
      <c r="C281">
        <v>282.37</v>
      </c>
      <c r="D281" t="s">
        <v>541</v>
      </c>
      <c r="E281" t="s">
        <v>725</v>
      </c>
      <c r="F281">
        <v>75</v>
      </c>
      <c r="H281" t="b">
        <v>0</v>
      </c>
      <c r="I281">
        <v>0</v>
      </c>
      <c r="L281" s="188">
        <f>IFERROR(_xlfn.XLOOKUP(A281,[1]Fleet!A:A,[1]Fleet!E:E,""),"")</f>
        <v>7</v>
      </c>
      <c r="M281" s="188" t="s">
        <v>22</v>
      </c>
      <c r="N281" s="188" t="s">
        <v>22</v>
      </c>
      <c r="O281" s="198" t="s">
        <v>538</v>
      </c>
      <c r="P281">
        <v>271</v>
      </c>
      <c r="Q281">
        <f>_xlfn.XLOOKUP(A281,'[1]Classic Net to delete'!D:D,'[1]Classic Net to delete'!AA:AA,0)</f>
        <v>0</v>
      </c>
      <c r="R281">
        <v>32</v>
      </c>
    </row>
    <row r="282" spans="1:18" x14ac:dyDescent="0.25">
      <c r="A282" t="s">
        <v>726</v>
      </c>
      <c r="B282" t="s">
        <v>727</v>
      </c>
      <c r="C282">
        <v>107.21000000000001</v>
      </c>
      <c r="D282" t="s">
        <v>541</v>
      </c>
      <c r="E282" t="s">
        <v>725</v>
      </c>
      <c r="F282">
        <v>75</v>
      </c>
      <c r="H282" t="b">
        <v>0</v>
      </c>
      <c r="I282">
        <v>0</v>
      </c>
      <c r="L282" s="188">
        <f>IFERROR(_xlfn.XLOOKUP(A282,[1]Fleet!A:A,[1]Fleet!E:E,""),"")</f>
        <v>3</v>
      </c>
      <c r="M282" s="188" t="s">
        <v>22</v>
      </c>
      <c r="N282" s="188" t="s">
        <v>22</v>
      </c>
      <c r="O282" s="198" t="s">
        <v>538</v>
      </c>
      <c r="P282">
        <v>275</v>
      </c>
      <c r="Q282">
        <f>_xlfn.XLOOKUP(A282,'[1]Classic Net to delete'!D:D,'[1]Classic Net to delete'!AA:AA,0)</f>
        <v>0</v>
      </c>
      <c r="R282">
        <v>20</v>
      </c>
    </row>
    <row r="283" spans="1:18" x14ac:dyDescent="0.25">
      <c r="A283" t="s">
        <v>728</v>
      </c>
      <c r="B283" t="s">
        <v>729</v>
      </c>
      <c r="C283">
        <v>82.12</v>
      </c>
      <c r="D283" t="s">
        <v>541</v>
      </c>
      <c r="E283" t="s">
        <v>725</v>
      </c>
      <c r="F283">
        <v>75</v>
      </c>
      <c r="H283" t="b">
        <v>0</v>
      </c>
      <c r="I283">
        <v>0</v>
      </c>
      <c r="L283" s="188">
        <f>IFERROR(_xlfn.XLOOKUP(A283,[1]Fleet!A:A,[1]Fleet!E:E,""),"")</f>
        <v>3</v>
      </c>
      <c r="M283" s="188" t="s">
        <v>22</v>
      </c>
      <c r="N283" s="188" t="s">
        <v>22</v>
      </c>
      <c r="O283" s="198" t="s">
        <v>538</v>
      </c>
      <c r="P283">
        <v>276</v>
      </c>
      <c r="Q283">
        <f>_xlfn.XLOOKUP(A283,'[1]Classic Net to delete'!D:D,'[1]Classic Net to delete'!AA:AA,0)</f>
        <v>0</v>
      </c>
      <c r="R283">
        <v>40.200000000000003</v>
      </c>
    </row>
    <row r="284" spans="1:18" x14ac:dyDescent="0.25">
      <c r="A284" t="s">
        <v>730</v>
      </c>
      <c r="B284" t="s">
        <v>731</v>
      </c>
      <c r="C284">
        <v>214</v>
      </c>
      <c r="D284" t="s">
        <v>541</v>
      </c>
      <c r="E284" t="s">
        <v>725</v>
      </c>
      <c r="F284">
        <v>75</v>
      </c>
      <c r="H284" t="b">
        <v>0</v>
      </c>
      <c r="I284">
        <v>0</v>
      </c>
      <c r="L284" s="188">
        <f>IFERROR(_xlfn.XLOOKUP(A284,[1]Fleet!A:A,[1]Fleet!E:E,""),"")</f>
        <v>1</v>
      </c>
      <c r="M284" s="188" t="s">
        <v>22</v>
      </c>
      <c r="N284" s="188" t="s">
        <v>22</v>
      </c>
      <c r="O284" s="198" t="s">
        <v>538</v>
      </c>
      <c r="P284">
        <v>277</v>
      </c>
      <c r="Q284">
        <f>_xlfn.XLOOKUP(A284,'[1]Classic Net to delete'!D:D,'[1]Classic Net to delete'!AA:AA,0)</f>
        <v>0</v>
      </c>
    </row>
    <row r="285" spans="1:18" x14ac:dyDescent="0.25">
      <c r="A285" t="s">
        <v>732</v>
      </c>
      <c r="B285" t="s">
        <v>733</v>
      </c>
      <c r="C285">
        <v>107</v>
      </c>
      <c r="D285" t="s">
        <v>541</v>
      </c>
      <c r="E285" t="s">
        <v>725</v>
      </c>
      <c r="F285">
        <v>75</v>
      </c>
      <c r="H285" t="b">
        <v>0</v>
      </c>
      <c r="I285">
        <v>0</v>
      </c>
      <c r="L285" s="188">
        <f>IFERROR(_xlfn.XLOOKUP(A285,[1]Fleet!A:A,[1]Fleet!E:E,""),"")</f>
        <v>1</v>
      </c>
      <c r="M285" s="188" t="s">
        <v>22</v>
      </c>
      <c r="N285" s="188" t="s">
        <v>22</v>
      </c>
      <c r="O285" s="198" t="s">
        <v>538</v>
      </c>
      <c r="P285">
        <v>278</v>
      </c>
      <c r="Q285">
        <f>_xlfn.XLOOKUP(A285,'[1]Classic Net to delete'!D:D,'[1]Classic Net to delete'!AA:AA,0)</f>
        <v>0</v>
      </c>
      <c r="R285">
        <v>75.099999999999994</v>
      </c>
    </row>
    <row r="286" spans="1:18" x14ac:dyDescent="0.25">
      <c r="A286" t="s">
        <v>734</v>
      </c>
      <c r="B286" t="s">
        <v>735</v>
      </c>
      <c r="C286">
        <v>202.23000000000002</v>
      </c>
      <c r="D286" t="s">
        <v>541</v>
      </c>
      <c r="E286" t="s">
        <v>725</v>
      </c>
      <c r="F286">
        <v>75</v>
      </c>
      <c r="H286" t="b">
        <v>0</v>
      </c>
      <c r="I286">
        <v>0</v>
      </c>
      <c r="L286" s="188">
        <f>IFERROR(_xlfn.XLOOKUP(A286,[1]Fleet!A:A,[1]Fleet!E:E,""),"")</f>
        <v>4</v>
      </c>
      <c r="M286" s="188" t="s">
        <v>22</v>
      </c>
      <c r="N286" s="188" t="s">
        <v>22</v>
      </c>
      <c r="O286" s="198" t="s">
        <v>538</v>
      </c>
      <c r="P286">
        <v>274</v>
      </c>
      <c r="Q286">
        <f>_xlfn.XLOOKUP(A286,'[1]Classic Net to delete'!D:D,'[1]Classic Net to delete'!AA:AA,0)</f>
        <v>0</v>
      </c>
      <c r="R286">
        <v>35</v>
      </c>
    </row>
    <row r="287" spans="1:18" x14ac:dyDescent="0.25">
      <c r="A287" t="s">
        <v>736</v>
      </c>
      <c r="B287" t="s">
        <v>737</v>
      </c>
      <c r="C287">
        <v>28.36</v>
      </c>
      <c r="D287" t="s">
        <v>738</v>
      </c>
      <c r="E287" t="str">
        <f t="shared" ref="E287:E313" si="10">CONCATENATE(K287,". ",O287)</f>
        <v>01. Vacuums &amp; Dust Extractors</v>
      </c>
      <c r="F287">
        <v>75</v>
      </c>
      <c r="H287" t="b">
        <v>1</v>
      </c>
      <c r="I287">
        <v>332</v>
      </c>
      <c r="K287" s="192" t="s">
        <v>21</v>
      </c>
      <c r="L287" s="188">
        <f>IFERROR(_xlfn.XLOOKUP(A287,[1]Fleet!A:A,[1]Fleet!E:E,""),"")</f>
        <v>24</v>
      </c>
      <c r="M287" s="188">
        <v>26.5</v>
      </c>
      <c r="N287" s="188" t="s">
        <v>739</v>
      </c>
      <c r="O287" s="198" t="s">
        <v>740</v>
      </c>
      <c r="P287">
        <v>298</v>
      </c>
      <c r="Q287">
        <f>_xlfn.XLOOKUP(A287,'[1]Classic Net to delete'!D:D,'[1]Classic Net to delete'!AA:AA,0)</f>
        <v>332</v>
      </c>
    </row>
    <row r="288" spans="1:18" x14ac:dyDescent="0.25">
      <c r="A288" t="s">
        <v>741</v>
      </c>
      <c r="B288" t="s">
        <v>742</v>
      </c>
      <c r="C288">
        <v>69.39</v>
      </c>
      <c r="D288" t="s">
        <v>738</v>
      </c>
      <c r="E288" t="str">
        <f t="shared" si="10"/>
        <v>01. Vacuums &amp; Dust Extractors</v>
      </c>
      <c r="F288">
        <v>75</v>
      </c>
      <c r="H288" t="b">
        <v>1</v>
      </c>
      <c r="I288">
        <v>333</v>
      </c>
      <c r="K288" s="192" t="s">
        <v>21</v>
      </c>
      <c r="L288" s="188">
        <f>IFERROR(_xlfn.XLOOKUP(A288,[1]Fleet!A:A,[1]Fleet!E:E,""),"")</f>
        <v>27</v>
      </c>
      <c r="M288" s="188">
        <v>64.850000000000009</v>
      </c>
      <c r="N288" s="188" t="s">
        <v>743</v>
      </c>
      <c r="O288" s="198" t="s">
        <v>740</v>
      </c>
      <c r="P288">
        <v>299</v>
      </c>
      <c r="Q288">
        <f>_xlfn.XLOOKUP(A288,'[1]Classic Net to delete'!D:D,'[1]Classic Net to delete'!AA:AA,0)</f>
        <v>333</v>
      </c>
      <c r="R288">
        <v>12</v>
      </c>
    </row>
    <row r="289" spans="1:18" x14ac:dyDescent="0.25">
      <c r="A289" t="s">
        <v>744</v>
      </c>
      <c r="B289" t="s">
        <v>745</v>
      </c>
      <c r="C289">
        <v>69.39</v>
      </c>
      <c r="D289" t="s">
        <v>738</v>
      </c>
      <c r="E289" t="str">
        <f t="shared" si="10"/>
        <v>01. Vacuums &amp; Dust Extractors</v>
      </c>
      <c r="F289">
        <v>75</v>
      </c>
      <c r="H289" t="b">
        <v>1</v>
      </c>
      <c r="I289">
        <v>334</v>
      </c>
      <c r="K289" s="192" t="s">
        <v>21</v>
      </c>
      <c r="L289" s="188">
        <f>IFERROR(_xlfn.XLOOKUP(A289,[1]Fleet!A:A,[1]Fleet!E:E,""),"")</f>
        <v>101</v>
      </c>
      <c r="M289" s="188">
        <v>64.850000000000009</v>
      </c>
      <c r="N289" s="188" t="s">
        <v>746</v>
      </c>
      <c r="O289" s="198" t="s">
        <v>740</v>
      </c>
      <c r="P289">
        <v>300</v>
      </c>
      <c r="Q289">
        <f>_xlfn.XLOOKUP(A289,'[1]Classic Net to delete'!D:D,'[1]Classic Net to delete'!AA:AA,0)</f>
        <v>334</v>
      </c>
      <c r="R289">
        <v>13</v>
      </c>
    </row>
    <row r="290" spans="1:18" x14ac:dyDescent="0.25">
      <c r="A290" t="s">
        <v>747</v>
      </c>
      <c r="B290" t="s">
        <v>748</v>
      </c>
      <c r="C290">
        <v>113.10000000000001</v>
      </c>
      <c r="D290" t="s">
        <v>738</v>
      </c>
      <c r="E290" t="str">
        <f t="shared" si="10"/>
        <v>01. Vacuums &amp; Dust Extractors</v>
      </c>
      <c r="F290">
        <v>75</v>
      </c>
      <c r="H290" t="b">
        <v>1</v>
      </c>
      <c r="I290">
        <v>335</v>
      </c>
      <c r="K290" s="192" t="s">
        <v>21</v>
      </c>
      <c r="L290" s="188">
        <f>IFERROR(_xlfn.XLOOKUP(A290,[1]Fleet!A:A,[1]Fleet!E:E,""),"")</f>
        <v>2</v>
      </c>
      <c r="M290" s="188">
        <v>105.7</v>
      </c>
      <c r="N290" s="188" t="s">
        <v>749</v>
      </c>
      <c r="O290" s="198" t="s">
        <v>740</v>
      </c>
      <c r="P290">
        <v>302</v>
      </c>
      <c r="Q290">
        <f>_xlfn.XLOOKUP(A290,'[1]Classic Net to delete'!D:D,'[1]Classic Net to delete'!AA:AA,0)</f>
        <v>335</v>
      </c>
      <c r="R290">
        <v>13.1</v>
      </c>
    </row>
    <row r="291" spans="1:18" x14ac:dyDescent="0.25">
      <c r="A291" t="s">
        <v>750</v>
      </c>
      <c r="B291" t="s">
        <v>751</v>
      </c>
      <c r="C291">
        <v>85.12</v>
      </c>
      <c r="D291" t="s">
        <v>738</v>
      </c>
      <c r="E291" t="str">
        <f t="shared" si="10"/>
        <v>01. Vacuums &amp; Dust Extractors</v>
      </c>
      <c r="F291">
        <v>75</v>
      </c>
      <c r="H291" t="b">
        <v>1</v>
      </c>
      <c r="I291">
        <v>339</v>
      </c>
      <c r="K291" s="192" t="s">
        <v>21</v>
      </c>
      <c r="L291" s="188">
        <f>IFERROR(_xlfn.XLOOKUP(A291,[1]Fleet!A:A,[1]Fleet!E:E,""),"")</f>
        <v>29</v>
      </c>
      <c r="M291" s="188">
        <v>79.550000000000011</v>
      </c>
      <c r="N291" s="188" t="s">
        <v>752</v>
      </c>
      <c r="O291" s="198" t="s">
        <v>740</v>
      </c>
      <c r="P291">
        <v>310</v>
      </c>
      <c r="Q291">
        <f>_xlfn.XLOOKUP(A291,'[1]Classic Net to delete'!D:D,'[1]Classic Net to delete'!AA:AA,0)</f>
        <v>339</v>
      </c>
      <c r="R291">
        <v>14</v>
      </c>
    </row>
    <row r="292" spans="1:18" x14ac:dyDescent="0.25">
      <c r="A292" t="s">
        <v>753</v>
      </c>
      <c r="B292" t="s">
        <v>754</v>
      </c>
      <c r="C292">
        <v>128.72</v>
      </c>
      <c r="D292" t="s">
        <v>738</v>
      </c>
      <c r="E292" t="str">
        <f t="shared" si="10"/>
        <v>01. Vacuums &amp; Dust Extractors</v>
      </c>
      <c r="F292">
        <v>75</v>
      </c>
      <c r="H292" t="b">
        <v>1</v>
      </c>
      <c r="I292">
        <v>340</v>
      </c>
      <c r="K292" s="192" t="s">
        <v>21</v>
      </c>
      <c r="L292" s="188">
        <f>IFERROR(_xlfn.XLOOKUP(A292,[1]Fleet!A:A,[1]Fleet!E:E,""),"")</f>
        <v>11</v>
      </c>
      <c r="M292" s="188">
        <v>120.30000000000001</v>
      </c>
      <c r="N292" s="188" t="s">
        <v>754</v>
      </c>
      <c r="O292" s="198" t="s">
        <v>740</v>
      </c>
      <c r="P292">
        <v>311</v>
      </c>
      <c r="Q292">
        <f>_xlfn.XLOOKUP(A292,'[1]Classic Net to delete'!D:D,'[1]Classic Net to delete'!AA:AA,0)</f>
        <v>340</v>
      </c>
      <c r="R292">
        <v>15</v>
      </c>
    </row>
    <row r="293" spans="1:18" x14ac:dyDescent="0.25">
      <c r="A293" t="s">
        <v>755</v>
      </c>
      <c r="B293" t="s">
        <v>756</v>
      </c>
      <c r="C293">
        <v>91.81</v>
      </c>
      <c r="D293" t="s">
        <v>738</v>
      </c>
      <c r="E293" t="str">
        <f t="shared" si="10"/>
        <v>01. Vacuums &amp; Dust Extractors</v>
      </c>
      <c r="F293">
        <v>75</v>
      </c>
      <c r="H293" t="b">
        <v>1</v>
      </c>
      <c r="I293">
        <v>341</v>
      </c>
      <c r="K293" s="192" t="s">
        <v>21</v>
      </c>
      <c r="L293" s="188">
        <f>IFERROR(_xlfn.XLOOKUP(A293,[1]Fleet!A:A,[1]Fleet!E:E,""),"")</f>
        <v>56</v>
      </c>
      <c r="M293" s="188">
        <v>85.800000000000011</v>
      </c>
      <c r="N293" s="188" t="s">
        <v>757</v>
      </c>
      <c r="O293" s="198" t="s">
        <v>740</v>
      </c>
      <c r="P293">
        <v>309</v>
      </c>
      <c r="Q293">
        <f>_xlfn.XLOOKUP(A293,'[1]Classic Net to delete'!D:D,'[1]Classic Net to delete'!AA:AA,0)</f>
        <v>341</v>
      </c>
      <c r="R293">
        <v>15.1</v>
      </c>
    </row>
    <row r="294" spans="1:18" x14ac:dyDescent="0.25">
      <c r="A294" t="s">
        <v>758</v>
      </c>
      <c r="B294" t="s">
        <v>759</v>
      </c>
      <c r="C294">
        <v>117.59</v>
      </c>
      <c r="D294" t="s">
        <v>738</v>
      </c>
      <c r="E294" t="str">
        <f t="shared" si="10"/>
        <v>01. Vacuums &amp; Dust Extractors</v>
      </c>
      <c r="F294">
        <v>75</v>
      </c>
      <c r="H294" t="b">
        <v>1</v>
      </c>
      <c r="I294">
        <v>342</v>
      </c>
      <c r="K294" s="192" t="s">
        <v>21</v>
      </c>
      <c r="L294" s="188">
        <f>IFERROR(_xlfn.XLOOKUP(A294,[1]Fleet!A:A,[1]Fleet!E:E,""),"")</f>
        <v>91</v>
      </c>
      <c r="M294" s="188">
        <v>99.65</v>
      </c>
      <c r="N294" s="188" t="s">
        <v>760</v>
      </c>
      <c r="O294" s="198" t="s">
        <v>740</v>
      </c>
      <c r="P294">
        <v>306</v>
      </c>
      <c r="Q294">
        <f>_xlfn.XLOOKUP(A294,'[1]Classic Net to delete'!D:D,'[1]Classic Net to delete'!AA:AA,0)</f>
        <v>342</v>
      </c>
      <c r="R294">
        <v>16</v>
      </c>
    </row>
    <row r="295" spans="1:18" x14ac:dyDescent="0.25">
      <c r="A295" t="s">
        <v>761</v>
      </c>
      <c r="B295" t="s">
        <v>762</v>
      </c>
      <c r="C295">
        <v>65.97</v>
      </c>
      <c r="D295" t="s">
        <v>738</v>
      </c>
      <c r="E295" t="str">
        <f t="shared" si="10"/>
        <v>02. Air Cleaners</v>
      </c>
      <c r="F295">
        <v>75</v>
      </c>
      <c r="H295" t="b">
        <v>1</v>
      </c>
      <c r="I295">
        <v>343</v>
      </c>
      <c r="K295" s="192" t="s">
        <v>54</v>
      </c>
      <c r="L295" s="188">
        <f>IFERROR(_xlfn.XLOOKUP(A295,[1]Fleet!A:A,[1]Fleet!E:E,""),"")</f>
        <v>39</v>
      </c>
      <c r="M295" s="188">
        <v>61.650000000000006</v>
      </c>
      <c r="N295" s="188" t="s">
        <v>763</v>
      </c>
      <c r="O295" s="198" t="s">
        <v>764</v>
      </c>
      <c r="P295">
        <v>312</v>
      </c>
      <c r="Q295">
        <f>_xlfn.XLOOKUP(A295,'[1]Classic Net to delete'!D:D,'[1]Classic Net to delete'!AA:AA,0)</f>
        <v>343</v>
      </c>
      <c r="R295">
        <v>20</v>
      </c>
    </row>
    <row r="296" spans="1:18" x14ac:dyDescent="0.25">
      <c r="A296" t="s">
        <v>765</v>
      </c>
      <c r="B296" t="s">
        <v>766</v>
      </c>
      <c r="C296">
        <v>100.95</v>
      </c>
      <c r="D296" t="s">
        <v>738</v>
      </c>
      <c r="E296" t="str">
        <f t="shared" si="10"/>
        <v>02. Air Cleaners</v>
      </c>
      <c r="F296">
        <v>75</v>
      </c>
      <c r="H296" t="b">
        <v>1</v>
      </c>
      <c r="I296">
        <v>344</v>
      </c>
      <c r="K296" s="192" t="s">
        <v>54</v>
      </c>
      <c r="L296" s="188">
        <f>IFERROR(_xlfn.XLOOKUP(A296,[1]Fleet!A:A,[1]Fleet!E:E,""),"")</f>
        <v>47</v>
      </c>
      <c r="M296" s="188">
        <v>94.350000000000009</v>
      </c>
      <c r="N296" s="188" t="s">
        <v>766</v>
      </c>
      <c r="O296" s="198" t="s">
        <v>764</v>
      </c>
      <c r="P296">
        <v>313</v>
      </c>
      <c r="Q296">
        <f>_xlfn.XLOOKUP(A296,'[1]Classic Net to delete'!D:D,'[1]Classic Net to delete'!AA:AA,0)</f>
        <v>344</v>
      </c>
      <c r="R296">
        <v>21</v>
      </c>
    </row>
    <row r="297" spans="1:18" x14ac:dyDescent="0.25">
      <c r="A297" t="s">
        <v>767</v>
      </c>
      <c r="B297" t="s">
        <v>768</v>
      </c>
      <c r="C297">
        <v>143.27000000000001</v>
      </c>
      <c r="D297" t="s">
        <v>738</v>
      </c>
      <c r="E297" t="str">
        <f t="shared" si="10"/>
        <v>02. Air Cleaners</v>
      </c>
      <c r="F297">
        <v>75</v>
      </c>
      <c r="H297" t="b">
        <v>1</v>
      </c>
      <c r="I297">
        <v>345</v>
      </c>
      <c r="K297" s="192" t="s">
        <v>54</v>
      </c>
      <c r="L297" s="188">
        <f>IFERROR(_xlfn.XLOOKUP(A297,[1]Fleet!A:A,[1]Fleet!E:E,""),"")</f>
        <v>3</v>
      </c>
      <c r="M297" s="188">
        <v>133.9</v>
      </c>
      <c r="N297" s="188" t="s">
        <v>768</v>
      </c>
      <c r="O297" s="198" t="s">
        <v>764</v>
      </c>
      <c r="P297">
        <v>314</v>
      </c>
      <c r="Q297">
        <f>_xlfn.XLOOKUP(A297,'[1]Classic Net to delete'!D:D,'[1]Classic Net to delete'!AA:AA,0)</f>
        <v>345</v>
      </c>
      <c r="R297">
        <v>21</v>
      </c>
    </row>
    <row r="298" spans="1:18" x14ac:dyDescent="0.25">
      <c r="A298" t="s">
        <v>769</v>
      </c>
      <c r="B298" t="s">
        <v>770</v>
      </c>
      <c r="C298">
        <v>137.22999999999999</v>
      </c>
      <c r="D298" t="s">
        <v>738</v>
      </c>
      <c r="E298" t="str">
        <f t="shared" si="10"/>
        <v>02. Air Cleaners</v>
      </c>
      <c r="F298">
        <v>75</v>
      </c>
      <c r="H298" t="b">
        <v>1</v>
      </c>
      <c r="I298">
        <v>348</v>
      </c>
      <c r="K298" s="192" t="s">
        <v>54</v>
      </c>
      <c r="L298" s="188">
        <f>IFERROR(_xlfn.XLOOKUP(A298,[1]Fleet!A:A,[1]Fleet!E:E,""),"")</f>
        <v>27</v>
      </c>
      <c r="M298" s="188">
        <v>128.25</v>
      </c>
      <c r="N298" s="188" t="s">
        <v>770</v>
      </c>
      <c r="O298" s="198" t="s">
        <v>764</v>
      </c>
      <c r="P298">
        <v>315</v>
      </c>
      <c r="Q298">
        <f>_xlfn.XLOOKUP(A298,'[1]Classic Net to delete'!D:D,'[1]Classic Net to delete'!AA:AA,0)</f>
        <v>348</v>
      </c>
      <c r="R298">
        <v>23</v>
      </c>
    </row>
    <row r="299" spans="1:18" x14ac:dyDescent="0.25">
      <c r="A299" t="s">
        <v>771</v>
      </c>
      <c r="B299" t="s">
        <v>772</v>
      </c>
      <c r="C299">
        <v>17.07</v>
      </c>
      <c r="D299" t="s">
        <v>738</v>
      </c>
      <c r="E299" t="str">
        <f t="shared" si="10"/>
        <v>02. Air Cleaners</v>
      </c>
      <c r="F299">
        <v>75</v>
      </c>
      <c r="H299" t="b">
        <v>1</v>
      </c>
      <c r="I299">
        <v>349</v>
      </c>
      <c r="K299" s="192" t="s">
        <v>54</v>
      </c>
      <c r="L299" s="188" t="str">
        <f>IFERROR(_xlfn.XLOOKUP(A299,[1]Fleet!A:A,[1]Fleet!E:E,""),"")</f>
        <v/>
      </c>
      <c r="M299" s="188">
        <v>15.950000000000001</v>
      </c>
      <c r="N299" s="188" t="s">
        <v>773</v>
      </c>
      <c r="O299" s="198" t="s">
        <v>764</v>
      </c>
      <c r="P299">
        <v>316</v>
      </c>
      <c r="Q299">
        <f>_xlfn.XLOOKUP(A299,'[1]Classic Net to delete'!D:D,'[1]Classic Net to delete'!AA:AA,0)</f>
        <v>349</v>
      </c>
      <c r="R299">
        <v>24</v>
      </c>
    </row>
    <row r="300" spans="1:18" x14ac:dyDescent="0.25">
      <c r="A300" t="s">
        <v>774</v>
      </c>
      <c r="B300" t="s">
        <v>775</v>
      </c>
      <c r="C300">
        <v>238.18</v>
      </c>
      <c r="D300" t="s">
        <v>738</v>
      </c>
      <c r="E300" t="str">
        <f t="shared" si="10"/>
        <v>03. Pressure Washers</v>
      </c>
      <c r="F300">
        <v>75</v>
      </c>
      <c r="H300" t="b">
        <v>1</v>
      </c>
      <c r="I300">
        <v>359</v>
      </c>
      <c r="K300" s="192" t="s">
        <v>85</v>
      </c>
      <c r="L300" s="188">
        <f>IFERROR(_xlfn.XLOOKUP(A300,[1]Fleet!A:A,[1]Fleet!E:E,""),"")</f>
        <v>5</v>
      </c>
      <c r="M300" s="188">
        <v>222.60000000000002</v>
      </c>
      <c r="N300" s="188" t="s">
        <v>776</v>
      </c>
      <c r="O300" s="198" t="s">
        <v>777</v>
      </c>
      <c r="P300">
        <v>289</v>
      </c>
      <c r="Q300">
        <f>_xlfn.XLOOKUP(A300,'[1]Classic Net to delete'!D:D,'[1]Classic Net to delete'!AA:AA,0)</f>
        <v>359</v>
      </c>
      <c r="R300">
        <v>25</v>
      </c>
    </row>
    <row r="301" spans="1:18" x14ac:dyDescent="0.25">
      <c r="A301" t="s">
        <v>778</v>
      </c>
      <c r="B301" t="s">
        <v>779</v>
      </c>
      <c r="C301">
        <v>94.64</v>
      </c>
      <c r="D301" t="s">
        <v>738</v>
      </c>
      <c r="E301" t="str">
        <f t="shared" si="10"/>
        <v>03. Pressure Washers</v>
      </c>
      <c r="F301">
        <v>75</v>
      </c>
      <c r="H301" t="b">
        <v>1</v>
      </c>
      <c r="I301">
        <v>360</v>
      </c>
      <c r="K301" s="192" t="s">
        <v>85</v>
      </c>
      <c r="L301" s="188">
        <f>IFERROR(_xlfn.XLOOKUP(A301,[1]Fleet!A:A,[1]Fleet!E:E,""),"")</f>
        <v>2</v>
      </c>
      <c r="M301" s="188">
        <v>88.45</v>
      </c>
      <c r="N301" s="188" t="s">
        <v>780</v>
      </c>
      <c r="O301" s="198" t="s">
        <v>777</v>
      </c>
      <c r="P301">
        <v>295</v>
      </c>
      <c r="Q301">
        <f>_xlfn.XLOOKUP(A301,'[1]Classic Net to delete'!D:D,'[1]Classic Net to delete'!AA:AA,0)</f>
        <v>360</v>
      </c>
      <c r="R301">
        <v>15</v>
      </c>
    </row>
    <row r="302" spans="1:18" x14ac:dyDescent="0.25">
      <c r="A302" t="s">
        <v>781</v>
      </c>
      <c r="B302" t="s">
        <v>782</v>
      </c>
      <c r="C302">
        <v>116.10000000000001</v>
      </c>
      <c r="D302" t="s">
        <v>738</v>
      </c>
      <c r="E302" t="str">
        <f t="shared" si="10"/>
        <v>03. Pressure Washers</v>
      </c>
      <c r="F302">
        <v>75</v>
      </c>
      <c r="H302" t="b">
        <v>1</v>
      </c>
      <c r="I302">
        <v>361</v>
      </c>
      <c r="K302" s="192" t="s">
        <v>85</v>
      </c>
      <c r="L302" s="188">
        <f>IFERROR(_xlfn.XLOOKUP(A302,[1]Fleet!A:A,[1]Fleet!E:E,""),"")</f>
        <v>14</v>
      </c>
      <c r="M302" s="188">
        <v>108.5</v>
      </c>
      <c r="N302" s="188" t="s">
        <v>782</v>
      </c>
      <c r="O302" s="198" t="s">
        <v>777</v>
      </c>
      <c r="P302">
        <v>282</v>
      </c>
      <c r="Q302">
        <f>_xlfn.XLOOKUP(A302,'[1]Classic Net to delete'!D:D,'[1]Classic Net to delete'!AA:AA,0)</f>
        <v>361</v>
      </c>
      <c r="R302">
        <v>16</v>
      </c>
    </row>
    <row r="303" spans="1:18" x14ac:dyDescent="0.25">
      <c r="A303" t="s">
        <v>783</v>
      </c>
      <c r="B303" t="s">
        <v>784</v>
      </c>
      <c r="C303">
        <v>144.5</v>
      </c>
      <c r="D303" t="s">
        <v>738</v>
      </c>
      <c r="E303" t="str">
        <f t="shared" si="10"/>
        <v>03. Pressure Washers</v>
      </c>
      <c r="F303">
        <v>75</v>
      </c>
      <c r="H303" t="b">
        <v>1</v>
      </c>
      <c r="I303">
        <v>362</v>
      </c>
      <c r="K303" s="192" t="s">
        <v>85</v>
      </c>
      <c r="L303" s="188">
        <f>IFERROR(_xlfn.XLOOKUP(A303,[1]Fleet!A:A,[1]Fleet!E:E,""),"")</f>
        <v>9</v>
      </c>
      <c r="M303" s="188">
        <v>135.05000000000001</v>
      </c>
      <c r="N303" s="188" t="s">
        <v>785</v>
      </c>
      <c r="O303" s="198" t="s">
        <v>777</v>
      </c>
      <c r="P303">
        <v>283</v>
      </c>
      <c r="Q303">
        <f>_xlfn.XLOOKUP(A303,'[1]Classic Net to delete'!D:D,'[1]Classic Net to delete'!AA:AA,0)</f>
        <v>362</v>
      </c>
      <c r="R303">
        <v>17</v>
      </c>
    </row>
    <row r="304" spans="1:18" x14ac:dyDescent="0.25">
      <c r="A304" t="s">
        <v>786</v>
      </c>
      <c r="B304" t="s">
        <v>787</v>
      </c>
      <c r="C304">
        <v>239.04</v>
      </c>
      <c r="D304" t="s">
        <v>738</v>
      </c>
      <c r="E304" t="str">
        <f t="shared" si="10"/>
        <v>03. Pressure Washers</v>
      </c>
      <c r="F304">
        <v>75</v>
      </c>
      <c r="H304" t="b">
        <v>1</v>
      </c>
      <c r="I304">
        <v>363</v>
      </c>
      <c r="K304" s="192" t="s">
        <v>85</v>
      </c>
      <c r="L304" s="188">
        <f>IFERROR(_xlfn.XLOOKUP(A304,[1]Fleet!A:A,[1]Fleet!E:E,""),"")</f>
        <v>17</v>
      </c>
      <c r="M304" s="188">
        <v>223.4</v>
      </c>
      <c r="N304" s="188" t="s">
        <v>788</v>
      </c>
      <c r="O304" s="198" t="s">
        <v>777</v>
      </c>
      <c r="P304">
        <v>285</v>
      </c>
      <c r="Q304">
        <f>_xlfn.XLOOKUP(A304,'[1]Classic Net to delete'!D:D,'[1]Classic Net to delete'!AA:AA,0)</f>
        <v>363</v>
      </c>
      <c r="R304">
        <v>18</v>
      </c>
    </row>
    <row r="305" spans="1:18" x14ac:dyDescent="0.25">
      <c r="A305" t="s">
        <v>789</v>
      </c>
      <c r="B305" t="s">
        <v>790</v>
      </c>
      <c r="C305">
        <v>208.17000000000002</v>
      </c>
      <c r="D305" t="s">
        <v>738</v>
      </c>
      <c r="E305" t="str">
        <f t="shared" si="10"/>
        <v>03. Pressure Washers</v>
      </c>
      <c r="F305">
        <v>75</v>
      </c>
      <c r="H305" t="b">
        <v>1</v>
      </c>
      <c r="I305">
        <v>364</v>
      </c>
      <c r="K305" s="192" t="s">
        <v>85</v>
      </c>
      <c r="L305" s="188">
        <f>IFERROR(_xlfn.XLOOKUP(A305,[1]Fleet!A:A,[1]Fleet!E:E,""),"")</f>
        <v>13</v>
      </c>
      <c r="M305" s="188">
        <v>194.55</v>
      </c>
      <c r="N305" s="188" t="s">
        <v>790</v>
      </c>
      <c r="O305" s="198" t="s">
        <v>777</v>
      </c>
      <c r="P305">
        <v>284</v>
      </c>
      <c r="Q305">
        <f>_xlfn.XLOOKUP(A305,'[1]Classic Net to delete'!D:D,'[1]Classic Net to delete'!AA:AA,0)</f>
        <v>364</v>
      </c>
      <c r="R305">
        <v>19</v>
      </c>
    </row>
    <row r="306" spans="1:18" x14ac:dyDescent="0.25">
      <c r="A306" t="s">
        <v>791</v>
      </c>
      <c r="B306" t="s">
        <v>792</v>
      </c>
      <c r="C306">
        <v>206.83</v>
      </c>
      <c r="D306" t="s">
        <v>738</v>
      </c>
      <c r="E306" t="str">
        <f t="shared" si="10"/>
        <v>03. Pressure Washers</v>
      </c>
      <c r="F306">
        <v>75</v>
      </c>
      <c r="H306" t="b">
        <v>1</v>
      </c>
      <c r="I306">
        <v>365</v>
      </c>
      <c r="K306" s="192" t="s">
        <v>85</v>
      </c>
      <c r="L306" s="188">
        <f>IFERROR(_xlfn.XLOOKUP(A306,[1]Fleet!A:A,[1]Fleet!E:E,""),"")</f>
        <v>47</v>
      </c>
      <c r="M306" s="188">
        <v>193.3</v>
      </c>
      <c r="N306" s="188" t="s">
        <v>792</v>
      </c>
      <c r="O306" s="198" t="s">
        <v>777</v>
      </c>
      <c r="P306">
        <v>286</v>
      </c>
      <c r="Q306">
        <f>_xlfn.XLOOKUP(A306,'[1]Classic Net to delete'!D:D,'[1]Classic Net to delete'!AA:AA,0)</f>
        <v>365</v>
      </c>
      <c r="R306">
        <v>20</v>
      </c>
    </row>
    <row r="307" spans="1:18" x14ac:dyDescent="0.25">
      <c r="A307" t="s">
        <v>793</v>
      </c>
      <c r="B307" t="s">
        <v>794</v>
      </c>
      <c r="C307">
        <v>387.5</v>
      </c>
      <c r="D307" t="s">
        <v>738</v>
      </c>
      <c r="E307" t="str">
        <f t="shared" si="10"/>
        <v>03. Pressure Washers</v>
      </c>
      <c r="F307">
        <v>75</v>
      </c>
      <c r="H307" t="b">
        <v>1</v>
      </c>
      <c r="I307">
        <v>366</v>
      </c>
      <c r="K307" s="192" t="s">
        <v>85</v>
      </c>
      <c r="L307" s="188">
        <f>IFERROR(_xlfn.XLOOKUP(A307,[1]Fleet!A:A,[1]Fleet!E:E,""),"")</f>
        <v>26</v>
      </c>
      <c r="M307" s="188">
        <v>362.15000000000003</v>
      </c>
      <c r="N307" s="188" t="s">
        <v>794</v>
      </c>
      <c r="O307" s="198" t="s">
        <v>777</v>
      </c>
      <c r="P307">
        <v>288</v>
      </c>
      <c r="Q307">
        <f>_xlfn.XLOOKUP(A307,'[1]Classic Net to delete'!D:D,'[1]Classic Net to delete'!AA:AA,0)</f>
        <v>366</v>
      </c>
      <c r="R307">
        <v>21</v>
      </c>
    </row>
    <row r="308" spans="1:18" x14ac:dyDescent="0.25">
      <c r="A308" t="s">
        <v>795</v>
      </c>
      <c r="B308" t="s">
        <v>796</v>
      </c>
      <c r="C308">
        <v>337.53000000000003</v>
      </c>
      <c r="D308" t="s">
        <v>738</v>
      </c>
      <c r="E308" t="str">
        <f t="shared" si="10"/>
        <v>03. Pressure Washers</v>
      </c>
      <c r="F308">
        <v>75</v>
      </c>
      <c r="H308" t="b">
        <v>1</v>
      </c>
      <c r="I308">
        <v>367</v>
      </c>
      <c r="K308" s="192" t="s">
        <v>85</v>
      </c>
      <c r="L308" s="188">
        <f>IFERROR(_xlfn.XLOOKUP(A308,[1]Fleet!A:A,[1]Fleet!E:E,""),"")</f>
        <v>19</v>
      </c>
      <c r="M308" s="188">
        <v>315.45000000000005</v>
      </c>
      <c r="N308" s="188" t="s">
        <v>796</v>
      </c>
      <c r="O308" s="198" t="s">
        <v>777</v>
      </c>
      <c r="P308">
        <v>287</v>
      </c>
      <c r="Q308">
        <f>_xlfn.XLOOKUP(A308,'[1]Classic Net to delete'!D:D,'[1]Classic Net to delete'!AA:AA,0)</f>
        <v>367</v>
      </c>
      <c r="R308">
        <v>22</v>
      </c>
    </row>
    <row r="309" spans="1:18" x14ac:dyDescent="0.25">
      <c r="A309" t="s">
        <v>797</v>
      </c>
      <c r="B309" t="s">
        <v>798</v>
      </c>
      <c r="C309">
        <v>282.63</v>
      </c>
      <c r="D309" t="s">
        <v>738</v>
      </c>
      <c r="E309" t="str">
        <f t="shared" si="10"/>
        <v>03. Pressure Washers</v>
      </c>
      <c r="F309">
        <v>75</v>
      </c>
      <c r="H309" t="b">
        <v>1</v>
      </c>
      <c r="I309">
        <v>367.1</v>
      </c>
      <c r="K309" s="192" t="s">
        <v>85</v>
      </c>
      <c r="L309" s="188">
        <f>IFERROR(_xlfn.XLOOKUP(A309,[1]Fleet!A:A,[1]Fleet!E:E,""),"")</f>
        <v>14</v>
      </c>
      <c r="M309" s="188" t="s">
        <v>22</v>
      </c>
      <c r="N309" s="188" t="s">
        <v>22</v>
      </c>
      <c r="O309" s="198" t="s">
        <v>777</v>
      </c>
      <c r="P309">
        <v>290</v>
      </c>
      <c r="Q309">
        <f>_xlfn.XLOOKUP(A309,'[1]Classic Net to delete'!D:D,'[1]Classic Net to delete'!AA:AA,0)</f>
        <v>0</v>
      </c>
      <c r="R309">
        <v>30</v>
      </c>
    </row>
    <row r="310" spans="1:18" x14ac:dyDescent="0.25">
      <c r="A310" t="s">
        <v>799</v>
      </c>
      <c r="B310" t="s">
        <v>800</v>
      </c>
      <c r="C310">
        <v>87.74</v>
      </c>
      <c r="D310" t="s">
        <v>738</v>
      </c>
      <c r="E310" t="str">
        <f t="shared" si="10"/>
        <v>03. Pressure Washers</v>
      </c>
      <c r="F310">
        <v>75</v>
      </c>
      <c r="H310" t="b">
        <v>1</v>
      </c>
      <c r="I310">
        <v>368</v>
      </c>
      <c r="K310" s="192" t="s">
        <v>85</v>
      </c>
      <c r="L310" s="188">
        <f>IFERROR(_xlfn.XLOOKUP(A310,[1]Fleet!A:A,[1]Fleet!E:E,""),"")</f>
        <v>29</v>
      </c>
      <c r="M310" s="188">
        <v>82</v>
      </c>
      <c r="N310" s="188" t="s">
        <v>801</v>
      </c>
      <c r="O310" s="198" t="s">
        <v>777</v>
      </c>
      <c r="P310">
        <v>297</v>
      </c>
      <c r="Q310">
        <f>_xlfn.XLOOKUP(A310,'[1]Classic Net to delete'!D:D,'[1]Classic Net to delete'!AA:AA,0)</f>
        <v>368</v>
      </c>
      <c r="R310">
        <v>31</v>
      </c>
    </row>
    <row r="311" spans="1:18" x14ac:dyDescent="0.25">
      <c r="A311" t="s">
        <v>802</v>
      </c>
      <c r="B311" t="s">
        <v>803</v>
      </c>
      <c r="C311">
        <v>12.950000000000001</v>
      </c>
      <c r="D311" t="s">
        <v>738</v>
      </c>
      <c r="E311" t="str">
        <f t="shared" si="10"/>
        <v>03. Pressure Washers</v>
      </c>
      <c r="F311">
        <v>75</v>
      </c>
      <c r="H311" t="b">
        <v>1</v>
      </c>
      <c r="I311">
        <v>369</v>
      </c>
      <c r="K311" s="192" t="s">
        <v>85</v>
      </c>
      <c r="L311" s="188" t="str">
        <f>IFERROR(_xlfn.XLOOKUP(A311,[1]Fleet!A:A,[1]Fleet!E:E,""),"")</f>
        <v/>
      </c>
      <c r="M311" s="188">
        <v>12.100000000000001</v>
      </c>
      <c r="N311" s="188" t="s">
        <v>804</v>
      </c>
      <c r="O311" s="198" t="s">
        <v>777</v>
      </c>
      <c r="P311">
        <v>294</v>
      </c>
      <c r="Q311">
        <f>_xlfn.XLOOKUP(A311,'[1]Classic Net to delete'!D:D,'[1]Classic Net to delete'!AA:AA,0)</f>
        <v>369</v>
      </c>
      <c r="R311">
        <v>32</v>
      </c>
    </row>
    <row r="312" spans="1:18" x14ac:dyDescent="0.25">
      <c r="A312" t="s">
        <v>805</v>
      </c>
      <c r="B312" t="s">
        <v>806</v>
      </c>
      <c r="C312">
        <v>79.180000000000007</v>
      </c>
      <c r="D312" t="s">
        <v>738</v>
      </c>
      <c r="E312" t="str">
        <f t="shared" si="10"/>
        <v>04. Floor Care</v>
      </c>
      <c r="F312">
        <v>75</v>
      </c>
      <c r="H312" t="b">
        <v>1</v>
      </c>
      <c r="I312">
        <v>353</v>
      </c>
      <c r="K312" s="192" t="s">
        <v>89</v>
      </c>
      <c r="L312" s="188">
        <f>IFERROR(_xlfn.XLOOKUP(A312,[1]Fleet!A:A,[1]Fleet!E:E,""),"")</f>
        <v>8</v>
      </c>
      <c r="M312" s="188">
        <v>74</v>
      </c>
      <c r="N312" s="188" t="s">
        <v>806</v>
      </c>
      <c r="O312" s="198" t="s">
        <v>807</v>
      </c>
      <c r="P312">
        <v>291</v>
      </c>
      <c r="Q312">
        <f>_xlfn.XLOOKUP(A312,'[1]Classic Net to delete'!D:D,'[1]Classic Net to delete'!AA:AA,0)</f>
        <v>353</v>
      </c>
      <c r="R312">
        <v>33</v>
      </c>
    </row>
    <row r="313" spans="1:18" x14ac:dyDescent="0.25">
      <c r="A313" t="s">
        <v>808</v>
      </c>
      <c r="B313" t="s">
        <v>809</v>
      </c>
      <c r="C313">
        <v>56.76</v>
      </c>
      <c r="D313" t="s">
        <v>738</v>
      </c>
      <c r="E313" t="str">
        <f t="shared" si="10"/>
        <v>04. Floor Care</v>
      </c>
      <c r="F313">
        <v>75</v>
      </c>
      <c r="H313" t="b">
        <v>1</v>
      </c>
      <c r="I313">
        <v>354</v>
      </c>
      <c r="K313" s="192" t="s">
        <v>89</v>
      </c>
      <c r="L313" s="188">
        <f>IFERROR(_xlfn.XLOOKUP(A313,[1]Fleet!A:A,[1]Fleet!E:E,""),"")</f>
        <v>5</v>
      </c>
      <c r="M313" s="188">
        <v>53.050000000000004</v>
      </c>
      <c r="N313" s="188" t="s">
        <v>809</v>
      </c>
      <c r="O313" s="198" t="s">
        <v>807</v>
      </c>
      <c r="P313">
        <v>292</v>
      </c>
      <c r="Q313">
        <f>_xlfn.XLOOKUP(A313,'[1]Classic Net to delete'!D:D,'[1]Classic Net to delete'!AA:AA,0)</f>
        <v>354</v>
      </c>
      <c r="R313">
        <v>33.1</v>
      </c>
    </row>
    <row r="314" spans="1:18" x14ac:dyDescent="0.25">
      <c r="A314" t="s">
        <v>810</v>
      </c>
      <c r="B314" t="s">
        <v>811</v>
      </c>
      <c r="C314">
        <v>53.5</v>
      </c>
      <c r="D314" t="s">
        <v>738</v>
      </c>
      <c r="E314" t="s">
        <v>812</v>
      </c>
      <c r="F314">
        <v>75</v>
      </c>
      <c r="H314" t="b">
        <v>0</v>
      </c>
      <c r="I314">
        <v>0</v>
      </c>
      <c r="L314" s="188">
        <f>IFERROR(_xlfn.XLOOKUP(A314,[1]Fleet!A:A,[1]Fleet!E:E,""),"")</f>
        <v>2</v>
      </c>
      <c r="M314" s="188" t="s">
        <v>22</v>
      </c>
      <c r="N314" s="188" t="s">
        <v>22</v>
      </c>
      <c r="O314" s="198" t="s">
        <v>813</v>
      </c>
      <c r="P314">
        <v>293</v>
      </c>
      <c r="Q314">
        <f>_xlfn.XLOOKUP(A314,'[1]Classic Net to delete'!D:D,'[1]Classic Net to delete'!AA:AA,0)</f>
        <v>0</v>
      </c>
      <c r="R314">
        <v>10</v>
      </c>
    </row>
    <row r="315" spans="1:18" x14ac:dyDescent="0.25">
      <c r="A315" t="s">
        <v>814</v>
      </c>
      <c r="B315" t="s">
        <v>815</v>
      </c>
      <c r="C315">
        <v>138.19</v>
      </c>
      <c r="D315" t="s">
        <v>738</v>
      </c>
      <c r="E315" t="s">
        <v>812</v>
      </c>
      <c r="F315">
        <v>75</v>
      </c>
      <c r="H315" t="b">
        <v>0</v>
      </c>
      <c r="I315">
        <v>0</v>
      </c>
      <c r="L315" s="188">
        <f>IFERROR(_xlfn.XLOOKUP(A315,[1]Fleet!A:A,[1]Fleet!E:E,""),"")</f>
        <v>18</v>
      </c>
      <c r="M315" s="188" t="s">
        <v>22</v>
      </c>
      <c r="N315" s="188" t="s">
        <v>22</v>
      </c>
      <c r="O315" s="198" t="s">
        <v>777</v>
      </c>
      <c r="P315">
        <v>281</v>
      </c>
      <c r="Q315">
        <f>_xlfn.XLOOKUP(A315,'[1]Classic Net to delete'!D:D,'[1]Classic Net to delete'!AA:AA,0)</f>
        <v>0</v>
      </c>
    </row>
    <row r="316" spans="1:18" x14ac:dyDescent="0.25">
      <c r="A316" t="s">
        <v>816</v>
      </c>
      <c r="B316" t="s">
        <v>817</v>
      </c>
      <c r="C316">
        <v>87.74</v>
      </c>
      <c r="D316" t="s">
        <v>738</v>
      </c>
      <c r="E316" t="s">
        <v>812</v>
      </c>
      <c r="F316">
        <v>75</v>
      </c>
      <c r="H316" t="b">
        <v>0</v>
      </c>
      <c r="I316">
        <v>0</v>
      </c>
      <c r="L316" s="188">
        <f>IFERROR(_xlfn.XLOOKUP(A316,[1]Fleet!A:A,[1]Fleet!E:E,""),"")</f>
        <v>1</v>
      </c>
      <c r="M316" s="188" t="s">
        <v>22</v>
      </c>
      <c r="N316" s="188" t="s">
        <v>22</v>
      </c>
      <c r="O316" s="198" t="s">
        <v>722</v>
      </c>
      <c r="P316">
        <v>296</v>
      </c>
      <c r="Q316">
        <f>_xlfn.XLOOKUP(A316,'[1]Classic Net to delete'!D:D,'[1]Classic Net to delete'!AA:AA,0)</f>
        <v>0</v>
      </c>
      <c r="R316">
        <v>11</v>
      </c>
    </row>
    <row r="317" spans="1:18" x14ac:dyDescent="0.25">
      <c r="A317" t="s">
        <v>818</v>
      </c>
      <c r="B317" t="s">
        <v>819</v>
      </c>
      <c r="C317">
        <v>28.36</v>
      </c>
      <c r="D317" t="s">
        <v>738</v>
      </c>
      <c r="E317" t="s">
        <v>820</v>
      </c>
      <c r="F317">
        <v>75</v>
      </c>
      <c r="H317" t="b">
        <v>0</v>
      </c>
      <c r="I317">
        <v>0</v>
      </c>
      <c r="L317" s="188">
        <f>IFERROR(_xlfn.XLOOKUP(A317,[1]Fleet!A:A,[1]Fleet!E:E,""),"")</f>
        <v>27</v>
      </c>
      <c r="M317" s="188" t="s">
        <v>22</v>
      </c>
      <c r="N317" s="188" t="s">
        <v>22</v>
      </c>
      <c r="O317" s="198" t="s">
        <v>821</v>
      </c>
      <c r="P317">
        <v>317</v>
      </c>
      <c r="Q317">
        <f>_xlfn.XLOOKUP(A317,'[1]Classic Net to delete'!D:D,'[1]Classic Net to delete'!AA:AA,0)</f>
        <v>0</v>
      </c>
      <c r="R317">
        <v>14</v>
      </c>
    </row>
    <row r="318" spans="1:18" x14ac:dyDescent="0.25">
      <c r="A318" t="s">
        <v>822</v>
      </c>
      <c r="B318" t="s">
        <v>823</v>
      </c>
      <c r="C318">
        <v>69.39</v>
      </c>
      <c r="D318" t="s">
        <v>738</v>
      </c>
      <c r="E318" t="s">
        <v>820</v>
      </c>
      <c r="F318">
        <v>75</v>
      </c>
      <c r="H318" t="b">
        <v>0</v>
      </c>
      <c r="I318">
        <v>0</v>
      </c>
      <c r="L318" s="188">
        <f>IFERROR(_xlfn.XLOOKUP(A318,[1]Fleet!A:A,[1]Fleet!E:E,""),"")</f>
        <v>13</v>
      </c>
      <c r="M318" s="188" t="s">
        <v>22</v>
      </c>
      <c r="N318" s="188" t="s">
        <v>22</v>
      </c>
      <c r="O318" s="198" t="s">
        <v>821</v>
      </c>
      <c r="P318">
        <v>318</v>
      </c>
      <c r="Q318">
        <f>_xlfn.XLOOKUP(A318,'[1]Classic Net to delete'!D:D,'[1]Classic Net to delete'!AA:AA,0)</f>
        <v>0</v>
      </c>
      <c r="R318">
        <v>14.1</v>
      </c>
    </row>
    <row r="319" spans="1:18" x14ac:dyDescent="0.25">
      <c r="A319" t="s">
        <v>824</v>
      </c>
      <c r="B319" t="s">
        <v>825</v>
      </c>
      <c r="C319">
        <v>89.29</v>
      </c>
      <c r="D319" t="s">
        <v>738</v>
      </c>
      <c r="E319" t="s">
        <v>820</v>
      </c>
      <c r="F319">
        <v>75</v>
      </c>
      <c r="H319" t="b">
        <v>0</v>
      </c>
      <c r="I319">
        <v>0</v>
      </c>
      <c r="L319" s="188">
        <f>IFERROR(_xlfn.XLOOKUP(A319,[1]Fleet!A:A,[1]Fleet!E:E,""),"")</f>
        <v>30</v>
      </c>
      <c r="M319" s="188" t="s">
        <v>22</v>
      </c>
      <c r="N319" s="188" t="s">
        <v>22</v>
      </c>
      <c r="O319" s="198" t="s">
        <v>821</v>
      </c>
      <c r="P319">
        <v>301</v>
      </c>
      <c r="Q319">
        <f>_xlfn.XLOOKUP(A319,'[1]Classic Net to delete'!D:D,'[1]Classic Net to delete'!AA:AA,0)</f>
        <v>0</v>
      </c>
      <c r="R319">
        <v>26</v>
      </c>
    </row>
    <row r="320" spans="1:18" x14ac:dyDescent="0.25">
      <c r="A320" t="s">
        <v>826</v>
      </c>
      <c r="B320" t="s">
        <v>827</v>
      </c>
      <c r="C320">
        <v>117.59</v>
      </c>
      <c r="D320" t="s">
        <v>738</v>
      </c>
      <c r="E320" t="s">
        <v>820</v>
      </c>
      <c r="F320">
        <v>75</v>
      </c>
      <c r="H320" t="b">
        <v>0</v>
      </c>
      <c r="I320">
        <v>0</v>
      </c>
      <c r="L320" s="188">
        <f>IFERROR(_xlfn.XLOOKUP(A320,[1]Fleet!A:A,[1]Fleet!E:E,""),"")</f>
        <v>26</v>
      </c>
      <c r="M320" s="188" t="s">
        <v>22</v>
      </c>
      <c r="N320" s="188" t="s">
        <v>22</v>
      </c>
      <c r="O320" s="198" t="s">
        <v>821</v>
      </c>
      <c r="P320">
        <v>305</v>
      </c>
      <c r="Q320">
        <f>_xlfn.XLOOKUP(A320,'[1]Classic Net to delete'!D:D,'[1]Classic Net to delete'!AA:AA,0)</f>
        <v>0</v>
      </c>
      <c r="R320">
        <v>11</v>
      </c>
    </row>
    <row r="321" spans="1:18" x14ac:dyDescent="0.25">
      <c r="A321" t="s">
        <v>828</v>
      </c>
      <c r="B321" t="s">
        <v>829</v>
      </c>
      <c r="C321">
        <v>117.59</v>
      </c>
      <c r="D321" t="s">
        <v>738</v>
      </c>
      <c r="E321" t="s">
        <v>820</v>
      </c>
      <c r="F321">
        <v>75</v>
      </c>
      <c r="H321" t="b">
        <v>0</v>
      </c>
      <c r="I321">
        <v>0</v>
      </c>
      <c r="L321" s="188">
        <f>IFERROR(_xlfn.XLOOKUP(A321,[1]Fleet!A:A,[1]Fleet!E:E,""),"")</f>
        <v>10</v>
      </c>
      <c r="M321" s="188" t="s">
        <v>22</v>
      </c>
      <c r="N321" s="188" t="s">
        <v>22</v>
      </c>
      <c r="O321" s="198" t="s">
        <v>821</v>
      </c>
      <c r="P321">
        <v>304</v>
      </c>
      <c r="Q321">
        <f>_xlfn.XLOOKUP(A321,'[1]Classic Net to delete'!D:D,'[1]Classic Net to delete'!AA:AA,0)</f>
        <v>0</v>
      </c>
      <c r="R321">
        <v>10</v>
      </c>
    </row>
    <row r="322" spans="1:18" x14ac:dyDescent="0.25">
      <c r="A322" t="s">
        <v>830</v>
      </c>
      <c r="B322" t="s">
        <v>759</v>
      </c>
      <c r="C322">
        <v>117.59</v>
      </c>
      <c r="D322" t="s">
        <v>738</v>
      </c>
      <c r="E322" t="s">
        <v>820</v>
      </c>
      <c r="F322">
        <v>75</v>
      </c>
      <c r="H322" t="b">
        <v>0</v>
      </c>
      <c r="I322">
        <v>0</v>
      </c>
      <c r="L322" s="188">
        <f>IFERROR(_xlfn.XLOOKUP(A322,[1]Fleet!A:A,[1]Fleet!E:E,""),"")</f>
        <v>4</v>
      </c>
      <c r="M322" s="188" t="s">
        <v>22</v>
      </c>
      <c r="N322" s="188" t="s">
        <v>22</v>
      </c>
      <c r="O322" s="198" t="s">
        <v>821</v>
      </c>
      <c r="P322">
        <v>307</v>
      </c>
      <c r="Q322">
        <f>_xlfn.XLOOKUP(A322,'[1]Classic Net to delete'!D:D,'[1]Classic Net to delete'!AA:AA,0)</f>
        <v>0</v>
      </c>
      <c r="R322">
        <v>12</v>
      </c>
    </row>
    <row r="323" spans="1:18" x14ac:dyDescent="0.25">
      <c r="A323" t="s">
        <v>830</v>
      </c>
      <c r="B323" t="s">
        <v>831</v>
      </c>
      <c r="C323">
        <v>117.59</v>
      </c>
      <c r="D323" t="s">
        <v>738</v>
      </c>
      <c r="E323" t="s">
        <v>820</v>
      </c>
      <c r="F323">
        <v>75</v>
      </c>
      <c r="H323" t="b">
        <v>0</v>
      </c>
      <c r="I323">
        <v>0</v>
      </c>
      <c r="L323" s="188">
        <f>IFERROR(_xlfn.XLOOKUP(A323,[1]Fleet!A:A,[1]Fleet!E:E,""),"")</f>
        <v>4</v>
      </c>
      <c r="M323" s="188" t="s">
        <v>22</v>
      </c>
      <c r="N323" s="188" t="s">
        <v>22</v>
      </c>
      <c r="O323" s="198" t="s">
        <v>821</v>
      </c>
      <c r="P323">
        <v>308</v>
      </c>
      <c r="Q323">
        <f>_xlfn.XLOOKUP(A323,'[1]Classic Net to delete'!D:D,'[1]Classic Net to delete'!AA:AA,0)</f>
        <v>0</v>
      </c>
      <c r="R323">
        <v>13</v>
      </c>
    </row>
    <row r="324" spans="1:18" x14ac:dyDescent="0.25">
      <c r="A324" t="s">
        <v>832</v>
      </c>
      <c r="B324" t="s">
        <v>749</v>
      </c>
      <c r="C324">
        <v>113.10000000000001</v>
      </c>
      <c r="D324" t="s">
        <v>738</v>
      </c>
      <c r="E324" t="s">
        <v>820</v>
      </c>
      <c r="F324">
        <v>75</v>
      </c>
      <c r="H324" t="b">
        <v>0</v>
      </c>
      <c r="I324">
        <v>0</v>
      </c>
      <c r="L324" s="188">
        <f>IFERROR(_xlfn.XLOOKUP(A324,[1]Fleet!A:A,[1]Fleet!E:E,""),"")</f>
        <v>4</v>
      </c>
      <c r="M324" s="188" t="s">
        <v>22</v>
      </c>
      <c r="N324" s="188" t="s">
        <v>22</v>
      </c>
      <c r="O324" s="198" t="s">
        <v>821</v>
      </c>
      <c r="P324">
        <v>303</v>
      </c>
      <c r="Q324">
        <f>_xlfn.XLOOKUP(A324,'[1]Classic Net to delete'!D:D,'[1]Classic Net to delete'!AA:AA,0)</f>
        <v>0</v>
      </c>
      <c r="R324">
        <v>27</v>
      </c>
    </row>
    <row r="325" spans="1:18" x14ac:dyDescent="0.25">
      <c r="A325" t="s">
        <v>833</v>
      </c>
      <c r="B325" t="s">
        <v>834</v>
      </c>
      <c r="C325">
        <v>63.77</v>
      </c>
      <c r="D325" t="s">
        <v>835</v>
      </c>
      <c r="E325" t="str">
        <f t="shared" ref="E325:E388" si="11">CONCATENATE(K325,". ",O325)</f>
        <v>. Compactors</v>
      </c>
      <c r="F325">
        <v>75</v>
      </c>
      <c r="H325" t="b">
        <v>0</v>
      </c>
      <c r="I325">
        <v>0</v>
      </c>
      <c r="L325" s="188">
        <f>IFERROR(_xlfn.XLOOKUP(A325,[1]Fleet!A:A,[1]Fleet!E:E,""),"")</f>
        <v>2</v>
      </c>
      <c r="M325" s="188" t="s">
        <v>22</v>
      </c>
      <c r="N325" s="188" t="s">
        <v>22</v>
      </c>
      <c r="O325" s="198" t="s">
        <v>836</v>
      </c>
      <c r="P325">
        <v>323</v>
      </c>
      <c r="Q325">
        <f>_xlfn.XLOOKUP(A325,'[1]Classic Net to delete'!D:D,'[1]Classic Net to delete'!AA:AA,0)</f>
        <v>0</v>
      </c>
    </row>
    <row r="326" spans="1:18" x14ac:dyDescent="0.25">
      <c r="A326" t="s">
        <v>837</v>
      </c>
      <c r="B326" t="s">
        <v>838</v>
      </c>
      <c r="C326">
        <v>214</v>
      </c>
      <c r="D326" t="s">
        <v>835</v>
      </c>
      <c r="E326" t="str">
        <f t="shared" si="11"/>
        <v>. Compactors</v>
      </c>
      <c r="F326">
        <v>75</v>
      </c>
      <c r="H326" t="b">
        <v>0</v>
      </c>
      <c r="I326">
        <v>0</v>
      </c>
      <c r="L326" s="188">
        <f>IFERROR(_xlfn.XLOOKUP(A326,[1]Fleet!A:A,[1]Fleet!E:E,""),"")</f>
        <v>1</v>
      </c>
      <c r="M326" s="188" t="s">
        <v>22</v>
      </c>
      <c r="N326" s="188" t="s">
        <v>22</v>
      </c>
      <c r="O326" s="198" t="s">
        <v>836</v>
      </c>
      <c r="P326">
        <v>327</v>
      </c>
      <c r="Q326">
        <f>_xlfn.XLOOKUP(A326,'[1]Classic Net to delete'!D:D,'[1]Classic Net to delete'!AA:AA,0)</f>
        <v>0</v>
      </c>
    </row>
    <row r="327" spans="1:18" x14ac:dyDescent="0.25">
      <c r="A327" t="s">
        <v>839</v>
      </c>
      <c r="B327" t="s">
        <v>840</v>
      </c>
      <c r="C327">
        <v>126.21000000000001</v>
      </c>
      <c r="D327" t="s">
        <v>835</v>
      </c>
      <c r="E327" t="str">
        <f t="shared" si="11"/>
        <v>. Concreting</v>
      </c>
      <c r="F327">
        <v>75</v>
      </c>
      <c r="H327" t="b">
        <v>0</v>
      </c>
      <c r="I327">
        <v>0</v>
      </c>
      <c r="L327" s="188">
        <f>IFERROR(_xlfn.XLOOKUP(A327,[1]Fleet!A:A,[1]Fleet!E:E,""),"")</f>
        <v>2</v>
      </c>
      <c r="M327" s="188" t="s">
        <v>22</v>
      </c>
      <c r="N327" s="188" t="s">
        <v>22</v>
      </c>
      <c r="O327" s="198" t="s">
        <v>841</v>
      </c>
      <c r="P327">
        <v>331</v>
      </c>
      <c r="Q327">
        <f>_xlfn.XLOOKUP(A327,'[1]Classic Net to delete'!D:D,'[1]Classic Net to delete'!AA:AA,0)</f>
        <v>0</v>
      </c>
    </row>
    <row r="328" spans="1:18" x14ac:dyDescent="0.25">
      <c r="A328" t="s">
        <v>842</v>
      </c>
      <c r="B328" t="s">
        <v>843</v>
      </c>
      <c r="C328">
        <v>56.76</v>
      </c>
      <c r="D328" t="s">
        <v>835</v>
      </c>
      <c r="E328" t="str">
        <f t="shared" si="11"/>
        <v>. Concreting</v>
      </c>
      <c r="F328">
        <v>75</v>
      </c>
      <c r="H328" t="b">
        <v>0</v>
      </c>
      <c r="I328">
        <v>0</v>
      </c>
      <c r="L328" s="188">
        <f>IFERROR(_xlfn.XLOOKUP(A328,[1]Fleet!A:A,[1]Fleet!E:E,""),"")</f>
        <v>2</v>
      </c>
      <c r="M328" s="188" t="s">
        <v>22</v>
      </c>
      <c r="N328" s="188" t="s">
        <v>22</v>
      </c>
      <c r="O328" s="198" t="s">
        <v>841</v>
      </c>
      <c r="P328">
        <v>339</v>
      </c>
      <c r="Q328">
        <f>_xlfn.XLOOKUP(A328,'[1]Classic Net to delete'!D:D,'[1]Classic Net to delete'!AA:AA,0)</f>
        <v>0</v>
      </c>
    </row>
    <row r="329" spans="1:18" x14ac:dyDescent="0.25">
      <c r="A329" t="s">
        <v>844</v>
      </c>
      <c r="B329" t="s">
        <v>845</v>
      </c>
      <c r="C329">
        <v>0</v>
      </c>
      <c r="D329" t="s">
        <v>835</v>
      </c>
      <c r="E329" t="str">
        <f t="shared" si="11"/>
        <v>. Concreting</v>
      </c>
      <c r="F329">
        <v>75</v>
      </c>
      <c r="H329" t="b">
        <v>0</v>
      </c>
      <c r="I329">
        <v>0</v>
      </c>
      <c r="L329" s="188">
        <f>IFERROR(_xlfn.XLOOKUP(A329,[1]Fleet!A:A,[1]Fleet!E:E,""),"")</f>
        <v>1</v>
      </c>
      <c r="M329" s="188" t="s">
        <v>22</v>
      </c>
      <c r="N329" s="188" t="s">
        <v>22</v>
      </c>
      <c r="O329" s="198" t="s">
        <v>841</v>
      </c>
      <c r="P329">
        <v>345</v>
      </c>
      <c r="Q329">
        <f>_xlfn.XLOOKUP(A329,'[1]Classic Net to delete'!D:D,'[1]Classic Net to delete'!AA:AA,0)</f>
        <v>0</v>
      </c>
      <c r="R329">
        <v>10</v>
      </c>
    </row>
    <row r="330" spans="1:18" x14ac:dyDescent="0.25">
      <c r="A330" t="s">
        <v>846</v>
      </c>
      <c r="B330" t="s">
        <v>847</v>
      </c>
      <c r="C330">
        <v>205.65</v>
      </c>
      <c r="D330" t="s">
        <v>835</v>
      </c>
      <c r="E330" t="str">
        <f t="shared" si="11"/>
        <v>. Pokers</v>
      </c>
      <c r="F330">
        <v>75</v>
      </c>
      <c r="H330" t="b">
        <v>0</v>
      </c>
      <c r="I330">
        <v>0</v>
      </c>
      <c r="L330" s="188">
        <f>IFERROR(_xlfn.XLOOKUP(A330,[1]Fleet!A:A,[1]Fleet!E:E,""),"")</f>
        <v>25</v>
      </c>
      <c r="M330" s="188" t="s">
        <v>22</v>
      </c>
      <c r="N330" s="188" t="s">
        <v>22</v>
      </c>
      <c r="O330" s="198" t="s">
        <v>516</v>
      </c>
      <c r="P330">
        <v>361</v>
      </c>
      <c r="Q330">
        <f>_xlfn.XLOOKUP(A330,'[1]Classic Net to delete'!D:D,'[1]Classic Net to delete'!AA:AA,0)</f>
        <v>0</v>
      </c>
    </row>
    <row r="331" spans="1:18" x14ac:dyDescent="0.25">
      <c r="A331" t="s">
        <v>848</v>
      </c>
      <c r="B331" t="s">
        <v>849</v>
      </c>
      <c r="C331">
        <v>205.65</v>
      </c>
      <c r="D331" t="s">
        <v>835</v>
      </c>
      <c r="E331" t="str">
        <f t="shared" si="11"/>
        <v>. Pokers</v>
      </c>
      <c r="F331">
        <v>75</v>
      </c>
      <c r="H331" t="b">
        <v>0</v>
      </c>
      <c r="I331">
        <v>0</v>
      </c>
      <c r="L331" s="188">
        <f>IFERROR(_xlfn.XLOOKUP(A331,[1]Fleet!A:A,[1]Fleet!E:E,""),"")</f>
        <v>91</v>
      </c>
      <c r="M331" s="188" t="s">
        <v>22</v>
      </c>
      <c r="N331" s="188" t="s">
        <v>22</v>
      </c>
      <c r="O331" s="198" t="s">
        <v>516</v>
      </c>
      <c r="P331">
        <v>354</v>
      </c>
      <c r="Q331">
        <f>_xlfn.XLOOKUP(A331,'[1]Classic Net to delete'!D:D,'[1]Classic Net to delete'!AA:AA,0)</f>
        <v>0</v>
      </c>
    </row>
    <row r="332" spans="1:18" x14ac:dyDescent="0.25">
      <c r="A332" t="s">
        <v>850</v>
      </c>
      <c r="B332" t="s">
        <v>851</v>
      </c>
      <c r="C332">
        <v>205.65</v>
      </c>
      <c r="D332" t="s">
        <v>835</v>
      </c>
      <c r="E332" t="str">
        <f t="shared" si="11"/>
        <v>. Pokers</v>
      </c>
      <c r="F332">
        <v>75</v>
      </c>
      <c r="H332" t="b">
        <v>0</v>
      </c>
      <c r="I332">
        <v>0</v>
      </c>
      <c r="L332" s="188">
        <f>IFERROR(_xlfn.XLOOKUP(A332,[1]Fleet!A:A,[1]Fleet!E:E,""),"")</f>
        <v>82</v>
      </c>
      <c r="M332" s="188" t="s">
        <v>22</v>
      </c>
      <c r="N332" s="188" t="s">
        <v>22</v>
      </c>
      <c r="O332" s="198" t="s">
        <v>516</v>
      </c>
      <c r="P332">
        <v>355</v>
      </c>
      <c r="Q332">
        <f>_xlfn.XLOOKUP(A332,'[1]Classic Net to delete'!D:D,'[1]Classic Net to delete'!AA:AA,0)</f>
        <v>0</v>
      </c>
    </row>
    <row r="333" spans="1:18" x14ac:dyDescent="0.25">
      <c r="A333" t="s">
        <v>850</v>
      </c>
      <c r="B333" t="s">
        <v>849</v>
      </c>
      <c r="C333">
        <v>205.65</v>
      </c>
      <c r="D333" t="s">
        <v>835</v>
      </c>
      <c r="E333" t="str">
        <f t="shared" si="11"/>
        <v>. Pokers</v>
      </c>
      <c r="F333">
        <v>75</v>
      </c>
      <c r="H333" t="b">
        <v>0</v>
      </c>
      <c r="I333">
        <v>0</v>
      </c>
      <c r="L333" s="188">
        <f>IFERROR(_xlfn.XLOOKUP(A333,[1]Fleet!A:A,[1]Fleet!E:E,""),"")</f>
        <v>82</v>
      </c>
      <c r="M333" s="188" t="s">
        <v>22</v>
      </c>
      <c r="N333" s="188" t="s">
        <v>22</v>
      </c>
      <c r="O333" s="198" t="s">
        <v>516</v>
      </c>
      <c r="P333">
        <v>365</v>
      </c>
      <c r="Q333">
        <f>_xlfn.XLOOKUP(A333,'[1]Classic Net to delete'!D:D,'[1]Classic Net to delete'!AA:AA,0)</f>
        <v>0</v>
      </c>
    </row>
    <row r="334" spans="1:18" x14ac:dyDescent="0.25">
      <c r="A334" t="s">
        <v>850</v>
      </c>
      <c r="B334" t="s">
        <v>852</v>
      </c>
      <c r="C334">
        <v>205.65</v>
      </c>
      <c r="D334" t="s">
        <v>835</v>
      </c>
      <c r="E334" t="str">
        <f t="shared" si="11"/>
        <v>. Pokers</v>
      </c>
      <c r="F334">
        <v>75</v>
      </c>
      <c r="H334" t="b">
        <v>0</v>
      </c>
      <c r="I334">
        <v>0</v>
      </c>
      <c r="L334" s="188">
        <f>IFERROR(_xlfn.XLOOKUP(A334,[1]Fleet!A:A,[1]Fleet!E:E,""),"")</f>
        <v>82</v>
      </c>
      <c r="M334" s="188" t="s">
        <v>22</v>
      </c>
      <c r="N334" s="188" t="s">
        <v>22</v>
      </c>
      <c r="O334" s="198" t="s">
        <v>516</v>
      </c>
      <c r="P334">
        <v>366</v>
      </c>
      <c r="Q334">
        <f>_xlfn.XLOOKUP(A334,'[1]Classic Net to delete'!D:D,'[1]Classic Net to delete'!AA:AA,0)</f>
        <v>0</v>
      </c>
    </row>
    <row r="335" spans="1:18" x14ac:dyDescent="0.25">
      <c r="A335" t="s">
        <v>850</v>
      </c>
      <c r="B335" t="s">
        <v>847</v>
      </c>
      <c r="C335">
        <v>205.65</v>
      </c>
      <c r="D335" t="s">
        <v>835</v>
      </c>
      <c r="E335" t="str">
        <f t="shared" si="11"/>
        <v>. Pokers</v>
      </c>
      <c r="F335">
        <v>75</v>
      </c>
      <c r="H335" t="b">
        <v>0</v>
      </c>
      <c r="I335">
        <v>0</v>
      </c>
      <c r="L335" s="188">
        <f>IFERROR(_xlfn.XLOOKUP(A335,[1]Fleet!A:A,[1]Fleet!E:E,""),"")</f>
        <v>82</v>
      </c>
      <c r="M335" s="188" t="s">
        <v>22</v>
      </c>
      <c r="N335" s="188" t="s">
        <v>22</v>
      </c>
      <c r="O335" s="198" t="s">
        <v>516</v>
      </c>
      <c r="P335">
        <v>367</v>
      </c>
      <c r="Q335">
        <f>_xlfn.XLOOKUP(A335,'[1]Classic Net to delete'!D:D,'[1]Classic Net to delete'!AA:AA,0)</f>
        <v>0</v>
      </c>
    </row>
    <row r="336" spans="1:18" x14ac:dyDescent="0.25">
      <c r="A336" t="s">
        <v>853</v>
      </c>
      <c r="B336" t="s">
        <v>854</v>
      </c>
      <c r="C336">
        <v>47.03</v>
      </c>
      <c r="D336" t="s">
        <v>835</v>
      </c>
      <c r="E336" t="str">
        <f t="shared" si="11"/>
        <v>. Pokers</v>
      </c>
      <c r="F336">
        <v>75</v>
      </c>
      <c r="H336" t="b">
        <v>0</v>
      </c>
      <c r="I336">
        <v>0</v>
      </c>
      <c r="L336" s="188">
        <f>IFERROR(_xlfn.XLOOKUP(A336,[1]Fleet!A:A,[1]Fleet!E:E,""),"")</f>
        <v>5</v>
      </c>
      <c r="M336" s="188" t="s">
        <v>22</v>
      </c>
      <c r="N336" s="188" t="s">
        <v>22</v>
      </c>
      <c r="O336" s="198" t="s">
        <v>516</v>
      </c>
      <c r="P336">
        <v>357</v>
      </c>
      <c r="Q336">
        <f>_xlfn.XLOOKUP(A336,'[1]Classic Net to delete'!D:D,'[1]Classic Net to delete'!AA:AA,0)</f>
        <v>0</v>
      </c>
    </row>
    <row r="337" spans="1:18" x14ac:dyDescent="0.25">
      <c r="A337" t="s">
        <v>855</v>
      </c>
      <c r="B337" t="s">
        <v>856</v>
      </c>
      <c r="C337">
        <v>160.5</v>
      </c>
      <c r="D337" t="s">
        <v>835</v>
      </c>
      <c r="E337" t="str">
        <f t="shared" si="11"/>
        <v>. Pokers</v>
      </c>
      <c r="F337">
        <v>75</v>
      </c>
      <c r="H337" t="b">
        <v>0</v>
      </c>
      <c r="I337">
        <v>0</v>
      </c>
      <c r="L337" s="188">
        <f>IFERROR(_xlfn.XLOOKUP(A337,[1]Fleet!A:A,[1]Fleet!E:E,""),"")</f>
        <v>1</v>
      </c>
      <c r="M337" s="188" t="s">
        <v>22</v>
      </c>
      <c r="N337" s="188" t="s">
        <v>22</v>
      </c>
      <c r="O337" s="198" t="s">
        <v>516</v>
      </c>
      <c r="P337">
        <v>362</v>
      </c>
      <c r="Q337">
        <f>_xlfn.XLOOKUP(A337,'[1]Classic Net to delete'!D:D,'[1]Classic Net to delete'!AA:AA,0)</f>
        <v>0</v>
      </c>
    </row>
    <row r="338" spans="1:18" x14ac:dyDescent="0.25">
      <c r="A338" t="s">
        <v>857</v>
      </c>
      <c r="B338" t="s">
        <v>858</v>
      </c>
      <c r="C338">
        <v>53.5</v>
      </c>
      <c r="D338" t="s">
        <v>835</v>
      </c>
      <c r="E338" t="str">
        <f t="shared" si="11"/>
        <v>. Pokers</v>
      </c>
      <c r="F338">
        <v>75</v>
      </c>
      <c r="H338" t="b">
        <v>0</v>
      </c>
      <c r="I338">
        <v>0</v>
      </c>
      <c r="L338" s="188" t="str">
        <f>IFERROR(_xlfn.XLOOKUP(A338,[1]Fleet!A:A,[1]Fleet!E:E,""),"")</f>
        <v/>
      </c>
      <c r="M338" s="188" t="s">
        <v>22</v>
      </c>
      <c r="N338" s="188" t="s">
        <v>22</v>
      </c>
      <c r="O338" s="198" t="s">
        <v>516</v>
      </c>
      <c r="P338">
        <v>363</v>
      </c>
      <c r="Q338">
        <f>_xlfn.XLOOKUP(A338,'[1]Classic Net to delete'!D:D,'[1]Classic Net to delete'!AA:AA,0)</f>
        <v>0</v>
      </c>
    </row>
    <row r="339" spans="1:18" x14ac:dyDescent="0.25">
      <c r="A339" t="s">
        <v>859</v>
      </c>
      <c r="B339" t="s">
        <v>860</v>
      </c>
      <c r="C339">
        <v>53.5</v>
      </c>
      <c r="D339" t="s">
        <v>835</v>
      </c>
      <c r="E339" t="str">
        <f t="shared" si="11"/>
        <v>. Pokers</v>
      </c>
      <c r="F339">
        <v>75</v>
      </c>
      <c r="H339" t="b">
        <v>0</v>
      </c>
      <c r="I339">
        <v>0</v>
      </c>
      <c r="L339" s="188">
        <f>IFERROR(_xlfn.XLOOKUP(A339,[1]Fleet!A:A,[1]Fleet!E:E,""),"")</f>
        <v>1</v>
      </c>
      <c r="M339" s="188" t="s">
        <v>22</v>
      </c>
      <c r="N339" s="188" t="s">
        <v>22</v>
      </c>
      <c r="O339" s="198" t="s">
        <v>516</v>
      </c>
      <c r="P339">
        <v>364</v>
      </c>
      <c r="Q339">
        <f>_xlfn.XLOOKUP(A339,'[1]Classic Net to delete'!D:D,'[1]Classic Net to delete'!AA:AA,0)</f>
        <v>0</v>
      </c>
    </row>
    <row r="340" spans="1:18" x14ac:dyDescent="0.25">
      <c r="A340" t="s">
        <v>861</v>
      </c>
      <c r="B340" t="s">
        <v>862</v>
      </c>
      <c r="C340">
        <v>27.12</v>
      </c>
      <c r="D340" t="s">
        <v>835</v>
      </c>
      <c r="E340" t="str">
        <f t="shared" si="11"/>
        <v>01. Mixers</v>
      </c>
      <c r="F340">
        <v>75</v>
      </c>
      <c r="H340" t="b">
        <v>1</v>
      </c>
      <c r="I340">
        <v>408</v>
      </c>
      <c r="K340" s="192" t="s">
        <v>21</v>
      </c>
      <c r="L340" s="188">
        <f>IFERROR(_xlfn.XLOOKUP(A340,[1]Fleet!A:A,[1]Fleet!E:E,""),"")</f>
        <v>111</v>
      </c>
      <c r="M340" s="188">
        <v>25.35</v>
      </c>
      <c r="N340" s="188" t="s">
        <v>863</v>
      </c>
      <c r="O340" s="198" t="s">
        <v>864</v>
      </c>
      <c r="P340">
        <v>328</v>
      </c>
      <c r="Q340">
        <f>_xlfn.XLOOKUP(A340,'[1]Classic Net to delete'!D:D,'[1]Classic Net to delete'!AA:AA,0)</f>
        <v>408</v>
      </c>
    </row>
    <row r="341" spans="1:18" x14ac:dyDescent="0.25">
      <c r="A341" t="s">
        <v>865</v>
      </c>
      <c r="B341" t="s">
        <v>866</v>
      </c>
      <c r="C341">
        <v>32.85</v>
      </c>
      <c r="D341" t="s">
        <v>835</v>
      </c>
      <c r="E341" t="str">
        <f t="shared" si="11"/>
        <v>01. Mixers</v>
      </c>
      <c r="F341">
        <v>75</v>
      </c>
      <c r="H341" t="b">
        <v>1</v>
      </c>
      <c r="I341">
        <v>409</v>
      </c>
      <c r="K341" s="192" t="s">
        <v>21</v>
      </c>
      <c r="L341" s="188">
        <f>IFERROR(_xlfn.XLOOKUP(A341,[1]Fleet!A:A,[1]Fleet!E:E,""),"")</f>
        <v>11</v>
      </c>
      <c r="M341" s="188">
        <v>30.700000000000003</v>
      </c>
      <c r="N341" s="188" t="s">
        <v>867</v>
      </c>
      <c r="O341" s="198" t="s">
        <v>864</v>
      </c>
      <c r="P341">
        <v>329</v>
      </c>
      <c r="Q341">
        <f>_xlfn.XLOOKUP(A341,'[1]Classic Net to delete'!D:D,'[1]Classic Net to delete'!AA:AA,0)</f>
        <v>409</v>
      </c>
    </row>
    <row r="342" spans="1:18" x14ac:dyDescent="0.25">
      <c r="A342" t="s">
        <v>868</v>
      </c>
      <c r="B342" t="s">
        <v>869</v>
      </c>
      <c r="C342">
        <v>125.44</v>
      </c>
      <c r="D342" t="s">
        <v>835</v>
      </c>
      <c r="E342" t="str">
        <f t="shared" si="11"/>
        <v>01. Mixers</v>
      </c>
      <c r="F342">
        <v>75</v>
      </c>
      <c r="H342" t="b">
        <v>1</v>
      </c>
      <c r="I342">
        <v>410</v>
      </c>
      <c r="K342" s="192" t="s">
        <v>21</v>
      </c>
      <c r="L342" s="188">
        <f>IFERROR(_xlfn.XLOOKUP(A342,[1]Fleet!A:A,[1]Fleet!E:E,""),"")</f>
        <v>19</v>
      </c>
      <c r="M342" s="188">
        <v>112</v>
      </c>
      <c r="N342" s="188" t="s">
        <v>869</v>
      </c>
      <c r="O342" s="198" t="s">
        <v>864</v>
      </c>
      <c r="P342">
        <v>330</v>
      </c>
      <c r="Q342">
        <f>_xlfn.XLOOKUP(A342,'[1]Classic Net to delete'!D:D,'[1]Classic Net to delete'!AA:AA,0)</f>
        <v>410</v>
      </c>
    </row>
    <row r="343" spans="1:18" x14ac:dyDescent="0.25">
      <c r="A343" t="s">
        <v>870</v>
      </c>
      <c r="B343" t="s">
        <v>871</v>
      </c>
      <c r="C343">
        <v>127.44</v>
      </c>
      <c r="D343" t="s">
        <v>835</v>
      </c>
      <c r="E343" t="str">
        <f t="shared" si="11"/>
        <v>01. Mixers</v>
      </c>
      <c r="F343">
        <v>75</v>
      </c>
      <c r="H343" t="b">
        <v>1</v>
      </c>
      <c r="I343">
        <v>411</v>
      </c>
      <c r="K343" s="192" t="s">
        <v>21</v>
      </c>
      <c r="L343" s="188">
        <f>IFERROR(_xlfn.XLOOKUP(A343,[1]Fleet!A:A,[1]Fleet!E:E,""),"")</f>
        <v>9</v>
      </c>
      <c r="M343" s="188">
        <v>119.10000000000001</v>
      </c>
      <c r="N343" s="188" t="s">
        <v>871</v>
      </c>
      <c r="O343" s="198" t="s">
        <v>864</v>
      </c>
      <c r="P343">
        <v>336</v>
      </c>
      <c r="Q343">
        <f>_xlfn.XLOOKUP(A343,'[1]Classic Net to delete'!D:D,'[1]Classic Net to delete'!AA:AA,0)</f>
        <v>411</v>
      </c>
    </row>
    <row r="344" spans="1:18" x14ac:dyDescent="0.25">
      <c r="A344" t="s">
        <v>872</v>
      </c>
      <c r="B344" t="s">
        <v>873</v>
      </c>
      <c r="C344">
        <v>0</v>
      </c>
      <c r="D344" t="s">
        <v>835</v>
      </c>
      <c r="E344" t="str">
        <f t="shared" si="11"/>
        <v>01. Mixers</v>
      </c>
      <c r="F344">
        <v>75</v>
      </c>
      <c r="H344" t="b">
        <v>0</v>
      </c>
      <c r="I344">
        <v>412</v>
      </c>
      <c r="K344" s="192" t="s">
        <v>21</v>
      </c>
      <c r="L344" s="188">
        <f>IFERROR(_xlfn.XLOOKUP(A344,[1]Fleet!A:A,[1]Fleet!E:E,""),"")</f>
        <v>1</v>
      </c>
      <c r="M344" s="188">
        <v>239.70000000000002</v>
      </c>
      <c r="N344" s="188" t="s">
        <v>873</v>
      </c>
      <c r="O344" s="198" t="s">
        <v>864</v>
      </c>
      <c r="P344">
        <v>340</v>
      </c>
      <c r="Q344">
        <f>_xlfn.XLOOKUP(A344,'[1]Classic Net to delete'!D:D,'[1]Classic Net to delete'!AA:AA,0)</f>
        <v>412</v>
      </c>
    </row>
    <row r="345" spans="1:18" x14ac:dyDescent="0.25">
      <c r="A345" t="s">
        <v>874</v>
      </c>
      <c r="B345" t="s">
        <v>875</v>
      </c>
      <c r="C345">
        <v>324</v>
      </c>
      <c r="D345" t="s">
        <v>835</v>
      </c>
      <c r="E345" t="str">
        <f t="shared" si="11"/>
        <v>01. Mixers</v>
      </c>
      <c r="F345">
        <v>75</v>
      </c>
      <c r="H345" t="b">
        <v>1</v>
      </c>
      <c r="I345">
        <v>413</v>
      </c>
      <c r="K345" s="192" t="s">
        <v>21</v>
      </c>
      <c r="L345" s="188">
        <f>IFERROR(_xlfn.XLOOKUP(A345,[1]Fleet!A:A,[1]Fleet!E:E,""),"")</f>
        <v>4</v>
      </c>
      <c r="M345" s="188">
        <v>302.8</v>
      </c>
      <c r="N345" s="188" t="s">
        <v>876</v>
      </c>
      <c r="O345" s="198" t="s">
        <v>864</v>
      </c>
      <c r="P345">
        <v>342</v>
      </c>
      <c r="Q345">
        <f>_xlfn.XLOOKUP(A345,'[1]Classic Net to delete'!D:D,'[1]Classic Net to delete'!AA:AA,0)</f>
        <v>413</v>
      </c>
    </row>
    <row r="346" spans="1:18" x14ac:dyDescent="0.25">
      <c r="A346" t="s">
        <v>877</v>
      </c>
      <c r="B346" t="s">
        <v>878</v>
      </c>
      <c r="C346">
        <v>205.65</v>
      </c>
      <c r="D346" t="s">
        <v>835</v>
      </c>
      <c r="E346" t="str">
        <f t="shared" si="11"/>
        <v>02. Poker, Vibrator &amp; Drive Units</v>
      </c>
      <c r="F346">
        <v>75</v>
      </c>
      <c r="H346" t="b">
        <v>1</v>
      </c>
      <c r="I346">
        <v>417</v>
      </c>
      <c r="K346" s="192" t="s">
        <v>54</v>
      </c>
      <c r="L346" s="188">
        <f>IFERROR(_xlfn.XLOOKUP(A346,[1]Fleet!A:A,[1]Fleet!E:E,""),"")</f>
        <v>20</v>
      </c>
      <c r="M346" s="188">
        <v>192.20000000000002</v>
      </c>
      <c r="N346" s="188" t="s">
        <v>879</v>
      </c>
      <c r="O346" s="198" t="s">
        <v>880</v>
      </c>
      <c r="P346">
        <v>356</v>
      </c>
      <c r="Q346">
        <f>_xlfn.XLOOKUP(A346,'[1]Classic Net to delete'!D:D,'[1]Classic Net to delete'!AA:AA,0)</f>
        <v>417</v>
      </c>
    </row>
    <row r="347" spans="1:18" x14ac:dyDescent="0.25">
      <c r="A347" t="s">
        <v>881</v>
      </c>
      <c r="B347" t="s">
        <v>852</v>
      </c>
      <c r="C347">
        <v>267.82</v>
      </c>
      <c r="D347" t="s">
        <v>835</v>
      </c>
      <c r="E347" t="str">
        <f t="shared" si="11"/>
        <v>02. Poker, Vibrator &amp; Drive Units</v>
      </c>
      <c r="F347">
        <v>75</v>
      </c>
      <c r="H347" t="b">
        <v>1</v>
      </c>
      <c r="I347">
        <v>418</v>
      </c>
      <c r="K347" s="192" t="s">
        <v>54</v>
      </c>
      <c r="L347" s="188">
        <f>IFERROR(_xlfn.XLOOKUP(A347,[1]Fleet!A:A,[1]Fleet!E:E,""),"")</f>
        <v>12</v>
      </c>
      <c r="M347" s="188">
        <v>250.3</v>
      </c>
      <c r="N347" s="188" t="s">
        <v>852</v>
      </c>
      <c r="O347" s="198" t="s">
        <v>880</v>
      </c>
      <c r="P347">
        <v>344</v>
      </c>
      <c r="Q347">
        <f>_xlfn.XLOOKUP(A347,'[1]Classic Net to delete'!D:D,'[1]Classic Net to delete'!AA:AA,0)</f>
        <v>418</v>
      </c>
      <c r="R347">
        <v>11</v>
      </c>
    </row>
    <row r="348" spans="1:18" x14ac:dyDescent="0.25">
      <c r="A348" t="s">
        <v>882</v>
      </c>
      <c r="B348" t="s">
        <v>883</v>
      </c>
      <c r="C348">
        <v>226.20000000000002</v>
      </c>
      <c r="D348" t="s">
        <v>835</v>
      </c>
      <c r="E348" t="str">
        <f t="shared" si="11"/>
        <v>02. Poker, Vibrator &amp; Drive Units</v>
      </c>
      <c r="F348">
        <v>75</v>
      </c>
      <c r="H348" t="b">
        <v>1</v>
      </c>
      <c r="I348">
        <v>419</v>
      </c>
      <c r="K348" s="192" t="s">
        <v>54</v>
      </c>
      <c r="L348" s="188">
        <f>IFERROR(_xlfn.XLOOKUP(A348,[1]Fleet!A:A,[1]Fleet!E:E,""),"")</f>
        <v>30</v>
      </c>
      <c r="M348" s="188">
        <v>211.4</v>
      </c>
      <c r="N348" s="188" t="s">
        <v>884</v>
      </c>
      <c r="O348" s="198" t="s">
        <v>880</v>
      </c>
      <c r="P348">
        <v>353</v>
      </c>
      <c r="Q348">
        <f>_xlfn.XLOOKUP(A348,'[1]Classic Net to delete'!D:D,'[1]Classic Net to delete'!AA:AA,0)</f>
        <v>419</v>
      </c>
      <c r="R348">
        <v>12</v>
      </c>
    </row>
    <row r="349" spans="1:18" x14ac:dyDescent="0.25">
      <c r="A349" t="s">
        <v>885</v>
      </c>
      <c r="B349" t="s">
        <v>886</v>
      </c>
      <c r="C349">
        <v>190.46</v>
      </c>
      <c r="D349" t="s">
        <v>835</v>
      </c>
      <c r="E349" t="str">
        <f t="shared" si="11"/>
        <v>02. Poker, Vibrator &amp; Drive Units</v>
      </c>
      <c r="F349">
        <v>75</v>
      </c>
      <c r="H349" t="b">
        <v>1</v>
      </c>
      <c r="I349">
        <v>420</v>
      </c>
      <c r="K349" s="192" t="s">
        <v>54</v>
      </c>
      <c r="L349" s="188">
        <f>IFERROR(_xlfn.XLOOKUP(A349,[1]Fleet!A:A,[1]Fleet!E:E,""),"")</f>
        <v>19</v>
      </c>
      <c r="M349" s="188">
        <v>178</v>
      </c>
      <c r="N349" s="188" t="s">
        <v>887</v>
      </c>
      <c r="O349" s="198" t="s">
        <v>880</v>
      </c>
      <c r="P349">
        <v>343</v>
      </c>
      <c r="Q349">
        <f>_xlfn.XLOOKUP(A349,'[1]Classic Net to delete'!D:D,'[1]Classic Net to delete'!AA:AA,0)</f>
        <v>420</v>
      </c>
    </row>
    <row r="350" spans="1:18" x14ac:dyDescent="0.25">
      <c r="A350" t="s">
        <v>888</v>
      </c>
      <c r="B350" t="s">
        <v>889</v>
      </c>
      <c r="C350">
        <v>55.21</v>
      </c>
      <c r="D350" t="s">
        <v>835</v>
      </c>
      <c r="E350" t="str">
        <f t="shared" si="11"/>
        <v>02. Poker, Vibrator &amp; Drive Units</v>
      </c>
      <c r="F350">
        <v>75</v>
      </c>
      <c r="H350" t="b">
        <v>1</v>
      </c>
      <c r="I350">
        <v>421</v>
      </c>
      <c r="K350" s="192" t="s">
        <v>54</v>
      </c>
      <c r="L350" s="188">
        <f>IFERROR(_xlfn.XLOOKUP(A350,[1]Fleet!A:A,[1]Fleet!E:E,""),"")</f>
        <v>2</v>
      </c>
      <c r="M350" s="188">
        <v>51.6</v>
      </c>
      <c r="N350" s="188" t="s">
        <v>889</v>
      </c>
      <c r="O350" s="198" t="s">
        <v>880</v>
      </c>
      <c r="P350">
        <v>351</v>
      </c>
      <c r="Q350">
        <f>_xlfn.XLOOKUP(A350,'[1]Classic Net to delete'!D:D,'[1]Classic Net to delete'!AA:AA,0)</f>
        <v>421</v>
      </c>
    </row>
    <row r="351" spans="1:18" x14ac:dyDescent="0.25">
      <c r="A351" t="s">
        <v>890</v>
      </c>
      <c r="B351" t="s">
        <v>891</v>
      </c>
      <c r="C351">
        <v>66.61</v>
      </c>
      <c r="D351" t="s">
        <v>835</v>
      </c>
      <c r="E351" t="str">
        <f t="shared" si="11"/>
        <v>02. Poker, Vibrator &amp; Drive Units</v>
      </c>
      <c r="F351">
        <v>75</v>
      </c>
      <c r="H351" t="b">
        <v>1</v>
      </c>
      <c r="I351">
        <v>422</v>
      </c>
      <c r="K351" s="192" t="s">
        <v>54</v>
      </c>
      <c r="L351" s="188">
        <f>IFERROR(_xlfn.XLOOKUP(A351,[1]Fleet!A:A,[1]Fleet!E:E,""),"")</f>
        <v>5</v>
      </c>
      <c r="M351" s="188">
        <v>62.25</v>
      </c>
      <c r="N351" s="188" t="s">
        <v>891</v>
      </c>
      <c r="O351" s="198" t="s">
        <v>880</v>
      </c>
      <c r="P351">
        <v>352</v>
      </c>
      <c r="Q351">
        <f>_xlfn.XLOOKUP(A351,'[1]Classic Net to delete'!D:D,'[1]Classic Net to delete'!AA:AA,0)</f>
        <v>422</v>
      </c>
    </row>
    <row r="352" spans="1:18" x14ac:dyDescent="0.25">
      <c r="A352" t="s">
        <v>892</v>
      </c>
      <c r="B352" t="s">
        <v>893</v>
      </c>
      <c r="C352">
        <v>32.85</v>
      </c>
      <c r="D352" t="s">
        <v>835</v>
      </c>
      <c r="E352" t="str">
        <f t="shared" si="11"/>
        <v>02. Poker, Vibrator &amp; Drive Units</v>
      </c>
      <c r="F352">
        <v>75</v>
      </c>
      <c r="H352" t="b">
        <v>1</v>
      </c>
      <c r="I352">
        <v>423</v>
      </c>
      <c r="K352" s="192" t="s">
        <v>54</v>
      </c>
      <c r="L352" s="188">
        <f>IFERROR(_xlfn.XLOOKUP(A352,[1]Fleet!A:A,[1]Fleet!E:E,""),"")</f>
        <v>1</v>
      </c>
      <c r="M352" s="188">
        <v>30.700000000000003</v>
      </c>
      <c r="N352" s="188" t="s">
        <v>893</v>
      </c>
      <c r="O352" s="198" t="s">
        <v>880</v>
      </c>
      <c r="P352">
        <v>358</v>
      </c>
      <c r="Q352">
        <f>_xlfn.XLOOKUP(A352,'[1]Classic Net to delete'!D:D,'[1]Classic Net to delete'!AA:AA,0)</f>
        <v>423</v>
      </c>
    </row>
    <row r="353" spans="1:17" x14ac:dyDescent="0.25">
      <c r="A353" t="s">
        <v>894</v>
      </c>
      <c r="B353" t="s">
        <v>895</v>
      </c>
      <c r="C353">
        <v>47.03</v>
      </c>
      <c r="D353" t="s">
        <v>835</v>
      </c>
      <c r="E353" t="str">
        <f t="shared" si="11"/>
        <v>02. Poker, Vibrator &amp; Drive Units</v>
      </c>
      <c r="F353">
        <v>75</v>
      </c>
      <c r="H353" t="b">
        <v>1</v>
      </c>
      <c r="I353">
        <v>424</v>
      </c>
      <c r="K353" s="192" t="s">
        <v>54</v>
      </c>
      <c r="L353" s="188">
        <f>IFERROR(_xlfn.XLOOKUP(A353,[1]Fleet!A:A,[1]Fleet!E:E,""),"")</f>
        <v>1</v>
      </c>
      <c r="M353" s="188">
        <v>43.95</v>
      </c>
      <c r="N353" s="188" t="s">
        <v>895</v>
      </c>
      <c r="O353" s="198" t="s">
        <v>880</v>
      </c>
      <c r="P353">
        <v>359</v>
      </c>
      <c r="Q353">
        <f>_xlfn.XLOOKUP(A353,'[1]Classic Net to delete'!D:D,'[1]Classic Net to delete'!AA:AA,0)</f>
        <v>424</v>
      </c>
    </row>
    <row r="354" spans="1:17" x14ac:dyDescent="0.25">
      <c r="A354" t="s">
        <v>896</v>
      </c>
      <c r="B354" t="s">
        <v>897</v>
      </c>
      <c r="C354">
        <v>47.03</v>
      </c>
      <c r="D354" t="s">
        <v>835</v>
      </c>
      <c r="E354" t="str">
        <f t="shared" si="11"/>
        <v>02. Poker, Vibrator &amp; Drive Units</v>
      </c>
      <c r="F354">
        <v>75</v>
      </c>
      <c r="H354" t="b">
        <v>1</v>
      </c>
      <c r="I354">
        <v>425</v>
      </c>
      <c r="K354" s="192" t="s">
        <v>54</v>
      </c>
      <c r="L354" s="188">
        <f>IFERROR(_xlfn.XLOOKUP(A354,[1]Fleet!A:A,[1]Fleet!E:E,""),"")</f>
        <v>2</v>
      </c>
      <c r="M354" s="188">
        <v>43.95</v>
      </c>
      <c r="N354" s="188" t="s">
        <v>854</v>
      </c>
      <c r="O354" s="198" t="s">
        <v>880</v>
      </c>
      <c r="P354">
        <v>360</v>
      </c>
      <c r="Q354">
        <f>_xlfn.XLOOKUP(A354,'[1]Classic Net to delete'!D:D,'[1]Classic Net to delete'!AA:AA,0)</f>
        <v>425</v>
      </c>
    </row>
    <row r="355" spans="1:17" x14ac:dyDescent="0.25">
      <c r="A355" t="s">
        <v>898</v>
      </c>
      <c r="B355" t="s">
        <v>899</v>
      </c>
      <c r="C355">
        <v>249.85</v>
      </c>
      <c r="D355" t="s">
        <v>835</v>
      </c>
      <c r="E355" t="str">
        <f t="shared" si="11"/>
        <v>03. Laying &amp; Finishing</v>
      </c>
      <c r="F355">
        <v>75</v>
      </c>
      <c r="H355" t="b">
        <v>1</v>
      </c>
      <c r="I355">
        <v>428</v>
      </c>
      <c r="K355" s="192" t="s">
        <v>85</v>
      </c>
      <c r="L355" s="188">
        <f>IFERROR(_xlfn.XLOOKUP(A355,[1]Fleet!A:A,[1]Fleet!E:E,""),"")</f>
        <v>2</v>
      </c>
      <c r="M355" s="188">
        <v>233.5</v>
      </c>
      <c r="N355" s="188" t="s">
        <v>900</v>
      </c>
      <c r="O355" s="198" t="s">
        <v>901</v>
      </c>
      <c r="P355">
        <v>338</v>
      </c>
      <c r="Q355">
        <f>_xlfn.XLOOKUP(A355,'[1]Classic Net to delete'!D:D,'[1]Classic Net to delete'!AA:AA,0)</f>
        <v>428</v>
      </c>
    </row>
    <row r="356" spans="1:17" x14ac:dyDescent="0.25">
      <c r="A356" t="s">
        <v>902</v>
      </c>
      <c r="B356" t="s">
        <v>903</v>
      </c>
      <c r="C356">
        <v>132.1</v>
      </c>
      <c r="D356" t="s">
        <v>835</v>
      </c>
      <c r="E356" t="str">
        <f t="shared" si="11"/>
        <v>03. Laying &amp; Finishing</v>
      </c>
      <c r="F356">
        <v>75</v>
      </c>
      <c r="H356" t="b">
        <v>1</v>
      </c>
      <c r="I356">
        <v>429</v>
      </c>
      <c r="K356" s="192" t="s">
        <v>85</v>
      </c>
      <c r="L356" s="188">
        <f>IFERROR(_xlfn.XLOOKUP(A356,[1]Fleet!A:A,[1]Fleet!E:E,""),"")</f>
        <v>25</v>
      </c>
      <c r="M356" s="188">
        <v>117.95</v>
      </c>
      <c r="N356" s="188" t="s">
        <v>903</v>
      </c>
      <c r="O356" s="198" t="s">
        <v>901</v>
      </c>
      <c r="P356">
        <v>335</v>
      </c>
      <c r="Q356">
        <f>_xlfn.XLOOKUP(A356,'[1]Classic Net to delete'!D:D,'[1]Classic Net to delete'!AA:AA,0)</f>
        <v>429</v>
      </c>
    </row>
    <row r="357" spans="1:17" x14ac:dyDescent="0.25">
      <c r="A357" t="s">
        <v>904</v>
      </c>
      <c r="B357" t="s">
        <v>905</v>
      </c>
      <c r="C357">
        <v>17.07</v>
      </c>
      <c r="D357" t="s">
        <v>835</v>
      </c>
      <c r="E357" t="str">
        <f t="shared" si="11"/>
        <v>03. Laying &amp; Finishing</v>
      </c>
      <c r="F357">
        <v>75</v>
      </c>
      <c r="H357" t="b">
        <v>1</v>
      </c>
      <c r="I357">
        <v>430</v>
      </c>
      <c r="K357" s="192" t="s">
        <v>85</v>
      </c>
      <c r="L357" s="188" t="str">
        <f>IFERROR(_xlfn.XLOOKUP(A357,[1]Fleet!A:A,[1]Fleet!E:E,""),"")</f>
        <v/>
      </c>
      <c r="M357" s="188">
        <v>15.950000000000001</v>
      </c>
      <c r="N357" s="188" t="s">
        <v>905</v>
      </c>
      <c r="O357" s="198" t="s">
        <v>901</v>
      </c>
      <c r="P357">
        <v>346</v>
      </c>
      <c r="Q357">
        <f>_xlfn.XLOOKUP(A357,'[1]Classic Net to delete'!D:D,'[1]Classic Net to delete'!AA:AA,0)</f>
        <v>430</v>
      </c>
    </row>
    <row r="358" spans="1:17" x14ac:dyDescent="0.25">
      <c r="A358" t="s">
        <v>906</v>
      </c>
      <c r="B358" t="s">
        <v>907</v>
      </c>
      <c r="C358">
        <v>45.15</v>
      </c>
      <c r="D358" t="s">
        <v>835</v>
      </c>
      <c r="E358" t="str">
        <f t="shared" si="11"/>
        <v>03. Laying &amp; Finishing</v>
      </c>
      <c r="F358">
        <v>75</v>
      </c>
      <c r="H358" t="b">
        <v>1</v>
      </c>
      <c r="I358">
        <v>431</v>
      </c>
      <c r="K358" s="192" t="s">
        <v>85</v>
      </c>
      <c r="L358" s="188">
        <f>IFERROR(_xlfn.XLOOKUP(A358,[1]Fleet!A:A,[1]Fleet!E:E,""),"")</f>
        <v>3</v>
      </c>
      <c r="M358" s="188">
        <v>42.2</v>
      </c>
      <c r="N358" s="188" t="s">
        <v>907</v>
      </c>
      <c r="O358" s="198" t="s">
        <v>901</v>
      </c>
      <c r="P358">
        <v>334</v>
      </c>
      <c r="Q358">
        <f>_xlfn.XLOOKUP(A358,'[1]Classic Net to delete'!D:D,'[1]Classic Net to delete'!AA:AA,0)</f>
        <v>431</v>
      </c>
    </row>
    <row r="359" spans="1:17" x14ac:dyDescent="0.25">
      <c r="A359" t="s">
        <v>908</v>
      </c>
      <c r="B359" t="s">
        <v>909</v>
      </c>
      <c r="C359">
        <v>62.49</v>
      </c>
      <c r="D359" t="s">
        <v>835</v>
      </c>
      <c r="E359" t="str">
        <f t="shared" si="11"/>
        <v>03. Laying &amp; Finishing</v>
      </c>
      <c r="F359">
        <v>75</v>
      </c>
      <c r="H359" t="b">
        <v>1</v>
      </c>
      <c r="I359">
        <v>432</v>
      </c>
      <c r="K359" s="192" t="s">
        <v>85</v>
      </c>
      <c r="L359" s="188">
        <f>IFERROR(_xlfn.XLOOKUP(A359,[1]Fleet!A:A,[1]Fleet!E:E,""),"")</f>
        <v>10</v>
      </c>
      <c r="M359" s="188">
        <v>58.400000000000006</v>
      </c>
      <c r="N359" s="188" t="s">
        <v>909</v>
      </c>
      <c r="O359" s="198" t="s">
        <v>901</v>
      </c>
      <c r="P359">
        <v>333</v>
      </c>
      <c r="Q359">
        <f>_xlfn.XLOOKUP(A359,'[1]Classic Net to delete'!D:D,'[1]Classic Net to delete'!AA:AA,0)</f>
        <v>432</v>
      </c>
    </row>
    <row r="360" spans="1:17" x14ac:dyDescent="0.25">
      <c r="A360" t="s">
        <v>910</v>
      </c>
      <c r="B360" t="s">
        <v>911</v>
      </c>
      <c r="C360">
        <v>59.33</v>
      </c>
      <c r="D360" t="s">
        <v>835</v>
      </c>
      <c r="E360" t="str">
        <f t="shared" si="11"/>
        <v>03. Laying &amp; Finishing</v>
      </c>
      <c r="F360">
        <v>75</v>
      </c>
      <c r="H360" t="b">
        <v>1</v>
      </c>
      <c r="I360">
        <v>433</v>
      </c>
      <c r="K360" s="192" t="s">
        <v>85</v>
      </c>
      <c r="L360" s="188">
        <f>IFERROR(_xlfn.XLOOKUP(A360,[1]Fleet!A:A,[1]Fleet!E:E,""),"")</f>
        <v>1</v>
      </c>
      <c r="M360" s="188">
        <v>55.45</v>
      </c>
      <c r="N360" s="188" t="s">
        <v>911</v>
      </c>
      <c r="O360" s="198" t="s">
        <v>901</v>
      </c>
      <c r="P360">
        <v>337</v>
      </c>
      <c r="Q360">
        <f>_xlfn.XLOOKUP(A360,'[1]Classic Net to delete'!D:D,'[1]Classic Net to delete'!AA:AA,0)</f>
        <v>433</v>
      </c>
    </row>
    <row r="361" spans="1:17" x14ac:dyDescent="0.25">
      <c r="A361" t="s">
        <v>912</v>
      </c>
      <c r="B361" t="s">
        <v>913</v>
      </c>
      <c r="C361">
        <v>55.21</v>
      </c>
      <c r="D361" t="s">
        <v>835</v>
      </c>
      <c r="E361" t="str">
        <f t="shared" si="11"/>
        <v>04. Concreting</v>
      </c>
      <c r="F361">
        <v>75</v>
      </c>
      <c r="H361" t="b">
        <v>1</v>
      </c>
      <c r="I361">
        <v>437</v>
      </c>
      <c r="K361" s="192" t="s">
        <v>89</v>
      </c>
      <c r="L361" s="188">
        <f>IFERROR(_xlfn.XLOOKUP(A361,[1]Fleet!A:A,[1]Fleet!E:E,""),"")</f>
        <v>3</v>
      </c>
      <c r="M361" s="188">
        <v>51.6</v>
      </c>
      <c r="N361" s="188" t="s">
        <v>913</v>
      </c>
      <c r="O361" s="198" t="s">
        <v>841</v>
      </c>
      <c r="P361">
        <v>332</v>
      </c>
      <c r="Q361">
        <f>_xlfn.XLOOKUP(A361,'[1]Classic Net to delete'!D:D,'[1]Classic Net to delete'!AA:AA,0)</f>
        <v>437</v>
      </c>
    </row>
    <row r="362" spans="1:17" x14ac:dyDescent="0.25">
      <c r="A362" t="s">
        <v>914</v>
      </c>
      <c r="B362" t="s">
        <v>915</v>
      </c>
      <c r="C362">
        <v>14.23</v>
      </c>
      <c r="D362" t="s">
        <v>835</v>
      </c>
      <c r="E362" t="str">
        <f t="shared" si="11"/>
        <v>04. Concreting</v>
      </c>
      <c r="F362">
        <v>75</v>
      </c>
      <c r="H362" t="b">
        <v>1</v>
      </c>
      <c r="I362">
        <v>438</v>
      </c>
      <c r="K362" s="192" t="s">
        <v>89</v>
      </c>
      <c r="L362" s="188" t="str">
        <f>IFERROR(_xlfn.XLOOKUP(A362,[1]Fleet!A:A,[1]Fleet!E:E,""),"")</f>
        <v/>
      </c>
      <c r="M362" s="188">
        <v>13.3</v>
      </c>
      <c r="N362" s="188" t="s">
        <v>916</v>
      </c>
      <c r="O362" s="198" t="s">
        <v>841</v>
      </c>
      <c r="P362">
        <v>350</v>
      </c>
      <c r="Q362">
        <f>_xlfn.XLOOKUP(A362,'[1]Classic Net to delete'!D:D,'[1]Classic Net to delete'!AA:AA,0)</f>
        <v>438</v>
      </c>
    </row>
    <row r="363" spans="1:17" x14ac:dyDescent="0.25">
      <c r="A363" t="s">
        <v>917</v>
      </c>
      <c r="B363" t="s">
        <v>918</v>
      </c>
      <c r="C363">
        <v>12.36</v>
      </c>
      <c r="D363" t="s">
        <v>835</v>
      </c>
      <c r="E363" t="str">
        <f t="shared" si="11"/>
        <v>04. Concreting</v>
      </c>
      <c r="F363">
        <v>75</v>
      </c>
      <c r="H363" t="b">
        <v>1</v>
      </c>
      <c r="I363">
        <v>439</v>
      </c>
      <c r="K363" s="192" t="s">
        <v>89</v>
      </c>
      <c r="L363" s="188" t="str">
        <f>IFERROR(_xlfn.XLOOKUP(A363,[1]Fleet!A:A,[1]Fleet!E:E,""),"")</f>
        <v/>
      </c>
      <c r="M363" s="188">
        <v>11.55</v>
      </c>
      <c r="N363" s="188" t="s">
        <v>918</v>
      </c>
      <c r="O363" s="198" t="s">
        <v>841</v>
      </c>
      <c r="P363">
        <v>349</v>
      </c>
      <c r="Q363">
        <f>_xlfn.XLOOKUP(A363,'[1]Classic Net to delete'!D:D,'[1]Classic Net to delete'!AA:AA,0)</f>
        <v>439</v>
      </c>
    </row>
    <row r="364" spans="1:17" x14ac:dyDescent="0.25">
      <c r="A364" t="s">
        <v>919</v>
      </c>
      <c r="B364" t="s">
        <v>920</v>
      </c>
      <c r="C364">
        <v>382.98</v>
      </c>
      <c r="D364" t="s">
        <v>835</v>
      </c>
      <c r="E364" t="str">
        <f t="shared" si="11"/>
        <v>04. Concreting</v>
      </c>
      <c r="F364">
        <v>75</v>
      </c>
      <c r="H364" t="b">
        <v>1</v>
      </c>
      <c r="I364">
        <v>442</v>
      </c>
      <c r="K364" s="192" t="s">
        <v>89</v>
      </c>
      <c r="L364" s="188">
        <f>IFERROR(_xlfn.XLOOKUP(A364,[1]Fleet!A:A,[1]Fleet!E:E,""),"")</f>
        <v>28</v>
      </c>
      <c r="M364" s="188">
        <v>341.95000000000005</v>
      </c>
      <c r="N364" s="188" t="s">
        <v>921</v>
      </c>
      <c r="O364" s="198" t="s">
        <v>841</v>
      </c>
      <c r="P364">
        <v>341</v>
      </c>
      <c r="Q364">
        <f>_xlfn.XLOOKUP(A364,'[1]Classic Net to delete'!D:D,'[1]Classic Net to delete'!AA:AA,0)</f>
        <v>442</v>
      </c>
    </row>
    <row r="365" spans="1:17" x14ac:dyDescent="0.25">
      <c r="A365" t="s">
        <v>922</v>
      </c>
      <c r="B365" t="s">
        <v>923</v>
      </c>
      <c r="C365">
        <v>56.76</v>
      </c>
      <c r="D365" t="s">
        <v>835</v>
      </c>
      <c r="E365" t="str">
        <f t="shared" si="11"/>
        <v>04. Concreting</v>
      </c>
      <c r="F365">
        <v>75</v>
      </c>
      <c r="H365" t="b">
        <v>1</v>
      </c>
      <c r="I365">
        <v>443</v>
      </c>
      <c r="K365" s="192" t="s">
        <v>89</v>
      </c>
      <c r="L365" s="188" t="str">
        <f>IFERROR(_xlfn.XLOOKUP(A365,[1]Fleet!A:A,[1]Fleet!E:E,""),"")</f>
        <v/>
      </c>
      <c r="M365" s="188">
        <v>53.050000000000004</v>
      </c>
      <c r="N365" s="188" t="s">
        <v>923</v>
      </c>
      <c r="O365" s="198" t="s">
        <v>841</v>
      </c>
      <c r="P365">
        <v>348</v>
      </c>
      <c r="Q365">
        <f>_xlfn.XLOOKUP(A365,'[1]Classic Net to delete'!D:D,'[1]Classic Net to delete'!AA:AA,0)</f>
        <v>443</v>
      </c>
    </row>
    <row r="366" spans="1:17" x14ac:dyDescent="0.25">
      <c r="A366" t="s">
        <v>924</v>
      </c>
      <c r="B366" t="s">
        <v>925</v>
      </c>
      <c r="C366">
        <v>66.61</v>
      </c>
      <c r="D366" t="s">
        <v>835</v>
      </c>
      <c r="E366" t="str">
        <f t="shared" si="11"/>
        <v>05. Compactors</v>
      </c>
      <c r="F366">
        <v>75</v>
      </c>
      <c r="H366" t="b">
        <v>1</v>
      </c>
      <c r="I366">
        <v>446</v>
      </c>
      <c r="K366" s="192" t="s">
        <v>32</v>
      </c>
      <c r="L366" s="188">
        <f>IFERROR(_xlfn.XLOOKUP(A366,[1]Fleet!A:A,[1]Fleet!E:E,""),"")</f>
        <v>20</v>
      </c>
      <c r="M366" s="188">
        <v>62.25</v>
      </c>
      <c r="N366" s="188" t="s">
        <v>926</v>
      </c>
      <c r="O366" s="198" t="s">
        <v>836</v>
      </c>
      <c r="P366">
        <v>320</v>
      </c>
      <c r="Q366">
        <f>_xlfn.XLOOKUP(A366,'[1]Classic Net to delete'!D:D,'[1]Classic Net to delete'!AA:AA,0)</f>
        <v>446</v>
      </c>
    </row>
    <row r="367" spans="1:17" x14ac:dyDescent="0.25">
      <c r="A367" t="s">
        <v>927</v>
      </c>
      <c r="B367" t="s">
        <v>928</v>
      </c>
      <c r="C367">
        <v>63.77</v>
      </c>
      <c r="D367" t="s">
        <v>835</v>
      </c>
      <c r="E367" t="str">
        <f t="shared" si="11"/>
        <v>05. Compactors</v>
      </c>
      <c r="F367">
        <v>75</v>
      </c>
      <c r="H367" t="b">
        <v>1</v>
      </c>
      <c r="I367">
        <v>447</v>
      </c>
      <c r="K367" s="192" t="s">
        <v>32</v>
      </c>
      <c r="L367" s="188">
        <f>IFERROR(_xlfn.XLOOKUP(A367,[1]Fleet!A:A,[1]Fleet!E:E,""),"")</f>
        <v>35</v>
      </c>
      <c r="M367" s="188">
        <v>59.6</v>
      </c>
      <c r="N367" s="188" t="s">
        <v>929</v>
      </c>
      <c r="O367" s="198" t="s">
        <v>836</v>
      </c>
      <c r="P367">
        <v>321</v>
      </c>
      <c r="Q367">
        <f>_xlfn.XLOOKUP(A367,'[1]Classic Net to delete'!D:D,'[1]Classic Net to delete'!AA:AA,0)</f>
        <v>447</v>
      </c>
    </row>
    <row r="368" spans="1:17" x14ac:dyDescent="0.25">
      <c r="A368" t="s">
        <v>930</v>
      </c>
      <c r="B368" t="s">
        <v>931</v>
      </c>
      <c r="C368">
        <v>19.900000000000002</v>
      </c>
      <c r="D368" t="s">
        <v>835</v>
      </c>
      <c r="E368" t="str">
        <f t="shared" si="11"/>
        <v>05. Compactors</v>
      </c>
      <c r="F368">
        <v>75</v>
      </c>
      <c r="H368" t="b">
        <v>1</v>
      </c>
      <c r="I368">
        <v>448</v>
      </c>
      <c r="K368" s="192" t="s">
        <v>32</v>
      </c>
      <c r="L368" s="188" t="str">
        <f>IFERROR(_xlfn.XLOOKUP(A368,[1]Fleet!A:A,[1]Fleet!E:E,""),"")</f>
        <v/>
      </c>
      <c r="M368" s="188">
        <v>18.600000000000001</v>
      </c>
      <c r="N368" s="188" t="s">
        <v>932</v>
      </c>
      <c r="O368" s="198" t="s">
        <v>836</v>
      </c>
      <c r="P368">
        <v>319</v>
      </c>
      <c r="Q368">
        <f>_xlfn.XLOOKUP(A368,'[1]Classic Net to delete'!D:D,'[1]Classic Net to delete'!AA:AA,0)</f>
        <v>448</v>
      </c>
    </row>
    <row r="369" spans="1:17" x14ac:dyDescent="0.25">
      <c r="A369" t="s">
        <v>933</v>
      </c>
      <c r="B369" t="s">
        <v>934</v>
      </c>
      <c r="C369">
        <v>93.41</v>
      </c>
      <c r="D369" t="s">
        <v>835</v>
      </c>
      <c r="E369" t="str">
        <f t="shared" si="11"/>
        <v>05. Compactors</v>
      </c>
      <c r="F369">
        <v>75</v>
      </c>
      <c r="H369" t="b">
        <v>1</v>
      </c>
      <c r="I369">
        <v>449</v>
      </c>
      <c r="K369" s="192" t="s">
        <v>32</v>
      </c>
      <c r="L369" s="188">
        <f>IFERROR(_xlfn.XLOOKUP(A369,[1]Fleet!A:A,[1]Fleet!E:E,""),"")</f>
        <v>4</v>
      </c>
      <c r="M369" s="188">
        <v>87.300000000000011</v>
      </c>
      <c r="N369" s="188" t="s">
        <v>934</v>
      </c>
      <c r="O369" s="198" t="s">
        <v>836</v>
      </c>
      <c r="P369">
        <v>322</v>
      </c>
      <c r="Q369">
        <f>_xlfn.XLOOKUP(A369,'[1]Classic Net to delete'!D:D,'[1]Classic Net to delete'!AA:AA,0)</f>
        <v>449</v>
      </c>
    </row>
    <row r="370" spans="1:17" x14ac:dyDescent="0.25">
      <c r="A370" t="s">
        <v>935</v>
      </c>
      <c r="B370" t="s">
        <v>936</v>
      </c>
      <c r="C370">
        <v>172.86</v>
      </c>
      <c r="D370" t="s">
        <v>835</v>
      </c>
      <c r="E370" t="str">
        <f t="shared" si="11"/>
        <v>05. Compactors</v>
      </c>
      <c r="F370">
        <v>75</v>
      </c>
      <c r="H370" t="b">
        <v>1</v>
      </c>
      <c r="I370">
        <v>450</v>
      </c>
      <c r="K370" s="192" t="s">
        <v>32</v>
      </c>
      <c r="L370" s="188">
        <f>IFERROR(_xlfn.XLOOKUP(A370,[1]Fleet!A:A,[1]Fleet!E:E,""),"")</f>
        <v>27</v>
      </c>
      <c r="M370" s="188">
        <v>161.55000000000001</v>
      </c>
      <c r="N370" s="188" t="s">
        <v>936</v>
      </c>
      <c r="O370" s="198" t="s">
        <v>836</v>
      </c>
      <c r="P370">
        <v>326</v>
      </c>
      <c r="Q370">
        <f>_xlfn.XLOOKUP(A370,'[1]Classic Net to delete'!D:D,'[1]Classic Net to delete'!AA:AA,0)</f>
        <v>450</v>
      </c>
    </row>
    <row r="371" spans="1:17" x14ac:dyDescent="0.25">
      <c r="A371" t="s">
        <v>937</v>
      </c>
      <c r="B371" t="s">
        <v>938</v>
      </c>
      <c r="C371">
        <v>230.91</v>
      </c>
      <c r="D371" t="s">
        <v>835</v>
      </c>
      <c r="E371" t="str">
        <f t="shared" si="11"/>
        <v>05. Compactors</v>
      </c>
      <c r="F371">
        <v>75</v>
      </c>
      <c r="H371" t="b">
        <v>1</v>
      </c>
      <c r="I371">
        <v>451</v>
      </c>
      <c r="K371" s="192" t="s">
        <v>32</v>
      </c>
      <c r="L371" s="188">
        <f>IFERROR(_xlfn.XLOOKUP(A371,[1]Fleet!A:A,[1]Fleet!E:E,""),"")</f>
        <v>5</v>
      </c>
      <c r="M371" s="188">
        <v>215.8</v>
      </c>
      <c r="N371" s="188" t="s">
        <v>939</v>
      </c>
      <c r="O371" s="198" t="s">
        <v>836</v>
      </c>
      <c r="P371">
        <v>325</v>
      </c>
      <c r="Q371">
        <f>_xlfn.XLOOKUP(A371,'[1]Classic Net to delete'!D:D,'[1]Classic Net to delete'!AA:AA,0)</f>
        <v>451</v>
      </c>
    </row>
    <row r="372" spans="1:17" x14ac:dyDescent="0.25">
      <c r="A372" t="s">
        <v>940</v>
      </c>
      <c r="B372" t="s">
        <v>941</v>
      </c>
      <c r="C372">
        <v>121.77</v>
      </c>
      <c r="D372" t="s">
        <v>835</v>
      </c>
      <c r="E372" t="str">
        <f t="shared" si="11"/>
        <v>05. Compactors</v>
      </c>
      <c r="F372">
        <v>75</v>
      </c>
      <c r="H372" t="b">
        <v>1</v>
      </c>
      <c r="I372">
        <v>452</v>
      </c>
      <c r="K372" s="192" t="s">
        <v>32</v>
      </c>
      <c r="L372" s="188">
        <f>IFERROR(_xlfn.XLOOKUP(A372,[1]Fleet!A:A,[1]Fleet!E:E,""),"")</f>
        <v>12</v>
      </c>
      <c r="M372" s="188">
        <v>113.80000000000001</v>
      </c>
      <c r="N372" s="188" t="s">
        <v>941</v>
      </c>
      <c r="O372" s="198" t="s">
        <v>836</v>
      </c>
      <c r="P372">
        <v>324</v>
      </c>
      <c r="Q372">
        <f>_xlfn.XLOOKUP(A372,'[1]Classic Net to delete'!D:D,'[1]Classic Net to delete'!AA:AA,0)</f>
        <v>452</v>
      </c>
    </row>
    <row r="373" spans="1:17" x14ac:dyDescent="0.25">
      <c r="A373" t="s">
        <v>942</v>
      </c>
      <c r="B373" t="s">
        <v>943</v>
      </c>
      <c r="C373">
        <v>30.330000000000002</v>
      </c>
      <c r="D373" t="s">
        <v>944</v>
      </c>
      <c r="E373" t="str">
        <f t="shared" si="11"/>
        <v>. Accessories</v>
      </c>
      <c r="F373">
        <v>75</v>
      </c>
      <c r="H373" t="b">
        <v>0</v>
      </c>
      <c r="I373">
        <v>0</v>
      </c>
      <c r="L373" s="188">
        <f>IFERROR(_xlfn.XLOOKUP(A373,[1]Fleet!A:A,[1]Fleet!E:E,""),"")</f>
        <v>8</v>
      </c>
      <c r="M373" s="188" t="s">
        <v>22</v>
      </c>
      <c r="N373" s="188" t="s">
        <v>22</v>
      </c>
      <c r="O373" s="198" t="s">
        <v>945</v>
      </c>
      <c r="P373">
        <v>371</v>
      </c>
      <c r="Q373">
        <f>_xlfn.XLOOKUP(A373,'[1]Classic Net to delete'!D:D,'[1]Classic Net to delete'!AA:AA,0)</f>
        <v>0</v>
      </c>
    </row>
    <row r="374" spans="1:17" x14ac:dyDescent="0.25">
      <c r="A374" t="s">
        <v>946</v>
      </c>
      <c r="B374" t="s">
        <v>947</v>
      </c>
      <c r="C374">
        <v>15.46</v>
      </c>
      <c r="D374" t="s">
        <v>944</v>
      </c>
      <c r="E374" t="str">
        <f t="shared" si="11"/>
        <v>. Accessories</v>
      </c>
      <c r="F374">
        <v>75</v>
      </c>
      <c r="H374" t="b">
        <v>0</v>
      </c>
      <c r="I374">
        <v>0</v>
      </c>
      <c r="L374" s="188">
        <f>IFERROR(_xlfn.XLOOKUP(A374,[1]Fleet!A:A,[1]Fleet!E:E,""),"")</f>
        <v>7</v>
      </c>
      <c r="M374" s="188" t="s">
        <v>22</v>
      </c>
      <c r="N374" s="188" t="s">
        <v>22</v>
      </c>
      <c r="O374" s="198" t="s">
        <v>945</v>
      </c>
      <c r="P374">
        <v>370</v>
      </c>
      <c r="Q374">
        <f>_xlfn.XLOOKUP(A374,'[1]Classic Net to delete'!D:D,'[1]Classic Net to delete'!AA:AA,0)</f>
        <v>0</v>
      </c>
    </row>
    <row r="375" spans="1:17" x14ac:dyDescent="0.25">
      <c r="A375" t="s">
        <v>948</v>
      </c>
      <c r="B375" t="s">
        <v>949</v>
      </c>
      <c r="C375">
        <v>16.420000000000002</v>
      </c>
      <c r="D375" t="s">
        <v>944</v>
      </c>
      <c r="E375" t="str">
        <f t="shared" si="11"/>
        <v>. Accessories</v>
      </c>
      <c r="F375">
        <v>75</v>
      </c>
      <c r="H375" t="b">
        <v>0</v>
      </c>
      <c r="I375">
        <v>0</v>
      </c>
      <c r="L375" s="188">
        <f>IFERROR(_xlfn.XLOOKUP(A375,[1]Fleet!A:A,[1]Fleet!E:E,""),"")</f>
        <v>8</v>
      </c>
      <c r="M375" s="188" t="s">
        <v>22</v>
      </c>
      <c r="N375" s="188" t="s">
        <v>22</v>
      </c>
      <c r="O375" s="198" t="s">
        <v>945</v>
      </c>
      <c r="P375">
        <v>372</v>
      </c>
      <c r="Q375">
        <f>_xlfn.XLOOKUP(A375,'[1]Classic Net to delete'!D:D,'[1]Classic Net to delete'!AA:AA,0)</f>
        <v>0</v>
      </c>
    </row>
    <row r="376" spans="1:17" x14ac:dyDescent="0.25">
      <c r="A376" t="s">
        <v>948</v>
      </c>
      <c r="B376" t="s">
        <v>950</v>
      </c>
      <c r="C376">
        <v>16.420000000000002</v>
      </c>
      <c r="D376" t="s">
        <v>944</v>
      </c>
      <c r="E376" t="str">
        <f t="shared" si="11"/>
        <v>. Accessories</v>
      </c>
      <c r="F376">
        <v>75</v>
      </c>
      <c r="H376" t="b">
        <v>0</v>
      </c>
      <c r="I376">
        <v>0</v>
      </c>
      <c r="L376" s="188">
        <f>IFERROR(_xlfn.XLOOKUP(A376,[1]Fleet!A:A,[1]Fleet!E:E,""),"")</f>
        <v>8</v>
      </c>
      <c r="M376" s="188" t="s">
        <v>22</v>
      </c>
      <c r="N376" s="188" t="s">
        <v>22</v>
      </c>
      <c r="O376" s="198" t="s">
        <v>945</v>
      </c>
      <c r="P376">
        <v>373</v>
      </c>
      <c r="Q376">
        <f>_xlfn.XLOOKUP(A376,'[1]Classic Net to delete'!D:D,'[1]Classic Net to delete'!AA:AA,0)</f>
        <v>0</v>
      </c>
    </row>
    <row r="377" spans="1:17" x14ac:dyDescent="0.25">
      <c r="A377" t="s">
        <v>951</v>
      </c>
      <c r="B377" t="s">
        <v>952</v>
      </c>
      <c r="C377">
        <v>16.420000000000002</v>
      </c>
      <c r="D377" t="s">
        <v>944</v>
      </c>
      <c r="E377" t="str">
        <f t="shared" si="11"/>
        <v>. Accessories</v>
      </c>
      <c r="F377">
        <v>75</v>
      </c>
      <c r="H377" t="b">
        <v>0</v>
      </c>
      <c r="I377">
        <v>0</v>
      </c>
      <c r="L377" s="188">
        <f>IFERROR(_xlfn.XLOOKUP(A377,[1]Fleet!A:A,[1]Fleet!E:E,""),"")</f>
        <v>3</v>
      </c>
      <c r="M377" s="188" t="s">
        <v>22</v>
      </c>
      <c r="N377" s="188" t="s">
        <v>22</v>
      </c>
      <c r="O377" s="198" t="s">
        <v>945</v>
      </c>
      <c r="P377">
        <v>374</v>
      </c>
      <c r="Q377">
        <f>_xlfn.XLOOKUP(A377,'[1]Classic Net to delete'!D:D,'[1]Classic Net to delete'!AA:AA,0)</f>
        <v>0</v>
      </c>
    </row>
    <row r="378" spans="1:17" x14ac:dyDescent="0.25">
      <c r="A378" t="s">
        <v>953</v>
      </c>
      <c r="B378" t="s">
        <v>954</v>
      </c>
      <c r="C378">
        <v>48.38</v>
      </c>
      <c r="D378" t="s">
        <v>944</v>
      </c>
      <c r="E378" t="str">
        <f t="shared" si="11"/>
        <v>. Circular and Mitre Saws</v>
      </c>
      <c r="F378">
        <v>75</v>
      </c>
      <c r="H378" t="b">
        <v>0</v>
      </c>
      <c r="I378">
        <v>0</v>
      </c>
      <c r="L378" s="188">
        <f>IFERROR(_xlfn.XLOOKUP(A378,[1]Fleet!A:A,[1]Fleet!E:E,""),"")</f>
        <v>5</v>
      </c>
      <c r="M378" s="188" t="s">
        <v>22</v>
      </c>
      <c r="N378" s="188" t="s">
        <v>22</v>
      </c>
      <c r="O378" s="198" t="s">
        <v>955</v>
      </c>
      <c r="P378">
        <v>388</v>
      </c>
      <c r="Q378">
        <f>_xlfn.XLOOKUP(A378,'[1]Classic Net to delete'!D:D,'[1]Classic Net to delete'!AA:AA,0)</f>
        <v>0</v>
      </c>
    </row>
    <row r="379" spans="1:17" x14ac:dyDescent="0.25">
      <c r="A379" t="s">
        <v>956</v>
      </c>
      <c r="B379" t="s">
        <v>957</v>
      </c>
      <c r="C379">
        <v>46.33</v>
      </c>
      <c r="D379" t="s">
        <v>944</v>
      </c>
      <c r="E379" t="str">
        <f t="shared" si="11"/>
        <v>. Circular and Mitre Saws</v>
      </c>
      <c r="F379">
        <v>75</v>
      </c>
      <c r="H379" t="b">
        <v>0</v>
      </c>
      <c r="I379">
        <v>0</v>
      </c>
      <c r="L379" s="188">
        <f>IFERROR(_xlfn.XLOOKUP(A379,[1]Fleet!A:A,[1]Fleet!E:E,""),"")</f>
        <v>11</v>
      </c>
      <c r="M379" s="188" t="s">
        <v>22</v>
      </c>
      <c r="N379" s="188" t="s">
        <v>22</v>
      </c>
      <c r="O379" s="198" t="s">
        <v>955</v>
      </c>
      <c r="P379">
        <v>376</v>
      </c>
      <c r="Q379">
        <f>_xlfn.XLOOKUP(A379,'[1]Classic Net to delete'!D:D,'[1]Classic Net to delete'!AA:AA,0)</f>
        <v>0</v>
      </c>
    </row>
    <row r="380" spans="1:17" x14ac:dyDescent="0.25">
      <c r="A380" t="s">
        <v>958</v>
      </c>
      <c r="B380" t="s">
        <v>959</v>
      </c>
      <c r="C380">
        <v>41.36</v>
      </c>
      <c r="D380" t="s">
        <v>944</v>
      </c>
      <c r="E380" t="str">
        <f t="shared" si="11"/>
        <v>. Circular and Mitre Saws</v>
      </c>
      <c r="F380">
        <v>75</v>
      </c>
      <c r="H380" t="b">
        <v>0</v>
      </c>
      <c r="I380">
        <v>0</v>
      </c>
      <c r="L380" s="188">
        <f>IFERROR(_xlfn.XLOOKUP(A380,[1]Fleet!A:A,[1]Fleet!E:E,""),"")</f>
        <v>6</v>
      </c>
      <c r="M380" s="188" t="s">
        <v>22</v>
      </c>
      <c r="N380" s="188" t="s">
        <v>22</v>
      </c>
      <c r="O380" s="198" t="s">
        <v>955</v>
      </c>
      <c r="P380">
        <v>392</v>
      </c>
      <c r="Q380">
        <f>_xlfn.XLOOKUP(A380,'[1]Classic Net to delete'!D:D,'[1]Classic Net to delete'!AA:AA,0)</f>
        <v>0</v>
      </c>
    </row>
    <row r="381" spans="1:17" x14ac:dyDescent="0.25">
      <c r="A381" t="s">
        <v>960</v>
      </c>
      <c r="B381" t="s">
        <v>961</v>
      </c>
      <c r="C381">
        <v>79.23</v>
      </c>
      <c r="D381" t="s">
        <v>944</v>
      </c>
      <c r="E381" t="str">
        <f t="shared" si="11"/>
        <v>. Circular and Mitre Saws</v>
      </c>
      <c r="F381">
        <v>75</v>
      </c>
      <c r="H381" t="b">
        <v>0</v>
      </c>
      <c r="I381">
        <v>0</v>
      </c>
      <c r="L381" s="188">
        <f>IFERROR(_xlfn.XLOOKUP(A381,[1]Fleet!A:A,[1]Fleet!E:E,""),"")</f>
        <v>4</v>
      </c>
      <c r="M381" s="188" t="s">
        <v>22</v>
      </c>
      <c r="N381" s="188" t="s">
        <v>22</v>
      </c>
      <c r="O381" s="198" t="s">
        <v>955</v>
      </c>
      <c r="P381">
        <v>393</v>
      </c>
      <c r="Q381">
        <f>_xlfn.XLOOKUP(A381,'[1]Classic Net to delete'!D:D,'[1]Classic Net to delete'!AA:AA,0)</f>
        <v>0</v>
      </c>
    </row>
    <row r="382" spans="1:17" x14ac:dyDescent="0.25">
      <c r="A382" t="s">
        <v>962</v>
      </c>
      <c r="B382" t="s">
        <v>963</v>
      </c>
      <c r="C382">
        <v>102.93</v>
      </c>
      <c r="D382" t="s">
        <v>944</v>
      </c>
      <c r="E382" t="str">
        <f t="shared" si="11"/>
        <v>. Circular and Mitre Saws</v>
      </c>
      <c r="F382">
        <v>75</v>
      </c>
      <c r="H382" t="b">
        <v>0</v>
      </c>
      <c r="I382">
        <v>0</v>
      </c>
      <c r="L382" s="188">
        <f>IFERROR(_xlfn.XLOOKUP(A382,[1]Fleet!A:A,[1]Fleet!E:E,""),"")</f>
        <v>6</v>
      </c>
      <c r="M382" s="188" t="s">
        <v>22</v>
      </c>
      <c r="N382" s="188" t="s">
        <v>22</v>
      </c>
      <c r="O382" s="198" t="s">
        <v>955</v>
      </c>
      <c r="P382">
        <v>389</v>
      </c>
      <c r="Q382">
        <f>_xlfn.XLOOKUP(A382,'[1]Classic Net to delete'!D:D,'[1]Classic Net to delete'!AA:AA,0)</f>
        <v>0</v>
      </c>
    </row>
    <row r="383" spans="1:17" x14ac:dyDescent="0.25">
      <c r="A383" t="s">
        <v>964</v>
      </c>
      <c r="B383" t="s">
        <v>965</v>
      </c>
      <c r="C383">
        <v>0</v>
      </c>
      <c r="D383" t="s">
        <v>944</v>
      </c>
      <c r="E383" t="str">
        <f t="shared" si="11"/>
        <v>. Circular and Mitre Saws</v>
      </c>
      <c r="F383">
        <v>75</v>
      </c>
      <c r="H383" t="b">
        <v>0</v>
      </c>
      <c r="I383">
        <v>524</v>
      </c>
      <c r="L383" s="188" t="str">
        <f>IFERROR(_xlfn.XLOOKUP(A383,[1]Fleet!A:A,[1]Fleet!E:E,""),"")</f>
        <v/>
      </c>
      <c r="M383" s="188">
        <v>93.45</v>
      </c>
      <c r="N383" s="188" t="s">
        <v>966</v>
      </c>
      <c r="O383" s="198" t="s">
        <v>955</v>
      </c>
      <c r="P383">
        <v>386</v>
      </c>
      <c r="Q383">
        <f>_xlfn.XLOOKUP(A383,'[1]Classic Net to delete'!D:D,'[1]Classic Net to delete'!AA:AA,0)</f>
        <v>524</v>
      </c>
    </row>
    <row r="384" spans="1:17" x14ac:dyDescent="0.25">
      <c r="A384" t="s">
        <v>967</v>
      </c>
      <c r="B384" t="s">
        <v>968</v>
      </c>
      <c r="C384">
        <v>44.14</v>
      </c>
      <c r="D384" t="s">
        <v>944</v>
      </c>
      <c r="E384" t="str">
        <f t="shared" si="11"/>
        <v>. Cutting</v>
      </c>
      <c r="F384">
        <v>75</v>
      </c>
      <c r="H384" t="b">
        <v>0</v>
      </c>
      <c r="I384">
        <v>0</v>
      </c>
      <c r="L384" s="188">
        <f>IFERROR(_xlfn.XLOOKUP(A384,[1]Fleet!A:A,[1]Fleet!E:E,""),"")</f>
        <v>1</v>
      </c>
      <c r="M384" s="188" t="s">
        <v>22</v>
      </c>
      <c r="N384" s="188" t="s">
        <v>22</v>
      </c>
      <c r="O384" s="198" t="s">
        <v>969</v>
      </c>
      <c r="P384">
        <v>434</v>
      </c>
      <c r="Q384">
        <f>_xlfn.XLOOKUP(A384,'[1]Classic Net to delete'!D:D,'[1]Classic Net to delete'!AA:AA,0)</f>
        <v>0</v>
      </c>
    </row>
    <row r="385" spans="1:17" x14ac:dyDescent="0.25">
      <c r="A385" t="s">
        <v>970</v>
      </c>
      <c r="B385" t="s">
        <v>971</v>
      </c>
      <c r="C385">
        <v>76.52</v>
      </c>
      <c r="D385" t="s">
        <v>944</v>
      </c>
      <c r="E385" t="str">
        <f t="shared" si="11"/>
        <v>. Cutting</v>
      </c>
      <c r="F385">
        <v>75</v>
      </c>
      <c r="H385" t="b">
        <v>0</v>
      </c>
      <c r="I385">
        <v>0</v>
      </c>
      <c r="L385" s="188">
        <f>IFERROR(_xlfn.XLOOKUP(A385,[1]Fleet!A:A,[1]Fleet!E:E,""),"")</f>
        <v>2</v>
      </c>
      <c r="M385" s="188" t="s">
        <v>22</v>
      </c>
      <c r="N385" s="188" t="s">
        <v>22</v>
      </c>
      <c r="O385" s="198" t="s">
        <v>969</v>
      </c>
      <c r="P385">
        <v>422</v>
      </c>
      <c r="Q385">
        <f>_xlfn.XLOOKUP(A385,'[1]Classic Net to delete'!D:D,'[1]Classic Net to delete'!AA:AA,0)</f>
        <v>0</v>
      </c>
    </row>
    <row r="386" spans="1:17" x14ac:dyDescent="0.25">
      <c r="A386" t="s">
        <v>972</v>
      </c>
      <c r="B386" t="s">
        <v>973</v>
      </c>
      <c r="C386">
        <v>85.600000000000009</v>
      </c>
      <c r="D386" t="s">
        <v>944</v>
      </c>
      <c r="E386" t="str">
        <f t="shared" si="11"/>
        <v>. Cutting</v>
      </c>
      <c r="F386">
        <v>75</v>
      </c>
      <c r="H386" t="b">
        <v>0</v>
      </c>
      <c r="I386">
        <v>0</v>
      </c>
      <c r="L386" s="188">
        <f>IFERROR(_xlfn.XLOOKUP(A386,[1]Fleet!A:A,[1]Fleet!E:E,""),"")</f>
        <v>0</v>
      </c>
      <c r="M386" s="188" t="s">
        <v>22</v>
      </c>
      <c r="N386" s="188" t="s">
        <v>22</v>
      </c>
      <c r="O386" s="198" t="s">
        <v>969</v>
      </c>
      <c r="P386">
        <v>431</v>
      </c>
      <c r="Q386">
        <f>_xlfn.XLOOKUP(A386,'[1]Classic Net to delete'!D:D,'[1]Classic Net to delete'!AA:AA,0)</f>
        <v>0</v>
      </c>
    </row>
    <row r="387" spans="1:17" x14ac:dyDescent="0.25">
      <c r="A387" t="s">
        <v>974</v>
      </c>
      <c r="B387" t="s">
        <v>975</v>
      </c>
      <c r="C387">
        <v>85.600000000000009</v>
      </c>
      <c r="D387" t="s">
        <v>944</v>
      </c>
      <c r="E387" t="str">
        <f t="shared" si="11"/>
        <v>. Cutting</v>
      </c>
      <c r="F387">
        <v>75</v>
      </c>
      <c r="H387" t="b">
        <v>0</v>
      </c>
      <c r="I387">
        <v>0</v>
      </c>
      <c r="L387" s="188" t="str">
        <f>IFERROR(_xlfn.XLOOKUP(A387,[1]Fleet!A:A,[1]Fleet!E:E,""),"")</f>
        <v/>
      </c>
      <c r="M387" s="188" t="s">
        <v>22</v>
      </c>
      <c r="N387" s="188" t="s">
        <v>22</v>
      </c>
      <c r="O387" s="198" t="s">
        <v>969</v>
      </c>
      <c r="P387">
        <v>428</v>
      </c>
      <c r="Q387">
        <f>_xlfn.XLOOKUP(A387,'[1]Classic Net to delete'!D:D,'[1]Classic Net to delete'!AA:AA,0)</f>
        <v>0</v>
      </c>
    </row>
    <row r="388" spans="1:17" x14ac:dyDescent="0.25">
      <c r="A388" t="s">
        <v>976</v>
      </c>
      <c r="B388" t="s">
        <v>977</v>
      </c>
      <c r="C388">
        <v>27.82</v>
      </c>
      <c r="D388" t="s">
        <v>944</v>
      </c>
      <c r="E388" t="str">
        <f t="shared" si="11"/>
        <v>. Cutting</v>
      </c>
      <c r="F388">
        <v>75</v>
      </c>
      <c r="H388" t="b">
        <v>0</v>
      </c>
      <c r="I388">
        <v>0</v>
      </c>
      <c r="L388" s="188">
        <f>IFERROR(_xlfn.XLOOKUP(A388,[1]Fleet!A:A,[1]Fleet!E:E,""),"")</f>
        <v>1</v>
      </c>
      <c r="M388" s="188" t="s">
        <v>22</v>
      </c>
      <c r="N388" s="188" t="s">
        <v>22</v>
      </c>
      <c r="O388" s="198" t="s">
        <v>969</v>
      </c>
      <c r="P388">
        <v>432</v>
      </c>
      <c r="Q388">
        <f>_xlfn.XLOOKUP(A388,'[1]Classic Net to delete'!D:D,'[1]Classic Net to delete'!AA:AA,0)</f>
        <v>0</v>
      </c>
    </row>
    <row r="389" spans="1:17" x14ac:dyDescent="0.25">
      <c r="A389" t="s">
        <v>978</v>
      </c>
      <c r="B389" t="s">
        <v>979</v>
      </c>
      <c r="C389">
        <v>205.07</v>
      </c>
      <c r="D389" t="s">
        <v>944</v>
      </c>
      <c r="E389" t="str">
        <f t="shared" ref="E389:E452" si="12">CONCATENATE(K389,". ",O389)</f>
        <v>. Cutting</v>
      </c>
      <c r="F389">
        <v>75</v>
      </c>
      <c r="H389" t="b">
        <v>0</v>
      </c>
      <c r="I389">
        <v>0</v>
      </c>
      <c r="L389" s="188">
        <f>IFERROR(_xlfn.XLOOKUP(A389,[1]Fleet!A:A,[1]Fleet!E:E,""),"")</f>
        <v>6</v>
      </c>
      <c r="M389" s="188" t="s">
        <v>22</v>
      </c>
      <c r="N389" s="188" t="s">
        <v>22</v>
      </c>
      <c r="O389" s="198" t="s">
        <v>969</v>
      </c>
      <c r="P389">
        <v>421</v>
      </c>
      <c r="Q389">
        <f>_xlfn.XLOOKUP(A389,'[1]Classic Net to delete'!D:D,'[1]Classic Net to delete'!AA:AA,0)</f>
        <v>0</v>
      </c>
    </row>
    <row r="390" spans="1:17" x14ac:dyDescent="0.25">
      <c r="A390" t="s">
        <v>980</v>
      </c>
      <c r="B390" t="s">
        <v>981</v>
      </c>
      <c r="C390">
        <v>218.92000000000002</v>
      </c>
      <c r="D390" t="s">
        <v>944</v>
      </c>
      <c r="E390" t="str">
        <f t="shared" si="12"/>
        <v>. Cutting</v>
      </c>
      <c r="F390">
        <v>75</v>
      </c>
      <c r="H390" t="b">
        <v>0</v>
      </c>
      <c r="I390">
        <v>0</v>
      </c>
      <c r="L390" s="188">
        <f>IFERROR(_xlfn.XLOOKUP(A390,[1]Fleet!A:A,[1]Fleet!E:E,""),"")</f>
        <v>1</v>
      </c>
      <c r="M390" s="188" t="s">
        <v>22</v>
      </c>
      <c r="N390" s="188" t="s">
        <v>22</v>
      </c>
      <c r="O390" s="198" t="s">
        <v>969</v>
      </c>
      <c r="P390">
        <v>433</v>
      </c>
      <c r="Q390">
        <f>_xlfn.XLOOKUP(A390,'[1]Classic Net to delete'!D:D,'[1]Classic Net to delete'!AA:AA,0)</f>
        <v>0</v>
      </c>
    </row>
    <row r="391" spans="1:17" x14ac:dyDescent="0.25">
      <c r="A391" t="s">
        <v>982</v>
      </c>
      <c r="B391" t="s">
        <v>983</v>
      </c>
      <c r="C391">
        <v>111.24000000000001</v>
      </c>
      <c r="D391" t="s">
        <v>944</v>
      </c>
      <c r="E391" t="str">
        <f t="shared" si="12"/>
        <v>. Cutting</v>
      </c>
      <c r="F391">
        <v>75</v>
      </c>
      <c r="H391" t="b">
        <v>0</v>
      </c>
      <c r="I391">
        <v>0</v>
      </c>
      <c r="L391" s="188">
        <f>IFERROR(_xlfn.XLOOKUP(A391,[1]Fleet!A:A,[1]Fleet!E:E,""),"")</f>
        <v>5</v>
      </c>
      <c r="M391" s="188" t="s">
        <v>22</v>
      </c>
      <c r="N391" s="188" t="s">
        <v>22</v>
      </c>
      <c r="O391" s="198" t="s">
        <v>969</v>
      </c>
      <c r="P391">
        <v>429</v>
      </c>
      <c r="Q391">
        <f>_xlfn.XLOOKUP(A391,'[1]Classic Net to delete'!D:D,'[1]Classic Net to delete'!AA:AA,0)</f>
        <v>0</v>
      </c>
    </row>
    <row r="392" spans="1:17" x14ac:dyDescent="0.25">
      <c r="A392" t="s">
        <v>984</v>
      </c>
      <c r="B392" t="s">
        <v>985</v>
      </c>
      <c r="C392">
        <v>174.95000000000002</v>
      </c>
      <c r="D392" t="s">
        <v>944</v>
      </c>
      <c r="E392" t="str">
        <f t="shared" si="12"/>
        <v>. Cutting</v>
      </c>
      <c r="F392">
        <v>75</v>
      </c>
      <c r="H392" t="b">
        <v>0</v>
      </c>
      <c r="I392">
        <v>0</v>
      </c>
      <c r="L392" s="188">
        <f>IFERROR(_xlfn.XLOOKUP(A392,[1]Fleet!A:A,[1]Fleet!E:E,""),"")</f>
        <v>3</v>
      </c>
      <c r="M392" s="188" t="s">
        <v>22</v>
      </c>
      <c r="N392" s="188" t="s">
        <v>22</v>
      </c>
      <c r="O392" s="198" t="s">
        <v>969</v>
      </c>
      <c r="P392">
        <v>427</v>
      </c>
      <c r="Q392">
        <f>_xlfn.XLOOKUP(A392,'[1]Classic Net to delete'!D:D,'[1]Classic Net to delete'!AA:AA,0)</f>
        <v>0</v>
      </c>
    </row>
    <row r="393" spans="1:17" x14ac:dyDescent="0.25">
      <c r="A393" t="s">
        <v>986</v>
      </c>
      <c r="B393" t="s">
        <v>987</v>
      </c>
      <c r="C393">
        <v>55.11</v>
      </c>
      <c r="D393" t="s">
        <v>944</v>
      </c>
      <c r="E393" t="str">
        <f t="shared" si="12"/>
        <v>. Cutting</v>
      </c>
      <c r="F393">
        <v>75</v>
      </c>
      <c r="H393" t="b">
        <v>0</v>
      </c>
      <c r="I393">
        <v>0</v>
      </c>
      <c r="L393" s="188">
        <f>IFERROR(_xlfn.XLOOKUP(A393,[1]Fleet!A:A,[1]Fleet!E:E,""),"")</f>
        <v>3</v>
      </c>
      <c r="M393" s="188" t="s">
        <v>22</v>
      </c>
      <c r="N393" s="188" t="s">
        <v>22</v>
      </c>
      <c r="O393" s="198" t="s">
        <v>969</v>
      </c>
      <c r="P393">
        <v>430</v>
      </c>
      <c r="Q393">
        <f>_xlfn.XLOOKUP(A393,'[1]Classic Net to delete'!D:D,'[1]Classic Net to delete'!AA:AA,0)</f>
        <v>0</v>
      </c>
    </row>
    <row r="394" spans="1:17" x14ac:dyDescent="0.25">
      <c r="A394" t="s">
        <v>988</v>
      </c>
      <c r="B394" t="s">
        <v>989</v>
      </c>
      <c r="C394">
        <v>16.420000000000002</v>
      </c>
      <c r="D394" t="s">
        <v>944</v>
      </c>
      <c r="E394" t="str">
        <f t="shared" si="12"/>
        <v>. General</v>
      </c>
      <c r="F394">
        <v>75</v>
      </c>
      <c r="H394" t="b">
        <v>0</v>
      </c>
      <c r="I394">
        <v>0</v>
      </c>
      <c r="L394" s="188">
        <f>IFERROR(_xlfn.XLOOKUP(A394,[1]Fleet!A:A,[1]Fleet!E:E,""),"")</f>
        <v>2</v>
      </c>
      <c r="M394" s="188" t="s">
        <v>22</v>
      </c>
      <c r="N394" s="188" t="s">
        <v>22</v>
      </c>
      <c r="O394" s="198" t="s">
        <v>722</v>
      </c>
      <c r="P394">
        <v>280</v>
      </c>
      <c r="Q394">
        <f>_xlfn.XLOOKUP(A394,'[1]Classic Net to delete'!D:D,'[1]Classic Net to delete'!AA:AA,0)</f>
        <v>0</v>
      </c>
    </row>
    <row r="395" spans="1:17" x14ac:dyDescent="0.25">
      <c r="A395" t="s">
        <v>990</v>
      </c>
      <c r="B395" t="s">
        <v>991</v>
      </c>
      <c r="C395">
        <v>44.14</v>
      </c>
      <c r="D395" t="s">
        <v>944</v>
      </c>
      <c r="E395" t="str">
        <f t="shared" si="12"/>
        <v>. Grinding</v>
      </c>
      <c r="F395">
        <v>75</v>
      </c>
      <c r="H395" t="b">
        <v>0</v>
      </c>
      <c r="I395">
        <v>0</v>
      </c>
      <c r="L395" s="188">
        <f>IFERROR(_xlfn.XLOOKUP(A395,[1]Fleet!A:A,[1]Fleet!E:E,""),"")</f>
        <v>11</v>
      </c>
      <c r="M395" s="188" t="s">
        <v>22</v>
      </c>
      <c r="N395" s="188" t="s">
        <v>22</v>
      </c>
      <c r="O395" s="198" t="s">
        <v>992</v>
      </c>
      <c r="P395">
        <v>440</v>
      </c>
      <c r="Q395">
        <f>_xlfn.XLOOKUP(A395,'[1]Classic Net to delete'!D:D,'[1]Classic Net to delete'!AA:AA,0)</f>
        <v>0</v>
      </c>
    </row>
    <row r="396" spans="1:17" x14ac:dyDescent="0.25">
      <c r="A396" t="s">
        <v>993</v>
      </c>
      <c r="B396" t="s">
        <v>994</v>
      </c>
      <c r="C396">
        <v>40.36</v>
      </c>
      <c r="D396" t="s">
        <v>944</v>
      </c>
      <c r="E396" t="str">
        <f t="shared" si="12"/>
        <v>. Grinding</v>
      </c>
      <c r="F396">
        <v>75</v>
      </c>
      <c r="H396" t="b">
        <v>0</v>
      </c>
      <c r="I396">
        <v>0</v>
      </c>
      <c r="L396" s="188">
        <f>IFERROR(_xlfn.XLOOKUP(A396,[1]Fleet!A:A,[1]Fleet!E:E,""),"")</f>
        <v>4</v>
      </c>
      <c r="M396" s="188" t="s">
        <v>22</v>
      </c>
      <c r="N396" s="188" t="s">
        <v>22</v>
      </c>
      <c r="O396" s="198" t="s">
        <v>992</v>
      </c>
      <c r="P396">
        <v>442</v>
      </c>
      <c r="Q396">
        <f>_xlfn.XLOOKUP(A396,'[1]Classic Net to delete'!D:D,'[1]Classic Net to delete'!AA:AA,0)</f>
        <v>0</v>
      </c>
    </row>
    <row r="397" spans="1:17" x14ac:dyDescent="0.25">
      <c r="A397" t="s">
        <v>995</v>
      </c>
      <c r="B397" t="s">
        <v>996</v>
      </c>
      <c r="C397">
        <v>96.460000000000008</v>
      </c>
      <c r="D397" t="s">
        <v>944</v>
      </c>
      <c r="E397" t="str">
        <f t="shared" si="12"/>
        <v>. Material Cutting</v>
      </c>
      <c r="F397">
        <v>75</v>
      </c>
      <c r="H397" t="b">
        <v>0</v>
      </c>
      <c r="I397">
        <v>0</v>
      </c>
      <c r="L397" s="188">
        <f>IFERROR(_xlfn.XLOOKUP(A397,[1]Fleet!A:A,[1]Fleet!E:E,""),"")</f>
        <v>3</v>
      </c>
      <c r="M397" s="188" t="s">
        <v>22</v>
      </c>
      <c r="N397" s="188" t="s">
        <v>22</v>
      </c>
      <c r="O397" s="198" t="s">
        <v>997</v>
      </c>
      <c r="P397">
        <v>458</v>
      </c>
      <c r="Q397">
        <f>_xlfn.XLOOKUP(A397,'[1]Classic Net to delete'!D:D,'[1]Classic Net to delete'!AA:AA,0)</f>
        <v>0</v>
      </c>
    </row>
    <row r="398" spans="1:17" x14ac:dyDescent="0.25">
      <c r="A398" t="s">
        <v>998</v>
      </c>
      <c r="B398" t="s">
        <v>999</v>
      </c>
      <c r="C398">
        <v>56.34</v>
      </c>
      <c r="D398" t="s">
        <v>944</v>
      </c>
      <c r="E398" t="str">
        <f t="shared" si="12"/>
        <v>. Material Cutting</v>
      </c>
      <c r="F398">
        <v>75</v>
      </c>
      <c r="H398" t="b">
        <v>0</v>
      </c>
      <c r="I398">
        <v>0</v>
      </c>
      <c r="L398" s="188">
        <f>IFERROR(_xlfn.XLOOKUP(A398,[1]Fleet!A:A,[1]Fleet!E:E,""),"")</f>
        <v>6</v>
      </c>
      <c r="M398" s="188" t="s">
        <v>22</v>
      </c>
      <c r="N398" s="188" t="s">
        <v>22</v>
      </c>
      <c r="O398" s="198" t="s">
        <v>997</v>
      </c>
      <c r="P398">
        <v>457</v>
      </c>
      <c r="Q398">
        <f>_xlfn.XLOOKUP(A398,'[1]Classic Net to delete'!D:D,'[1]Classic Net to delete'!AA:AA,0)</f>
        <v>0</v>
      </c>
    </row>
    <row r="399" spans="1:17" x14ac:dyDescent="0.25">
      <c r="A399" t="s">
        <v>1000</v>
      </c>
      <c r="B399" t="s">
        <v>1001</v>
      </c>
      <c r="C399">
        <v>36.590000000000003</v>
      </c>
      <c r="D399" t="s">
        <v>944</v>
      </c>
      <c r="E399" t="str">
        <f t="shared" si="12"/>
        <v>01. Grinding</v>
      </c>
      <c r="F399">
        <v>75</v>
      </c>
      <c r="H399" t="b">
        <v>1</v>
      </c>
      <c r="I399">
        <v>456</v>
      </c>
      <c r="K399" s="192" t="s">
        <v>21</v>
      </c>
      <c r="L399" s="188">
        <f>IFERROR(_xlfn.XLOOKUP(A399,[1]Fleet!A:A,[1]Fleet!E:E,""),"")</f>
        <v>4</v>
      </c>
      <c r="M399" s="188">
        <v>34.200000000000003</v>
      </c>
      <c r="N399" s="188" t="s">
        <v>1001</v>
      </c>
      <c r="O399" s="198" t="s">
        <v>992</v>
      </c>
      <c r="P399">
        <v>441</v>
      </c>
      <c r="Q399">
        <f>_xlfn.XLOOKUP(A399,'[1]Classic Net to delete'!D:D,'[1]Classic Net to delete'!AA:AA,0)</f>
        <v>456</v>
      </c>
    </row>
    <row r="400" spans="1:17" x14ac:dyDescent="0.25">
      <c r="A400" t="s">
        <v>1002</v>
      </c>
      <c r="B400" t="s">
        <v>1003</v>
      </c>
      <c r="C400">
        <v>17.07</v>
      </c>
      <c r="D400" t="s">
        <v>944</v>
      </c>
      <c r="E400" t="str">
        <f t="shared" si="12"/>
        <v>01. Grinding</v>
      </c>
      <c r="F400">
        <v>75</v>
      </c>
      <c r="H400" t="b">
        <v>1</v>
      </c>
      <c r="I400">
        <v>457</v>
      </c>
      <c r="K400" s="192" t="s">
        <v>21</v>
      </c>
      <c r="L400" s="188">
        <f>IFERROR(_xlfn.XLOOKUP(A400,[1]Fleet!A:A,[1]Fleet!E:E,""),"")</f>
        <v>29</v>
      </c>
      <c r="M400" s="188">
        <v>15.950000000000001</v>
      </c>
      <c r="N400" s="188" t="s">
        <v>1003</v>
      </c>
      <c r="O400" s="198" t="s">
        <v>992</v>
      </c>
      <c r="P400">
        <v>436</v>
      </c>
      <c r="Q400">
        <f>_xlfn.XLOOKUP(A400,'[1]Classic Net to delete'!D:D,'[1]Classic Net to delete'!AA:AA,0)</f>
        <v>457</v>
      </c>
    </row>
    <row r="401" spans="1:17" x14ac:dyDescent="0.25">
      <c r="A401" t="s">
        <v>1004</v>
      </c>
      <c r="B401" t="s">
        <v>1005</v>
      </c>
      <c r="C401">
        <v>22.3</v>
      </c>
      <c r="D401" t="s">
        <v>944</v>
      </c>
      <c r="E401" t="str">
        <f t="shared" si="12"/>
        <v>01. Grinding</v>
      </c>
      <c r="F401">
        <v>75</v>
      </c>
      <c r="H401" t="b">
        <v>1</v>
      </c>
      <c r="I401">
        <v>458</v>
      </c>
      <c r="K401" s="192" t="s">
        <v>21</v>
      </c>
      <c r="L401" s="188">
        <f>IFERROR(_xlfn.XLOOKUP(A401,[1]Fleet!A:A,[1]Fleet!E:E,""),"")</f>
        <v>28</v>
      </c>
      <c r="M401" s="188">
        <v>18.900000000000002</v>
      </c>
      <c r="N401" s="188" t="s">
        <v>1006</v>
      </c>
      <c r="O401" s="198" t="s">
        <v>992</v>
      </c>
      <c r="P401">
        <v>437</v>
      </c>
      <c r="Q401">
        <f>_xlfn.XLOOKUP(A401,'[1]Classic Net to delete'!D:D,'[1]Classic Net to delete'!AA:AA,0)</f>
        <v>458</v>
      </c>
    </row>
    <row r="402" spans="1:17" x14ac:dyDescent="0.25">
      <c r="A402" t="s">
        <v>1007</v>
      </c>
      <c r="B402" t="s">
        <v>950</v>
      </c>
      <c r="C402">
        <v>18.11</v>
      </c>
      <c r="D402" t="s">
        <v>944</v>
      </c>
      <c r="E402" t="str">
        <f t="shared" si="12"/>
        <v>01. Grinding</v>
      </c>
      <c r="F402">
        <v>75</v>
      </c>
      <c r="H402" t="b">
        <v>1</v>
      </c>
      <c r="I402">
        <v>459</v>
      </c>
      <c r="K402" s="191" t="s">
        <v>21</v>
      </c>
      <c r="L402" s="188">
        <f>IFERROR(_xlfn.XLOOKUP(A402,[1]Fleet!A:A,[1]Fleet!E:E,""),"")</f>
        <v>8</v>
      </c>
      <c r="M402" s="188">
        <v>15.350000000000001</v>
      </c>
      <c r="N402" s="188" t="s">
        <v>1008</v>
      </c>
      <c r="O402" s="198" t="s">
        <v>992</v>
      </c>
      <c r="P402">
        <v>368</v>
      </c>
      <c r="Q402">
        <f>_xlfn.XLOOKUP(A402,'[1]Classic Net to delete'!D:D,'[1]Classic Net to delete'!AA:AA,0)</f>
        <v>459</v>
      </c>
    </row>
    <row r="403" spans="1:17" x14ac:dyDescent="0.25">
      <c r="A403" t="s">
        <v>1009</v>
      </c>
      <c r="B403" t="s">
        <v>1010</v>
      </c>
      <c r="C403">
        <v>59.22</v>
      </c>
      <c r="D403" t="s">
        <v>944</v>
      </c>
      <c r="E403" t="str">
        <f t="shared" si="12"/>
        <v>01. Grinding</v>
      </c>
      <c r="F403">
        <v>75</v>
      </c>
      <c r="H403" t="b">
        <v>1</v>
      </c>
      <c r="I403">
        <v>460</v>
      </c>
      <c r="K403" s="192" t="s">
        <v>21</v>
      </c>
      <c r="L403" s="188">
        <f>IFERROR(_xlfn.XLOOKUP(A403,[1]Fleet!A:A,[1]Fleet!E:E,""),"")</f>
        <v>9</v>
      </c>
      <c r="M403" s="188" t="s">
        <v>22</v>
      </c>
      <c r="N403" s="188" t="s">
        <v>22</v>
      </c>
      <c r="O403" s="198" t="s">
        <v>992</v>
      </c>
      <c r="P403">
        <v>435</v>
      </c>
      <c r="Q403">
        <f>_xlfn.XLOOKUP(A403,'[1]Classic Net to delete'!D:D,'[1]Classic Net to delete'!AA:AA,0)</f>
        <v>0</v>
      </c>
    </row>
    <row r="404" spans="1:17" x14ac:dyDescent="0.25">
      <c r="A404" t="s">
        <v>1011</v>
      </c>
      <c r="B404" t="s">
        <v>1012</v>
      </c>
      <c r="C404">
        <v>59.22</v>
      </c>
      <c r="D404" t="s">
        <v>944</v>
      </c>
      <c r="E404" t="str">
        <f t="shared" si="12"/>
        <v>01. Grinding</v>
      </c>
      <c r="F404">
        <v>75</v>
      </c>
      <c r="H404" t="b">
        <v>1</v>
      </c>
      <c r="I404">
        <v>460.1</v>
      </c>
      <c r="K404" s="192" t="s">
        <v>21</v>
      </c>
      <c r="L404" s="188">
        <f>IFERROR(_xlfn.XLOOKUP(A404,[1]Fleet!A:A,[1]Fleet!E:E,""),"")</f>
        <v>34</v>
      </c>
      <c r="M404" s="188">
        <v>55.35</v>
      </c>
      <c r="N404" s="188" t="s">
        <v>1012</v>
      </c>
      <c r="O404" s="198" t="s">
        <v>992</v>
      </c>
      <c r="P404">
        <v>444</v>
      </c>
      <c r="Q404">
        <f>_xlfn.XLOOKUP(A404,'[1]Classic Net to delete'!D:D,'[1]Classic Net to delete'!AA:AA,0)</f>
        <v>460</v>
      </c>
    </row>
    <row r="405" spans="1:17" x14ac:dyDescent="0.25">
      <c r="A405" t="s">
        <v>1013</v>
      </c>
      <c r="B405" t="s">
        <v>1014</v>
      </c>
      <c r="C405">
        <v>20.81</v>
      </c>
      <c r="D405" t="s">
        <v>944</v>
      </c>
      <c r="E405" t="str">
        <f t="shared" si="12"/>
        <v>01. Grinding</v>
      </c>
      <c r="F405">
        <v>75</v>
      </c>
      <c r="H405" t="b">
        <v>1</v>
      </c>
      <c r="I405">
        <v>461</v>
      </c>
      <c r="K405" s="192" t="s">
        <v>21</v>
      </c>
      <c r="L405" s="188">
        <f>IFERROR(_xlfn.XLOOKUP(A405,[1]Fleet!A:A,[1]Fleet!E:E,""),"")</f>
        <v>38</v>
      </c>
      <c r="M405" s="188">
        <v>19.450000000000003</v>
      </c>
      <c r="N405" s="188" t="s">
        <v>1014</v>
      </c>
      <c r="O405" s="198" t="s">
        <v>992</v>
      </c>
      <c r="P405">
        <v>438</v>
      </c>
      <c r="Q405">
        <f>_xlfn.XLOOKUP(A405,'[1]Classic Net to delete'!D:D,'[1]Classic Net to delete'!AA:AA,0)</f>
        <v>461</v>
      </c>
    </row>
    <row r="406" spans="1:17" x14ac:dyDescent="0.25">
      <c r="A406" t="s">
        <v>1015</v>
      </c>
      <c r="B406" t="s">
        <v>1016</v>
      </c>
      <c r="C406">
        <v>26.14</v>
      </c>
      <c r="D406" t="s">
        <v>944</v>
      </c>
      <c r="E406" t="str">
        <f t="shared" si="12"/>
        <v>01. Grinding</v>
      </c>
      <c r="F406">
        <v>75</v>
      </c>
      <c r="H406" t="b">
        <v>1</v>
      </c>
      <c r="I406">
        <v>462</v>
      </c>
      <c r="K406" s="192" t="s">
        <v>21</v>
      </c>
      <c r="L406" s="188">
        <f>IFERROR(_xlfn.XLOOKUP(A406,[1]Fleet!A:A,[1]Fleet!E:E,""),"")</f>
        <v>1</v>
      </c>
      <c r="M406" s="188">
        <v>22.150000000000002</v>
      </c>
      <c r="N406" s="188" t="s">
        <v>1017</v>
      </c>
      <c r="O406" s="198" t="s">
        <v>992</v>
      </c>
      <c r="P406">
        <v>439</v>
      </c>
      <c r="Q406">
        <f>_xlfn.XLOOKUP(A406,'[1]Classic Net to delete'!D:D,'[1]Classic Net to delete'!AA:AA,0)</f>
        <v>462</v>
      </c>
    </row>
    <row r="407" spans="1:17" x14ac:dyDescent="0.25">
      <c r="A407" t="s">
        <v>1018</v>
      </c>
      <c r="B407" t="s">
        <v>1019</v>
      </c>
      <c r="C407">
        <v>18.11</v>
      </c>
      <c r="D407" t="s">
        <v>944</v>
      </c>
      <c r="E407" t="str">
        <f t="shared" si="12"/>
        <v>01. Grinding</v>
      </c>
      <c r="F407">
        <v>75</v>
      </c>
      <c r="H407" t="b">
        <v>1</v>
      </c>
      <c r="I407">
        <v>463</v>
      </c>
      <c r="K407" s="192" t="s">
        <v>21</v>
      </c>
      <c r="L407" s="188">
        <f>IFERROR(_xlfn.XLOOKUP(A407,[1]Fleet!A:A,[1]Fleet!E:E,""),"")</f>
        <v>8</v>
      </c>
      <c r="M407" s="188">
        <v>15.350000000000001</v>
      </c>
      <c r="N407" s="188" t="s">
        <v>1020</v>
      </c>
      <c r="O407" s="198" t="s">
        <v>992</v>
      </c>
      <c r="P407">
        <v>369</v>
      </c>
      <c r="Q407">
        <f>_xlfn.XLOOKUP(A407,'[1]Classic Net to delete'!D:D,'[1]Classic Net to delete'!AA:AA,0)</f>
        <v>463</v>
      </c>
    </row>
    <row r="408" spans="1:17" x14ac:dyDescent="0.25">
      <c r="A408" t="s">
        <v>1021</v>
      </c>
      <c r="B408" t="s">
        <v>1022</v>
      </c>
      <c r="C408">
        <v>71.16</v>
      </c>
      <c r="D408" t="s">
        <v>944</v>
      </c>
      <c r="E408" t="str">
        <f t="shared" si="12"/>
        <v>01. Grinding</v>
      </c>
      <c r="F408">
        <v>75</v>
      </c>
      <c r="H408" t="b">
        <v>1</v>
      </c>
      <c r="I408">
        <v>464</v>
      </c>
      <c r="K408" s="192" t="s">
        <v>21</v>
      </c>
      <c r="L408" s="188">
        <f>IFERROR(_xlfn.XLOOKUP(A408,[1]Fleet!A:A,[1]Fleet!E:E,""),"")</f>
        <v>9</v>
      </c>
      <c r="M408" s="188">
        <v>66.5</v>
      </c>
      <c r="N408" s="188" t="s">
        <v>1022</v>
      </c>
      <c r="O408" s="198" t="s">
        <v>992</v>
      </c>
      <c r="P408">
        <v>443</v>
      </c>
      <c r="Q408">
        <f>_xlfn.XLOOKUP(A408,'[1]Classic Net to delete'!D:D,'[1]Classic Net to delete'!AA:AA,0)</f>
        <v>464</v>
      </c>
    </row>
    <row r="409" spans="1:17" x14ac:dyDescent="0.25">
      <c r="A409" t="s">
        <v>1023</v>
      </c>
      <c r="B409" t="s">
        <v>1024</v>
      </c>
      <c r="C409">
        <v>50.83</v>
      </c>
      <c r="D409" t="s">
        <v>944</v>
      </c>
      <c r="E409" t="str">
        <f t="shared" si="12"/>
        <v>02. Masonry Cutting</v>
      </c>
      <c r="F409">
        <v>75</v>
      </c>
      <c r="H409" t="b">
        <v>1</v>
      </c>
      <c r="I409">
        <v>468</v>
      </c>
      <c r="K409" s="192" t="s">
        <v>54</v>
      </c>
      <c r="L409" s="188">
        <f>IFERROR(_xlfn.XLOOKUP(A409,[1]Fleet!A:A,[1]Fleet!E:E,""),"")</f>
        <v>301</v>
      </c>
      <c r="M409" s="188">
        <v>47.5</v>
      </c>
      <c r="N409" s="188" t="s">
        <v>1025</v>
      </c>
      <c r="O409" s="198" t="s">
        <v>1026</v>
      </c>
      <c r="P409">
        <v>397</v>
      </c>
      <c r="Q409">
        <f>_xlfn.XLOOKUP(A409,'[1]Classic Net to delete'!D:D,'[1]Classic Net to delete'!AA:AA,0)</f>
        <v>468</v>
      </c>
    </row>
    <row r="410" spans="1:17" x14ac:dyDescent="0.25">
      <c r="A410" t="s">
        <v>1027</v>
      </c>
      <c r="B410" t="s">
        <v>1028</v>
      </c>
      <c r="C410">
        <v>27.12</v>
      </c>
      <c r="D410" t="s">
        <v>944</v>
      </c>
      <c r="E410" t="str">
        <f t="shared" si="12"/>
        <v>02. Masonry Cutting</v>
      </c>
      <c r="F410">
        <v>75</v>
      </c>
      <c r="H410" t="b">
        <v>1</v>
      </c>
      <c r="I410">
        <v>470</v>
      </c>
      <c r="K410" s="192" t="s">
        <v>54</v>
      </c>
      <c r="L410" s="188">
        <f>IFERROR(_xlfn.XLOOKUP(A410,[1]Fleet!A:A,[1]Fleet!E:E,""),"")</f>
        <v>2</v>
      </c>
      <c r="M410" s="188">
        <v>25.35</v>
      </c>
      <c r="N410" s="188" t="s">
        <v>1029</v>
      </c>
      <c r="O410" s="198" t="s">
        <v>1026</v>
      </c>
      <c r="P410">
        <v>398</v>
      </c>
      <c r="Q410">
        <f>_xlfn.XLOOKUP(A410,'[1]Classic Net to delete'!D:D,'[1]Classic Net to delete'!AA:AA,0)</f>
        <v>470</v>
      </c>
    </row>
    <row r="411" spans="1:17" x14ac:dyDescent="0.25">
      <c r="A411" t="s">
        <v>1030</v>
      </c>
      <c r="B411" t="s">
        <v>1031</v>
      </c>
      <c r="C411">
        <v>69.66</v>
      </c>
      <c r="D411" t="s">
        <v>944</v>
      </c>
      <c r="E411" t="str">
        <f t="shared" si="12"/>
        <v>02. Masonry Cutting</v>
      </c>
      <c r="F411">
        <v>75</v>
      </c>
      <c r="H411" t="b">
        <v>1</v>
      </c>
      <c r="I411">
        <v>471</v>
      </c>
      <c r="K411" s="192" t="s">
        <v>54</v>
      </c>
      <c r="L411" s="188">
        <f>IFERROR(_xlfn.XLOOKUP(A411,[1]Fleet!A:A,[1]Fleet!E:E,""),"")</f>
        <v>26</v>
      </c>
      <c r="M411" s="188">
        <v>65.100000000000009</v>
      </c>
      <c r="N411" s="188" t="s">
        <v>1031</v>
      </c>
      <c r="O411" s="198" t="s">
        <v>1026</v>
      </c>
      <c r="P411">
        <v>414</v>
      </c>
      <c r="Q411">
        <f>_xlfn.XLOOKUP(A411,'[1]Classic Net to delete'!D:D,'[1]Classic Net to delete'!AA:AA,0)</f>
        <v>471</v>
      </c>
    </row>
    <row r="412" spans="1:17" x14ac:dyDescent="0.25">
      <c r="A412" t="s">
        <v>1032</v>
      </c>
      <c r="B412" t="s">
        <v>1033</v>
      </c>
      <c r="C412">
        <v>124.98</v>
      </c>
      <c r="D412" t="s">
        <v>944</v>
      </c>
      <c r="E412" t="str">
        <f t="shared" si="12"/>
        <v>02. Masonry Cutting</v>
      </c>
      <c r="F412">
        <v>75</v>
      </c>
      <c r="H412" t="b">
        <v>1</v>
      </c>
      <c r="I412">
        <v>472</v>
      </c>
      <c r="K412" s="192" t="s">
        <v>54</v>
      </c>
      <c r="L412" s="188">
        <f>IFERROR(_xlfn.XLOOKUP(A412,[1]Fleet!A:A,[1]Fleet!E:E,""),"")</f>
        <v>9</v>
      </c>
      <c r="M412" s="188">
        <v>116.80000000000001</v>
      </c>
      <c r="N412" s="188" t="s">
        <v>1033</v>
      </c>
      <c r="O412" s="198" t="s">
        <v>1026</v>
      </c>
      <c r="P412">
        <v>418</v>
      </c>
      <c r="Q412">
        <f>_xlfn.XLOOKUP(A412,'[1]Classic Net to delete'!D:D,'[1]Classic Net to delete'!AA:AA,0)</f>
        <v>472</v>
      </c>
    </row>
    <row r="413" spans="1:17" x14ac:dyDescent="0.25">
      <c r="A413" t="s">
        <v>1034</v>
      </c>
      <c r="B413" t="s">
        <v>1035</v>
      </c>
      <c r="C413">
        <v>90.09</v>
      </c>
      <c r="D413" t="s">
        <v>944</v>
      </c>
      <c r="E413" t="str">
        <f t="shared" si="12"/>
        <v>02. Masonry Cutting</v>
      </c>
      <c r="F413">
        <v>75</v>
      </c>
      <c r="H413" t="b">
        <v>1</v>
      </c>
      <c r="I413">
        <v>473</v>
      </c>
      <c r="K413" s="192" t="s">
        <v>54</v>
      </c>
      <c r="L413" s="188">
        <f>IFERROR(_xlfn.XLOOKUP(A413,[1]Fleet!A:A,[1]Fleet!E:E,""),"")</f>
        <v>10</v>
      </c>
      <c r="M413" s="188">
        <v>76.350000000000009</v>
      </c>
      <c r="N413" s="188" t="s">
        <v>1036</v>
      </c>
      <c r="O413" s="198" t="s">
        <v>1026</v>
      </c>
      <c r="P413">
        <v>410</v>
      </c>
      <c r="Q413">
        <f>_xlfn.XLOOKUP(A413,'[1]Classic Net to delete'!D:D,'[1]Classic Net to delete'!AA:AA,0)</f>
        <v>473</v>
      </c>
    </row>
    <row r="414" spans="1:17" x14ac:dyDescent="0.25">
      <c r="A414" t="s">
        <v>1037</v>
      </c>
      <c r="B414" t="s">
        <v>1038</v>
      </c>
      <c r="C414">
        <v>152.05000000000001</v>
      </c>
      <c r="D414" t="s">
        <v>944</v>
      </c>
      <c r="E414" t="str">
        <f t="shared" si="12"/>
        <v>02. Masonry Cutting</v>
      </c>
      <c r="F414">
        <v>75</v>
      </c>
      <c r="H414" t="b">
        <v>1</v>
      </c>
      <c r="I414">
        <v>474</v>
      </c>
      <c r="K414" s="192" t="s">
        <v>54</v>
      </c>
      <c r="L414" s="188">
        <f>IFERROR(_xlfn.XLOOKUP(A414,[1]Fleet!A:A,[1]Fleet!E:E,""),"")</f>
        <v>8</v>
      </c>
      <c r="M414" s="188">
        <v>142.1</v>
      </c>
      <c r="N414" s="188" t="s">
        <v>1038</v>
      </c>
      <c r="O414" s="198" t="s">
        <v>1026</v>
      </c>
      <c r="P414">
        <v>420</v>
      </c>
      <c r="Q414">
        <f>_xlfn.XLOOKUP(A414,'[1]Classic Net to delete'!D:D,'[1]Classic Net to delete'!AA:AA,0)</f>
        <v>474</v>
      </c>
    </row>
    <row r="415" spans="1:17" x14ac:dyDescent="0.25">
      <c r="A415" t="s">
        <v>1039</v>
      </c>
      <c r="B415" t="s">
        <v>1040</v>
      </c>
      <c r="C415">
        <v>135.74</v>
      </c>
      <c r="D415" t="s">
        <v>944</v>
      </c>
      <c r="E415" t="str">
        <f t="shared" si="12"/>
        <v>02. Masonry Cutting</v>
      </c>
      <c r="F415">
        <v>75</v>
      </c>
      <c r="H415" t="b">
        <v>1</v>
      </c>
      <c r="I415">
        <v>475</v>
      </c>
      <c r="K415" s="192" t="s">
        <v>54</v>
      </c>
      <c r="L415" s="188">
        <f>IFERROR(_xlfn.XLOOKUP(A415,[1]Fleet!A:A,[1]Fleet!E:E,""),"")</f>
        <v>26</v>
      </c>
      <c r="M415" s="188">
        <v>121.2</v>
      </c>
      <c r="N415" s="188" t="s">
        <v>1040</v>
      </c>
      <c r="O415" s="198" t="s">
        <v>1026</v>
      </c>
      <c r="P415">
        <v>417</v>
      </c>
      <c r="Q415">
        <f>_xlfn.XLOOKUP(A415,'[1]Classic Net to delete'!D:D,'[1]Classic Net to delete'!AA:AA,0)</f>
        <v>475</v>
      </c>
    </row>
    <row r="416" spans="1:17" x14ac:dyDescent="0.25">
      <c r="A416" t="s">
        <v>1041</v>
      </c>
      <c r="B416" t="s">
        <v>1042</v>
      </c>
      <c r="C416">
        <v>144.08000000000001</v>
      </c>
      <c r="D416" t="s">
        <v>944</v>
      </c>
      <c r="E416" t="str">
        <f t="shared" si="12"/>
        <v>02. Masonry Cutting</v>
      </c>
      <c r="F416">
        <v>75</v>
      </c>
      <c r="H416" t="b">
        <v>1</v>
      </c>
      <c r="I416">
        <v>476</v>
      </c>
      <c r="K416" s="192" t="s">
        <v>54</v>
      </c>
      <c r="L416" s="188">
        <f>IFERROR(_xlfn.XLOOKUP(A416,[1]Fleet!A:A,[1]Fleet!E:E,""),"")</f>
        <v>19</v>
      </c>
      <c r="M416" s="188">
        <v>122.10000000000001</v>
      </c>
      <c r="N416" s="188" t="s">
        <v>1043</v>
      </c>
      <c r="O416" s="198" t="s">
        <v>1026</v>
      </c>
      <c r="P416">
        <v>405</v>
      </c>
      <c r="Q416">
        <f>_xlfn.XLOOKUP(A416,'[1]Classic Net to delete'!D:D,'[1]Classic Net to delete'!AA:AA,0)</f>
        <v>476</v>
      </c>
    </row>
    <row r="417" spans="1:17" x14ac:dyDescent="0.25">
      <c r="A417" t="s">
        <v>1044</v>
      </c>
      <c r="B417" t="s">
        <v>1045</v>
      </c>
      <c r="C417">
        <v>114.86</v>
      </c>
      <c r="D417" t="s">
        <v>944</v>
      </c>
      <c r="E417" t="str">
        <f t="shared" si="12"/>
        <v>02. Masonry Cutting</v>
      </c>
      <c r="F417">
        <v>75</v>
      </c>
      <c r="H417" t="b">
        <v>1</v>
      </c>
      <c r="I417">
        <v>477</v>
      </c>
      <c r="K417" s="192" t="s">
        <v>54</v>
      </c>
      <c r="L417" s="188">
        <f>IFERROR(_xlfn.XLOOKUP(A417,[1]Fleet!A:A,[1]Fleet!E:E,""),"")</f>
        <v>25</v>
      </c>
      <c r="M417" s="188">
        <v>107.35000000000001</v>
      </c>
      <c r="N417" s="188" t="s">
        <v>1045</v>
      </c>
      <c r="O417" s="198" t="s">
        <v>1026</v>
      </c>
      <c r="P417">
        <v>401</v>
      </c>
      <c r="Q417">
        <f>_xlfn.XLOOKUP(A417,'[1]Classic Net to delete'!D:D,'[1]Classic Net to delete'!AA:AA,0)</f>
        <v>477</v>
      </c>
    </row>
    <row r="418" spans="1:17" x14ac:dyDescent="0.25">
      <c r="A418" t="s">
        <v>1046</v>
      </c>
      <c r="B418" t="s">
        <v>1047</v>
      </c>
      <c r="C418">
        <v>167.22</v>
      </c>
      <c r="D418" t="s">
        <v>944</v>
      </c>
      <c r="E418" t="str">
        <f t="shared" si="12"/>
        <v>02. Masonry Cutting</v>
      </c>
      <c r="F418">
        <v>75</v>
      </c>
      <c r="H418" t="b">
        <v>1</v>
      </c>
      <c r="I418">
        <v>478</v>
      </c>
      <c r="K418" s="192" t="s">
        <v>54</v>
      </c>
      <c r="L418" s="188">
        <f>IFERROR(_xlfn.XLOOKUP(A418,[1]Fleet!A:A,[1]Fleet!E:E,""),"")</f>
        <v>37</v>
      </c>
      <c r="M418" s="188">
        <v>149.30000000000001</v>
      </c>
      <c r="N418" s="188" t="s">
        <v>1047</v>
      </c>
      <c r="O418" s="198" t="s">
        <v>1026</v>
      </c>
      <c r="P418">
        <v>399</v>
      </c>
      <c r="Q418">
        <f>_xlfn.XLOOKUP(A418,'[1]Classic Net to delete'!D:D,'[1]Classic Net to delete'!AA:AA,0)</f>
        <v>478</v>
      </c>
    </row>
    <row r="419" spans="1:17" x14ac:dyDescent="0.25">
      <c r="A419" t="s">
        <v>1048</v>
      </c>
      <c r="B419" t="s">
        <v>1049</v>
      </c>
      <c r="C419">
        <v>145.66</v>
      </c>
      <c r="D419" t="s">
        <v>944</v>
      </c>
      <c r="E419" t="str">
        <f t="shared" si="12"/>
        <v>02. Masonry Cutting</v>
      </c>
      <c r="F419">
        <v>75</v>
      </c>
      <c r="H419" t="b">
        <v>1</v>
      </c>
      <c r="I419">
        <v>479</v>
      </c>
      <c r="K419" s="192" t="s">
        <v>54</v>
      </c>
      <c r="L419" s="188">
        <f>IFERROR(_xlfn.XLOOKUP(A419,[1]Fleet!A:A,[1]Fleet!E:E,""),"")</f>
        <v>8</v>
      </c>
      <c r="M419" s="188">
        <v>130.05000000000001</v>
      </c>
      <c r="N419" s="188" t="s">
        <v>1049</v>
      </c>
      <c r="O419" s="198" t="s">
        <v>1026</v>
      </c>
      <c r="P419">
        <v>400</v>
      </c>
      <c r="Q419">
        <f>_xlfn.XLOOKUP(A419,'[1]Classic Net to delete'!D:D,'[1]Classic Net to delete'!AA:AA,0)</f>
        <v>479</v>
      </c>
    </row>
    <row r="420" spans="1:17" x14ac:dyDescent="0.25">
      <c r="A420" t="s">
        <v>1050</v>
      </c>
      <c r="B420" t="s">
        <v>1051</v>
      </c>
      <c r="C420">
        <v>188.96</v>
      </c>
      <c r="D420" t="s">
        <v>944</v>
      </c>
      <c r="E420" t="str">
        <f t="shared" si="12"/>
        <v>02. Masonry Cutting</v>
      </c>
      <c r="F420">
        <v>75</v>
      </c>
      <c r="H420" t="b">
        <v>1</v>
      </c>
      <c r="I420">
        <v>480</v>
      </c>
      <c r="K420" s="192" t="s">
        <v>54</v>
      </c>
      <c r="L420" s="188">
        <f>IFERROR(_xlfn.XLOOKUP(A420,[1]Fleet!A:A,[1]Fleet!E:E,""),"")</f>
        <v>6</v>
      </c>
      <c r="M420" s="188">
        <v>176.60000000000002</v>
      </c>
      <c r="N420" s="188" t="s">
        <v>1052</v>
      </c>
      <c r="O420" s="198" t="s">
        <v>1026</v>
      </c>
      <c r="P420">
        <v>416</v>
      </c>
      <c r="Q420">
        <f>_xlfn.XLOOKUP(A420,'[1]Classic Net to delete'!D:D,'[1]Classic Net to delete'!AA:AA,0)</f>
        <v>480</v>
      </c>
    </row>
    <row r="421" spans="1:17" x14ac:dyDescent="0.25">
      <c r="A421" t="s">
        <v>1053</v>
      </c>
      <c r="B421" t="s">
        <v>1054</v>
      </c>
      <c r="C421">
        <v>72.23</v>
      </c>
      <c r="D421" t="s">
        <v>944</v>
      </c>
      <c r="E421" t="str">
        <f t="shared" si="12"/>
        <v>02. Masonry Cutting</v>
      </c>
      <c r="F421">
        <v>75</v>
      </c>
      <c r="H421" t="b">
        <v>1</v>
      </c>
      <c r="I421">
        <v>482</v>
      </c>
      <c r="K421" s="192" t="s">
        <v>54</v>
      </c>
      <c r="L421" s="188">
        <f>IFERROR(_xlfn.XLOOKUP(A421,[1]Fleet!A:A,[1]Fleet!E:E,""),"")</f>
        <v>33</v>
      </c>
      <c r="M421" s="188">
        <v>67.5</v>
      </c>
      <c r="N421" s="188" t="s">
        <v>1054</v>
      </c>
      <c r="O421" s="198" t="s">
        <v>1026</v>
      </c>
      <c r="P421">
        <v>395</v>
      </c>
      <c r="Q421">
        <f>_xlfn.XLOOKUP(A421,'[1]Classic Net to delete'!D:D,'[1]Classic Net to delete'!AA:AA,0)</f>
        <v>482</v>
      </c>
    </row>
    <row r="422" spans="1:17" x14ac:dyDescent="0.25">
      <c r="A422" t="s">
        <v>1055</v>
      </c>
      <c r="B422" t="s">
        <v>1056</v>
      </c>
      <c r="C422">
        <v>58.1</v>
      </c>
      <c r="D422" t="s">
        <v>944</v>
      </c>
      <c r="E422" t="str">
        <f t="shared" si="12"/>
        <v>02. Masonry Cutting</v>
      </c>
      <c r="F422">
        <v>75</v>
      </c>
      <c r="H422" t="b">
        <v>1</v>
      </c>
      <c r="I422">
        <v>483</v>
      </c>
      <c r="K422" s="192" t="s">
        <v>54</v>
      </c>
      <c r="L422" s="188">
        <f>IFERROR(_xlfn.XLOOKUP(A422,[1]Fleet!A:A,[1]Fleet!E:E,""),"")</f>
        <v>8</v>
      </c>
      <c r="M422" s="188">
        <v>54.300000000000004</v>
      </c>
      <c r="N422" s="188" t="s">
        <v>1057</v>
      </c>
      <c r="O422" s="198" t="s">
        <v>1026</v>
      </c>
      <c r="P422">
        <v>394</v>
      </c>
      <c r="Q422">
        <f>_xlfn.XLOOKUP(A422,'[1]Classic Net to delete'!D:D,'[1]Classic Net to delete'!AA:AA,0)</f>
        <v>483</v>
      </c>
    </row>
    <row r="423" spans="1:17" x14ac:dyDescent="0.25">
      <c r="A423" t="s">
        <v>1058</v>
      </c>
      <c r="B423" t="s">
        <v>1059</v>
      </c>
      <c r="C423">
        <v>10.17</v>
      </c>
      <c r="D423" t="s">
        <v>944</v>
      </c>
      <c r="E423" t="str">
        <f t="shared" si="12"/>
        <v>02. Masonry Cutting</v>
      </c>
      <c r="F423">
        <v>75</v>
      </c>
      <c r="H423" t="b">
        <v>1</v>
      </c>
      <c r="I423">
        <v>484</v>
      </c>
      <c r="K423" s="192" t="s">
        <v>54</v>
      </c>
      <c r="L423" s="188" t="str">
        <f>IFERROR(_xlfn.XLOOKUP(A423,[1]Fleet!A:A,[1]Fleet!E:E,""),"")</f>
        <v/>
      </c>
      <c r="M423" s="188">
        <v>9.5</v>
      </c>
      <c r="N423" s="188" t="s">
        <v>1059</v>
      </c>
      <c r="O423" s="198" t="s">
        <v>1026</v>
      </c>
      <c r="P423">
        <v>347</v>
      </c>
      <c r="Q423">
        <f>_xlfn.XLOOKUP(A423,'[1]Classic Net to delete'!D:D,'[1]Classic Net to delete'!AA:AA,0)</f>
        <v>484</v>
      </c>
    </row>
    <row r="424" spans="1:17" x14ac:dyDescent="0.25">
      <c r="A424" t="s">
        <v>1060</v>
      </c>
      <c r="B424" t="s">
        <v>1061</v>
      </c>
      <c r="C424">
        <v>28.36</v>
      </c>
      <c r="D424" t="s">
        <v>944</v>
      </c>
      <c r="E424" t="str">
        <f t="shared" si="12"/>
        <v>03. Tile Cutting</v>
      </c>
      <c r="F424">
        <v>75</v>
      </c>
      <c r="H424" t="b">
        <v>1</v>
      </c>
      <c r="I424">
        <v>487</v>
      </c>
      <c r="K424" s="192" t="s">
        <v>85</v>
      </c>
      <c r="L424" s="188">
        <f>IFERROR(_xlfn.XLOOKUP(A424,[1]Fleet!A:A,[1]Fleet!E:E,""),"")</f>
        <v>3</v>
      </c>
      <c r="M424" s="188">
        <v>26.5</v>
      </c>
      <c r="N424" s="188" t="s">
        <v>1061</v>
      </c>
      <c r="O424" s="198" t="s">
        <v>1062</v>
      </c>
      <c r="P424">
        <v>409</v>
      </c>
      <c r="Q424">
        <f>_xlfn.XLOOKUP(A424,'[1]Classic Net to delete'!D:D,'[1]Classic Net to delete'!AA:AA,0)</f>
        <v>487</v>
      </c>
    </row>
    <row r="425" spans="1:17" x14ac:dyDescent="0.25">
      <c r="A425" t="s">
        <v>1063</v>
      </c>
      <c r="B425" t="s">
        <v>1064</v>
      </c>
      <c r="C425">
        <v>86.460000000000008</v>
      </c>
      <c r="D425" t="s">
        <v>944</v>
      </c>
      <c r="E425" t="str">
        <f t="shared" si="12"/>
        <v>03. Tile Cutting</v>
      </c>
      <c r="F425">
        <v>75</v>
      </c>
      <c r="H425" t="b">
        <v>1</v>
      </c>
      <c r="I425">
        <v>488</v>
      </c>
      <c r="K425" s="192" t="s">
        <v>85</v>
      </c>
      <c r="L425" s="188">
        <f>IFERROR(_xlfn.XLOOKUP(A425,[1]Fleet!A:A,[1]Fleet!E:E,""),"")</f>
        <v>3</v>
      </c>
      <c r="M425" s="188">
        <v>80.800000000000011</v>
      </c>
      <c r="N425" s="188" t="s">
        <v>1064</v>
      </c>
      <c r="O425" s="198" t="s">
        <v>1062</v>
      </c>
      <c r="P425">
        <v>404</v>
      </c>
      <c r="Q425">
        <f>_xlfn.XLOOKUP(A425,'[1]Classic Net to delete'!D:D,'[1]Classic Net to delete'!AA:AA,0)</f>
        <v>488</v>
      </c>
    </row>
    <row r="426" spans="1:17" x14ac:dyDescent="0.25">
      <c r="A426" t="s">
        <v>1065</v>
      </c>
      <c r="B426" t="s">
        <v>1066</v>
      </c>
      <c r="C426">
        <v>114.86</v>
      </c>
      <c r="D426" t="s">
        <v>944</v>
      </c>
      <c r="E426" t="str">
        <f t="shared" si="12"/>
        <v>03. Tile Cutting</v>
      </c>
      <c r="F426">
        <v>75</v>
      </c>
      <c r="H426" t="b">
        <v>1</v>
      </c>
      <c r="I426">
        <v>489</v>
      </c>
      <c r="K426" s="192" t="s">
        <v>85</v>
      </c>
      <c r="L426" s="188">
        <f>IFERROR(_xlfn.XLOOKUP(A426,[1]Fleet!A:A,[1]Fleet!E:E,""),"")</f>
        <v>3</v>
      </c>
      <c r="M426" s="188">
        <v>107.35000000000001</v>
      </c>
      <c r="N426" s="188" t="s">
        <v>1066</v>
      </c>
      <c r="O426" s="198" t="s">
        <v>1062</v>
      </c>
      <c r="P426">
        <v>415</v>
      </c>
      <c r="Q426">
        <f>_xlfn.XLOOKUP(A426,'[1]Classic Net to delete'!D:D,'[1]Classic Net to delete'!AA:AA,0)</f>
        <v>489</v>
      </c>
    </row>
    <row r="427" spans="1:17" x14ac:dyDescent="0.25">
      <c r="A427" t="s">
        <v>1067</v>
      </c>
      <c r="B427" t="s">
        <v>1068</v>
      </c>
      <c r="C427">
        <v>22.1</v>
      </c>
      <c r="D427" t="s">
        <v>944</v>
      </c>
      <c r="E427" t="str">
        <f t="shared" si="12"/>
        <v>03. Tile Cutting</v>
      </c>
      <c r="F427">
        <v>75</v>
      </c>
      <c r="H427" t="b">
        <v>1</v>
      </c>
      <c r="I427">
        <v>548</v>
      </c>
      <c r="K427" s="192" t="s">
        <v>85</v>
      </c>
      <c r="L427" s="188">
        <f>IFERROR(_xlfn.XLOOKUP(A427,[1]Fleet!A:A,[1]Fleet!E:E,""),"")</f>
        <v>1</v>
      </c>
      <c r="M427" s="188">
        <v>20.650000000000002</v>
      </c>
      <c r="N427" s="188" t="s">
        <v>1068</v>
      </c>
      <c r="O427" s="198" t="s">
        <v>1062</v>
      </c>
      <c r="P427">
        <v>402</v>
      </c>
      <c r="Q427">
        <f>_xlfn.XLOOKUP(A427,'[1]Classic Net to delete'!D:D,'[1]Classic Net to delete'!AA:AA,0)</f>
        <v>548</v>
      </c>
    </row>
    <row r="428" spans="1:17" x14ac:dyDescent="0.25">
      <c r="A428" t="s">
        <v>1069</v>
      </c>
      <c r="B428" t="s">
        <v>1070</v>
      </c>
      <c r="C428">
        <v>65.38</v>
      </c>
      <c r="D428" t="s">
        <v>944</v>
      </c>
      <c r="E428" t="str">
        <f t="shared" si="12"/>
        <v>04. Metal Cutting</v>
      </c>
      <c r="F428">
        <v>75</v>
      </c>
      <c r="H428" t="b">
        <v>1</v>
      </c>
      <c r="I428">
        <v>503</v>
      </c>
      <c r="K428" s="192" t="s">
        <v>89</v>
      </c>
      <c r="L428" s="188">
        <f>IFERROR(_xlfn.XLOOKUP(A428,[1]Fleet!A:A,[1]Fleet!E:E,""),"")</f>
        <v>5</v>
      </c>
      <c r="M428" s="188">
        <v>61.1</v>
      </c>
      <c r="N428" s="188" t="s">
        <v>1071</v>
      </c>
      <c r="O428" s="198" t="s">
        <v>1072</v>
      </c>
      <c r="P428">
        <v>396</v>
      </c>
      <c r="Q428">
        <f>_xlfn.XLOOKUP(A428,'[1]Classic Net to delete'!D:D,'[1]Classic Net to delete'!AA:AA,0)</f>
        <v>503</v>
      </c>
    </row>
    <row r="429" spans="1:17" x14ac:dyDescent="0.25">
      <c r="A429" t="s">
        <v>1073</v>
      </c>
      <c r="B429" t="s">
        <v>1074</v>
      </c>
      <c r="C429">
        <v>99.4</v>
      </c>
      <c r="D429" t="s">
        <v>944</v>
      </c>
      <c r="E429" t="str">
        <f t="shared" si="12"/>
        <v>04. Metal Cutting</v>
      </c>
      <c r="F429">
        <v>75</v>
      </c>
      <c r="H429" t="b">
        <v>1</v>
      </c>
      <c r="I429">
        <v>504</v>
      </c>
      <c r="K429" s="192" t="s">
        <v>89</v>
      </c>
      <c r="L429" s="188">
        <f>IFERROR(_xlfn.XLOOKUP(A429,[1]Fleet!A:A,[1]Fleet!E:E,""),"")</f>
        <v>27</v>
      </c>
      <c r="M429" s="188">
        <v>92.9</v>
      </c>
      <c r="N429" s="188" t="s">
        <v>1075</v>
      </c>
      <c r="O429" s="198" t="s">
        <v>1072</v>
      </c>
      <c r="P429">
        <v>403</v>
      </c>
      <c r="Q429">
        <f>_xlfn.XLOOKUP(A429,'[1]Classic Net to delete'!D:D,'[1]Classic Net to delete'!AA:AA,0)</f>
        <v>504</v>
      </c>
    </row>
    <row r="430" spans="1:17" x14ac:dyDescent="0.25">
      <c r="A430" t="s">
        <v>1076</v>
      </c>
      <c r="B430" t="s">
        <v>1077</v>
      </c>
      <c r="C430">
        <v>62.49</v>
      </c>
      <c r="D430" t="s">
        <v>944</v>
      </c>
      <c r="E430" t="str">
        <f t="shared" si="12"/>
        <v>04. Metal Cutting</v>
      </c>
      <c r="F430">
        <v>75</v>
      </c>
      <c r="H430" t="b">
        <v>1</v>
      </c>
      <c r="I430">
        <v>505</v>
      </c>
      <c r="K430" s="192" t="s">
        <v>89</v>
      </c>
      <c r="L430" s="188">
        <f>IFERROR(_xlfn.XLOOKUP(A430,[1]Fleet!A:A,[1]Fleet!E:E,""),"")</f>
        <v>2</v>
      </c>
      <c r="M430" s="188">
        <v>58.400000000000006</v>
      </c>
      <c r="N430" s="188" t="s">
        <v>1078</v>
      </c>
      <c r="O430" s="198" t="s">
        <v>1072</v>
      </c>
      <c r="P430">
        <v>412</v>
      </c>
      <c r="Q430">
        <f>_xlfn.XLOOKUP(A430,'[1]Classic Net to delete'!D:D,'[1]Classic Net to delete'!AA:AA,0)</f>
        <v>505</v>
      </c>
    </row>
    <row r="431" spans="1:17" x14ac:dyDescent="0.25">
      <c r="A431" t="s">
        <v>1079</v>
      </c>
      <c r="B431" t="s">
        <v>1080</v>
      </c>
      <c r="C431">
        <v>90.84</v>
      </c>
      <c r="D431" t="s">
        <v>944</v>
      </c>
      <c r="E431" t="str">
        <f t="shared" si="12"/>
        <v>04. Metal Cutting</v>
      </c>
      <c r="F431">
        <v>75</v>
      </c>
      <c r="H431" t="b">
        <v>1</v>
      </c>
      <c r="I431">
        <v>506</v>
      </c>
      <c r="K431" s="192" t="s">
        <v>89</v>
      </c>
      <c r="L431" s="188">
        <f>IFERROR(_xlfn.XLOOKUP(A431,[1]Fleet!A:A,[1]Fleet!E:E,""),"")</f>
        <v>5</v>
      </c>
      <c r="M431" s="188">
        <v>84.9</v>
      </c>
      <c r="N431" s="188" t="s">
        <v>1081</v>
      </c>
      <c r="O431" s="198" t="s">
        <v>1072</v>
      </c>
      <c r="P431">
        <v>411</v>
      </c>
      <c r="Q431">
        <f>_xlfn.XLOOKUP(A431,'[1]Classic Net to delete'!D:D,'[1]Classic Net to delete'!AA:AA,0)</f>
        <v>506</v>
      </c>
    </row>
    <row r="432" spans="1:17" x14ac:dyDescent="0.25">
      <c r="A432" t="s">
        <v>1082</v>
      </c>
      <c r="B432" t="s">
        <v>1083</v>
      </c>
      <c r="C432">
        <v>59.33</v>
      </c>
      <c r="D432" t="s">
        <v>944</v>
      </c>
      <c r="E432" t="str">
        <f t="shared" si="12"/>
        <v>04. Metal Cutting</v>
      </c>
      <c r="F432">
        <v>75</v>
      </c>
      <c r="H432" t="b">
        <v>1</v>
      </c>
      <c r="I432">
        <v>508</v>
      </c>
      <c r="K432" s="192" t="s">
        <v>89</v>
      </c>
      <c r="L432" s="188">
        <f>IFERROR(_xlfn.XLOOKUP(A432,[1]Fleet!A:A,[1]Fleet!E:E,""),"")</f>
        <v>1</v>
      </c>
      <c r="M432" s="188">
        <v>55.45</v>
      </c>
      <c r="N432" s="188" t="s">
        <v>1084</v>
      </c>
      <c r="O432" s="198" t="s">
        <v>1072</v>
      </c>
      <c r="P432">
        <v>407</v>
      </c>
      <c r="Q432">
        <f>_xlfn.XLOOKUP(A432,'[1]Classic Net to delete'!D:D,'[1]Classic Net to delete'!AA:AA,0)</f>
        <v>508</v>
      </c>
    </row>
    <row r="433" spans="1:17" x14ac:dyDescent="0.25">
      <c r="A433" t="s">
        <v>1085</v>
      </c>
      <c r="B433" t="s">
        <v>1086</v>
      </c>
      <c r="C433">
        <v>74.150000000000006</v>
      </c>
      <c r="D433" t="s">
        <v>944</v>
      </c>
      <c r="E433" t="str">
        <f t="shared" si="12"/>
        <v>04. Metal Cutting</v>
      </c>
      <c r="F433">
        <v>75</v>
      </c>
      <c r="H433" t="b">
        <v>1</v>
      </c>
      <c r="I433">
        <v>509</v>
      </c>
      <c r="K433" s="192" t="s">
        <v>89</v>
      </c>
      <c r="L433" s="188">
        <f>IFERROR(_xlfn.XLOOKUP(A433,[1]Fleet!A:A,[1]Fleet!E:E,""),"")</f>
        <v>1</v>
      </c>
      <c r="M433" s="188">
        <v>69.3</v>
      </c>
      <c r="N433" s="188" t="s">
        <v>1087</v>
      </c>
      <c r="O433" s="198" t="s">
        <v>1072</v>
      </c>
      <c r="P433">
        <v>413</v>
      </c>
      <c r="Q433">
        <f>_xlfn.XLOOKUP(A433,'[1]Classic Net to delete'!D:D,'[1]Classic Net to delete'!AA:AA,0)</f>
        <v>509</v>
      </c>
    </row>
    <row r="434" spans="1:17" x14ac:dyDescent="0.25">
      <c r="A434" t="s">
        <v>1088</v>
      </c>
      <c r="B434" t="s">
        <v>1089</v>
      </c>
      <c r="C434">
        <v>58.1</v>
      </c>
      <c r="D434" t="s">
        <v>944</v>
      </c>
      <c r="E434" t="str">
        <f t="shared" si="12"/>
        <v>04. Metal Cutting</v>
      </c>
      <c r="F434">
        <v>75</v>
      </c>
      <c r="H434" t="b">
        <v>1</v>
      </c>
      <c r="I434">
        <v>510</v>
      </c>
      <c r="K434" s="192" t="s">
        <v>89</v>
      </c>
      <c r="L434" s="188">
        <f>IFERROR(_xlfn.XLOOKUP(A434,[1]Fleet!A:A,[1]Fleet!E:E,""),"")</f>
        <v>2</v>
      </c>
      <c r="M434" s="188">
        <v>54.300000000000004</v>
      </c>
      <c r="N434" s="188" t="s">
        <v>1090</v>
      </c>
      <c r="O434" s="198" t="s">
        <v>1072</v>
      </c>
      <c r="P434">
        <v>408</v>
      </c>
      <c r="Q434">
        <f>_xlfn.XLOOKUP(A434,'[1]Classic Net to delete'!D:D,'[1]Classic Net to delete'!AA:AA,0)</f>
        <v>510</v>
      </c>
    </row>
    <row r="435" spans="1:17" x14ac:dyDescent="0.25">
      <c r="A435" t="s">
        <v>1091</v>
      </c>
      <c r="B435" t="s">
        <v>1092</v>
      </c>
      <c r="C435">
        <v>27.12</v>
      </c>
      <c r="D435" t="s">
        <v>944</v>
      </c>
      <c r="E435" t="str">
        <f t="shared" si="12"/>
        <v>04. Metal Cutting</v>
      </c>
      <c r="F435">
        <v>75</v>
      </c>
      <c r="H435" t="b">
        <v>1</v>
      </c>
      <c r="I435">
        <v>511</v>
      </c>
      <c r="K435" s="192" t="s">
        <v>89</v>
      </c>
      <c r="L435" s="188">
        <f>IFERROR(_xlfn.XLOOKUP(A435,[1]Fleet!A:A,[1]Fleet!E:E,""),"")</f>
        <v>1</v>
      </c>
      <c r="M435" s="188">
        <v>25.35</v>
      </c>
      <c r="N435" s="188" t="s">
        <v>1092</v>
      </c>
      <c r="O435" s="198" t="s">
        <v>1072</v>
      </c>
      <c r="P435">
        <v>406</v>
      </c>
      <c r="Q435">
        <f>_xlfn.XLOOKUP(A435,'[1]Classic Net to delete'!D:D,'[1]Classic Net to delete'!AA:AA,0)</f>
        <v>511</v>
      </c>
    </row>
    <row r="436" spans="1:17" x14ac:dyDescent="0.25">
      <c r="A436" t="s">
        <v>1093</v>
      </c>
      <c r="B436" t="s">
        <v>1094</v>
      </c>
      <c r="C436">
        <v>90.84</v>
      </c>
      <c r="D436" t="s">
        <v>944</v>
      </c>
      <c r="E436" t="str">
        <f t="shared" si="12"/>
        <v>05. Wood Cutting</v>
      </c>
      <c r="F436">
        <v>75</v>
      </c>
      <c r="H436" t="b">
        <v>1</v>
      </c>
      <c r="I436">
        <v>10</v>
      </c>
      <c r="K436" s="192" t="s">
        <v>32</v>
      </c>
      <c r="L436" s="188">
        <f>IFERROR(_xlfn.XLOOKUP(A436,[1]Fleet!A:A,[1]Fleet!E:E,""),"")</f>
        <v>14</v>
      </c>
      <c r="M436" s="188">
        <v>84.9</v>
      </c>
      <c r="N436" s="188" t="s">
        <v>1095</v>
      </c>
      <c r="O436" s="198" t="s">
        <v>1096</v>
      </c>
      <c r="P436">
        <v>383</v>
      </c>
      <c r="Q436">
        <f>_xlfn.XLOOKUP(A436,'[1]Classic Net to delete'!D:D,'[1]Classic Net to delete'!AA:AA,0)</f>
        <v>520</v>
      </c>
    </row>
    <row r="437" spans="1:17" x14ac:dyDescent="0.25">
      <c r="A437" t="s">
        <v>1097</v>
      </c>
      <c r="B437" t="s">
        <v>1098</v>
      </c>
      <c r="C437">
        <v>0</v>
      </c>
      <c r="D437" t="s">
        <v>944</v>
      </c>
      <c r="E437" t="str">
        <f t="shared" si="12"/>
        <v>05. Wood Cutting</v>
      </c>
      <c r="F437">
        <v>75</v>
      </c>
      <c r="H437" t="b">
        <v>0</v>
      </c>
      <c r="I437">
        <v>11</v>
      </c>
      <c r="K437" s="192" t="s">
        <v>32</v>
      </c>
      <c r="L437" s="188">
        <f>IFERROR(_xlfn.XLOOKUP(A437,[1]Fleet!A:A,[1]Fleet!E:E,""),"")</f>
        <v>1</v>
      </c>
      <c r="M437" s="188">
        <v>91.350000000000009</v>
      </c>
      <c r="N437" s="188" t="s">
        <v>1099</v>
      </c>
      <c r="O437" s="198" t="s">
        <v>1096</v>
      </c>
      <c r="P437">
        <v>384</v>
      </c>
      <c r="Q437">
        <f>_xlfn.XLOOKUP(A437,'[1]Classic Net to delete'!D:D,'[1]Classic Net to delete'!AA:AA,0)</f>
        <v>521</v>
      </c>
    </row>
    <row r="438" spans="1:17" x14ac:dyDescent="0.25">
      <c r="A438" t="s">
        <v>1100</v>
      </c>
      <c r="B438" t="s">
        <v>1101</v>
      </c>
      <c r="C438">
        <v>90.84</v>
      </c>
      <c r="D438" t="s">
        <v>944</v>
      </c>
      <c r="E438" t="str">
        <f t="shared" si="12"/>
        <v>05. Wood Cutting</v>
      </c>
      <c r="F438">
        <v>75</v>
      </c>
      <c r="H438" t="b">
        <v>1</v>
      </c>
      <c r="I438">
        <v>12</v>
      </c>
      <c r="K438" s="192" t="s">
        <v>32</v>
      </c>
      <c r="L438" s="188">
        <f>IFERROR(_xlfn.XLOOKUP(A438,[1]Fleet!A:A,[1]Fleet!E:E,""),"")</f>
        <v>55</v>
      </c>
      <c r="M438" s="188" t="s">
        <v>22</v>
      </c>
      <c r="N438" s="188" t="s">
        <v>22</v>
      </c>
      <c r="O438" s="198" t="s">
        <v>1096</v>
      </c>
      <c r="P438">
        <v>391</v>
      </c>
      <c r="Q438">
        <f>_xlfn.XLOOKUP(A438,'[1]Classic Net to delete'!D:D,'[1]Classic Net to delete'!AA:AA,0)</f>
        <v>0</v>
      </c>
    </row>
    <row r="439" spans="1:17" x14ac:dyDescent="0.25">
      <c r="A439" t="s">
        <v>1102</v>
      </c>
      <c r="B439" t="s">
        <v>1103</v>
      </c>
      <c r="C439">
        <v>90.84</v>
      </c>
      <c r="D439" t="s">
        <v>944</v>
      </c>
      <c r="E439" t="str">
        <f t="shared" si="12"/>
        <v>05. Wood Cutting</v>
      </c>
      <c r="F439">
        <v>75</v>
      </c>
      <c r="H439" t="b">
        <v>1</v>
      </c>
      <c r="I439">
        <v>13</v>
      </c>
      <c r="K439" s="192" t="s">
        <v>32</v>
      </c>
      <c r="L439" s="188">
        <f>IFERROR(_xlfn.XLOOKUP(A439,[1]Fleet!A:A,[1]Fleet!E:E,""),"")</f>
        <v>5</v>
      </c>
      <c r="M439" s="188">
        <v>84.9</v>
      </c>
      <c r="N439" s="188" t="s">
        <v>1104</v>
      </c>
      <c r="O439" s="198" t="s">
        <v>1096</v>
      </c>
      <c r="P439">
        <v>385</v>
      </c>
      <c r="Q439">
        <f>_xlfn.XLOOKUP(A439,'[1]Classic Net to delete'!D:D,'[1]Classic Net to delete'!AA:AA,0)</f>
        <v>522</v>
      </c>
    </row>
    <row r="440" spans="1:17" x14ac:dyDescent="0.25">
      <c r="A440" t="s">
        <v>1105</v>
      </c>
      <c r="B440" t="s">
        <v>1106</v>
      </c>
      <c r="C440">
        <v>42.59</v>
      </c>
      <c r="D440" t="s">
        <v>944</v>
      </c>
      <c r="E440" t="str">
        <f t="shared" si="12"/>
        <v>05. Wood Cutting</v>
      </c>
      <c r="F440">
        <v>75</v>
      </c>
      <c r="H440" t="b">
        <v>1</v>
      </c>
      <c r="I440">
        <v>14</v>
      </c>
      <c r="K440" s="192" t="s">
        <v>32</v>
      </c>
      <c r="L440" s="188">
        <f>IFERROR(_xlfn.XLOOKUP(A440,[1]Fleet!A:A,[1]Fleet!E:E,""),"")</f>
        <v>28</v>
      </c>
      <c r="M440" s="188">
        <v>39.800000000000004</v>
      </c>
      <c r="N440" s="188" t="s">
        <v>1107</v>
      </c>
      <c r="O440" s="198" t="s">
        <v>1096</v>
      </c>
      <c r="P440">
        <v>377</v>
      </c>
      <c r="Q440">
        <f>_xlfn.XLOOKUP(A440,'[1]Classic Net to delete'!D:D,'[1]Classic Net to delete'!AA:AA,0)</f>
        <v>523</v>
      </c>
    </row>
    <row r="441" spans="1:17" x14ac:dyDescent="0.25">
      <c r="A441" t="s">
        <v>1108</v>
      </c>
      <c r="B441" t="s">
        <v>1109</v>
      </c>
      <c r="C441">
        <v>102.93</v>
      </c>
      <c r="D441" t="s">
        <v>944</v>
      </c>
      <c r="E441" t="str">
        <f t="shared" si="12"/>
        <v>05. Wood Cutting</v>
      </c>
      <c r="F441">
        <v>75</v>
      </c>
      <c r="H441" t="b">
        <v>1</v>
      </c>
      <c r="I441">
        <v>15</v>
      </c>
      <c r="K441" s="192" t="s">
        <v>32</v>
      </c>
      <c r="L441" s="188">
        <f>IFERROR(_xlfn.XLOOKUP(A441,[1]Fleet!A:A,[1]Fleet!E:E,""),"")</f>
        <v>4</v>
      </c>
      <c r="M441" s="188">
        <v>96.2</v>
      </c>
      <c r="N441" s="188" t="s">
        <v>1110</v>
      </c>
      <c r="O441" s="198" t="s">
        <v>1096</v>
      </c>
      <c r="P441">
        <v>390</v>
      </c>
      <c r="Q441">
        <f>_xlfn.XLOOKUP(A441,'[1]Classic Net to delete'!D:D,'[1]Classic Net to delete'!AA:AA,0)</f>
        <v>803</v>
      </c>
    </row>
    <row r="442" spans="1:17" x14ac:dyDescent="0.25">
      <c r="A442" t="s">
        <v>1111</v>
      </c>
      <c r="B442" t="s">
        <v>1112</v>
      </c>
      <c r="C442">
        <v>42.480000000000004</v>
      </c>
      <c r="D442" t="s">
        <v>944</v>
      </c>
      <c r="E442" t="str">
        <f t="shared" si="12"/>
        <v>05. Wood Cutting</v>
      </c>
      <c r="F442">
        <v>75</v>
      </c>
      <c r="H442" t="b">
        <v>1</v>
      </c>
      <c r="I442">
        <v>20</v>
      </c>
      <c r="K442" s="192" t="s">
        <v>32</v>
      </c>
      <c r="L442" s="188">
        <f>IFERROR(_xlfn.XLOOKUP(A442,[1]Fleet!A:A,[1]Fleet!E:E,""),"")</f>
        <v>2</v>
      </c>
      <c r="M442" s="188">
        <v>36</v>
      </c>
      <c r="N442" s="188" t="s">
        <v>1113</v>
      </c>
      <c r="O442" s="198" t="s">
        <v>1096</v>
      </c>
      <c r="P442">
        <v>378</v>
      </c>
      <c r="Q442">
        <f>_xlfn.XLOOKUP(A442,'[1]Classic Net to delete'!D:D,'[1]Classic Net to delete'!AA:AA,0)</f>
        <v>514</v>
      </c>
    </row>
    <row r="443" spans="1:17" x14ac:dyDescent="0.25">
      <c r="A443" t="s">
        <v>1114</v>
      </c>
      <c r="B443" t="s">
        <v>1115</v>
      </c>
      <c r="C443">
        <v>29.69</v>
      </c>
      <c r="D443" t="s">
        <v>944</v>
      </c>
      <c r="E443" t="str">
        <f t="shared" si="12"/>
        <v>05. Wood Cutting</v>
      </c>
      <c r="F443">
        <v>75</v>
      </c>
      <c r="H443" t="b">
        <v>1</v>
      </c>
      <c r="I443">
        <v>23</v>
      </c>
      <c r="K443" s="192" t="s">
        <v>32</v>
      </c>
      <c r="L443" s="188">
        <f>IFERROR(_xlfn.XLOOKUP(A443,[1]Fleet!A:A,[1]Fleet!E:E,""),"")</f>
        <v>8</v>
      </c>
      <c r="M443" s="188">
        <v>27.75</v>
      </c>
      <c r="N443" s="188" t="s">
        <v>1116</v>
      </c>
      <c r="O443" s="198" t="s">
        <v>1096</v>
      </c>
      <c r="P443">
        <v>380</v>
      </c>
      <c r="Q443">
        <f>_xlfn.XLOOKUP(A443,'[1]Classic Net to delete'!D:D,'[1]Classic Net to delete'!AA:AA,0)</f>
        <v>515</v>
      </c>
    </row>
    <row r="444" spans="1:17" x14ac:dyDescent="0.25">
      <c r="A444" t="s">
        <v>1117</v>
      </c>
      <c r="B444" t="s">
        <v>1118</v>
      </c>
      <c r="C444">
        <v>33.44</v>
      </c>
      <c r="D444" t="s">
        <v>944</v>
      </c>
      <c r="E444" t="str">
        <f t="shared" si="12"/>
        <v>05. Wood Cutting</v>
      </c>
      <c r="F444">
        <v>75</v>
      </c>
      <c r="H444" t="b">
        <v>1</v>
      </c>
      <c r="I444">
        <v>24</v>
      </c>
      <c r="K444" s="192" t="s">
        <v>32</v>
      </c>
      <c r="L444" s="188">
        <f>IFERROR(_xlfn.XLOOKUP(A444,[1]Fleet!A:A,[1]Fleet!E:E,""),"")</f>
        <v>46</v>
      </c>
      <c r="M444" s="188">
        <v>31.25</v>
      </c>
      <c r="N444" s="188" t="s">
        <v>1119</v>
      </c>
      <c r="O444" s="198" t="s">
        <v>1096</v>
      </c>
      <c r="P444">
        <v>381</v>
      </c>
      <c r="Q444">
        <f>_xlfn.XLOOKUP(A444,'[1]Classic Net to delete'!D:D,'[1]Classic Net to delete'!AA:AA,0)</f>
        <v>516</v>
      </c>
    </row>
    <row r="445" spans="1:17" x14ac:dyDescent="0.25">
      <c r="A445" t="s">
        <v>1120</v>
      </c>
      <c r="B445" t="s">
        <v>1121</v>
      </c>
      <c r="C445">
        <v>33.44</v>
      </c>
      <c r="D445" t="s">
        <v>944</v>
      </c>
      <c r="E445" t="str">
        <f t="shared" si="12"/>
        <v>05. Wood Cutting</v>
      </c>
      <c r="F445">
        <v>75</v>
      </c>
      <c r="H445" t="b">
        <v>1</v>
      </c>
      <c r="I445">
        <v>25</v>
      </c>
      <c r="K445" s="192" t="s">
        <v>32</v>
      </c>
      <c r="L445" s="188">
        <f>IFERROR(_xlfn.XLOOKUP(A445,[1]Fleet!A:A,[1]Fleet!E:E,""),"")</f>
        <v>5</v>
      </c>
      <c r="M445" s="188">
        <v>31.25</v>
      </c>
      <c r="N445" s="188" t="s">
        <v>1122</v>
      </c>
      <c r="O445" s="198" t="s">
        <v>1096</v>
      </c>
      <c r="P445">
        <v>382</v>
      </c>
      <c r="Q445">
        <f>_xlfn.XLOOKUP(A445,'[1]Classic Net to delete'!D:D,'[1]Classic Net to delete'!AA:AA,0)</f>
        <v>517</v>
      </c>
    </row>
    <row r="446" spans="1:17" x14ac:dyDescent="0.25">
      <c r="A446" t="s">
        <v>1123</v>
      </c>
      <c r="B446" t="s">
        <v>1124</v>
      </c>
      <c r="C446">
        <v>46.33</v>
      </c>
      <c r="D446" t="s">
        <v>944</v>
      </c>
      <c r="E446" t="str">
        <f t="shared" si="12"/>
        <v>05. Wood Cutting</v>
      </c>
      <c r="F446">
        <v>75</v>
      </c>
      <c r="H446" t="b">
        <v>1</v>
      </c>
      <c r="I446">
        <v>26</v>
      </c>
      <c r="K446" s="192" t="s">
        <v>32</v>
      </c>
      <c r="L446" s="188">
        <f>IFERROR(_xlfn.XLOOKUP(A446,[1]Fleet!A:A,[1]Fleet!E:E,""),"")</f>
        <v>9</v>
      </c>
      <c r="M446" s="188">
        <v>43.300000000000004</v>
      </c>
      <c r="N446" s="188" t="s">
        <v>1125</v>
      </c>
      <c r="O446" s="198" t="s">
        <v>1096</v>
      </c>
      <c r="P446">
        <v>387</v>
      </c>
      <c r="Q446">
        <f>_xlfn.XLOOKUP(A446,'[1]Classic Net to delete'!D:D,'[1]Classic Net to delete'!AA:AA,0)</f>
        <v>796</v>
      </c>
    </row>
    <row r="447" spans="1:17" x14ac:dyDescent="0.25">
      <c r="A447" t="s">
        <v>1126</v>
      </c>
      <c r="B447" t="s">
        <v>1127</v>
      </c>
      <c r="C447">
        <v>46.38</v>
      </c>
      <c r="D447" t="s">
        <v>944</v>
      </c>
      <c r="E447" t="str">
        <f t="shared" si="12"/>
        <v>05. Wood Cutting</v>
      </c>
      <c r="F447">
        <v>75</v>
      </c>
      <c r="H447" t="b">
        <v>1</v>
      </c>
      <c r="I447">
        <v>31</v>
      </c>
      <c r="K447" s="192" t="s">
        <v>32</v>
      </c>
      <c r="L447" s="188">
        <f>IFERROR(_xlfn.XLOOKUP(A447,[1]Fleet!A:A,[1]Fleet!E:E,""),"")</f>
        <v>18</v>
      </c>
      <c r="M447" s="188">
        <v>43.35</v>
      </c>
      <c r="N447" s="188" t="s">
        <v>1128</v>
      </c>
      <c r="O447" s="198" t="s">
        <v>1096</v>
      </c>
      <c r="P447">
        <v>960</v>
      </c>
      <c r="Q447">
        <f>_xlfn.XLOOKUP(A447,'[1]Classic Net to delete'!D:D,'[1]Classic Net to delete'!AA:AA,0)</f>
        <v>518</v>
      </c>
    </row>
    <row r="448" spans="1:17" x14ac:dyDescent="0.25">
      <c r="A448" t="s">
        <v>1129</v>
      </c>
      <c r="B448" t="s">
        <v>1130</v>
      </c>
      <c r="C448">
        <v>58.9</v>
      </c>
      <c r="D448" t="s">
        <v>944</v>
      </c>
      <c r="E448" t="str">
        <f t="shared" si="12"/>
        <v>05. Wood Cutting</v>
      </c>
      <c r="F448">
        <v>75</v>
      </c>
      <c r="H448" t="b">
        <v>1</v>
      </c>
      <c r="I448">
        <v>32</v>
      </c>
      <c r="K448" s="192" t="s">
        <v>32</v>
      </c>
      <c r="L448" s="188">
        <f>IFERROR(_xlfn.XLOOKUP(A448,[1]Fleet!A:A,[1]Fleet!E:E,""),"")</f>
        <v>14</v>
      </c>
      <c r="M448" s="188">
        <v>55.050000000000004</v>
      </c>
      <c r="N448" s="188" t="s">
        <v>1130</v>
      </c>
      <c r="O448" s="198" t="s">
        <v>1096</v>
      </c>
      <c r="P448">
        <v>375</v>
      </c>
      <c r="Q448">
        <f>_xlfn.XLOOKUP(A448,'[1]Classic Net to delete'!D:D,'[1]Classic Net to delete'!AA:AA,0)</f>
        <v>798</v>
      </c>
    </row>
    <row r="449" spans="1:17" x14ac:dyDescent="0.25">
      <c r="A449" t="s">
        <v>1131</v>
      </c>
      <c r="B449" t="s">
        <v>1132</v>
      </c>
      <c r="C449">
        <v>177.3</v>
      </c>
      <c r="D449" t="s">
        <v>944</v>
      </c>
      <c r="E449" t="str">
        <f t="shared" si="12"/>
        <v>05. Wood Cutting</v>
      </c>
      <c r="F449">
        <v>75</v>
      </c>
      <c r="H449" t="b">
        <v>1</v>
      </c>
      <c r="I449">
        <v>50</v>
      </c>
      <c r="K449" s="192" t="s">
        <v>32</v>
      </c>
      <c r="L449" s="188">
        <f>IFERROR(_xlfn.XLOOKUP(A449,[1]Fleet!A:A,[1]Fleet!E:E,""),"")</f>
        <v>17</v>
      </c>
      <c r="M449" s="188">
        <v>165.70000000000002</v>
      </c>
      <c r="N449" s="188" t="s">
        <v>1133</v>
      </c>
      <c r="O449" s="198" t="s">
        <v>1096</v>
      </c>
      <c r="P449">
        <v>424</v>
      </c>
      <c r="Q449">
        <f>_xlfn.XLOOKUP(A449,'[1]Classic Net to delete'!D:D,'[1]Classic Net to delete'!AA:AA,0)</f>
        <v>498</v>
      </c>
    </row>
    <row r="450" spans="1:17" x14ac:dyDescent="0.25">
      <c r="A450" t="s">
        <v>1134</v>
      </c>
      <c r="B450" t="s">
        <v>1135</v>
      </c>
      <c r="C450">
        <v>71.42</v>
      </c>
      <c r="D450" t="s">
        <v>944</v>
      </c>
      <c r="E450" t="str">
        <f t="shared" si="12"/>
        <v>05. Wood Cutting</v>
      </c>
      <c r="F450">
        <v>75</v>
      </c>
      <c r="H450" t="b">
        <v>1</v>
      </c>
      <c r="I450">
        <v>51</v>
      </c>
      <c r="K450" s="192" t="s">
        <v>32</v>
      </c>
      <c r="L450" s="188">
        <f>IFERROR(_xlfn.XLOOKUP(A450,[1]Fleet!A:A,[1]Fleet!E:E,""),"")</f>
        <v>3</v>
      </c>
      <c r="M450" s="188">
        <v>66.75</v>
      </c>
      <c r="N450" s="188" t="s">
        <v>1135</v>
      </c>
      <c r="O450" s="198" t="s">
        <v>1096</v>
      </c>
      <c r="P450">
        <v>423</v>
      </c>
      <c r="Q450">
        <f>_xlfn.XLOOKUP(A450,'[1]Classic Net to delete'!D:D,'[1]Classic Net to delete'!AA:AA,0)</f>
        <v>497</v>
      </c>
    </row>
    <row r="451" spans="1:17" x14ac:dyDescent="0.25">
      <c r="A451" t="s">
        <v>1136</v>
      </c>
      <c r="B451" t="s">
        <v>1137</v>
      </c>
      <c r="C451">
        <v>73.510000000000005</v>
      </c>
      <c r="D451" t="s">
        <v>944</v>
      </c>
      <c r="E451" t="str">
        <f t="shared" si="12"/>
        <v>05. Wood Cutting</v>
      </c>
      <c r="F451">
        <v>75</v>
      </c>
      <c r="H451" t="b">
        <v>1</v>
      </c>
      <c r="I451">
        <v>52</v>
      </c>
      <c r="K451" s="192" t="s">
        <v>32</v>
      </c>
      <c r="L451" s="188">
        <f>IFERROR(_xlfn.XLOOKUP(A451,[1]Fleet!A:A,[1]Fleet!E:E,""),"")</f>
        <v>6</v>
      </c>
      <c r="M451" s="188">
        <v>68.7</v>
      </c>
      <c r="N451" s="188" t="s">
        <v>1138</v>
      </c>
      <c r="O451" s="198" t="s">
        <v>1096</v>
      </c>
      <c r="P451">
        <v>449</v>
      </c>
      <c r="Q451">
        <f>_xlfn.XLOOKUP(A451,'[1]Classic Net to delete'!D:D,'[1]Classic Net to delete'!AA:AA,0)</f>
        <v>526</v>
      </c>
    </row>
    <row r="452" spans="1:17" x14ac:dyDescent="0.25">
      <c r="A452" t="s">
        <v>1139</v>
      </c>
      <c r="B452" t="s">
        <v>1140</v>
      </c>
      <c r="C452">
        <v>174.95000000000002</v>
      </c>
      <c r="D452" t="s">
        <v>944</v>
      </c>
      <c r="E452" t="str">
        <f t="shared" si="12"/>
        <v>05. Wood Cutting</v>
      </c>
      <c r="F452">
        <v>75</v>
      </c>
      <c r="H452" t="b">
        <v>1</v>
      </c>
      <c r="I452">
        <v>100</v>
      </c>
      <c r="K452" s="192" t="s">
        <v>32</v>
      </c>
      <c r="L452" s="188">
        <f>IFERROR(_xlfn.XLOOKUP(A452,[1]Fleet!A:A,[1]Fleet!E:E,""),"")</f>
        <v>36</v>
      </c>
      <c r="M452" s="188">
        <v>163.5</v>
      </c>
      <c r="N452" s="188" t="s">
        <v>985</v>
      </c>
      <c r="O452" s="198" t="s">
        <v>1096</v>
      </c>
      <c r="P452">
        <v>425</v>
      </c>
      <c r="Q452">
        <f>_xlfn.XLOOKUP(A452,'[1]Classic Net to delete'!D:D,'[1]Classic Net to delete'!AA:AA,0)</f>
        <v>346</v>
      </c>
    </row>
    <row r="453" spans="1:17" x14ac:dyDescent="0.25">
      <c r="A453" t="s">
        <v>1141</v>
      </c>
      <c r="B453" t="s">
        <v>1142</v>
      </c>
      <c r="C453">
        <v>192.76</v>
      </c>
      <c r="D453" t="s">
        <v>944</v>
      </c>
      <c r="E453" t="str">
        <f t="shared" ref="E453:E516" si="13">CONCATENATE(K453,". ",O453)</f>
        <v>05. Wood Cutting</v>
      </c>
      <c r="F453">
        <v>75</v>
      </c>
      <c r="H453" t="b">
        <v>1</v>
      </c>
      <c r="I453">
        <v>101</v>
      </c>
      <c r="K453" s="192" t="s">
        <v>32</v>
      </c>
      <c r="L453" s="188">
        <f>IFERROR(_xlfn.XLOOKUP(A453,[1]Fleet!A:A,[1]Fleet!E:E,""),"")</f>
        <v>21</v>
      </c>
      <c r="M453" s="188">
        <v>180.15</v>
      </c>
      <c r="N453" s="188" t="s">
        <v>1142</v>
      </c>
      <c r="O453" s="198" t="s">
        <v>1096</v>
      </c>
      <c r="P453">
        <v>426</v>
      </c>
      <c r="Q453">
        <f>_xlfn.XLOOKUP(A453,'[1]Classic Net to delete'!D:D,'[1]Classic Net to delete'!AA:AA,0)</f>
        <v>347</v>
      </c>
    </row>
    <row r="454" spans="1:17" x14ac:dyDescent="0.25">
      <c r="A454" t="s">
        <v>1143</v>
      </c>
      <c r="B454" t="s">
        <v>1144</v>
      </c>
      <c r="C454">
        <v>24.98</v>
      </c>
      <c r="D454" t="s">
        <v>944</v>
      </c>
      <c r="E454" t="str">
        <f t="shared" si="13"/>
        <v>06. General Purpose Saws</v>
      </c>
      <c r="F454">
        <v>75</v>
      </c>
      <c r="H454" t="b">
        <v>1</v>
      </c>
      <c r="I454">
        <v>10</v>
      </c>
      <c r="K454" s="192" t="s">
        <v>36</v>
      </c>
      <c r="L454" s="188">
        <f>IFERROR(_xlfn.XLOOKUP(A454,[1]Fleet!A:A,[1]Fleet!E:E,""),"")</f>
        <v>13</v>
      </c>
      <c r="M454" s="188">
        <v>23.35</v>
      </c>
      <c r="N454" s="188" t="s">
        <v>1144</v>
      </c>
      <c r="O454" s="198" t="s">
        <v>1145</v>
      </c>
      <c r="P454">
        <v>447</v>
      </c>
      <c r="Q454">
        <f>_xlfn.XLOOKUP(A454,'[1]Classic Net to delete'!D:D,'[1]Classic Net to delete'!AA:AA,0)</f>
        <v>492</v>
      </c>
    </row>
    <row r="455" spans="1:17" x14ac:dyDescent="0.25">
      <c r="A455" t="s">
        <v>1146</v>
      </c>
      <c r="B455" t="s">
        <v>1147</v>
      </c>
      <c r="C455">
        <v>27.77</v>
      </c>
      <c r="D455" t="s">
        <v>944</v>
      </c>
      <c r="E455" t="str">
        <f t="shared" si="13"/>
        <v>06. General Purpose Saws</v>
      </c>
      <c r="F455">
        <v>75</v>
      </c>
      <c r="H455" t="b">
        <v>1</v>
      </c>
      <c r="I455">
        <v>11</v>
      </c>
      <c r="K455" s="192" t="s">
        <v>36</v>
      </c>
      <c r="L455" s="188">
        <f>IFERROR(_xlfn.XLOOKUP(A455,[1]Fleet!A:A,[1]Fleet!E:E,""),"")</f>
        <v>20</v>
      </c>
      <c r="M455" s="188">
        <v>25.950000000000003</v>
      </c>
      <c r="N455" s="188" t="s">
        <v>1148</v>
      </c>
      <c r="O455" s="198" t="s">
        <v>1145</v>
      </c>
      <c r="P455">
        <v>451</v>
      </c>
      <c r="Q455">
        <f>_xlfn.XLOOKUP(A455,'[1]Classic Net to delete'!D:D,'[1]Classic Net to delete'!AA:AA,0)</f>
        <v>493</v>
      </c>
    </row>
    <row r="456" spans="1:17" x14ac:dyDescent="0.25">
      <c r="A456" t="s">
        <v>1149</v>
      </c>
      <c r="B456" t="s">
        <v>1150</v>
      </c>
      <c r="C456">
        <v>49.59</v>
      </c>
      <c r="D456" t="s">
        <v>944</v>
      </c>
      <c r="E456" t="str">
        <f t="shared" si="13"/>
        <v>06. General Purpose Saws</v>
      </c>
      <c r="F456">
        <v>75</v>
      </c>
      <c r="H456" t="b">
        <v>1</v>
      </c>
      <c r="I456">
        <v>12</v>
      </c>
      <c r="K456" s="192" t="s">
        <v>36</v>
      </c>
      <c r="L456" s="188">
        <f>IFERROR(_xlfn.XLOOKUP(A456,[1]Fleet!A:A,[1]Fleet!E:E,""),"")</f>
        <v>11</v>
      </c>
      <c r="M456" s="188">
        <v>46.35</v>
      </c>
      <c r="N456" s="188" t="s">
        <v>1150</v>
      </c>
      <c r="O456" s="198" t="s">
        <v>1145</v>
      </c>
      <c r="P456">
        <v>452</v>
      </c>
      <c r="Q456">
        <f>_xlfn.XLOOKUP(A456,'[1]Classic Net to delete'!D:D,'[1]Classic Net to delete'!AA:AA,0)</f>
        <v>494</v>
      </c>
    </row>
    <row r="457" spans="1:17" x14ac:dyDescent="0.25">
      <c r="A457" t="s">
        <v>1151</v>
      </c>
      <c r="B457" t="s">
        <v>1152</v>
      </c>
      <c r="C457">
        <v>54.57</v>
      </c>
      <c r="D457" t="s">
        <v>944</v>
      </c>
      <c r="E457" t="str">
        <f t="shared" si="13"/>
        <v>06. General Purpose Saws</v>
      </c>
      <c r="F457">
        <v>75</v>
      </c>
      <c r="H457" t="b">
        <v>1</v>
      </c>
      <c r="I457">
        <v>13</v>
      </c>
      <c r="K457" s="192" t="s">
        <v>36</v>
      </c>
      <c r="L457" s="188">
        <f>IFERROR(_xlfn.XLOOKUP(A457,[1]Fleet!A:A,[1]Fleet!E:E,""),"")</f>
        <v>4</v>
      </c>
      <c r="M457" s="188">
        <v>51</v>
      </c>
      <c r="N457" s="188" t="s">
        <v>1153</v>
      </c>
      <c r="O457" s="198" t="s">
        <v>1145</v>
      </c>
      <c r="P457">
        <v>454</v>
      </c>
      <c r="Q457">
        <f>_xlfn.XLOOKUP(A457,'[1]Classic Net to delete'!D:D,'[1]Classic Net to delete'!AA:AA,0)</f>
        <v>495</v>
      </c>
    </row>
    <row r="458" spans="1:17" x14ac:dyDescent="0.25">
      <c r="A458" t="s">
        <v>1154</v>
      </c>
      <c r="B458" t="s">
        <v>1155</v>
      </c>
      <c r="C458">
        <v>70.33</v>
      </c>
      <c r="D458" t="s">
        <v>944</v>
      </c>
      <c r="E458" t="str">
        <f t="shared" si="13"/>
        <v>06. General Purpose Saws</v>
      </c>
      <c r="F458">
        <v>75</v>
      </c>
      <c r="H458" t="b">
        <v>1</v>
      </c>
      <c r="I458">
        <v>14</v>
      </c>
      <c r="K458" s="192" t="s">
        <v>36</v>
      </c>
      <c r="L458" s="188">
        <f>IFERROR(_xlfn.XLOOKUP(A458,[1]Fleet!A:A,[1]Fleet!E:E,""),"")</f>
        <v>3</v>
      </c>
      <c r="M458" s="188">
        <v>59.6</v>
      </c>
      <c r="N458" s="188" t="s">
        <v>1156</v>
      </c>
      <c r="O458" s="198" t="s">
        <v>1145</v>
      </c>
      <c r="P458">
        <v>453</v>
      </c>
      <c r="Q458">
        <f>_xlfn.XLOOKUP(A458,'[1]Classic Net to delete'!D:D,'[1]Classic Net to delete'!AA:AA,0)</f>
        <v>783</v>
      </c>
    </row>
    <row r="459" spans="1:17" x14ac:dyDescent="0.25">
      <c r="A459" t="s">
        <v>1157</v>
      </c>
      <c r="B459" t="s">
        <v>1158</v>
      </c>
      <c r="C459">
        <v>96.76</v>
      </c>
      <c r="D459" t="s">
        <v>944</v>
      </c>
      <c r="E459" t="str">
        <f t="shared" si="13"/>
        <v>06. General Purpose Saws</v>
      </c>
      <c r="F459">
        <v>75</v>
      </c>
      <c r="H459" t="b">
        <v>1</v>
      </c>
      <c r="I459">
        <v>15</v>
      </c>
      <c r="K459" s="192" t="s">
        <v>36</v>
      </c>
      <c r="L459" s="188">
        <f>IFERROR(_xlfn.XLOOKUP(A459,[1]Fleet!A:A,[1]Fleet!E:E,""),"")</f>
        <v>4</v>
      </c>
      <c r="M459" s="188">
        <v>82</v>
      </c>
      <c r="N459" s="188" t="s">
        <v>1159</v>
      </c>
      <c r="O459" s="198" t="s">
        <v>1145</v>
      </c>
      <c r="P459">
        <v>455</v>
      </c>
      <c r="Q459">
        <f>_xlfn.XLOOKUP(A459,'[1]Classic Net to delete'!D:D,'[1]Classic Net to delete'!AA:AA,0)</f>
        <v>784</v>
      </c>
    </row>
    <row r="460" spans="1:17" x14ac:dyDescent="0.25">
      <c r="A460" t="s">
        <v>1160</v>
      </c>
      <c r="B460" t="s">
        <v>1161</v>
      </c>
      <c r="C460">
        <v>80.89</v>
      </c>
      <c r="D460" t="s">
        <v>944</v>
      </c>
      <c r="E460" t="str">
        <f t="shared" si="13"/>
        <v>06. General Purpose Saws</v>
      </c>
      <c r="F460">
        <v>75</v>
      </c>
      <c r="H460" t="b">
        <v>1</v>
      </c>
      <c r="I460">
        <v>16</v>
      </c>
      <c r="K460" s="192" t="s">
        <v>36</v>
      </c>
      <c r="L460" s="188">
        <f>IFERROR(_xlfn.XLOOKUP(A460,[1]Fleet!A:A,[1]Fleet!E:E,""),"")</f>
        <v>33</v>
      </c>
      <c r="M460" s="188">
        <v>75.600000000000009</v>
      </c>
      <c r="N460" s="188" t="s">
        <v>1162</v>
      </c>
      <c r="O460" s="198" t="s">
        <v>1145</v>
      </c>
      <c r="P460">
        <v>456</v>
      </c>
      <c r="Q460">
        <f>_xlfn.XLOOKUP(A460,'[1]Classic Net to delete'!D:D,'[1]Classic Net to delete'!AA:AA,0)</f>
        <v>786</v>
      </c>
    </row>
    <row r="461" spans="1:17" x14ac:dyDescent="0.25">
      <c r="A461" t="s">
        <v>1163</v>
      </c>
      <c r="B461" t="s">
        <v>1164</v>
      </c>
      <c r="C461">
        <v>32.53</v>
      </c>
      <c r="D461" t="s">
        <v>944</v>
      </c>
      <c r="E461" t="str">
        <f t="shared" si="13"/>
        <v>06. General Purpose Saws</v>
      </c>
      <c r="F461">
        <v>75</v>
      </c>
      <c r="H461" t="b">
        <v>1</v>
      </c>
      <c r="I461">
        <v>17</v>
      </c>
      <c r="K461" s="192" t="s">
        <v>36</v>
      </c>
      <c r="L461" s="188">
        <f>IFERROR(_xlfn.XLOOKUP(A461,[1]Fleet!A:A,[1]Fleet!E:E,""),"")</f>
        <v>14</v>
      </c>
      <c r="M461" s="188">
        <v>30.400000000000002</v>
      </c>
      <c r="N461" s="188" t="s">
        <v>1164</v>
      </c>
      <c r="O461" s="198" t="s">
        <v>1145</v>
      </c>
      <c r="P461">
        <v>419</v>
      </c>
      <c r="Q461">
        <f>_xlfn.XLOOKUP(A461,'[1]Classic Net to delete'!D:D,'[1]Classic Net to delete'!AA:AA,0)</f>
        <v>499</v>
      </c>
    </row>
    <row r="462" spans="1:17" x14ac:dyDescent="0.25">
      <c r="A462" t="s">
        <v>1165</v>
      </c>
      <c r="B462" t="s">
        <v>1166</v>
      </c>
      <c r="C462">
        <v>68.16</v>
      </c>
      <c r="D462" t="s">
        <v>944</v>
      </c>
      <c r="E462" t="str">
        <f t="shared" si="13"/>
        <v>06. General Purpose Saws</v>
      </c>
      <c r="F462">
        <v>75</v>
      </c>
      <c r="H462" t="b">
        <v>1</v>
      </c>
      <c r="I462">
        <v>18</v>
      </c>
      <c r="K462" s="192" t="s">
        <v>36</v>
      </c>
      <c r="L462" s="188">
        <f>IFERROR(_xlfn.XLOOKUP(A462,[1]Fleet!A:A,[1]Fleet!E:E,""),"")</f>
        <v>2</v>
      </c>
      <c r="M462" s="188">
        <v>63.7</v>
      </c>
      <c r="N462" s="188" t="s">
        <v>1167</v>
      </c>
      <c r="O462" s="198" t="s">
        <v>1145</v>
      </c>
      <c r="P462">
        <v>446</v>
      </c>
      <c r="Q462">
        <f>_xlfn.XLOOKUP(A462,'[1]Classic Net to delete'!D:D,'[1]Classic Net to delete'!AA:AA,0)</f>
        <v>519</v>
      </c>
    </row>
    <row r="463" spans="1:17" x14ac:dyDescent="0.25">
      <c r="A463" t="s">
        <v>1168</v>
      </c>
      <c r="B463" t="s">
        <v>1169</v>
      </c>
      <c r="C463">
        <v>68.16</v>
      </c>
      <c r="D463" t="s">
        <v>944</v>
      </c>
      <c r="E463" t="str">
        <f t="shared" si="13"/>
        <v>06. General Purpose Saws</v>
      </c>
      <c r="F463">
        <v>75</v>
      </c>
      <c r="H463" t="b">
        <v>1</v>
      </c>
      <c r="I463">
        <v>20</v>
      </c>
      <c r="K463" s="192" t="s">
        <v>36</v>
      </c>
      <c r="L463" s="188">
        <f>IFERROR(_xlfn.XLOOKUP(A463,[1]Fleet!A:A,[1]Fleet!E:E,""),"")</f>
        <v>2</v>
      </c>
      <c r="M463" s="188">
        <v>63.7</v>
      </c>
      <c r="N463" s="188" t="s">
        <v>1170</v>
      </c>
      <c r="O463" s="198" t="s">
        <v>1145</v>
      </c>
      <c r="P463">
        <v>379</v>
      </c>
      <c r="Q463">
        <f>_xlfn.XLOOKUP(A463,'[1]Classic Net to delete'!D:D,'[1]Classic Net to delete'!AA:AA,0)</f>
        <v>496</v>
      </c>
    </row>
    <row r="464" spans="1:17" x14ac:dyDescent="0.25">
      <c r="A464" t="s">
        <v>1171</v>
      </c>
      <c r="B464" t="s">
        <v>1172</v>
      </c>
      <c r="C464">
        <v>45.15</v>
      </c>
      <c r="D464" t="s">
        <v>944</v>
      </c>
      <c r="E464" t="str">
        <f t="shared" si="13"/>
        <v>06. General Purpose Saws</v>
      </c>
      <c r="F464">
        <v>75</v>
      </c>
      <c r="H464" t="b">
        <v>1</v>
      </c>
      <c r="I464">
        <v>771</v>
      </c>
      <c r="K464" s="192" t="s">
        <v>36</v>
      </c>
      <c r="L464" s="188">
        <f>IFERROR(_xlfn.XLOOKUP(A464,[1]Fleet!A:A,[1]Fleet!E:E,""),"")</f>
        <v>3</v>
      </c>
      <c r="M464" s="188">
        <v>42.2</v>
      </c>
      <c r="N464" s="188" t="s">
        <v>1173</v>
      </c>
      <c r="O464" s="198" t="s">
        <v>1145</v>
      </c>
      <c r="P464">
        <v>450</v>
      </c>
      <c r="Q464">
        <f>_xlfn.XLOOKUP(A464,'[1]Classic Net to delete'!D:D,'[1]Classic Net to delete'!AA:AA,0)</f>
        <v>771</v>
      </c>
    </row>
    <row r="465" spans="1:17" x14ac:dyDescent="0.25">
      <c r="A465" t="s">
        <v>1174</v>
      </c>
      <c r="B465" t="s">
        <v>1175</v>
      </c>
      <c r="C465">
        <v>41.410000000000004</v>
      </c>
      <c r="D465" t="s">
        <v>944</v>
      </c>
      <c r="E465" t="str">
        <f t="shared" si="13"/>
        <v>06. General Purpose Saws</v>
      </c>
      <c r="F465">
        <v>75</v>
      </c>
      <c r="H465" t="b">
        <v>1</v>
      </c>
      <c r="I465">
        <v>772</v>
      </c>
      <c r="K465" s="192" t="s">
        <v>36</v>
      </c>
      <c r="L465" s="188">
        <f>IFERROR(_xlfn.XLOOKUP(A465,[1]Fleet!A:A,[1]Fleet!E:E,""),"")</f>
        <v>3</v>
      </c>
      <c r="M465" s="188">
        <v>38.700000000000003</v>
      </c>
      <c r="N465" s="188" t="s">
        <v>1175</v>
      </c>
      <c r="O465" s="198" t="s">
        <v>1145</v>
      </c>
      <c r="P465">
        <v>448</v>
      </c>
      <c r="Q465">
        <f>_xlfn.XLOOKUP(A465,'[1]Classic Net to delete'!D:D,'[1]Classic Net to delete'!AA:AA,0)</f>
        <v>772</v>
      </c>
    </row>
    <row r="466" spans="1:17" x14ac:dyDescent="0.25">
      <c r="A466" t="s">
        <v>1176</v>
      </c>
      <c r="B466" t="s">
        <v>1177</v>
      </c>
      <c r="C466">
        <v>53.980000000000004</v>
      </c>
      <c r="D466" t="s">
        <v>944</v>
      </c>
      <c r="E466" t="str">
        <f t="shared" si="13"/>
        <v>06. General Purpose Saws</v>
      </c>
      <c r="F466">
        <v>75</v>
      </c>
      <c r="H466" t="b">
        <v>1</v>
      </c>
      <c r="I466">
        <v>775</v>
      </c>
      <c r="K466" s="192" t="s">
        <v>36</v>
      </c>
      <c r="L466" s="188">
        <f>IFERROR(_xlfn.XLOOKUP(A466,[1]Fleet!A:A,[1]Fleet!E:E,""),"")</f>
        <v>5</v>
      </c>
      <c r="M466" s="188">
        <v>50.45</v>
      </c>
      <c r="N466" s="188" t="s">
        <v>1177</v>
      </c>
      <c r="O466" s="198" t="s">
        <v>1145</v>
      </c>
      <c r="P466">
        <v>445</v>
      </c>
      <c r="Q466">
        <f>_xlfn.XLOOKUP(A466,'[1]Classic Net to delete'!D:D,'[1]Classic Net to delete'!AA:AA,0)</f>
        <v>775</v>
      </c>
    </row>
    <row r="467" spans="1:17" x14ac:dyDescent="0.25">
      <c r="A467" t="s">
        <v>1178</v>
      </c>
      <c r="B467" t="s">
        <v>1179</v>
      </c>
      <c r="C467">
        <v>53.61</v>
      </c>
      <c r="D467" t="s">
        <v>1180</v>
      </c>
      <c r="E467" t="str">
        <f t="shared" si="13"/>
        <v>. Impact and Screwdrivers</v>
      </c>
      <c r="F467">
        <v>75</v>
      </c>
      <c r="H467" t="b">
        <v>0</v>
      </c>
      <c r="I467">
        <v>0</v>
      </c>
      <c r="L467" s="188">
        <f>IFERROR(_xlfn.XLOOKUP(A467,[1]Fleet!A:A,[1]Fleet!E:E,""),"")</f>
        <v>4</v>
      </c>
      <c r="M467" s="188" t="s">
        <v>22</v>
      </c>
      <c r="N467" s="188" t="s">
        <v>22</v>
      </c>
      <c r="O467" s="198" t="s">
        <v>1181</v>
      </c>
      <c r="P467">
        <v>467</v>
      </c>
      <c r="Q467">
        <f>_xlfn.XLOOKUP(A467,'[1]Classic Net to delete'!D:D,'[1]Classic Net to delete'!AA:AA,0)</f>
        <v>0</v>
      </c>
    </row>
    <row r="468" spans="1:17" x14ac:dyDescent="0.25">
      <c r="A468" t="s">
        <v>1182</v>
      </c>
      <c r="B468" t="s">
        <v>1183</v>
      </c>
      <c r="C468">
        <v>53.61</v>
      </c>
      <c r="D468" t="s">
        <v>1180</v>
      </c>
      <c r="E468" t="str">
        <f t="shared" si="13"/>
        <v>. Impact and Screwdrivers</v>
      </c>
      <c r="F468">
        <v>75</v>
      </c>
      <c r="H468" t="b">
        <v>0</v>
      </c>
      <c r="I468">
        <v>0</v>
      </c>
      <c r="L468" s="188">
        <f>IFERROR(_xlfn.XLOOKUP(A468,[1]Fleet!A:A,[1]Fleet!E:E,""),"")</f>
        <v>11</v>
      </c>
      <c r="M468" s="188" t="s">
        <v>22</v>
      </c>
      <c r="N468" s="188" t="s">
        <v>22</v>
      </c>
      <c r="O468" s="198" t="s">
        <v>1181</v>
      </c>
      <c r="P468">
        <v>470</v>
      </c>
      <c r="Q468">
        <f>_xlfn.XLOOKUP(A468,'[1]Classic Net to delete'!D:D,'[1]Classic Net to delete'!AA:AA,0)</f>
        <v>0</v>
      </c>
    </row>
    <row r="469" spans="1:17" x14ac:dyDescent="0.25">
      <c r="A469" t="s">
        <v>1184</v>
      </c>
      <c r="B469" t="s">
        <v>1185</v>
      </c>
      <c r="C469">
        <v>75.38</v>
      </c>
      <c r="D469" t="s">
        <v>1180</v>
      </c>
      <c r="E469" t="str">
        <f t="shared" si="13"/>
        <v>. Nailers, Brads and Staplers</v>
      </c>
      <c r="F469">
        <v>75</v>
      </c>
      <c r="H469" t="b">
        <v>0</v>
      </c>
      <c r="I469">
        <v>0</v>
      </c>
      <c r="L469" s="188">
        <f>IFERROR(_xlfn.XLOOKUP(A469,[1]Fleet!A:A,[1]Fleet!E:E,""),"")</f>
        <v>1</v>
      </c>
      <c r="M469" s="188" t="s">
        <v>22</v>
      </c>
      <c r="N469" s="188" t="s">
        <v>22</v>
      </c>
      <c r="O469" s="198" t="s">
        <v>1186</v>
      </c>
      <c r="P469">
        <v>484</v>
      </c>
      <c r="Q469">
        <f>_xlfn.XLOOKUP(A469,'[1]Classic Net to delete'!D:D,'[1]Classic Net to delete'!AA:AA,0)</f>
        <v>0</v>
      </c>
    </row>
    <row r="470" spans="1:17" x14ac:dyDescent="0.25">
      <c r="A470" t="s">
        <v>1187</v>
      </c>
      <c r="B470" t="s">
        <v>1188</v>
      </c>
      <c r="C470">
        <v>75.38</v>
      </c>
      <c r="D470" t="s">
        <v>1180</v>
      </c>
      <c r="E470" t="str">
        <f t="shared" si="13"/>
        <v>. Nailers, Brads and Staplers</v>
      </c>
      <c r="F470">
        <v>75</v>
      </c>
      <c r="H470" t="b">
        <v>0</v>
      </c>
      <c r="I470">
        <v>0</v>
      </c>
      <c r="L470" s="188">
        <f>IFERROR(_xlfn.XLOOKUP(A470,[1]Fleet!A:A,[1]Fleet!E:E,""),"")</f>
        <v>3</v>
      </c>
      <c r="M470" s="188" t="s">
        <v>22</v>
      </c>
      <c r="N470" s="188" t="s">
        <v>22</v>
      </c>
      <c r="O470" s="198" t="s">
        <v>1186</v>
      </c>
      <c r="P470">
        <v>478</v>
      </c>
      <c r="Q470">
        <f>_xlfn.XLOOKUP(A470,'[1]Classic Net to delete'!D:D,'[1]Classic Net to delete'!AA:AA,0)</f>
        <v>0</v>
      </c>
    </row>
    <row r="471" spans="1:17" x14ac:dyDescent="0.25">
      <c r="A471" t="s">
        <v>1189</v>
      </c>
      <c r="B471" t="s">
        <v>1190</v>
      </c>
      <c r="C471">
        <v>67.61</v>
      </c>
      <c r="D471" t="s">
        <v>1180</v>
      </c>
      <c r="E471" t="str">
        <f t="shared" si="13"/>
        <v>. Nailers, Brads and Staplers</v>
      </c>
      <c r="F471">
        <v>75</v>
      </c>
      <c r="H471" t="b">
        <v>0</v>
      </c>
      <c r="I471">
        <v>0</v>
      </c>
      <c r="L471" s="188">
        <f>IFERROR(_xlfn.XLOOKUP(A471,[1]Fleet!A:A,[1]Fleet!E:E,""),"")</f>
        <v>3</v>
      </c>
      <c r="M471" s="188" t="s">
        <v>22</v>
      </c>
      <c r="N471" s="188" t="s">
        <v>22</v>
      </c>
      <c r="O471" s="198" t="s">
        <v>1186</v>
      </c>
      <c r="P471">
        <v>483</v>
      </c>
      <c r="Q471">
        <f>_xlfn.XLOOKUP(A471,'[1]Classic Net to delete'!D:D,'[1]Classic Net to delete'!AA:AA,0)</f>
        <v>0</v>
      </c>
    </row>
    <row r="472" spans="1:17" x14ac:dyDescent="0.25">
      <c r="A472" t="s">
        <v>1191</v>
      </c>
      <c r="B472" t="s">
        <v>1192</v>
      </c>
      <c r="C472">
        <v>72.23</v>
      </c>
      <c r="D472" t="s">
        <v>1180</v>
      </c>
      <c r="E472" t="str">
        <f t="shared" si="13"/>
        <v>. Nailers, Brads and Staplers</v>
      </c>
      <c r="F472">
        <v>75</v>
      </c>
      <c r="H472" t="b">
        <v>0</v>
      </c>
      <c r="I472">
        <v>0</v>
      </c>
      <c r="L472" s="188">
        <f>IFERROR(_xlfn.XLOOKUP(A472,[1]Fleet!A:A,[1]Fleet!E:E,""),"")</f>
        <v>3</v>
      </c>
      <c r="M472" s="188" t="s">
        <v>22</v>
      </c>
      <c r="N472" s="188" t="s">
        <v>22</v>
      </c>
      <c r="O472" s="198" t="s">
        <v>1186</v>
      </c>
      <c r="P472">
        <v>486</v>
      </c>
      <c r="Q472">
        <f>_xlfn.XLOOKUP(A472,'[1]Classic Net to delete'!D:D,'[1]Classic Net to delete'!AA:AA,0)</f>
        <v>0</v>
      </c>
    </row>
    <row r="473" spans="1:17" x14ac:dyDescent="0.25">
      <c r="A473" t="s">
        <v>1193</v>
      </c>
      <c r="B473" t="s">
        <v>1194</v>
      </c>
      <c r="C473">
        <v>52.38</v>
      </c>
      <c r="D473" t="s">
        <v>1180</v>
      </c>
      <c r="E473" t="str">
        <f t="shared" si="13"/>
        <v>. Nailers, Brads and Staplers</v>
      </c>
      <c r="F473">
        <v>75</v>
      </c>
      <c r="H473" t="b">
        <v>0</v>
      </c>
      <c r="I473">
        <v>0</v>
      </c>
      <c r="L473" s="188">
        <f>IFERROR(_xlfn.XLOOKUP(A473,[1]Fleet!A:A,[1]Fleet!E:E,""),"")</f>
        <v>8</v>
      </c>
      <c r="M473" s="188" t="s">
        <v>22</v>
      </c>
      <c r="N473" s="188" t="s">
        <v>22</v>
      </c>
      <c r="O473" s="198" t="s">
        <v>1186</v>
      </c>
      <c r="P473">
        <v>482</v>
      </c>
      <c r="Q473">
        <f>_xlfn.XLOOKUP(A473,'[1]Classic Net to delete'!D:D,'[1]Classic Net to delete'!AA:AA,0)</f>
        <v>0</v>
      </c>
    </row>
    <row r="474" spans="1:17" x14ac:dyDescent="0.25">
      <c r="A474" t="s">
        <v>1195</v>
      </c>
      <c r="B474" t="s">
        <v>1196</v>
      </c>
      <c r="C474">
        <v>57.410000000000004</v>
      </c>
      <c r="D474" t="s">
        <v>1180</v>
      </c>
      <c r="E474" t="str">
        <f t="shared" si="13"/>
        <v>. Nailers, Brads and Staplers</v>
      </c>
      <c r="F474">
        <v>75</v>
      </c>
      <c r="H474" t="b">
        <v>0</v>
      </c>
      <c r="I474">
        <v>0</v>
      </c>
      <c r="L474" s="188">
        <f>IFERROR(_xlfn.XLOOKUP(A474,[1]Fleet!A:A,[1]Fleet!E:E,""),"")</f>
        <v>1</v>
      </c>
      <c r="M474" s="188" t="s">
        <v>22</v>
      </c>
      <c r="N474" s="188" t="s">
        <v>22</v>
      </c>
      <c r="O474" s="198" t="s">
        <v>1186</v>
      </c>
      <c r="P474">
        <v>480</v>
      </c>
      <c r="Q474">
        <f>_xlfn.XLOOKUP(A474,'[1]Classic Net to delete'!D:D,'[1]Classic Net to delete'!AA:AA,0)</f>
        <v>0</v>
      </c>
    </row>
    <row r="475" spans="1:17" x14ac:dyDescent="0.25">
      <c r="A475" t="s">
        <v>1197</v>
      </c>
      <c r="B475" t="s">
        <v>1198</v>
      </c>
      <c r="C475">
        <v>91.86</v>
      </c>
      <c r="D475" t="s">
        <v>1180</v>
      </c>
      <c r="E475" t="str">
        <f t="shared" si="13"/>
        <v>. Nailers, Brads and Staplers</v>
      </c>
      <c r="F475">
        <v>75</v>
      </c>
      <c r="H475" t="b">
        <v>0</v>
      </c>
      <c r="I475">
        <v>0</v>
      </c>
      <c r="L475" s="188">
        <f>IFERROR(_xlfn.XLOOKUP(A475,[1]Fleet!A:A,[1]Fleet!E:E,""),"")</f>
        <v>3</v>
      </c>
      <c r="M475" s="188" t="s">
        <v>22</v>
      </c>
      <c r="N475" s="188" t="s">
        <v>22</v>
      </c>
      <c r="O475" s="198" t="s">
        <v>1186</v>
      </c>
      <c r="P475">
        <v>485</v>
      </c>
      <c r="Q475">
        <f>_xlfn.XLOOKUP(A475,'[1]Classic Net to delete'!D:D,'[1]Classic Net to delete'!AA:AA,0)</f>
        <v>0</v>
      </c>
    </row>
    <row r="476" spans="1:17" x14ac:dyDescent="0.25">
      <c r="A476" t="s">
        <v>1199</v>
      </c>
      <c r="B476" t="s">
        <v>1200</v>
      </c>
      <c r="C476">
        <v>67.61</v>
      </c>
      <c r="D476" t="s">
        <v>1180</v>
      </c>
      <c r="E476" t="str">
        <f t="shared" si="13"/>
        <v>01. Nailers, Brads and Staplers</v>
      </c>
      <c r="F476">
        <v>75</v>
      </c>
      <c r="H476" t="b">
        <v>1</v>
      </c>
      <c r="I476">
        <v>556</v>
      </c>
      <c r="K476" s="192" t="s">
        <v>21</v>
      </c>
      <c r="L476" s="188">
        <f>IFERROR(_xlfn.XLOOKUP(A476,[1]Fleet!A:A,[1]Fleet!E:E,""),"")</f>
        <v>30</v>
      </c>
      <c r="M476" s="188">
        <v>57.300000000000004</v>
      </c>
      <c r="N476" s="188" t="s">
        <v>1201</v>
      </c>
      <c r="O476" s="198" t="s">
        <v>1186</v>
      </c>
      <c r="P476">
        <v>481</v>
      </c>
      <c r="Q476">
        <f>_xlfn.XLOOKUP(A476,'[1]Classic Net to delete'!D:D,'[1]Classic Net to delete'!AA:AA,0)</f>
        <v>556</v>
      </c>
    </row>
    <row r="477" spans="1:17" x14ac:dyDescent="0.25">
      <c r="A477" t="s">
        <v>1202</v>
      </c>
      <c r="B477" t="s">
        <v>1203</v>
      </c>
      <c r="C477">
        <v>22.1</v>
      </c>
      <c r="D477" t="s">
        <v>1180</v>
      </c>
      <c r="E477" t="str">
        <f t="shared" si="13"/>
        <v>01. Nailers, Brads and Staplers</v>
      </c>
      <c r="F477">
        <v>75</v>
      </c>
      <c r="H477" t="b">
        <v>1</v>
      </c>
      <c r="I477">
        <v>557</v>
      </c>
      <c r="K477" s="192" t="s">
        <v>21</v>
      </c>
      <c r="L477" s="188" t="str">
        <f>IFERROR(_xlfn.XLOOKUP(A477,[1]Fleet!A:A,[1]Fleet!E:E,""),"")</f>
        <v/>
      </c>
      <c r="M477" s="188">
        <v>20.650000000000002</v>
      </c>
      <c r="N477" s="188" t="s">
        <v>1203</v>
      </c>
      <c r="O477" s="198" t="s">
        <v>1186</v>
      </c>
      <c r="P477">
        <v>459</v>
      </c>
      <c r="Q477">
        <f>_xlfn.XLOOKUP(A477,'[1]Classic Net to delete'!D:D,'[1]Classic Net to delete'!AA:AA,0)</f>
        <v>557</v>
      </c>
    </row>
    <row r="478" spans="1:17" x14ac:dyDescent="0.25">
      <c r="A478" t="s">
        <v>1204</v>
      </c>
      <c r="B478" t="s">
        <v>1205</v>
      </c>
      <c r="C478">
        <v>87.19</v>
      </c>
      <c r="D478" t="s">
        <v>1180</v>
      </c>
      <c r="E478" t="str">
        <f t="shared" si="13"/>
        <v>01. Nailers, Brads and Staplers</v>
      </c>
      <c r="F478">
        <v>75</v>
      </c>
      <c r="H478" t="b">
        <v>1</v>
      </c>
      <c r="I478">
        <v>560</v>
      </c>
      <c r="K478" s="192" t="s">
        <v>21</v>
      </c>
      <c r="L478" s="188">
        <f>IFERROR(_xlfn.XLOOKUP(A478,[1]Fleet!A:A,[1]Fleet!E:E,""),"")</f>
        <v>5</v>
      </c>
      <c r="M478" s="188">
        <v>77.850000000000009</v>
      </c>
      <c r="N478" s="188" t="s">
        <v>1206</v>
      </c>
      <c r="O478" s="198" t="s">
        <v>1186</v>
      </c>
      <c r="P478">
        <v>477</v>
      </c>
      <c r="Q478">
        <f>_xlfn.XLOOKUP(A478,'[1]Classic Net to delete'!D:D,'[1]Classic Net to delete'!AA:AA,0)</f>
        <v>560</v>
      </c>
    </row>
    <row r="479" spans="1:17" x14ac:dyDescent="0.25">
      <c r="A479" t="s">
        <v>1207</v>
      </c>
      <c r="B479" t="s">
        <v>1208</v>
      </c>
      <c r="C479">
        <v>72.23</v>
      </c>
      <c r="D479" t="s">
        <v>1180</v>
      </c>
      <c r="E479" t="str">
        <f t="shared" si="13"/>
        <v>01. Nailers, Brads and Staplers</v>
      </c>
      <c r="F479">
        <v>75</v>
      </c>
      <c r="H479" t="b">
        <v>1</v>
      </c>
      <c r="I479">
        <v>561</v>
      </c>
      <c r="K479" s="192" t="s">
        <v>21</v>
      </c>
      <c r="L479" s="188">
        <f>IFERROR(_xlfn.XLOOKUP(A479,[1]Fleet!A:A,[1]Fleet!E:E,""),"")</f>
        <v>8</v>
      </c>
      <c r="M479" s="188">
        <v>67.5</v>
      </c>
      <c r="N479" s="188" t="s">
        <v>1209</v>
      </c>
      <c r="O479" s="198" t="s">
        <v>1186</v>
      </c>
      <c r="P479">
        <v>475</v>
      </c>
      <c r="Q479">
        <f>_xlfn.XLOOKUP(A479,'[1]Classic Net to delete'!D:D,'[1]Classic Net to delete'!AA:AA,0)</f>
        <v>561</v>
      </c>
    </row>
    <row r="480" spans="1:17" x14ac:dyDescent="0.25">
      <c r="A480" t="s">
        <v>1210</v>
      </c>
      <c r="B480" t="s">
        <v>1211</v>
      </c>
      <c r="C480">
        <v>75.38</v>
      </c>
      <c r="D480" t="s">
        <v>1180</v>
      </c>
      <c r="E480" t="str">
        <f t="shared" si="13"/>
        <v>01. Nailers, Brads and Staplers</v>
      </c>
      <c r="F480">
        <v>75</v>
      </c>
      <c r="H480" t="b">
        <v>1</v>
      </c>
      <c r="I480">
        <v>562</v>
      </c>
      <c r="K480" s="192" t="s">
        <v>21</v>
      </c>
      <c r="L480" s="188">
        <f>IFERROR(_xlfn.XLOOKUP(A480,[1]Fleet!A:A,[1]Fleet!E:E,""),"")</f>
        <v>18</v>
      </c>
      <c r="M480" s="188">
        <v>70.45</v>
      </c>
      <c r="N480" s="188" t="s">
        <v>1212</v>
      </c>
      <c r="O480" s="198" t="s">
        <v>1186</v>
      </c>
      <c r="P480">
        <v>473</v>
      </c>
      <c r="Q480">
        <f>_xlfn.XLOOKUP(A480,'[1]Classic Net to delete'!D:D,'[1]Classic Net to delete'!AA:AA,0)</f>
        <v>562</v>
      </c>
    </row>
    <row r="481" spans="1:17" x14ac:dyDescent="0.25">
      <c r="A481" t="s">
        <v>1213</v>
      </c>
      <c r="B481" t="s">
        <v>1214</v>
      </c>
      <c r="C481">
        <v>10.540000000000001</v>
      </c>
      <c r="D481" t="s">
        <v>1180</v>
      </c>
      <c r="E481" t="str">
        <f t="shared" si="13"/>
        <v>01. Nailers, Brads and Staplers</v>
      </c>
      <c r="F481">
        <v>75</v>
      </c>
      <c r="H481" t="b">
        <v>1</v>
      </c>
      <c r="I481">
        <v>563</v>
      </c>
      <c r="K481" s="192" t="s">
        <v>21</v>
      </c>
      <c r="L481" s="188" t="str">
        <f>IFERROR(_xlfn.XLOOKUP(A481,[1]Fleet!A:A,[1]Fleet!E:E,""),"")</f>
        <v/>
      </c>
      <c r="M481" s="188">
        <v>9.8500000000000014</v>
      </c>
      <c r="N481" s="188" t="s">
        <v>1215</v>
      </c>
      <c r="O481" s="198" t="s">
        <v>1186</v>
      </c>
      <c r="P481">
        <v>460</v>
      </c>
      <c r="Q481">
        <f>_xlfn.XLOOKUP(A481,'[1]Classic Net to delete'!D:D,'[1]Classic Net to delete'!AA:AA,0)</f>
        <v>563</v>
      </c>
    </row>
    <row r="482" spans="1:17" x14ac:dyDescent="0.25">
      <c r="A482" t="s">
        <v>1216</v>
      </c>
      <c r="B482" t="s">
        <v>1217</v>
      </c>
      <c r="C482">
        <v>72.23</v>
      </c>
      <c r="D482" t="s">
        <v>1180</v>
      </c>
      <c r="E482" t="str">
        <f t="shared" si="13"/>
        <v>01. Nailers, Brads and Staplers</v>
      </c>
      <c r="F482">
        <v>75</v>
      </c>
      <c r="H482" t="b">
        <v>1</v>
      </c>
      <c r="I482">
        <v>567</v>
      </c>
      <c r="K482" s="192" t="s">
        <v>21</v>
      </c>
      <c r="L482" s="188">
        <f>IFERROR(_xlfn.XLOOKUP(A482,[1]Fleet!A:A,[1]Fleet!E:E,""),"")</f>
        <v>11</v>
      </c>
      <c r="M482" s="188">
        <v>67.5</v>
      </c>
      <c r="N482" s="188" t="s">
        <v>1217</v>
      </c>
      <c r="O482" s="198" t="s">
        <v>1186</v>
      </c>
      <c r="P482">
        <v>474</v>
      </c>
      <c r="Q482">
        <f>_xlfn.XLOOKUP(A482,'[1]Classic Net to delete'!D:D,'[1]Classic Net to delete'!AA:AA,0)</f>
        <v>567</v>
      </c>
    </row>
    <row r="483" spans="1:17" x14ac:dyDescent="0.25">
      <c r="A483" t="s">
        <v>1218</v>
      </c>
      <c r="B483" t="s">
        <v>1219</v>
      </c>
      <c r="C483">
        <v>0</v>
      </c>
      <c r="D483" t="s">
        <v>1180</v>
      </c>
      <c r="E483" t="str">
        <f t="shared" si="13"/>
        <v>01. Nailers, Brads and Staplers</v>
      </c>
      <c r="F483">
        <v>75</v>
      </c>
      <c r="H483" t="b">
        <v>0</v>
      </c>
      <c r="I483">
        <v>569</v>
      </c>
      <c r="K483" s="192" t="s">
        <v>21</v>
      </c>
      <c r="L483" s="188" t="str">
        <f>IFERROR(_xlfn.XLOOKUP(A483,[1]Fleet!A:A,[1]Fleet!E:E,""),"")</f>
        <v/>
      </c>
      <c r="M483" s="188">
        <v>43.95</v>
      </c>
      <c r="N483" s="188" t="s">
        <v>1220</v>
      </c>
      <c r="O483" s="198" t="s">
        <v>1186</v>
      </c>
      <c r="P483">
        <v>479</v>
      </c>
      <c r="Q483">
        <f>_xlfn.XLOOKUP(A483,'[1]Classic Net to delete'!D:D,'[1]Classic Net to delete'!AA:AA,0)</f>
        <v>569</v>
      </c>
    </row>
    <row r="484" spans="1:17" x14ac:dyDescent="0.25">
      <c r="A484" t="s">
        <v>1221</v>
      </c>
      <c r="B484" t="s">
        <v>1222</v>
      </c>
      <c r="C484">
        <v>58.1</v>
      </c>
      <c r="D484" t="s">
        <v>1180</v>
      </c>
      <c r="E484" t="str">
        <f t="shared" si="13"/>
        <v>01. Nailers, Brads and Staplers</v>
      </c>
      <c r="F484">
        <v>75</v>
      </c>
      <c r="H484" t="b">
        <v>1</v>
      </c>
      <c r="I484">
        <v>573</v>
      </c>
      <c r="K484" s="192" t="s">
        <v>21</v>
      </c>
      <c r="L484" s="188">
        <f>IFERROR(_xlfn.XLOOKUP(A484,[1]Fleet!A:A,[1]Fleet!E:E,""),"")</f>
        <v>1</v>
      </c>
      <c r="M484" s="188">
        <v>54.300000000000004</v>
      </c>
      <c r="N484" s="188" t="s">
        <v>1223</v>
      </c>
      <c r="O484" s="198" t="s">
        <v>1186</v>
      </c>
      <c r="P484">
        <v>476</v>
      </c>
      <c r="Q484">
        <f>_xlfn.XLOOKUP(A484,'[1]Classic Net to delete'!D:D,'[1]Classic Net to delete'!AA:AA,0)</f>
        <v>573</v>
      </c>
    </row>
    <row r="485" spans="1:17" x14ac:dyDescent="0.25">
      <c r="A485" t="s">
        <v>1224</v>
      </c>
      <c r="B485" t="s">
        <v>1225</v>
      </c>
      <c r="C485">
        <v>65.38</v>
      </c>
      <c r="D485" t="s">
        <v>1180</v>
      </c>
      <c r="E485" t="str">
        <f t="shared" si="13"/>
        <v>02. Impact and Screwdrivers</v>
      </c>
      <c r="F485">
        <v>75</v>
      </c>
      <c r="H485" t="b">
        <v>1</v>
      </c>
      <c r="I485">
        <v>577</v>
      </c>
      <c r="K485" s="192" t="s">
        <v>54</v>
      </c>
      <c r="L485" s="188">
        <f>IFERROR(_xlfn.XLOOKUP(A485,[1]Fleet!A:A,[1]Fleet!E:E,""),"")</f>
        <v>1</v>
      </c>
      <c r="M485" s="188">
        <v>61.1</v>
      </c>
      <c r="N485" s="188" t="s">
        <v>1226</v>
      </c>
      <c r="O485" s="198" t="s">
        <v>1181</v>
      </c>
      <c r="P485">
        <v>461</v>
      </c>
      <c r="Q485">
        <f>_xlfn.XLOOKUP(A485,'[1]Classic Net to delete'!D:D,'[1]Classic Net to delete'!AA:AA,0)</f>
        <v>577</v>
      </c>
    </row>
    <row r="486" spans="1:17" x14ac:dyDescent="0.25">
      <c r="A486" t="s">
        <v>1227</v>
      </c>
      <c r="B486" t="s">
        <v>1228</v>
      </c>
      <c r="C486">
        <v>50.800000000000004</v>
      </c>
      <c r="D486" t="s">
        <v>1180</v>
      </c>
      <c r="E486" t="str">
        <f t="shared" si="13"/>
        <v>02. Impact and Screwdrivers</v>
      </c>
      <c r="F486">
        <v>75</v>
      </c>
      <c r="H486" t="b">
        <v>1</v>
      </c>
      <c r="I486">
        <v>578</v>
      </c>
      <c r="K486" s="192" t="s">
        <v>54</v>
      </c>
      <c r="L486" s="188">
        <f>IFERROR(_xlfn.XLOOKUP(A486,[1]Fleet!A:A,[1]Fleet!E:E,""),"")</f>
        <v>3</v>
      </c>
      <c r="M486" s="188">
        <v>43.050000000000004</v>
      </c>
      <c r="N486" s="188" t="s">
        <v>1229</v>
      </c>
      <c r="O486" s="198" t="s">
        <v>1181</v>
      </c>
      <c r="P486">
        <v>464</v>
      </c>
      <c r="Q486">
        <f>_xlfn.XLOOKUP(A486,'[1]Classic Net to delete'!D:D,'[1]Classic Net to delete'!AA:AA,0)</f>
        <v>578</v>
      </c>
    </row>
    <row r="487" spans="1:17" x14ac:dyDescent="0.25">
      <c r="A487" t="s">
        <v>1230</v>
      </c>
      <c r="B487" t="s">
        <v>1231</v>
      </c>
      <c r="C487">
        <v>54.28</v>
      </c>
      <c r="D487" t="s">
        <v>1180</v>
      </c>
      <c r="E487" t="str">
        <f t="shared" si="13"/>
        <v>02. Impact and Screwdrivers</v>
      </c>
      <c r="F487">
        <v>75</v>
      </c>
      <c r="H487" t="b">
        <v>1</v>
      </c>
      <c r="I487">
        <v>579</v>
      </c>
      <c r="K487" s="192" t="s">
        <v>54</v>
      </c>
      <c r="L487" s="188">
        <f>IFERROR(_xlfn.XLOOKUP(A487,[1]Fleet!A:A,[1]Fleet!E:E,""),"")</f>
        <v>10</v>
      </c>
      <c r="M487" s="188">
        <v>46</v>
      </c>
      <c r="N487" s="188" t="s">
        <v>1232</v>
      </c>
      <c r="O487" s="198" t="s">
        <v>1181</v>
      </c>
      <c r="P487">
        <v>462</v>
      </c>
      <c r="Q487">
        <f>_xlfn.XLOOKUP(A487,'[1]Classic Net to delete'!D:D,'[1]Classic Net to delete'!AA:AA,0)</f>
        <v>579</v>
      </c>
    </row>
    <row r="488" spans="1:17" x14ac:dyDescent="0.25">
      <c r="A488" t="s">
        <v>1233</v>
      </c>
      <c r="B488" t="s">
        <v>1234</v>
      </c>
      <c r="C488">
        <v>72.39</v>
      </c>
      <c r="D488" t="s">
        <v>1180</v>
      </c>
      <c r="E488" t="str">
        <f t="shared" si="13"/>
        <v>02. Impact and Screwdrivers</v>
      </c>
      <c r="F488">
        <v>75</v>
      </c>
      <c r="H488" t="b">
        <v>1</v>
      </c>
      <c r="I488">
        <v>580</v>
      </c>
      <c r="K488" s="192" t="s">
        <v>54</v>
      </c>
      <c r="L488" s="188">
        <f>IFERROR(_xlfn.XLOOKUP(A488,[1]Fleet!A:A,[1]Fleet!E:E,""),"")</f>
        <v>7</v>
      </c>
      <c r="M488" s="188">
        <v>61.35</v>
      </c>
      <c r="N488" s="188" t="s">
        <v>1235</v>
      </c>
      <c r="O488" s="198" t="s">
        <v>1181</v>
      </c>
      <c r="P488">
        <v>465</v>
      </c>
      <c r="Q488">
        <f>_xlfn.XLOOKUP(A488,'[1]Classic Net to delete'!D:D,'[1]Classic Net to delete'!AA:AA,0)</f>
        <v>580</v>
      </c>
    </row>
    <row r="489" spans="1:17" x14ac:dyDescent="0.25">
      <c r="A489" t="s">
        <v>1236</v>
      </c>
      <c r="B489" t="s">
        <v>1237</v>
      </c>
      <c r="C489">
        <v>0</v>
      </c>
      <c r="D489" t="s">
        <v>1180</v>
      </c>
      <c r="E489" t="str">
        <f t="shared" si="13"/>
        <v>02. Impact and Screwdrivers</v>
      </c>
      <c r="F489">
        <v>75</v>
      </c>
      <c r="H489" t="b">
        <v>0</v>
      </c>
      <c r="I489">
        <v>584</v>
      </c>
      <c r="K489" s="192" t="s">
        <v>54</v>
      </c>
      <c r="L489" s="188">
        <f>IFERROR(_xlfn.XLOOKUP(A489,[1]Fleet!A:A,[1]Fleet!E:E,""),"")</f>
        <v>3</v>
      </c>
      <c r="M489" s="188">
        <v>48.95</v>
      </c>
      <c r="N489" s="188" t="s">
        <v>1238</v>
      </c>
      <c r="O489" s="198" t="s">
        <v>1181</v>
      </c>
      <c r="P489">
        <v>468</v>
      </c>
      <c r="Q489">
        <f>_xlfn.XLOOKUP(A489,'[1]Classic Net to delete'!D:D,'[1]Classic Net to delete'!AA:AA,0)</f>
        <v>584</v>
      </c>
    </row>
    <row r="490" spans="1:17" x14ac:dyDescent="0.25">
      <c r="A490" t="s">
        <v>1239</v>
      </c>
      <c r="B490" t="s">
        <v>1240</v>
      </c>
      <c r="C490">
        <v>59.97</v>
      </c>
      <c r="D490" t="s">
        <v>1180</v>
      </c>
      <c r="E490" t="str">
        <f t="shared" si="13"/>
        <v>02. Impact and Screwdrivers</v>
      </c>
      <c r="F490">
        <v>75</v>
      </c>
      <c r="H490" t="b">
        <v>1</v>
      </c>
      <c r="I490">
        <v>585</v>
      </c>
      <c r="K490" s="192" t="s">
        <v>54</v>
      </c>
      <c r="L490" s="188">
        <f>IFERROR(_xlfn.XLOOKUP(A490,[1]Fleet!A:A,[1]Fleet!E:E,""),"")</f>
        <v>20</v>
      </c>
      <c r="M490" s="188">
        <v>56.050000000000004</v>
      </c>
      <c r="N490" s="188" t="s">
        <v>1241</v>
      </c>
      <c r="O490" s="198" t="s">
        <v>1181</v>
      </c>
      <c r="P490">
        <v>469</v>
      </c>
      <c r="Q490">
        <f>_xlfn.XLOOKUP(A490,'[1]Classic Net to delete'!D:D,'[1]Classic Net to delete'!AA:AA,0)</f>
        <v>585</v>
      </c>
    </row>
    <row r="491" spans="1:17" x14ac:dyDescent="0.25">
      <c r="A491" t="s">
        <v>1242</v>
      </c>
      <c r="B491" t="s">
        <v>1243</v>
      </c>
      <c r="C491">
        <v>69.92</v>
      </c>
      <c r="D491" t="s">
        <v>1180</v>
      </c>
      <c r="E491" t="str">
        <f t="shared" si="13"/>
        <v>02. Impact and Screwdrivers</v>
      </c>
      <c r="F491">
        <v>75</v>
      </c>
      <c r="H491" t="b">
        <v>1</v>
      </c>
      <c r="I491">
        <v>586</v>
      </c>
      <c r="K491" s="192" t="s">
        <v>54</v>
      </c>
      <c r="L491" s="188">
        <f>IFERROR(_xlfn.XLOOKUP(A491,[1]Fleet!A:A,[1]Fleet!E:E,""),"")</f>
        <v>7</v>
      </c>
      <c r="M491" s="188">
        <v>65.350000000000009</v>
      </c>
      <c r="N491" s="188" t="s">
        <v>1244</v>
      </c>
      <c r="O491" s="198" t="s">
        <v>1181</v>
      </c>
      <c r="P491">
        <v>471</v>
      </c>
      <c r="Q491">
        <f>_xlfn.XLOOKUP(A491,'[1]Classic Net to delete'!D:D,'[1]Classic Net to delete'!AA:AA,0)</f>
        <v>586</v>
      </c>
    </row>
    <row r="492" spans="1:17" x14ac:dyDescent="0.25">
      <c r="A492" t="s">
        <v>1245</v>
      </c>
      <c r="B492" t="s">
        <v>1246</v>
      </c>
      <c r="C492">
        <v>38.200000000000003</v>
      </c>
      <c r="D492" t="s">
        <v>1180</v>
      </c>
      <c r="E492" t="str">
        <f t="shared" si="13"/>
        <v>02. Impact and Screwdrivers</v>
      </c>
      <c r="F492">
        <v>75</v>
      </c>
      <c r="H492" t="b">
        <v>1</v>
      </c>
      <c r="I492">
        <v>587</v>
      </c>
      <c r="K492" s="192" t="s">
        <v>54</v>
      </c>
      <c r="L492" s="188">
        <f>IFERROR(_xlfn.XLOOKUP(A492,[1]Fleet!A:A,[1]Fleet!E:E,""),"")</f>
        <v>5</v>
      </c>
      <c r="M492" s="188">
        <v>35.700000000000003</v>
      </c>
      <c r="N492" s="188" t="s">
        <v>1247</v>
      </c>
      <c r="O492" s="198" t="s">
        <v>1181</v>
      </c>
      <c r="P492">
        <v>463</v>
      </c>
      <c r="Q492">
        <f>_xlfn.XLOOKUP(A492,'[1]Classic Net to delete'!D:D,'[1]Classic Net to delete'!AA:AA,0)</f>
        <v>587</v>
      </c>
    </row>
    <row r="493" spans="1:17" x14ac:dyDescent="0.25">
      <c r="A493" t="s">
        <v>1248</v>
      </c>
      <c r="B493" t="s">
        <v>1249</v>
      </c>
      <c r="C493">
        <v>73.19</v>
      </c>
      <c r="D493" t="s">
        <v>1180</v>
      </c>
      <c r="E493" t="str">
        <f t="shared" si="13"/>
        <v>02. Impact and Screwdrivers</v>
      </c>
      <c r="F493">
        <v>75</v>
      </c>
      <c r="H493" t="b">
        <v>1</v>
      </c>
      <c r="I493">
        <v>588</v>
      </c>
      <c r="K493" s="192" t="s">
        <v>54</v>
      </c>
      <c r="L493" s="188">
        <f>IFERROR(_xlfn.XLOOKUP(A493,[1]Fleet!A:A,[1]Fleet!E:E,""),"")</f>
        <v>11</v>
      </c>
      <c r="M493" s="188">
        <v>68.400000000000006</v>
      </c>
      <c r="N493" s="188" t="s">
        <v>1250</v>
      </c>
      <c r="O493" s="198" t="s">
        <v>1181</v>
      </c>
      <c r="P493">
        <v>472</v>
      </c>
      <c r="Q493">
        <f>_xlfn.XLOOKUP(A493,'[1]Classic Net to delete'!D:D,'[1]Classic Net to delete'!AA:AA,0)</f>
        <v>588</v>
      </c>
    </row>
    <row r="494" spans="1:17" x14ac:dyDescent="0.25">
      <c r="A494" t="s">
        <v>1251</v>
      </c>
      <c r="B494" t="s">
        <v>1252</v>
      </c>
      <c r="C494">
        <v>72.92</v>
      </c>
      <c r="D494" t="s">
        <v>1180</v>
      </c>
      <c r="E494" t="str">
        <f t="shared" si="13"/>
        <v>02. Impact and Screwdrivers</v>
      </c>
      <c r="F494">
        <v>75</v>
      </c>
      <c r="H494" t="b">
        <v>1</v>
      </c>
      <c r="I494">
        <v>589</v>
      </c>
      <c r="K494" s="192" t="s">
        <v>54</v>
      </c>
      <c r="L494" s="188">
        <f>IFERROR(_xlfn.XLOOKUP(A494,[1]Fleet!A:A,[1]Fleet!E:E,""),"")</f>
        <v>5</v>
      </c>
      <c r="M494" s="188">
        <v>68.150000000000006</v>
      </c>
      <c r="N494" s="188" t="s">
        <v>1252</v>
      </c>
      <c r="O494" s="198" t="s">
        <v>1181</v>
      </c>
      <c r="P494">
        <v>466</v>
      </c>
      <c r="Q494">
        <f>_xlfn.XLOOKUP(A494,'[1]Classic Net to delete'!D:D,'[1]Classic Net to delete'!AA:AA,0)</f>
        <v>589</v>
      </c>
    </row>
    <row r="495" spans="1:17" x14ac:dyDescent="0.25">
      <c r="A495" t="s">
        <v>1253</v>
      </c>
      <c r="B495" t="s">
        <v>1254</v>
      </c>
      <c r="C495">
        <v>85.12</v>
      </c>
      <c r="D495" t="s">
        <v>1255</v>
      </c>
      <c r="E495" t="str">
        <f t="shared" si="13"/>
        <v>. Dehumidifiers</v>
      </c>
      <c r="F495">
        <v>75</v>
      </c>
      <c r="H495" t="b">
        <v>0</v>
      </c>
      <c r="I495">
        <v>0</v>
      </c>
      <c r="L495" s="188">
        <f>IFERROR(_xlfn.XLOOKUP(A495,[1]Fleet!A:A,[1]Fleet!E:E,""),"")</f>
        <v>6</v>
      </c>
      <c r="M495" s="188" t="s">
        <v>22</v>
      </c>
      <c r="N495" s="188" t="s">
        <v>22</v>
      </c>
      <c r="O495" s="198" t="s">
        <v>1256</v>
      </c>
      <c r="P495">
        <v>497</v>
      </c>
      <c r="Q495">
        <f>_xlfn.XLOOKUP(A495,'[1]Classic Net to delete'!D:D,'[1]Classic Net to delete'!AA:AA,0)</f>
        <v>0</v>
      </c>
    </row>
    <row r="496" spans="1:17" x14ac:dyDescent="0.25">
      <c r="A496" t="s">
        <v>1257</v>
      </c>
      <c r="B496" t="s">
        <v>1258</v>
      </c>
      <c r="C496">
        <v>38.200000000000003</v>
      </c>
      <c r="D496" t="s">
        <v>1255</v>
      </c>
      <c r="E496" t="str">
        <f t="shared" si="13"/>
        <v>. Heaters</v>
      </c>
      <c r="F496">
        <v>75</v>
      </c>
      <c r="H496" t="b">
        <v>0</v>
      </c>
      <c r="I496">
        <v>0</v>
      </c>
      <c r="L496" s="188">
        <f>IFERROR(_xlfn.XLOOKUP(A496,[1]Fleet!A:A,[1]Fleet!E:E,""),"")</f>
        <v>40</v>
      </c>
      <c r="M496" s="188" t="s">
        <v>22</v>
      </c>
      <c r="N496" s="188" t="s">
        <v>22</v>
      </c>
      <c r="O496" s="198" t="s">
        <v>1259</v>
      </c>
      <c r="P496">
        <v>504</v>
      </c>
      <c r="Q496">
        <f>_xlfn.XLOOKUP(A496,'[1]Classic Net to delete'!D:D,'[1]Classic Net to delete'!AA:AA,0)</f>
        <v>0</v>
      </c>
    </row>
    <row r="497" spans="1:17" x14ac:dyDescent="0.25">
      <c r="A497" t="s">
        <v>1260</v>
      </c>
      <c r="B497" t="s">
        <v>1261</v>
      </c>
      <c r="C497">
        <v>70.989999999999995</v>
      </c>
      <c r="D497" t="s">
        <v>1255</v>
      </c>
      <c r="E497" t="str">
        <f t="shared" si="13"/>
        <v>. Heaters</v>
      </c>
      <c r="F497">
        <v>75</v>
      </c>
      <c r="H497" t="b">
        <v>0</v>
      </c>
      <c r="I497">
        <v>0</v>
      </c>
      <c r="L497" s="188">
        <f>IFERROR(_xlfn.XLOOKUP(A497,[1]Fleet!A:A,[1]Fleet!E:E,""),"")</f>
        <v>2</v>
      </c>
      <c r="M497" s="188" t="s">
        <v>22</v>
      </c>
      <c r="N497" s="188" t="s">
        <v>22</v>
      </c>
      <c r="O497" s="198" t="s">
        <v>1259</v>
      </c>
      <c r="P497">
        <v>505</v>
      </c>
      <c r="Q497">
        <f>_xlfn.XLOOKUP(A497,'[1]Classic Net to delete'!D:D,'[1]Classic Net to delete'!AA:AA,0)</f>
        <v>0</v>
      </c>
    </row>
    <row r="498" spans="1:17" x14ac:dyDescent="0.25">
      <c r="A498" t="s">
        <v>1262</v>
      </c>
      <c r="B498" t="s">
        <v>1263</v>
      </c>
      <c r="C498">
        <v>109.14</v>
      </c>
      <c r="D498" t="s">
        <v>1255</v>
      </c>
      <c r="E498" t="str">
        <f t="shared" si="13"/>
        <v>. Heaters</v>
      </c>
      <c r="F498">
        <v>75</v>
      </c>
      <c r="H498" t="b">
        <v>0</v>
      </c>
      <c r="I498">
        <v>0</v>
      </c>
      <c r="L498" s="188">
        <f>IFERROR(_xlfn.XLOOKUP(A498,[1]Fleet!A:A,[1]Fleet!E:E,""),"")</f>
        <v>11</v>
      </c>
      <c r="M498" s="188" t="s">
        <v>22</v>
      </c>
      <c r="N498" s="188" t="s">
        <v>22</v>
      </c>
      <c r="O498" s="198" t="s">
        <v>1259</v>
      </c>
      <c r="P498">
        <v>507</v>
      </c>
      <c r="Q498">
        <f>_xlfn.XLOOKUP(A498,'[1]Classic Net to delete'!D:D,'[1]Classic Net to delete'!AA:AA,0)</f>
        <v>0</v>
      </c>
    </row>
    <row r="499" spans="1:17" x14ac:dyDescent="0.25">
      <c r="A499" t="s">
        <v>1264</v>
      </c>
      <c r="B499" t="s">
        <v>1265</v>
      </c>
      <c r="C499">
        <v>143.27000000000001</v>
      </c>
      <c r="D499" t="s">
        <v>1255</v>
      </c>
      <c r="E499" t="str">
        <f t="shared" si="13"/>
        <v>. Heaters</v>
      </c>
      <c r="F499">
        <v>75</v>
      </c>
      <c r="H499" t="b">
        <v>0</v>
      </c>
      <c r="I499">
        <v>0</v>
      </c>
      <c r="L499" s="188">
        <f>IFERROR(_xlfn.XLOOKUP(A499,[1]Fleet!A:A,[1]Fleet!E:E,""),"")</f>
        <v>6</v>
      </c>
      <c r="M499" s="188" t="s">
        <v>22</v>
      </c>
      <c r="N499" s="188" t="s">
        <v>22</v>
      </c>
      <c r="O499" s="198" t="s">
        <v>1259</v>
      </c>
      <c r="P499">
        <v>513</v>
      </c>
      <c r="Q499">
        <f>_xlfn.XLOOKUP(A499,'[1]Classic Net to delete'!D:D,'[1]Classic Net to delete'!AA:AA,0)</f>
        <v>0</v>
      </c>
    </row>
    <row r="500" spans="1:17" x14ac:dyDescent="0.25">
      <c r="A500" t="s">
        <v>1266</v>
      </c>
      <c r="B500" t="s">
        <v>1267</v>
      </c>
      <c r="C500">
        <v>65.38</v>
      </c>
      <c r="D500" t="s">
        <v>1255</v>
      </c>
      <c r="E500" t="str">
        <f t="shared" si="13"/>
        <v>. Heaters</v>
      </c>
      <c r="F500">
        <v>75</v>
      </c>
      <c r="H500" t="b">
        <v>0</v>
      </c>
      <c r="I500">
        <v>0</v>
      </c>
      <c r="L500" s="188">
        <f>IFERROR(_xlfn.XLOOKUP(A500,[1]Fleet!A:A,[1]Fleet!E:E,""),"")</f>
        <v>64</v>
      </c>
      <c r="M500" s="188" t="s">
        <v>22</v>
      </c>
      <c r="N500" s="188" t="s">
        <v>22</v>
      </c>
      <c r="O500" s="198" t="s">
        <v>1259</v>
      </c>
      <c r="P500">
        <v>509</v>
      </c>
      <c r="Q500">
        <f>_xlfn.XLOOKUP(A500,'[1]Classic Net to delete'!D:D,'[1]Classic Net to delete'!AA:AA,0)</f>
        <v>0</v>
      </c>
    </row>
    <row r="501" spans="1:17" x14ac:dyDescent="0.25">
      <c r="A501" t="s">
        <v>1268</v>
      </c>
      <c r="B501" t="s">
        <v>1269</v>
      </c>
      <c r="C501">
        <v>0</v>
      </c>
      <c r="D501" t="s">
        <v>1255</v>
      </c>
      <c r="E501" t="str">
        <f t="shared" si="13"/>
        <v>. Heaters</v>
      </c>
      <c r="F501">
        <v>75</v>
      </c>
      <c r="H501" t="b">
        <v>0</v>
      </c>
      <c r="I501">
        <v>0</v>
      </c>
      <c r="L501" s="188" t="str">
        <f>IFERROR(_xlfn.XLOOKUP(A501,[1]Fleet!A:A,[1]Fleet!E:E,""),"")</f>
        <v/>
      </c>
      <c r="M501" s="188" t="s">
        <v>22</v>
      </c>
      <c r="N501" s="188" t="s">
        <v>22</v>
      </c>
      <c r="O501" s="198" t="s">
        <v>1259</v>
      </c>
      <c r="P501">
        <v>514</v>
      </c>
      <c r="Q501">
        <f>_xlfn.XLOOKUP(A501,'[1]Classic Net to delete'!D:D,'[1]Classic Net to delete'!AA:AA,0)</f>
        <v>0</v>
      </c>
    </row>
    <row r="502" spans="1:17" x14ac:dyDescent="0.25">
      <c r="A502" t="s">
        <v>1270</v>
      </c>
      <c r="B502" t="s">
        <v>1271</v>
      </c>
      <c r="C502">
        <v>70.989999999999995</v>
      </c>
      <c r="D502" t="s">
        <v>1255</v>
      </c>
      <c r="E502" t="str">
        <f t="shared" si="13"/>
        <v>01. Space Heaters</v>
      </c>
      <c r="F502">
        <v>75</v>
      </c>
      <c r="H502" t="b">
        <v>1</v>
      </c>
      <c r="I502">
        <v>376</v>
      </c>
      <c r="K502" s="192" t="s">
        <v>21</v>
      </c>
      <c r="L502" s="188">
        <f>IFERROR(_xlfn.XLOOKUP(A502,[1]Fleet!A:A,[1]Fleet!E:E,""),"")</f>
        <v>45</v>
      </c>
      <c r="M502" s="188">
        <v>66.350000000000009</v>
      </c>
      <c r="N502" s="188" t="s">
        <v>1272</v>
      </c>
      <c r="O502" s="198" t="s">
        <v>1273</v>
      </c>
      <c r="P502">
        <v>506</v>
      </c>
      <c r="Q502">
        <f>_xlfn.XLOOKUP(A502,'[1]Classic Net to delete'!D:D,'[1]Classic Net to delete'!AA:AA,0)</f>
        <v>376</v>
      </c>
    </row>
    <row r="503" spans="1:17" x14ac:dyDescent="0.25">
      <c r="A503" t="s">
        <v>1274</v>
      </c>
      <c r="B503" t="s">
        <v>1275</v>
      </c>
      <c r="C503">
        <v>52.38</v>
      </c>
      <c r="D503" t="s">
        <v>1255</v>
      </c>
      <c r="E503" t="str">
        <f t="shared" si="13"/>
        <v>01. Space Heaters</v>
      </c>
      <c r="F503">
        <v>75</v>
      </c>
      <c r="H503" t="b">
        <v>1</v>
      </c>
      <c r="I503">
        <v>377</v>
      </c>
      <c r="K503" s="192" t="s">
        <v>21</v>
      </c>
      <c r="L503" s="188">
        <f>IFERROR(_xlfn.XLOOKUP(A503,[1]Fleet!A:A,[1]Fleet!E:E,""),"")</f>
        <v>15</v>
      </c>
      <c r="M503" s="188">
        <v>48.95</v>
      </c>
      <c r="N503" s="188" t="s">
        <v>1275</v>
      </c>
      <c r="O503" s="198" t="s">
        <v>1273</v>
      </c>
      <c r="P503">
        <v>501</v>
      </c>
      <c r="Q503">
        <f>_xlfn.XLOOKUP(A503,'[1]Classic Net to delete'!D:D,'[1]Classic Net to delete'!AA:AA,0)</f>
        <v>377</v>
      </c>
    </row>
    <row r="504" spans="1:17" x14ac:dyDescent="0.25">
      <c r="A504" t="s">
        <v>1276</v>
      </c>
      <c r="B504" t="s">
        <v>1277</v>
      </c>
      <c r="C504">
        <v>23.97</v>
      </c>
      <c r="D504" t="s">
        <v>1255</v>
      </c>
      <c r="E504" t="str">
        <f t="shared" si="13"/>
        <v>01. Space Heaters</v>
      </c>
      <c r="F504">
        <v>75</v>
      </c>
      <c r="H504" t="b">
        <v>1</v>
      </c>
      <c r="I504">
        <v>378</v>
      </c>
      <c r="K504" s="192" t="s">
        <v>21</v>
      </c>
      <c r="L504" s="188">
        <f>IFERROR(_xlfn.XLOOKUP(A504,[1]Fleet!A:A,[1]Fleet!E:E,""),"")</f>
        <v>17</v>
      </c>
      <c r="M504" s="188">
        <v>22.400000000000002</v>
      </c>
      <c r="N504" s="188" t="s">
        <v>1278</v>
      </c>
      <c r="O504" s="198" t="s">
        <v>1273</v>
      </c>
      <c r="P504">
        <v>500</v>
      </c>
      <c r="Q504">
        <f>_xlfn.XLOOKUP(A504,'[1]Classic Net to delete'!D:D,'[1]Classic Net to delete'!AA:AA,0)</f>
        <v>378</v>
      </c>
    </row>
    <row r="505" spans="1:17" x14ac:dyDescent="0.25">
      <c r="A505" t="s">
        <v>1279</v>
      </c>
      <c r="B505" t="s">
        <v>1280</v>
      </c>
      <c r="C505">
        <v>238.08</v>
      </c>
      <c r="D505" t="s">
        <v>1255</v>
      </c>
      <c r="E505" t="str">
        <f t="shared" si="13"/>
        <v>01. Space Heaters</v>
      </c>
      <c r="F505">
        <v>75</v>
      </c>
      <c r="H505" t="b">
        <v>1</v>
      </c>
      <c r="I505">
        <v>390</v>
      </c>
      <c r="K505" s="192" t="s">
        <v>21</v>
      </c>
      <c r="L505" s="188">
        <f>IFERROR(_xlfn.XLOOKUP(A505,[1]Fleet!A:A,[1]Fleet!E:E,""),"")</f>
        <v>11</v>
      </c>
      <c r="M505" s="188">
        <v>222.5</v>
      </c>
      <c r="N505" s="188" t="s">
        <v>1281</v>
      </c>
      <c r="O505" s="198" t="s">
        <v>1273</v>
      </c>
      <c r="P505">
        <v>512</v>
      </c>
      <c r="Q505">
        <f>_xlfn.XLOOKUP(A505,'[1]Classic Net to delete'!D:D,'[1]Classic Net to delete'!AA:AA,0)</f>
        <v>390</v>
      </c>
    </row>
    <row r="506" spans="1:17" x14ac:dyDescent="0.25">
      <c r="A506" t="s">
        <v>1282</v>
      </c>
      <c r="B506" t="s">
        <v>1283</v>
      </c>
      <c r="C506">
        <v>52.38</v>
      </c>
      <c r="D506" t="s">
        <v>1255</v>
      </c>
      <c r="E506" t="str">
        <f t="shared" si="13"/>
        <v>02. Electric Heaters</v>
      </c>
      <c r="F506">
        <v>75</v>
      </c>
      <c r="H506" t="b">
        <v>1</v>
      </c>
      <c r="I506">
        <v>382</v>
      </c>
      <c r="K506" s="192" t="s">
        <v>54</v>
      </c>
      <c r="L506" s="188">
        <f>IFERROR(_xlfn.XLOOKUP(A506,[1]Fleet!A:A,[1]Fleet!E:E,""),"")</f>
        <v>30</v>
      </c>
      <c r="M506" s="188">
        <v>48.95</v>
      </c>
      <c r="N506" s="188" t="s">
        <v>1284</v>
      </c>
      <c r="O506" s="198" t="s">
        <v>1285</v>
      </c>
      <c r="P506">
        <v>511</v>
      </c>
      <c r="Q506">
        <f>_xlfn.XLOOKUP(A506,'[1]Classic Net to delete'!D:D,'[1]Classic Net to delete'!AA:AA,0)</f>
        <v>382</v>
      </c>
    </row>
    <row r="507" spans="1:17" x14ac:dyDescent="0.25">
      <c r="A507" t="s">
        <v>1286</v>
      </c>
      <c r="B507" t="s">
        <v>1287</v>
      </c>
      <c r="C507">
        <v>65.38</v>
      </c>
      <c r="D507" t="s">
        <v>1255</v>
      </c>
      <c r="E507" t="str">
        <f t="shared" si="13"/>
        <v>02. Electric Heaters</v>
      </c>
      <c r="F507">
        <v>75</v>
      </c>
      <c r="H507" t="b">
        <v>1</v>
      </c>
      <c r="I507">
        <v>383</v>
      </c>
      <c r="K507" s="192" t="s">
        <v>54</v>
      </c>
      <c r="L507" s="188">
        <f>IFERROR(_xlfn.XLOOKUP(A507,[1]Fleet!A:A,[1]Fleet!E:E,""),"")</f>
        <v>228</v>
      </c>
      <c r="M507" s="188">
        <v>61.1</v>
      </c>
      <c r="N507" s="188" t="s">
        <v>1288</v>
      </c>
      <c r="O507" s="198" t="s">
        <v>1285</v>
      </c>
      <c r="P507">
        <v>508</v>
      </c>
      <c r="Q507">
        <f>_xlfn.XLOOKUP(A507,'[1]Classic Net to delete'!D:D,'[1]Classic Net to delete'!AA:AA,0)</f>
        <v>383</v>
      </c>
    </row>
    <row r="508" spans="1:17" x14ac:dyDescent="0.25">
      <c r="A508" t="s">
        <v>1289</v>
      </c>
      <c r="B508" t="s">
        <v>1290</v>
      </c>
      <c r="C508">
        <v>38.200000000000003</v>
      </c>
      <c r="D508" t="s">
        <v>1255</v>
      </c>
      <c r="E508" t="str">
        <f t="shared" si="13"/>
        <v>02. Electric Heaters</v>
      </c>
      <c r="F508">
        <v>75</v>
      </c>
      <c r="H508" t="b">
        <v>1</v>
      </c>
      <c r="I508">
        <v>384</v>
      </c>
      <c r="K508" s="192" t="s">
        <v>54</v>
      </c>
      <c r="L508" s="188">
        <f>IFERROR(_xlfn.XLOOKUP(A508,[1]Fleet!A:A,[1]Fleet!E:E,""),"")</f>
        <v>149</v>
      </c>
      <c r="M508" s="188">
        <v>35.700000000000003</v>
      </c>
      <c r="N508" s="188" t="s">
        <v>1291</v>
      </c>
      <c r="O508" s="198" t="s">
        <v>1285</v>
      </c>
      <c r="P508">
        <v>503</v>
      </c>
      <c r="Q508">
        <f>_xlfn.XLOOKUP(A508,'[1]Classic Net to delete'!D:D,'[1]Classic Net to delete'!AA:AA,0)</f>
        <v>384</v>
      </c>
    </row>
    <row r="509" spans="1:17" x14ac:dyDescent="0.25">
      <c r="A509" t="s">
        <v>1292</v>
      </c>
      <c r="B509" t="s">
        <v>1293</v>
      </c>
      <c r="C509">
        <v>112.3</v>
      </c>
      <c r="D509" t="s">
        <v>1255</v>
      </c>
      <c r="E509" t="str">
        <f t="shared" si="13"/>
        <v>02. Electric Heaters</v>
      </c>
      <c r="F509">
        <v>75</v>
      </c>
      <c r="H509" t="b">
        <v>1</v>
      </c>
      <c r="I509">
        <v>385</v>
      </c>
      <c r="K509" s="192" t="s">
        <v>54</v>
      </c>
      <c r="L509" s="188">
        <f>IFERROR(_xlfn.XLOOKUP(A509,[1]Fleet!A:A,[1]Fleet!E:E,""),"")</f>
        <v>17</v>
      </c>
      <c r="M509" s="188">
        <v>104.95</v>
      </c>
      <c r="N509" s="188" t="s">
        <v>1293</v>
      </c>
      <c r="O509" s="198" t="s">
        <v>1285</v>
      </c>
      <c r="P509">
        <v>510</v>
      </c>
      <c r="Q509">
        <f>_xlfn.XLOOKUP(A509,'[1]Classic Net to delete'!D:D,'[1]Classic Net to delete'!AA:AA,0)</f>
        <v>385</v>
      </c>
    </row>
    <row r="510" spans="1:17" x14ac:dyDescent="0.25">
      <c r="A510" t="s">
        <v>1294</v>
      </c>
      <c r="B510" t="s">
        <v>1295</v>
      </c>
      <c r="C510">
        <v>18.03</v>
      </c>
      <c r="D510" t="s">
        <v>1255</v>
      </c>
      <c r="E510" t="str">
        <f t="shared" si="13"/>
        <v>02. Electric Heaters</v>
      </c>
      <c r="F510">
        <v>75</v>
      </c>
      <c r="H510" t="b">
        <v>1</v>
      </c>
      <c r="I510">
        <v>386</v>
      </c>
      <c r="K510" s="192" t="s">
        <v>54</v>
      </c>
      <c r="L510" s="188">
        <f>IFERROR(_xlfn.XLOOKUP(A510,[1]Fleet!A:A,[1]Fleet!E:E,""),"")</f>
        <v>2</v>
      </c>
      <c r="M510" s="188">
        <v>16.850000000000001</v>
      </c>
      <c r="N510" s="188" t="s">
        <v>1295</v>
      </c>
      <c r="O510" s="198" t="s">
        <v>1285</v>
      </c>
      <c r="P510">
        <v>499</v>
      </c>
      <c r="Q510">
        <f>_xlfn.XLOOKUP(A510,'[1]Classic Net to delete'!D:D,'[1]Classic Net to delete'!AA:AA,0)</f>
        <v>386</v>
      </c>
    </row>
    <row r="511" spans="1:17" x14ac:dyDescent="0.25">
      <c r="A511" t="s">
        <v>1296</v>
      </c>
      <c r="B511" t="s">
        <v>1297</v>
      </c>
      <c r="C511">
        <v>18.03</v>
      </c>
      <c r="D511" t="s">
        <v>1255</v>
      </c>
      <c r="E511" t="str">
        <f t="shared" si="13"/>
        <v>02. Electric Heaters</v>
      </c>
      <c r="F511">
        <v>75</v>
      </c>
      <c r="H511" t="b">
        <v>1</v>
      </c>
      <c r="I511">
        <v>387</v>
      </c>
      <c r="K511" s="192" t="s">
        <v>54</v>
      </c>
      <c r="L511" s="188">
        <f>IFERROR(_xlfn.XLOOKUP(A511,[1]Fleet!A:A,[1]Fleet!E:E,""),"")</f>
        <v>249</v>
      </c>
      <c r="M511" s="188">
        <v>16.850000000000001</v>
      </c>
      <c r="N511" s="188" t="s">
        <v>1297</v>
      </c>
      <c r="O511" s="198" t="s">
        <v>1285</v>
      </c>
      <c r="P511">
        <v>502</v>
      </c>
      <c r="Q511">
        <f>_xlfn.XLOOKUP(A511,'[1]Classic Net to delete'!D:D,'[1]Classic Net to delete'!AA:AA,0)</f>
        <v>387</v>
      </c>
    </row>
    <row r="512" spans="1:17" x14ac:dyDescent="0.25">
      <c r="A512" t="s">
        <v>1298</v>
      </c>
      <c r="B512" t="s">
        <v>1299</v>
      </c>
      <c r="C512">
        <v>126.21000000000001</v>
      </c>
      <c r="D512" t="s">
        <v>1255</v>
      </c>
      <c r="E512" t="str">
        <f t="shared" si="13"/>
        <v>03. Cooling</v>
      </c>
      <c r="F512">
        <v>75</v>
      </c>
      <c r="H512" t="b">
        <v>1</v>
      </c>
      <c r="I512">
        <v>393</v>
      </c>
      <c r="K512" s="192" t="s">
        <v>85</v>
      </c>
      <c r="L512" s="188">
        <f>IFERROR(_xlfn.XLOOKUP(A512,[1]Fleet!A:A,[1]Fleet!E:E,""),"")</f>
        <v>117</v>
      </c>
      <c r="M512" s="188">
        <v>117.95</v>
      </c>
      <c r="N512" s="188" t="s">
        <v>1299</v>
      </c>
      <c r="O512" s="198" t="s">
        <v>1300</v>
      </c>
      <c r="P512">
        <v>487</v>
      </c>
      <c r="Q512">
        <f>_xlfn.XLOOKUP(A512,'[1]Classic Net to delete'!D:D,'[1]Classic Net to delete'!AA:AA,0)</f>
        <v>393</v>
      </c>
    </row>
    <row r="513" spans="1:17" x14ac:dyDescent="0.25">
      <c r="A513" t="s">
        <v>1301</v>
      </c>
      <c r="B513" t="s">
        <v>1302</v>
      </c>
      <c r="C513">
        <v>25.57</v>
      </c>
      <c r="D513" t="s">
        <v>1255</v>
      </c>
      <c r="E513" t="str">
        <f t="shared" si="13"/>
        <v>03. Cooling</v>
      </c>
      <c r="F513">
        <v>75</v>
      </c>
      <c r="H513" t="b">
        <v>1</v>
      </c>
      <c r="I513">
        <v>394</v>
      </c>
      <c r="K513" s="192" t="s">
        <v>85</v>
      </c>
      <c r="L513" s="188">
        <f>IFERROR(_xlfn.XLOOKUP(A513,[1]Fleet!A:A,[1]Fleet!E:E,""),"")</f>
        <v>25</v>
      </c>
      <c r="M513" s="188">
        <v>23.900000000000002</v>
      </c>
      <c r="N513" s="188" t="s">
        <v>1302</v>
      </c>
      <c r="O513" s="198" t="s">
        <v>1300</v>
      </c>
      <c r="P513">
        <v>489</v>
      </c>
      <c r="Q513">
        <f>_xlfn.XLOOKUP(A513,'[1]Classic Net to delete'!D:D,'[1]Classic Net to delete'!AA:AA,0)</f>
        <v>394</v>
      </c>
    </row>
    <row r="514" spans="1:17" x14ac:dyDescent="0.25">
      <c r="A514" t="s">
        <v>1303</v>
      </c>
      <c r="B514" t="s">
        <v>1304</v>
      </c>
      <c r="C514">
        <v>38.200000000000003</v>
      </c>
      <c r="D514" t="s">
        <v>1255</v>
      </c>
      <c r="E514" t="str">
        <f t="shared" si="13"/>
        <v>03. Cooling</v>
      </c>
      <c r="F514">
        <v>75</v>
      </c>
      <c r="H514" t="b">
        <v>1</v>
      </c>
      <c r="I514">
        <v>395</v>
      </c>
      <c r="K514" s="192" t="s">
        <v>85</v>
      </c>
      <c r="L514" s="188">
        <f>IFERROR(_xlfn.XLOOKUP(A514,[1]Fleet!A:A,[1]Fleet!E:E,""),"")</f>
        <v>1</v>
      </c>
      <c r="M514" s="188">
        <v>35.700000000000003</v>
      </c>
      <c r="N514" s="188" t="s">
        <v>1304</v>
      </c>
      <c r="O514" s="198" t="s">
        <v>1300</v>
      </c>
      <c r="P514">
        <v>490</v>
      </c>
      <c r="Q514">
        <f>_xlfn.XLOOKUP(A514,'[1]Classic Net to delete'!D:D,'[1]Classic Net to delete'!AA:AA,0)</f>
        <v>395</v>
      </c>
    </row>
    <row r="515" spans="1:17" x14ac:dyDescent="0.25">
      <c r="A515" t="s">
        <v>1305</v>
      </c>
      <c r="B515" t="s">
        <v>1306</v>
      </c>
      <c r="C515">
        <v>76.67</v>
      </c>
      <c r="D515" t="s">
        <v>1255</v>
      </c>
      <c r="E515" t="str">
        <f t="shared" si="13"/>
        <v>03. Cooling</v>
      </c>
      <c r="F515">
        <v>75</v>
      </c>
      <c r="H515" t="b">
        <v>1</v>
      </c>
      <c r="I515">
        <v>396</v>
      </c>
      <c r="K515" s="192" t="s">
        <v>85</v>
      </c>
      <c r="L515" s="188">
        <f>IFERROR(_xlfn.XLOOKUP(A515,[1]Fleet!A:A,[1]Fleet!E:E,""),"")</f>
        <v>64</v>
      </c>
      <c r="M515" s="188">
        <v>71.650000000000006</v>
      </c>
      <c r="N515" s="188" t="s">
        <v>1307</v>
      </c>
      <c r="O515" s="198" t="s">
        <v>1300</v>
      </c>
      <c r="P515">
        <v>491</v>
      </c>
      <c r="Q515">
        <f>_xlfn.XLOOKUP(A515,'[1]Classic Net to delete'!D:D,'[1]Classic Net to delete'!AA:AA,0)</f>
        <v>396</v>
      </c>
    </row>
    <row r="516" spans="1:17" x14ac:dyDescent="0.25">
      <c r="A516" t="s">
        <v>1308</v>
      </c>
      <c r="B516" t="s">
        <v>1309</v>
      </c>
      <c r="C516">
        <v>79.180000000000007</v>
      </c>
      <c r="D516" t="s">
        <v>1255</v>
      </c>
      <c r="E516" t="str">
        <f t="shared" si="13"/>
        <v>03. Cooling</v>
      </c>
      <c r="F516">
        <v>75</v>
      </c>
      <c r="H516" t="b">
        <v>1</v>
      </c>
      <c r="I516">
        <v>397</v>
      </c>
      <c r="K516" s="192" t="s">
        <v>85</v>
      </c>
      <c r="L516" s="188">
        <f>IFERROR(_xlfn.XLOOKUP(A516,[1]Fleet!A:A,[1]Fleet!E:E,""),"")</f>
        <v>3</v>
      </c>
      <c r="M516" s="188">
        <v>74</v>
      </c>
      <c r="N516" s="188" t="s">
        <v>1310</v>
      </c>
      <c r="O516" s="198" t="s">
        <v>1300</v>
      </c>
      <c r="P516">
        <v>492</v>
      </c>
      <c r="Q516">
        <f>_xlfn.XLOOKUP(A516,'[1]Classic Net to delete'!D:D,'[1]Classic Net to delete'!AA:AA,0)</f>
        <v>397</v>
      </c>
    </row>
    <row r="517" spans="1:17" x14ac:dyDescent="0.25">
      <c r="A517" t="s">
        <v>1311</v>
      </c>
      <c r="B517" t="s">
        <v>1312</v>
      </c>
      <c r="C517">
        <v>104.7</v>
      </c>
      <c r="D517" t="s">
        <v>1255</v>
      </c>
      <c r="E517" t="str">
        <f t="shared" ref="E517:E580" si="14">CONCATENATE(K517,". ",O517)</f>
        <v>03. Cooling</v>
      </c>
      <c r="F517">
        <v>75</v>
      </c>
      <c r="H517" t="b">
        <v>1</v>
      </c>
      <c r="I517">
        <v>398</v>
      </c>
      <c r="K517" s="192" t="s">
        <v>85</v>
      </c>
      <c r="L517" s="188">
        <f>IFERROR(_xlfn.XLOOKUP(A517,[1]Fleet!A:A,[1]Fleet!E:E,""),"")</f>
        <v>93</v>
      </c>
      <c r="M517" s="188">
        <v>97.850000000000009</v>
      </c>
      <c r="N517" s="188" t="s">
        <v>1313</v>
      </c>
      <c r="O517" s="198" t="s">
        <v>1300</v>
      </c>
      <c r="P517">
        <v>488</v>
      </c>
      <c r="Q517">
        <f>_xlfn.XLOOKUP(A517,'[1]Classic Net to delete'!D:D,'[1]Classic Net to delete'!AA:AA,0)</f>
        <v>398</v>
      </c>
    </row>
    <row r="518" spans="1:17" x14ac:dyDescent="0.25">
      <c r="A518" t="s">
        <v>1314</v>
      </c>
      <c r="B518" t="s">
        <v>1315</v>
      </c>
      <c r="C518">
        <v>94.64</v>
      </c>
      <c r="D518" t="s">
        <v>1255</v>
      </c>
      <c r="E518" t="str">
        <f t="shared" si="14"/>
        <v>04. Dehumidifiers &amp; Dryers</v>
      </c>
      <c r="F518">
        <v>75</v>
      </c>
      <c r="H518" t="b">
        <v>1</v>
      </c>
      <c r="I518">
        <v>355</v>
      </c>
      <c r="K518" s="192" t="s">
        <v>89</v>
      </c>
      <c r="L518" s="188">
        <f>IFERROR(_xlfn.XLOOKUP(A518,[1]Fleet!A:A,[1]Fleet!E:E,""),"")</f>
        <v>14</v>
      </c>
      <c r="M518" s="188">
        <v>88.45</v>
      </c>
      <c r="N518" s="188" t="s">
        <v>1316</v>
      </c>
      <c r="O518" s="198" t="s">
        <v>1317</v>
      </c>
      <c r="P518">
        <v>498</v>
      </c>
      <c r="Q518">
        <f>_xlfn.XLOOKUP(A518,'[1]Classic Net to delete'!D:D,'[1]Classic Net to delete'!AA:AA,0)</f>
        <v>355</v>
      </c>
    </row>
    <row r="519" spans="1:17" x14ac:dyDescent="0.25">
      <c r="A519" t="s">
        <v>1318</v>
      </c>
      <c r="B519" t="s">
        <v>1319</v>
      </c>
      <c r="C519">
        <v>85.12</v>
      </c>
      <c r="D519" t="s">
        <v>1255</v>
      </c>
      <c r="E519" t="str">
        <f t="shared" si="14"/>
        <v>04. Dehumidifiers &amp; Dryers</v>
      </c>
      <c r="F519">
        <v>75</v>
      </c>
      <c r="H519" t="b">
        <v>1</v>
      </c>
      <c r="I519">
        <v>401</v>
      </c>
      <c r="K519" s="192" t="s">
        <v>89</v>
      </c>
      <c r="L519" s="188">
        <f>IFERROR(_xlfn.XLOOKUP(A519,[1]Fleet!A:A,[1]Fleet!E:E,""),"")</f>
        <v>16</v>
      </c>
      <c r="M519" s="188">
        <v>79.550000000000011</v>
      </c>
      <c r="N519" s="188" t="s">
        <v>1319</v>
      </c>
      <c r="O519" s="198" t="s">
        <v>1317</v>
      </c>
      <c r="P519">
        <v>493</v>
      </c>
      <c r="Q519">
        <f>_xlfn.XLOOKUP(A519,'[1]Classic Net to delete'!D:D,'[1]Classic Net to delete'!AA:AA,0)</f>
        <v>401</v>
      </c>
    </row>
    <row r="520" spans="1:17" x14ac:dyDescent="0.25">
      <c r="A520" t="s">
        <v>1320</v>
      </c>
      <c r="B520" t="s">
        <v>1321</v>
      </c>
      <c r="C520">
        <v>121.77</v>
      </c>
      <c r="D520" t="s">
        <v>1255</v>
      </c>
      <c r="E520" t="str">
        <f t="shared" si="14"/>
        <v>04. Dehumidifiers &amp; Dryers</v>
      </c>
      <c r="F520">
        <v>75</v>
      </c>
      <c r="H520" t="b">
        <v>1</v>
      </c>
      <c r="I520">
        <v>402</v>
      </c>
      <c r="K520" s="192" t="s">
        <v>89</v>
      </c>
      <c r="L520" s="188">
        <f>IFERROR(_xlfn.XLOOKUP(A520,[1]Fleet!A:A,[1]Fleet!E:E,""),"")</f>
        <v>60</v>
      </c>
      <c r="M520" s="188">
        <v>113.80000000000001</v>
      </c>
      <c r="N520" s="188" t="s">
        <v>1321</v>
      </c>
      <c r="O520" s="198" t="s">
        <v>1317</v>
      </c>
      <c r="P520">
        <v>494</v>
      </c>
      <c r="Q520">
        <f>_xlfn.XLOOKUP(A520,'[1]Classic Net to delete'!D:D,'[1]Classic Net to delete'!AA:AA,0)</f>
        <v>402</v>
      </c>
    </row>
    <row r="521" spans="1:17" x14ac:dyDescent="0.25">
      <c r="A521" t="s">
        <v>1322</v>
      </c>
      <c r="B521" t="s">
        <v>1323</v>
      </c>
      <c r="C521">
        <v>137.87</v>
      </c>
      <c r="D521" t="s">
        <v>1255</v>
      </c>
      <c r="E521" t="str">
        <f t="shared" si="14"/>
        <v>04. Dehumidifiers &amp; Dryers</v>
      </c>
      <c r="F521">
        <v>75</v>
      </c>
      <c r="H521" t="b">
        <v>1</v>
      </c>
      <c r="I521">
        <v>403</v>
      </c>
      <c r="K521" s="192" t="s">
        <v>89</v>
      </c>
      <c r="L521" s="188">
        <f>IFERROR(_xlfn.XLOOKUP(A521,[1]Fleet!A:A,[1]Fleet!E:E,""),"")</f>
        <v>83</v>
      </c>
      <c r="M521" s="188">
        <v>128.85</v>
      </c>
      <c r="N521" s="188" t="s">
        <v>1323</v>
      </c>
      <c r="O521" s="198" t="s">
        <v>1317</v>
      </c>
      <c r="P521">
        <v>496</v>
      </c>
      <c r="Q521">
        <f>_xlfn.XLOOKUP(A521,'[1]Classic Net to delete'!D:D,'[1]Classic Net to delete'!AA:AA,0)</f>
        <v>403</v>
      </c>
    </row>
    <row r="522" spans="1:17" x14ac:dyDescent="0.25">
      <c r="A522" t="s">
        <v>1324</v>
      </c>
      <c r="B522" t="s">
        <v>1325</v>
      </c>
      <c r="C522">
        <v>161.95000000000002</v>
      </c>
      <c r="D522" t="s">
        <v>1255</v>
      </c>
      <c r="E522" t="str">
        <f t="shared" si="14"/>
        <v>04. Dehumidifiers &amp; Dryers</v>
      </c>
      <c r="F522">
        <v>75</v>
      </c>
      <c r="H522" t="b">
        <v>1</v>
      </c>
      <c r="I522">
        <v>404</v>
      </c>
      <c r="K522" s="192" t="s">
        <v>89</v>
      </c>
      <c r="L522" s="188">
        <f>IFERROR(_xlfn.XLOOKUP(A522,[1]Fleet!A:A,[1]Fleet!E:E,""),"")</f>
        <v>15</v>
      </c>
      <c r="M522" s="188">
        <v>144.6</v>
      </c>
      <c r="N522" s="188" t="s">
        <v>1325</v>
      </c>
      <c r="O522" s="198" t="s">
        <v>1317</v>
      </c>
      <c r="P522">
        <v>495</v>
      </c>
      <c r="Q522">
        <f>_xlfn.XLOOKUP(A522,'[1]Classic Net to delete'!D:D,'[1]Classic Net to delete'!AA:AA,0)</f>
        <v>404</v>
      </c>
    </row>
    <row r="523" spans="1:17" x14ac:dyDescent="0.25">
      <c r="A523" t="s">
        <v>1326</v>
      </c>
      <c r="B523" t="s">
        <v>1327</v>
      </c>
      <c r="C523">
        <v>84.37</v>
      </c>
      <c r="D523" t="s">
        <v>1328</v>
      </c>
      <c r="E523" t="str">
        <f t="shared" si="14"/>
        <v>. Cutting, Trimming and Clearing</v>
      </c>
      <c r="F523">
        <v>75</v>
      </c>
      <c r="H523" t="b">
        <v>0</v>
      </c>
      <c r="I523">
        <v>0</v>
      </c>
      <c r="L523" s="188">
        <f>IFERROR(_xlfn.XLOOKUP(A523,[1]Fleet!A:A,[1]Fleet!E:E,""),"")</f>
        <v>2</v>
      </c>
      <c r="M523" s="188" t="s">
        <v>22</v>
      </c>
      <c r="N523" s="188" t="s">
        <v>22</v>
      </c>
      <c r="O523" s="198" t="s">
        <v>1329</v>
      </c>
      <c r="P523">
        <v>525</v>
      </c>
      <c r="Q523">
        <f>_xlfn.XLOOKUP(A523,'[1]Classic Net to delete'!D:D,'[1]Classic Net to delete'!AA:AA,0)</f>
        <v>0</v>
      </c>
    </row>
    <row r="524" spans="1:17" x14ac:dyDescent="0.25">
      <c r="A524" t="s">
        <v>1330</v>
      </c>
      <c r="B524" t="s">
        <v>1331</v>
      </c>
      <c r="C524">
        <v>84.37</v>
      </c>
      <c r="D524" t="s">
        <v>1328</v>
      </c>
      <c r="E524" t="str">
        <f t="shared" si="14"/>
        <v>. Cutting, Trimming and Clearing</v>
      </c>
      <c r="F524">
        <v>75</v>
      </c>
      <c r="H524" t="b">
        <v>0</v>
      </c>
      <c r="I524">
        <v>0</v>
      </c>
      <c r="L524" s="188">
        <f>IFERROR(_xlfn.XLOOKUP(A524,[1]Fleet!A:A,[1]Fleet!E:E,""),"")</f>
        <v>2</v>
      </c>
      <c r="M524" s="188" t="s">
        <v>22</v>
      </c>
      <c r="N524" s="188" t="s">
        <v>22</v>
      </c>
      <c r="O524" s="198" t="s">
        <v>1329</v>
      </c>
      <c r="P524">
        <v>526</v>
      </c>
      <c r="Q524">
        <f>_xlfn.XLOOKUP(A524,'[1]Classic Net to delete'!D:D,'[1]Classic Net to delete'!AA:AA,0)</f>
        <v>0</v>
      </c>
    </row>
    <row r="525" spans="1:17" x14ac:dyDescent="0.25">
      <c r="A525" t="s">
        <v>1332</v>
      </c>
      <c r="B525" t="s">
        <v>1333</v>
      </c>
      <c r="C525">
        <v>149.97</v>
      </c>
      <c r="D525" t="s">
        <v>1328</v>
      </c>
      <c r="E525" t="str">
        <f t="shared" si="14"/>
        <v>. Cutting, Trimming and Clearing</v>
      </c>
      <c r="F525">
        <v>75</v>
      </c>
      <c r="H525" t="b">
        <v>0</v>
      </c>
      <c r="I525">
        <v>0</v>
      </c>
      <c r="L525" s="188">
        <f>IFERROR(_xlfn.XLOOKUP(A525,[1]Fleet!A:A,[1]Fleet!E:E,""),"")</f>
        <v>2</v>
      </c>
      <c r="M525" s="188" t="s">
        <v>22</v>
      </c>
      <c r="N525" s="188" t="s">
        <v>22</v>
      </c>
      <c r="O525" s="198" t="s">
        <v>1329</v>
      </c>
      <c r="P525">
        <v>527</v>
      </c>
      <c r="Q525">
        <f>_xlfn.XLOOKUP(A525,'[1]Classic Net to delete'!D:D,'[1]Classic Net to delete'!AA:AA,0)</f>
        <v>0</v>
      </c>
    </row>
    <row r="526" spans="1:17" x14ac:dyDescent="0.25">
      <c r="A526" t="s">
        <v>1334</v>
      </c>
      <c r="B526" t="s">
        <v>1335</v>
      </c>
      <c r="C526">
        <v>0</v>
      </c>
      <c r="D526" t="s">
        <v>1328</v>
      </c>
      <c r="E526" t="str">
        <f t="shared" si="14"/>
        <v>. Cutting, Trimming and Clearing</v>
      </c>
      <c r="F526">
        <v>75</v>
      </c>
      <c r="H526" t="b">
        <v>0</v>
      </c>
      <c r="I526">
        <v>601</v>
      </c>
      <c r="L526" s="188" t="str">
        <f>IFERROR(_xlfn.XLOOKUP(A526,[1]Fleet!A:A,[1]Fleet!E:E,""),"")</f>
        <v/>
      </c>
      <c r="M526" s="188">
        <v>95.2</v>
      </c>
      <c r="N526" s="188" t="s">
        <v>1336</v>
      </c>
      <c r="O526" s="198" t="s">
        <v>1329</v>
      </c>
      <c r="P526">
        <v>522</v>
      </c>
      <c r="Q526">
        <f>_xlfn.XLOOKUP(A526,'[1]Classic Net to delete'!D:D,'[1]Classic Net to delete'!AA:AA,0)</f>
        <v>601</v>
      </c>
    </row>
    <row r="527" spans="1:17" x14ac:dyDescent="0.25">
      <c r="A527" t="s">
        <v>1337</v>
      </c>
      <c r="B527" t="s">
        <v>1338</v>
      </c>
      <c r="C527">
        <v>184.25</v>
      </c>
      <c r="D527" t="s">
        <v>1328</v>
      </c>
      <c r="E527" t="str">
        <f t="shared" si="14"/>
        <v>01. Clearance &amp; Preparation</v>
      </c>
      <c r="F527">
        <v>75</v>
      </c>
      <c r="H527" t="b">
        <v>1</v>
      </c>
      <c r="I527">
        <v>595</v>
      </c>
      <c r="K527" s="192" t="s">
        <v>21</v>
      </c>
      <c r="L527" s="188">
        <f>IFERROR(_xlfn.XLOOKUP(A527,[1]Fleet!A:A,[1]Fleet!E:E,""),"")</f>
        <v>1</v>
      </c>
      <c r="M527" s="188">
        <v>172.20000000000002</v>
      </c>
      <c r="N527" s="188" t="s">
        <v>1338</v>
      </c>
      <c r="O527" s="198" t="s">
        <v>1339</v>
      </c>
      <c r="P527">
        <v>521</v>
      </c>
      <c r="Q527">
        <f>_xlfn.XLOOKUP(A527,'[1]Classic Net to delete'!D:D,'[1]Classic Net to delete'!AA:AA,0)</f>
        <v>595</v>
      </c>
    </row>
    <row r="528" spans="1:17" x14ac:dyDescent="0.25">
      <c r="A528" t="s">
        <v>1340</v>
      </c>
      <c r="B528" t="s">
        <v>1341</v>
      </c>
      <c r="C528">
        <v>73.510000000000005</v>
      </c>
      <c r="D528" t="s">
        <v>1328</v>
      </c>
      <c r="E528" t="str">
        <f t="shared" si="14"/>
        <v>01. Clearance &amp; Preparation</v>
      </c>
      <c r="F528">
        <v>75</v>
      </c>
      <c r="H528" t="b">
        <v>1</v>
      </c>
      <c r="I528">
        <v>596</v>
      </c>
      <c r="K528" s="192" t="s">
        <v>21</v>
      </c>
      <c r="L528" s="188">
        <f>IFERROR(_xlfn.XLOOKUP(A528,[1]Fleet!A:A,[1]Fleet!E:E,""),"")</f>
        <v>13</v>
      </c>
      <c r="M528" s="188">
        <v>68.7</v>
      </c>
      <c r="N528" s="188" t="s">
        <v>1341</v>
      </c>
      <c r="O528" s="198" t="s">
        <v>1339</v>
      </c>
      <c r="P528">
        <v>515</v>
      </c>
      <c r="Q528">
        <f>_xlfn.XLOOKUP(A528,'[1]Classic Net to delete'!D:D,'[1]Classic Net to delete'!AA:AA,0)</f>
        <v>596</v>
      </c>
    </row>
    <row r="529" spans="1:17" x14ac:dyDescent="0.25">
      <c r="A529" t="s">
        <v>1342</v>
      </c>
      <c r="B529" t="s">
        <v>1343</v>
      </c>
      <c r="C529">
        <v>73.510000000000005</v>
      </c>
      <c r="D529" t="s">
        <v>1328</v>
      </c>
      <c r="E529" t="str">
        <f t="shared" si="14"/>
        <v>01. Clearance &amp; Preparation</v>
      </c>
      <c r="F529">
        <v>75</v>
      </c>
      <c r="H529" t="b">
        <v>1</v>
      </c>
      <c r="I529">
        <v>597</v>
      </c>
      <c r="K529" s="192" t="s">
        <v>21</v>
      </c>
      <c r="L529" s="188">
        <f>IFERROR(_xlfn.XLOOKUP(A529,[1]Fleet!A:A,[1]Fleet!E:E,""),"")</f>
        <v>2</v>
      </c>
      <c r="M529" s="188">
        <v>68.7</v>
      </c>
      <c r="N529" s="188" t="s">
        <v>1344</v>
      </c>
      <c r="O529" s="198" t="s">
        <v>1339</v>
      </c>
      <c r="P529">
        <v>524</v>
      </c>
      <c r="Q529">
        <f>_xlfn.XLOOKUP(A529,'[1]Classic Net to delete'!D:D,'[1]Classic Net to delete'!AA:AA,0)</f>
        <v>597</v>
      </c>
    </row>
    <row r="530" spans="1:17" x14ac:dyDescent="0.25">
      <c r="A530" t="s">
        <v>1345</v>
      </c>
      <c r="B530" t="s">
        <v>1346</v>
      </c>
      <c r="C530">
        <v>66.61</v>
      </c>
      <c r="D530" t="s">
        <v>1328</v>
      </c>
      <c r="E530" t="str">
        <f t="shared" si="14"/>
        <v>01. Clearance &amp; Preparation</v>
      </c>
      <c r="F530">
        <v>75</v>
      </c>
      <c r="H530" t="b">
        <v>1</v>
      </c>
      <c r="I530">
        <v>598</v>
      </c>
      <c r="K530" s="192" t="s">
        <v>21</v>
      </c>
      <c r="L530" s="188">
        <f>IFERROR(_xlfn.XLOOKUP(A530,[1]Fleet!A:A,[1]Fleet!E:E,""),"")</f>
        <v>4</v>
      </c>
      <c r="M530" s="188">
        <v>62.25</v>
      </c>
      <c r="N530" s="188" t="s">
        <v>1346</v>
      </c>
      <c r="O530" s="198" t="s">
        <v>1339</v>
      </c>
      <c r="P530">
        <v>518</v>
      </c>
      <c r="Q530">
        <f>_xlfn.XLOOKUP(A530,'[1]Classic Net to delete'!D:D,'[1]Classic Net to delete'!AA:AA,0)</f>
        <v>598</v>
      </c>
    </row>
    <row r="531" spans="1:17" x14ac:dyDescent="0.25">
      <c r="A531" t="s">
        <v>1347</v>
      </c>
      <c r="B531" t="s">
        <v>1348</v>
      </c>
      <c r="C531">
        <v>66.61</v>
      </c>
      <c r="D531" t="s">
        <v>1328</v>
      </c>
      <c r="E531" t="str">
        <f t="shared" si="14"/>
        <v>01. Clearance &amp; Preparation</v>
      </c>
      <c r="F531">
        <v>75</v>
      </c>
      <c r="H531" t="b">
        <v>1</v>
      </c>
      <c r="I531">
        <v>599</v>
      </c>
      <c r="K531" s="192" t="s">
        <v>21</v>
      </c>
      <c r="L531" s="188">
        <f>IFERROR(_xlfn.XLOOKUP(A531,[1]Fleet!A:A,[1]Fleet!E:E,""),"")</f>
        <v>5</v>
      </c>
      <c r="M531" s="188">
        <v>62.25</v>
      </c>
      <c r="N531" s="188" t="s">
        <v>1348</v>
      </c>
      <c r="O531" s="198" t="s">
        <v>1339</v>
      </c>
      <c r="P531">
        <v>523</v>
      </c>
      <c r="Q531">
        <f>_xlfn.XLOOKUP(A531,'[1]Classic Net to delete'!D:D,'[1]Classic Net to delete'!AA:AA,0)</f>
        <v>599</v>
      </c>
    </row>
    <row r="532" spans="1:17" x14ac:dyDescent="0.25">
      <c r="A532" t="s">
        <v>1349</v>
      </c>
      <c r="B532" t="s">
        <v>1350</v>
      </c>
      <c r="C532">
        <v>75.38</v>
      </c>
      <c r="D532" t="s">
        <v>1328</v>
      </c>
      <c r="E532" t="str">
        <f t="shared" si="14"/>
        <v>01. Clearance &amp; Preparation</v>
      </c>
      <c r="F532">
        <v>75</v>
      </c>
      <c r="H532" t="b">
        <v>1</v>
      </c>
      <c r="I532">
        <v>600</v>
      </c>
      <c r="K532" s="192" t="s">
        <v>21</v>
      </c>
      <c r="L532" s="188">
        <f>IFERROR(_xlfn.XLOOKUP(A532,[1]Fleet!A:A,[1]Fleet!E:E,""),"")</f>
        <v>1</v>
      </c>
      <c r="M532" s="188">
        <v>70.45</v>
      </c>
      <c r="N532" s="188" t="s">
        <v>1350</v>
      </c>
      <c r="O532" s="198" t="s">
        <v>1339</v>
      </c>
      <c r="P532">
        <v>519</v>
      </c>
      <c r="Q532">
        <f>_xlfn.XLOOKUP(A532,'[1]Classic Net to delete'!D:D,'[1]Classic Net to delete'!AA:AA,0)</f>
        <v>600</v>
      </c>
    </row>
    <row r="533" spans="1:17" x14ac:dyDescent="0.25">
      <c r="A533" t="s">
        <v>1351</v>
      </c>
      <c r="B533" t="s">
        <v>1352</v>
      </c>
      <c r="C533">
        <v>73.510000000000005</v>
      </c>
      <c r="D533" t="s">
        <v>1328</v>
      </c>
      <c r="E533" t="str">
        <f t="shared" si="14"/>
        <v>01. Clearance &amp; Preparation</v>
      </c>
      <c r="F533">
        <v>75</v>
      </c>
      <c r="H533" t="b">
        <v>1</v>
      </c>
      <c r="I533">
        <v>613</v>
      </c>
      <c r="K533" s="192" t="s">
        <v>21</v>
      </c>
      <c r="L533" s="188">
        <f>IFERROR(_xlfn.XLOOKUP(A533,[1]Fleet!A:A,[1]Fleet!E:E,""),"")</f>
        <v>1</v>
      </c>
      <c r="M533" s="188">
        <v>68.7</v>
      </c>
      <c r="N533" s="188" t="s">
        <v>1352</v>
      </c>
      <c r="O533" s="198" t="s">
        <v>1339</v>
      </c>
      <c r="P533">
        <v>516</v>
      </c>
      <c r="Q533">
        <f>_xlfn.XLOOKUP(A533,'[1]Classic Net to delete'!D:D,'[1]Classic Net to delete'!AA:AA,0)</f>
        <v>613</v>
      </c>
    </row>
    <row r="534" spans="1:17" x14ac:dyDescent="0.25">
      <c r="A534" t="s">
        <v>1353</v>
      </c>
      <c r="B534" t="s">
        <v>1354</v>
      </c>
      <c r="C534">
        <v>84.37</v>
      </c>
      <c r="D534" t="s">
        <v>1328</v>
      </c>
      <c r="E534" t="str">
        <f t="shared" si="14"/>
        <v>01. Clearance &amp; Preparation</v>
      </c>
      <c r="F534">
        <v>75</v>
      </c>
      <c r="H534" t="b">
        <v>1</v>
      </c>
      <c r="I534">
        <v>614</v>
      </c>
      <c r="K534" s="192" t="s">
        <v>21</v>
      </c>
      <c r="L534" s="188">
        <f>IFERROR(_xlfn.XLOOKUP(A534,[1]Fleet!A:A,[1]Fleet!E:E,""),"")</f>
        <v>5</v>
      </c>
      <c r="M534" s="188">
        <v>78.850000000000009</v>
      </c>
      <c r="N534" s="188" t="s">
        <v>1354</v>
      </c>
      <c r="O534" s="198" t="s">
        <v>1339</v>
      </c>
      <c r="P534">
        <v>517</v>
      </c>
      <c r="Q534">
        <f>_xlfn.XLOOKUP(A534,'[1]Classic Net to delete'!D:D,'[1]Classic Net to delete'!AA:AA,0)</f>
        <v>614</v>
      </c>
    </row>
    <row r="535" spans="1:17" x14ac:dyDescent="0.25">
      <c r="A535" t="s">
        <v>1355</v>
      </c>
      <c r="B535" t="s">
        <v>1356</v>
      </c>
      <c r="C535">
        <v>56.76</v>
      </c>
      <c r="D535" t="s">
        <v>1328</v>
      </c>
      <c r="E535" t="str">
        <f t="shared" si="14"/>
        <v>02. Lawn Care</v>
      </c>
      <c r="F535">
        <v>75</v>
      </c>
      <c r="H535" t="b">
        <v>1</v>
      </c>
      <c r="I535">
        <v>618</v>
      </c>
      <c r="K535" s="192" t="s">
        <v>54</v>
      </c>
      <c r="L535" s="188">
        <f>IFERROR(_xlfn.XLOOKUP(A535,[1]Fleet!A:A,[1]Fleet!E:E,""),"")</f>
        <v>5</v>
      </c>
      <c r="M535" s="188">
        <v>53.050000000000004</v>
      </c>
      <c r="N535" s="188" t="s">
        <v>1356</v>
      </c>
      <c r="O535" s="198" t="s">
        <v>1357</v>
      </c>
      <c r="P535">
        <v>520</v>
      </c>
      <c r="Q535">
        <f>_xlfn.XLOOKUP(A535,'[1]Classic Net to delete'!D:D,'[1]Classic Net to delete'!AA:AA,0)</f>
        <v>618</v>
      </c>
    </row>
    <row r="536" spans="1:17" x14ac:dyDescent="0.25">
      <c r="A536" t="s">
        <v>1358</v>
      </c>
      <c r="B536" t="s">
        <v>1359</v>
      </c>
      <c r="C536">
        <v>105.02</v>
      </c>
      <c r="D536" t="s">
        <v>1328</v>
      </c>
      <c r="E536" t="str">
        <f t="shared" si="14"/>
        <v>02. Lawn Care</v>
      </c>
      <c r="F536">
        <v>75</v>
      </c>
      <c r="H536" t="b">
        <v>1</v>
      </c>
      <c r="I536">
        <v>619</v>
      </c>
      <c r="K536" s="192" t="s">
        <v>54</v>
      </c>
      <c r="L536" s="188">
        <f>IFERROR(_xlfn.XLOOKUP(A536,[1]Fleet!A:A,[1]Fleet!E:E,""),"")</f>
        <v>1</v>
      </c>
      <c r="M536" s="188">
        <v>98.15</v>
      </c>
      <c r="N536" s="188" t="s">
        <v>1360</v>
      </c>
      <c r="O536" s="198" t="s">
        <v>1357</v>
      </c>
      <c r="P536">
        <v>534</v>
      </c>
      <c r="Q536">
        <f>_xlfn.XLOOKUP(A536,'[1]Classic Net to delete'!D:D,'[1]Classic Net to delete'!AA:AA,0)</f>
        <v>619</v>
      </c>
    </row>
    <row r="537" spans="1:17" x14ac:dyDescent="0.25">
      <c r="A537" t="s">
        <v>1361</v>
      </c>
      <c r="B537" t="s">
        <v>1362</v>
      </c>
      <c r="C537">
        <v>19.900000000000002</v>
      </c>
      <c r="D537" t="s">
        <v>1328</v>
      </c>
      <c r="E537" t="str">
        <f t="shared" si="14"/>
        <v>02. Lawn Care</v>
      </c>
      <c r="F537">
        <v>75</v>
      </c>
      <c r="H537" t="b">
        <v>1</v>
      </c>
      <c r="I537">
        <v>620</v>
      </c>
      <c r="K537" s="192" t="s">
        <v>54</v>
      </c>
      <c r="L537" s="188">
        <f>IFERROR(_xlfn.XLOOKUP(A537,[1]Fleet!A:A,[1]Fleet!E:E,""),"")</f>
        <v>1</v>
      </c>
      <c r="M537" s="188">
        <v>18.600000000000001</v>
      </c>
      <c r="N537" s="188" t="s">
        <v>1362</v>
      </c>
      <c r="O537" s="198" t="s">
        <v>1357</v>
      </c>
      <c r="P537">
        <v>531</v>
      </c>
      <c r="Q537">
        <f>_xlfn.XLOOKUP(A537,'[1]Classic Net to delete'!D:D,'[1]Classic Net to delete'!AA:AA,0)</f>
        <v>620</v>
      </c>
    </row>
    <row r="538" spans="1:17" x14ac:dyDescent="0.25">
      <c r="A538" t="s">
        <v>1363</v>
      </c>
      <c r="B538" t="s">
        <v>1364</v>
      </c>
      <c r="C538">
        <v>22.740000000000002</v>
      </c>
      <c r="D538" t="s">
        <v>1328</v>
      </c>
      <c r="E538" t="str">
        <f t="shared" si="14"/>
        <v>02. Lawn Care</v>
      </c>
      <c r="F538">
        <v>75</v>
      </c>
      <c r="H538" t="b">
        <v>1</v>
      </c>
      <c r="I538">
        <v>621</v>
      </c>
      <c r="K538" s="192" t="s">
        <v>54</v>
      </c>
      <c r="L538" s="188">
        <f>IFERROR(_xlfn.XLOOKUP(A538,[1]Fleet!A:A,[1]Fleet!E:E,""),"")</f>
        <v>2</v>
      </c>
      <c r="M538" s="188">
        <v>21.25</v>
      </c>
      <c r="N538" s="188" t="s">
        <v>1364</v>
      </c>
      <c r="O538" s="198" t="s">
        <v>1357</v>
      </c>
      <c r="P538">
        <v>532</v>
      </c>
      <c r="Q538">
        <f>_xlfn.XLOOKUP(A538,'[1]Classic Net to delete'!D:D,'[1]Classic Net to delete'!AA:AA,0)</f>
        <v>621</v>
      </c>
    </row>
    <row r="539" spans="1:17" x14ac:dyDescent="0.25">
      <c r="A539" t="s">
        <v>1365</v>
      </c>
      <c r="B539" t="s">
        <v>1366</v>
      </c>
      <c r="C539">
        <v>9.15</v>
      </c>
      <c r="D539" t="s">
        <v>1328</v>
      </c>
      <c r="E539" t="str">
        <f t="shared" si="14"/>
        <v>03. Fencing &amp; Tools</v>
      </c>
      <c r="F539">
        <v>75</v>
      </c>
      <c r="H539" t="b">
        <v>1</v>
      </c>
      <c r="I539">
        <v>602</v>
      </c>
      <c r="K539" s="192" t="s">
        <v>85</v>
      </c>
      <c r="L539" s="188" t="str">
        <f>IFERROR(_xlfn.XLOOKUP(A539,[1]Fleet!A:A,[1]Fleet!E:E,""),"")</f>
        <v/>
      </c>
      <c r="M539" s="188">
        <v>8.5500000000000007</v>
      </c>
      <c r="N539" s="188" t="s">
        <v>1367</v>
      </c>
      <c r="O539" s="198" t="s">
        <v>1368</v>
      </c>
      <c r="P539">
        <v>529</v>
      </c>
      <c r="Q539">
        <f>_xlfn.XLOOKUP(A539,'[1]Classic Net to delete'!D:D,'[1]Classic Net to delete'!AA:AA,0)</f>
        <v>602</v>
      </c>
    </row>
    <row r="540" spans="1:17" x14ac:dyDescent="0.25">
      <c r="A540" t="s">
        <v>1369</v>
      </c>
      <c r="B540" t="s">
        <v>1370</v>
      </c>
      <c r="C540">
        <v>10.75</v>
      </c>
      <c r="D540" t="s">
        <v>1328</v>
      </c>
      <c r="E540" t="str">
        <f t="shared" si="14"/>
        <v>03. Fencing &amp; Tools</v>
      </c>
      <c r="F540">
        <v>75</v>
      </c>
      <c r="H540" t="b">
        <v>1</v>
      </c>
      <c r="I540">
        <v>603</v>
      </c>
      <c r="K540" s="192" t="s">
        <v>85</v>
      </c>
      <c r="L540" s="188" t="str">
        <f>IFERROR(_xlfn.XLOOKUP(A540,[1]Fleet!A:A,[1]Fleet!E:E,""),"")</f>
        <v/>
      </c>
      <c r="M540" s="188">
        <v>10.050000000000001</v>
      </c>
      <c r="N540" s="188" t="s">
        <v>1371</v>
      </c>
      <c r="O540" s="198" t="s">
        <v>1368</v>
      </c>
      <c r="P540">
        <v>530</v>
      </c>
      <c r="Q540">
        <f>_xlfn.XLOOKUP(A540,'[1]Classic Net to delete'!D:D,'[1]Classic Net to delete'!AA:AA,0)</f>
        <v>603</v>
      </c>
    </row>
    <row r="541" spans="1:17" x14ac:dyDescent="0.25">
      <c r="A541" t="s">
        <v>1372</v>
      </c>
      <c r="B541" t="s">
        <v>1373</v>
      </c>
      <c r="C541">
        <v>114.86</v>
      </c>
      <c r="D541" t="s">
        <v>1328</v>
      </c>
      <c r="E541" t="str">
        <f t="shared" si="14"/>
        <v>03. Fencing &amp; Tools</v>
      </c>
      <c r="F541">
        <v>75</v>
      </c>
      <c r="H541" t="b">
        <v>1</v>
      </c>
      <c r="I541">
        <v>606</v>
      </c>
      <c r="K541" s="192" t="s">
        <v>85</v>
      </c>
      <c r="L541" s="188">
        <f>IFERROR(_xlfn.XLOOKUP(A541,[1]Fleet!A:A,[1]Fleet!E:E,""),"")</f>
        <v>3</v>
      </c>
      <c r="M541" s="188">
        <v>107.35000000000001</v>
      </c>
      <c r="N541" s="188" t="s">
        <v>1374</v>
      </c>
      <c r="O541" s="198" t="s">
        <v>1368</v>
      </c>
      <c r="P541">
        <v>533</v>
      </c>
      <c r="Q541">
        <f>_xlfn.XLOOKUP(A541,'[1]Classic Net to delete'!D:D,'[1]Classic Net to delete'!AA:AA,0)</f>
        <v>606</v>
      </c>
    </row>
    <row r="542" spans="1:17" x14ac:dyDescent="0.25">
      <c r="A542" t="s">
        <v>1375</v>
      </c>
      <c r="B542" t="s">
        <v>1376</v>
      </c>
      <c r="C542">
        <v>15.46</v>
      </c>
      <c r="D542" t="s">
        <v>1328</v>
      </c>
      <c r="E542" t="str">
        <f t="shared" si="14"/>
        <v>03. Fencing &amp; Tools</v>
      </c>
      <c r="F542">
        <v>75</v>
      </c>
      <c r="H542" t="b">
        <v>1</v>
      </c>
      <c r="I542">
        <v>607</v>
      </c>
      <c r="K542" s="192" t="s">
        <v>85</v>
      </c>
      <c r="L542" s="188" t="str">
        <f>IFERROR(_xlfn.XLOOKUP(A542,[1]Fleet!A:A,[1]Fleet!E:E,""),"")</f>
        <v/>
      </c>
      <c r="M542" s="188">
        <v>14.450000000000001</v>
      </c>
      <c r="N542" s="188" t="s">
        <v>1377</v>
      </c>
      <c r="O542" s="198" t="s">
        <v>1368</v>
      </c>
      <c r="P542">
        <v>528</v>
      </c>
      <c r="Q542">
        <f>_xlfn.XLOOKUP(A542,'[1]Classic Net to delete'!D:D,'[1]Classic Net to delete'!AA:AA,0)</f>
        <v>607</v>
      </c>
    </row>
    <row r="543" spans="1:17" x14ac:dyDescent="0.25">
      <c r="A543" t="s">
        <v>1378</v>
      </c>
      <c r="B543" t="s">
        <v>1379</v>
      </c>
      <c r="C543">
        <v>22.1</v>
      </c>
      <c r="D543" t="s">
        <v>1380</v>
      </c>
      <c r="E543" t="str">
        <f t="shared" si="14"/>
        <v xml:space="preserve">. </v>
      </c>
      <c r="F543">
        <v>75</v>
      </c>
      <c r="H543" t="b">
        <v>0</v>
      </c>
      <c r="I543">
        <v>0</v>
      </c>
      <c r="L543" s="188" t="str">
        <f>IFERROR(_xlfn.XLOOKUP(A543,[1]Fleet!A:A,[1]Fleet!E:E,""),"")</f>
        <v/>
      </c>
      <c r="M543" s="188" t="s">
        <v>22</v>
      </c>
      <c r="N543" s="188" t="s">
        <v>22</v>
      </c>
      <c r="P543">
        <v>537</v>
      </c>
      <c r="Q543">
        <f>_xlfn.XLOOKUP(A543,'[1]Classic Net to delete'!D:D,'[1]Classic Net to delete'!AA:AA,0)</f>
        <v>0</v>
      </c>
    </row>
    <row r="544" spans="1:17" x14ac:dyDescent="0.25">
      <c r="A544" t="s">
        <v>1381</v>
      </c>
      <c r="B544" t="s">
        <v>1382</v>
      </c>
      <c r="C544">
        <v>25.57</v>
      </c>
      <c r="D544" t="s">
        <v>1380</v>
      </c>
      <c r="E544" t="str">
        <f t="shared" si="14"/>
        <v xml:space="preserve">. </v>
      </c>
      <c r="F544">
        <v>75</v>
      </c>
      <c r="H544" t="b">
        <v>0</v>
      </c>
      <c r="I544">
        <v>0</v>
      </c>
      <c r="L544" s="188" t="str">
        <f>IFERROR(_xlfn.XLOOKUP(A544,[1]Fleet!A:A,[1]Fleet!E:E,""),"")</f>
        <v/>
      </c>
      <c r="M544" s="188" t="s">
        <v>22</v>
      </c>
      <c r="N544" s="188" t="s">
        <v>22</v>
      </c>
      <c r="P544">
        <v>536</v>
      </c>
      <c r="Q544">
        <f>_xlfn.XLOOKUP(A544,'[1]Classic Net to delete'!D:D,'[1]Classic Net to delete'!AA:AA,0)</f>
        <v>0</v>
      </c>
    </row>
    <row r="545" spans="1:17" x14ac:dyDescent="0.25">
      <c r="A545" t="s">
        <v>1383</v>
      </c>
      <c r="B545" t="s">
        <v>1384</v>
      </c>
      <c r="C545">
        <v>11.88</v>
      </c>
      <c r="D545" t="s">
        <v>1380</v>
      </c>
      <c r="E545" t="str">
        <f t="shared" si="14"/>
        <v xml:space="preserve">. </v>
      </c>
      <c r="F545">
        <v>75</v>
      </c>
      <c r="H545" t="b">
        <v>0</v>
      </c>
      <c r="I545">
        <v>0</v>
      </c>
      <c r="L545" s="188" t="str">
        <f>IFERROR(_xlfn.XLOOKUP(A545,[1]Fleet!A:A,[1]Fleet!E:E,""),"")</f>
        <v/>
      </c>
      <c r="M545" s="188" t="s">
        <v>22</v>
      </c>
      <c r="N545" s="188" t="s">
        <v>22</v>
      </c>
      <c r="P545">
        <v>535</v>
      </c>
      <c r="Q545">
        <f>_xlfn.XLOOKUP(A545,'[1]Classic Net to delete'!D:D,'[1]Classic Net to delete'!AA:AA,0)</f>
        <v>0</v>
      </c>
    </row>
    <row r="546" spans="1:17" x14ac:dyDescent="0.25">
      <c r="A546" t="s">
        <v>1385</v>
      </c>
      <c r="B546" t="s">
        <v>1386</v>
      </c>
      <c r="C546">
        <v>47.67</v>
      </c>
      <c r="D546" t="s">
        <v>1380</v>
      </c>
      <c r="E546" t="str">
        <f t="shared" si="14"/>
        <v>01. Chain Hoist</v>
      </c>
      <c r="F546">
        <v>75</v>
      </c>
      <c r="H546" t="b">
        <v>1</v>
      </c>
      <c r="I546" s="201">
        <v>1055.0999999999999</v>
      </c>
      <c r="K546" s="192" t="s">
        <v>21</v>
      </c>
      <c r="L546" s="188">
        <f>IFERROR(_xlfn.XLOOKUP(A546,[1]Fleet!A:A,[1]Fleet!E:E,""),"")</f>
        <v>3</v>
      </c>
      <c r="M546" s="188" t="s">
        <v>22</v>
      </c>
      <c r="N546" s="188" t="s">
        <v>22</v>
      </c>
      <c r="O546" s="198" t="s">
        <v>1469</v>
      </c>
      <c r="P546">
        <v>559</v>
      </c>
      <c r="Q546">
        <f>_xlfn.XLOOKUP(A546,'[1]Classic Net to delete'!D:D,'[1]Classic Net to delete'!AA:AA,0)</f>
        <v>0</v>
      </c>
    </row>
    <row r="547" spans="1:17" x14ac:dyDescent="0.25">
      <c r="A547" t="s">
        <v>1388</v>
      </c>
      <c r="B547" t="s">
        <v>1389</v>
      </c>
      <c r="C547">
        <v>61.2</v>
      </c>
      <c r="D547" t="s">
        <v>1380</v>
      </c>
      <c r="E547" t="str">
        <f t="shared" si="14"/>
        <v>01. Chain Hoist</v>
      </c>
      <c r="F547">
        <v>75</v>
      </c>
      <c r="H547" t="b">
        <v>1</v>
      </c>
      <c r="I547" s="201">
        <v>1055.2</v>
      </c>
      <c r="K547" s="192" t="s">
        <v>21</v>
      </c>
      <c r="L547" s="188">
        <f>IFERROR(_xlfn.XLOOKUP(A547,[1]Fleet!A:A,[1]Fleet!E:E,""),"")</f>
        <v>1</v>
      </c>
      <c r="M547" s="188" t="s">
        <v>22</v>
      </c>
      <c r="N547" s="188" t="s">
        <v>22</v>
      </c>
      <c r="O547" s="198" t="s">
        <v>1469</v>
      </c>
      <c r="P547">
        <v>560</v>
      </c>
      <c r="Q547">
        <f>_xlfn.XLOOKUP(A547,'[1]Classic Net to delete'!D:D,'[1]Classic Net to delete'!AA:AA,0)</f>
        <v>0</v>
      </c>
    </row>
    <row r="548" spans="1:17" x14ac:dyDescent="0.25">
      <c r="A548" t="s">
        <v>1390</v>
      </c>
      <c r="B548" t="s">
        <v>1391</v>
      </c>
      <c r="C548">
        <v>74.47</v>
      </c>
      <c r="D548" t="s">
        <v>1380</v>
      </c>
      <c r="E548" t="str">
        <f t="shared" si="14"/>
        <v>01. Chain Hoist</v>
      </c>
      <c r="F548">
        <v>75</v>
      </c>
      <c r="H548" t="b">
        <v>1</v>
      </c>
      <c r="I548" s="201">
        <v>1055.3</v>
      </c>
      <c r="K548" s="192" t="s">
        <v>21</v>
      </c>
      <c r="L548" s="188">
        <f>IFERROR(_xlfn.XLOOKUP(A548,[1]Fleet!A:A,[1]Fleet!E:E,""),"")</f>
        <v>2</v>
      </c>
      <c r="M548" s="188" t="s">
        <v>22</v>
      </c>
      <c r="N548" s="188" t="s">
        <v>22</v>
      </c>
      <c r="O548" s="198" t="s">
        <v>1469</v>
      </c>
      <c r="P548">
        <v>561</v>
      </c>
      <c r="Q548">
        <f>_xlfn.XLOOKUP(A548,'[1]Classic Net to delete'!D:D,'[1]Classic Net to delete'!AA:AA,0)</f>
        <v>0</v>
      </c>
    </row>
    <row r="549" spans="1:17" x14ac:dyDescent="0.25">
      <c r="A549" t="s">
        <v>1392</v>
      </c>
      <c r="B549" t="s">
        <v>1393</v>
      </c>
      <c r="C549">
        <v>94.64</v>
      </c>
      <c r="D549" t="s">
        <v>1380</v>
      </c>
      <c r="E549" t="str">
        <f t="shared" si="14"/>
        <v>01. Chain Hoist</v>
      </c>
      <c r="F549">
        <v>75</v>
      </c>
      <c r="H549" t="b">
        <v>1</v>
      </c>
      <c r="I549" s="201">
        <v>1055.4000000000001</v>
      </c>
      <c r="K549" s="192" t="s">
        <v>21</v>
      </c>
      <c r="L549" s="188">
        <f>IFERROR(_xlfn.XLOOKUP(A549,[1]Fleet!A:A,[1]Fleet!E:E,""),"")</f>
        <v>1</v>
      </c>
      <c r="M549" s="188" t="s">
        <v>22</v>
      </c>
      <c r="N549" s="188" t="s">
        <v>22</v>
      </c>
      <c r="O549" s="198" t="s">
        <v>1469</v>
      </c>
      <c r="P549">
        <v>584</v>
      </c>
      <c r="Q549">
        <f>_xlfn.XLOOKUP(A549,'[1]Classic Net to delete'!D:D,'[1]Classic Net to delete'!AA:AA,0)</f>
        <v>0</v>
      </c>
    </row>
    <row r="550" spans="1:17" x14ac:dyDescent="0.25">
      <c r="A550" t="s">
        <v>1394</v>
      </c>
      <c r="B550" t="s">
        <v>1395</v>
      </c>
      <c r="C550">
        <v>61.85</v>
      </c>
      <c r="D550" t="s">
        <v>1380</v>
      </c>
      <c r="E550" t="str">
        <f t="shared" si="14"/>
        <v>01. Chain Hoist</v>
      </c>
      <c r="F550">
        <v>75</v>
      </c>
      <c r="H550" t="b">
        <v>1</v>
      </c>
      <c r="I550" s="201">
        <v>1056.2</v>
      </c>
      <c r="K550" s="192" t="s">
        <v>21</v>
      </c>
      <c r="L550" s="188">
        <f>IFERROR(_xlfn.XLOOKUP(A550,[1]Fleet!A:A,[1]Fleet!E:E,""),"")</f>
        <v>1</v>
      </c>
      <c r="M550" s="188" t="s">
        <v>22</v>
      </c>
      <c r="N550" s="188" t="s">
        <v>22</v>
      </c>
      <c r="O550" s="198" t="s">
        <v>1469</v>
      </c>
      <c r="P550">
        <v>563</v>
      </c>
      <c r="Q550">
        <f>_xlfn.XLOOKUP(A550,'[1]Classic Net to delete'!D:D,'[1]Classic Net to delete'!AA:AA,0)</f>
        <v>0</v>
      </c>
    </row>
    <row r="551" spans="1:17" x14ac:dyDescent="0.25">
      <c r="A551" t="s">
        <v>1396</v>
      </c>
      <c r="B551" t="s">
        <v>1397</v>
      </c>
      <c r="C551">
        <v>75.38</v>
      </c>
      <c r="D551" t="s">
        <v>1380</v>
      </c>
      <c r="E551" t="str">
        <f t="shared" si="14"/>
        <v>01. Chain Hoist</v>
      </c>
      <c r="F551">
        <v>75</v>
      </c>
      <c r="H551" t="b">
        <v>1</v>
      </c>
      <c r="I551" s="201">
        <v>1056.3</v>
      </c>
      <c r="K551" s="192" t="s">
        <v>21</v>
      </c>
      <c r="L551" s="188">
        <f>IFERROR(_xlfn.XLOOKUP(A551,[1]Fleet!A:A,[1]Fleet!E:E,""),"")</f>
        <v>1</v>
      </c>
      <c r="M551" s="188" t="s">
        <v>22</v>
      </c>
      <c r="N551" s="188" t="s">
        <v>22</v>
      </c>
      <c r="O551" s="198" t="s">
        <v>1469</v>
      </c>
      <c r="P551">
        <v>564</v>
      </c>
      <c r="Q551">
        <f>_xlfn.XLOOKUP(A551,'[1]Classic Net to delete'!D:D,'[1]Classic Net to delete'!AA:AA,0)</f>
        <v>0</v>
      </c>
    </row>
    <row r="552" spans="1:17" x14ac:dyDescent="0.25">
      <c r="A552" t="s">
        <v>1398</v>
      </c>
      <c r="B552" t="s">
        <v>1399</v>
      </c>
      <c r="C552">
        <v>88.65</v>
      </c>
      <c r="D552" t="s">
        <v>1380</v>
      </c>
      <c r="E552" t="str">
        <f t="shared" si="14"/>
        <v>01. Chain Hoist</v>
      </c>
      <c r="F552">
        <v>75</v>
      </c>
      <c r="H552" t="b">
        <v>1</v>
      </c>
      <c r="I552" s="201">
        <v>1056.4000000000001</v>
      </c>
      <c r="K552" s="192" t="s">
        <v>21</v>
      </c>
      <c r="L552" s="188">
        <f>IFERROR(_xlfn.XLOOKUP(A552,[1]Fleet!A:A,[1]Fleet!E:E,""),"")</f>
        <v>2</v>
      </c>
      <c r="M552" s="188" t="s">
        <v>22</v>
      </c>
      <c r="N552" s="188" t="s">
        <v>22</v>
      </c>
      <c r="O552" s="198" t="s">
        <v>1469</v>
      </c>
      <c r="P552">
        <v>565</v>
      </c>
      <c r="Q552">
        <f>_xlfn.XLOOKUP(A552,'[1]Classic Net to delete'!D:D,'[1]Classic Net to delete'!AA:AA,0)</f>
        <v>0</v>
      </c>
    </row>
    <row r="553" spans="1:17" x14ac:dyDescent="0.25">
      <c r="A553" t="s">
        <v>1400</v>
      </c>
      <c r="B553" t="s">
        <v>1401</v>
      </c>
      <c r="C553">
        <v>71.64</v>
      </c>
      <c r="D553" t="s">
        <v>1380</v>
      </c>
      <c r="E553" t="str">
        <f t="shared" si="14"/>
        <v>01. Chain Hoist</v>
      </c>
      <c r="F553">
        <v>75</v>
      </c>
      <c r="H553" t="b">
        <v>1</v>
      </c>
      <c r="I553" s="201">
        <v>1057.2</v>
      </c>
      <c r="K553" s="192" t="s">
        <v>21</v>
      </c>
      <c r="L553" s="188">
        <f>IFERROR(_xlfn.XLOOKUP(A553,[1]Fleet!A:A,[1]Fleet!E:E,""),"")</f>
        <v>4</v>
      </c>
      <c r="M553" s="188" t="s">
        <v>22</v>
      </c>
      <c r="N553" s="188" t="s">
        <v>22</v>
      </c>
      <c r="O553" s="198" t="s">
        <v>1469</v>
      </c>
      <c r="P553">
        <v>566</v>
      </c>
      <c r="Q553">
        <f>_xlfn.XLOOKUP(A553,'[1]Classic Net to delete'!D:D,'[1]Classic Net to delete'!AA:AA,0)</f>
        <v>0</v>
      </c>
    </row>
    <row r="554" spans="1:17" x14ac:dyDescent="0.25">
      <c r="A554" t="s">
        <v>1402</v>
      </c>
      <c r="B554" t="s">
        <v>1403</v>
      </c>
      <c r="C554">
        <v>89.61</v>
      </c>
      <c r="D554" t="s">
        <v>1380</v>
      </c>
      <c r="E554" t="str">
        <f t="shared" si="14"/>
        <v>01. Chain Hoist</v>
      </c>
      <c r="F554">
        <v>75</v>
      </c>
      <c r="H554" t="b">
        <v>1</v>
      </c>
      <c r="I554" s="201">
        <v>1057.3</v>
      </c>
      <c r="K554" s="192" t="s">
        <v>21</v>
      </c>
      <c r="L554" s="188">
        <f>IFERROR(_xlfn.XLOOKUP(A554,[1]Fleet!A:A,[1]Fleet!E:E,""),"")</f>
        <v>2</v>
      </c>
      <c r="M554" s="188" t="s">
        <v>22</v>
      </c>
      <c r="N554" s="188" t="s">
        <v>22</v>
      </c>
      <c r="O554" s="198" t="s">
        <v>1469</v>
      </c>
      <c r="P554">
        <v>578</v>
      </c>
      <c r="Q554">
        <f>_xlfn.XLOOKUP(A554,'[1]Classic Net to delete'!D:D,'[1]Classic Net to delete'!AA:AA,0)</f>
        <v>0</v>
      </c>
    </row>
    <row r="555" spans="1:17" x14ac:dyDescent="0.25">
      <c r="A555" t="s">
        <v>1404</v>
      </c>
      <c r="B555" t="s">
        <v>1405</v>
      </c>
      <c r="C555">
        <v>132.19999999999999</v>
      </c>
      <c r="D555" t="s">
        <v>1380</v>
      </c>
      <c r="E555" t="str">
        <f t="shared" si="14"/>
        <v>01. Chain Hoist</v>
      </c>
      <c r="F555">
        <v>75</v>
      </c>
      <c r="H555" t="b">
        <v>1</v>
      </c>
      <c r="I555">
        <v>1058</v>
      </c>
      <c r="K555" s="192" t="s">
        <v>21</v>
      </c>
      <c r="L555" s="188">
        <f>IFERROR(_xlfn.XLOOKUP(A555,[1]Fleet!A:A,[1]Fleet!E:E,""),"")</f>
        <v>2</v>
      </c>
      <c r="M555" s="188" t="s">
        <v>22</v>
      </c>
      <c r="N555" s="188" t="s">
        <v>22</v>
      </c>
      <c r="O555" s="198" t="s">
        <v>1469</v>
      </c>
      <c r="P555">
        <v>579</v>
      </c>
      <c r="Q555">
        <f>_xlfn.XLOOKUP(A555,'[1]Classic Net to delete'!D:D,'[1]Classic Net to delete'!AA:AA,0)</f>
        <v>0</v>
      </c>
    </row>
    <row r="556" spans="1:17" x14ac:dyDescent="0.25">
      <c r="A556" t="s">
        <v>1406</v>
      </c>
      <c r="B556" t="s">
        <v>1407</v>
      </c>
      <c r="C556">
        <v>35.36</v>
      </c>
      <c r="D556" t="s">
        <v>1380</v>
      </c>
      <c r="E556" t="str">
        <f t="shared" si="14"/>
        <v>. Chain Hoist</v>
      </c>
      <c r="F556">
        <v>75</v>
      </c>
      <c r="H556" t="b">
        <v>0</v>
      </c>
      <c r="I556">
        <v>0</v>
      </c>
      <c r="L556" s="188">
        <f>IFERROR(_xlfn.XLOOKUP(A556,[1]Fleet!A:A,[1]Fleet!E:E,""),"")</f>
        <v>3</v>
      </c>
      <c r="M556" s="188" t="s">
        <v>22</v>
      </c>
      <c r="N556" s="188" t="s">
        <v>22</v>
      </c>
      <c r="O556" s="198" t="s">
        <v>1469</v>
      </c>
      <c r="P556">
        <v>555</v>
      </c>
      <c r="Q556">
        <f>_xlfn.XLOOKUP(A556,'[1]Classic Net to delete'!D:D,'[1]Classic Net to delete'!AA:AA,0)</f>
        <v>0</v>
      </c>
    </row>
    <row r="557" spans="1:17" x14ac:dyDescent="0.25">
      <c r="A557" t="s">
        <v>1408</v>
      </c>
      <c r="B557" t="s">
        <v>1409</v>
      </c>
      <c r="C557">
        <v>42.32</v>
      </c>
      <c r="D557" t="s">
        <v>1380</v>
      </c>
      <c r="E557" t="str">
        <f t="shared" si="14"/>
        <v>. Chain Hoist</v>
      </c>
      <c r="F557">
        <v>75</v>
      </c>
      <c r="H557" t="b">
        <v>0</v>
      </c>
      <c r="I557">
        <v>0</v>
      </c>
      <c r="L557" s="188">
        <f>IFERROR(_xlfn.XLOOKUP(A557,[1]Fleet!A:A,[1]Fleet!E:E,""),"")</f>
        <v>1</v>
      </c>
      <c r="M557" s="188" t="s">
        <v>22</v>
      </c>
      <c r="N557" s="188" t="s">
        <v>22</v>
      </c>
      <c r="O557" s="198" t="s">
        <v>1469</v>
      </c>
      <c r="P557">
        <v>591</v>
      </c>
      <c r="Q557">
        <f>_xlfn.XLOOKUP(A557,'[1]Classic Net to delete'!D:D,'[1]Classic Net to delete'!AA:AA,0)</f>
        <v>0</v>
      </c>
    </row>
    <row r="558" spans="1:17" x14ac:dyDescent="0.25">
      <c r="A558" t="s">
        <v>1410</v>
      </c>
      <c r="B558" t="s">
        <v>1411</v>
      </c>
      <c r="C558">
        <v>291.27</v>
      </c>
      <c r="D558" t="s">
        <v>1380</v>
      </c>
      <c r="E558" t="str">
        <f t="shared" si="14"/>
        <v>. Chain Hoist</v>
      </c>
      <c r="F558">
        <v>75</v>
      </c>
      <c r="H558" t="b">
        <v>0</v>
      </c>
      <c r="I558">
        <v>0</v>
      </c>
      <c r="L558" s="188">
        <f>IFERROR(_xlfn.XLOOKUP(A558,[1]Fleet!A:A,[1]Fleet!E:E,""),"")</f>
        <v>2</v>
      </c>
      <c r="M558" s="188" t="s">
        <v>22</v>
      </c>
      <c r="N558" s="188" t="s">
        <v>22</v>
      </c>
      <c r="O558" s="198" t="s">
        <v>1469</v>
      </c>
      <c r="P558">
        <v>590</v>
      </c>
      <c r="Q558">
        <f>_xlfn.XLOOKUP(A558,'[1]Classic Net to delete'!D:D,'[1]Classic Net to delete'!AA:AA,0)</f>
        <v>0</v>
      </c>
    </row>
    <row r="559" spans="1:17" x14ac:dyDescent="0.25">
      <c r="A559" t="s">
        <v>1412</v>
      </c>
      <c r="B559" t="s">
        <v>1413</v>
      </c>
      <c r="C559">
        <v>34.130000000000003</v>
      </c>
      <c r="D559" t="s">
        <v>1380</v>
      </c>
      <c r="E559" t="str">
        <f t="shared" si="14"/>
        <v>01. Chain Hoist</v>
      </c>
      <c r="F559">
        <v>75</v>
      </c>
      <c r="H559" t="b">
        <v>1</v>
      </c>
      <c r="I559">
        <v>1055</v>
      </c>
      <c r="K559" s="192" t="s">
        <v>21</v>
      </c>
      <c r="L559" s="188">
        <f>IFERROR(_xlfn.XLOOKUP(A559,[1]Fleet!A:A,[1]Fleet!E:E,""),"")</f>
        <v>1</v>
      </c>
      <c r="M559" s="188">
        <v>31.900000000000002</v>
      </c>
      <c r="N559" s="188" t="s">
        <v>1414</v>
      </c>
      <c r="O559" s="198" t="s">
        <v>1469</v>
      </c>
      <c r="P559">
        <v>558</v>
      </c>
      <c r="Q559">
        <f>_xlfn.XLOOKUP(A559,'[1]Classic Net to delete'!D:D,'[1]Classic Net to delete'!AA:AA,0)</f>
        <v>1055</v>
      </c>
    </row>
    <row r="560" spans="1:17" x14ac:dyDescent="0.25">
      <c r="A560" t="s">
        <v>1415</v>
      </c>
      <c r="B560" t="s">
        <v>1416</v>
      </c>
      <c r="C560">
        <v>60.54</v>
      </c>
      <c r="D560" t="s">
        <v>1380</v>
      </c>
      <c r="E560" t="str">
        <f t="shared" si="14"/>
        <v>. TBC</v>
      </c>
      <c r="F560">
        <v>75</v>
      </c>
      <c r="H560" t="b">
        <v>0</v>
      </c>
      <c r="I560">
        <v>0</v>
      </c>
      <c r="L560" s="188">
        <f>IFERROR(_xlfn.XLOOKUP(A560,[1]Fleet!A:A,[1]Fleet!E:E,""),"")</f>
        <v>6</v>
      </c>
      <c r="M560" s="188" t="s">
        <v>22</v>
      </c>
      <c r="N560" s="188" t="s">
        <v>22</v>
      </c>
      <c r="O560" s="198" t="s">
        <v>1417</v>
      </c>
      <c r="P560">
        <v>638</v>
      </c>
      <c r="Q560">
        <f>_xlfn.XLOOKUP(A560,'[1]Classic Net to delete'!D:D,'[1]Classic Net to delete'!AA:AA,0)</f>
        <v>0</v>
      </c>
    </row>
    <row r="561" spans="1:17" x14ac:dyDescent="0.25">
      <c r="A561" t="s">
        <v>1418</v>
      </c>
      <c r="B561" t="s">
        <v>1419</v>
      </c>
      <c r="C561">
        <v>246.05</v>
      </c>
      <c r="D561" t="s">
        <v>1380</v>
      </c>
      <c r="E561" t="str">
        <f t="shared" si="14"/>
        <v>. TBC</v>
      </c>
      <c r="F561">
        <v>75</v>
      </c>
      <c r="H561" t="b">
        <v>0</v>
      </c>
      <c r="I561">
        <v>0</v>
      </c>
      <c r="L561" s="188">
        <f>IFERROR(_xlfn.XLOOKUP(A561,[1]Fleet!A:A,[1]Fleet!E:E,""),"")</f>
        <v>1</v>
      </c>
      <c r="M561" s="188" t="s">
        <v>22</v>
      </c>
      <c r="N561" s="188" t="s">
        <v>22</v>
      </c>
      <c r="O561" s="198" t="s">
        <v>1417</v>
      </c>
      <c r="P561">
        <v>636</v>
      </c>
      <c r="Q561">
        <f>_xlfn.XLOOKUP(A561,'[1]Classic Net to delete'!D:D,'[1]Classic Net to delete'!AA:AA,0)</f>
        <v>0</v>
      </c>
    </row>
    <row r="562" spans="1:17" x14ac:dyDescent="0.25">
      <c r="A562" t="s">
        <v>1420</v>
      </c>
      <c r="B562" t="s">
        <v>1421</v>
      </c>
      <c r="C562">
        <v>93.68</v>
      </c>
      <c r="D562" t="s">
        <v>1380</v>
      </c>
      <c r="E562" t="str">
        <f t="shared" si="14"/>
        <v>. TBC</v>
      </c>
      <c r="F562">
        <v>75</v>
      </c>
      <c r="H562" t="b">
        <v>0</v>
      </c>
      <c r="I562">
        <v>0</v>
      </c>
      <c r="L562" s="188">
        <f>IFERROR(_xlfn.XLOOKUP(A562,[1]Fleet!A:A,[1]Fleet!E:E,""),"")</f>
        <v>6</v>
      </c>
      <c r="M562" s="188" t="s">
        <v>22</v>
      </c>
      <c r="N562" s="188" t="s">
        <v>22</v>
      </c>
      <c r="O562" s="198" t="s">
        <v>1417</v>
      </c>
      <c r="P562">
        <v>639</v>
      </c>
      <c r="Q562">
        <f>_xlfn.XLOOKUP(A562,'[1]Classic Net to delete'!D:D,'[1]Classic Net to delete'!AA:AA,0)</f>
        <v>0</v>
      </c>
    </row>
    <row r="563" spans="1:17" x14ac:dyDescent="0.25">
      <c r="A563" t="s">
        <v>1422</v>
      </c>
      <c r="B563" t="s">
        <v>1423</v>
      </c>
      <c r="C563">
        <v>69.55</v>
      </c>
      <c r="D563" t="s">
        <v>1380</v>
      </c>
      <c r="E563" t="str">
        <f t="shared" si="14"/>
        <v>. TBC</v>
      </c>
      <c r="F563">
        <v>75</v>
      </c>
      <c r="H563" t="b">
        <v>0</v>
      </c>
      <c r="I563">
        <v>0</v>
      </c>
      <c r="L563" s="188">
        <f>IFERROR(_xlfn.XLOOKUP(A563,[1]Fleet!A:A,[1]Fleet!E:E,""),"")</f>
        <v>4</v>
      </c>
      <c r="M563" s="188" t="s">
        <v>22</v>
      </c>
      <c r="N563" s="188" t="s">
        <v>22</v>
      </c>
      <c r="O563" s="198" t="s">
        <v>1417</v>
      </c>
      <c r="P563">
        <v>637</v>
      </c>
      <c r="Q563">
        <f>_xlfn.XLOOKUP(A563,'[1]Classic Net to delete'!D:D,'[1]Classic Net to delete'!AA:AA,0)</f>
        <v>0</v>
      </c>
    </row>
    <row r="564" spans="1:17" x14ac:dyDescent="0.25">
      <c r="A564" t="s">
        <v>1424</v>
      </c>
      <c r="B564" t="s">
        <v>1425</v>
      </c>
      <c r="C564">
        <v>143.27000000000001</v>
      </c>
      <c r="D564" t="s">
        <v>1380</v>
      </c>
      <c r="E564" t="str">
        <f t="shared" si="14"/>
        <v>. TBC</v>
      </c>
      <c r="F564">
        <v>75</v>
      </c>
      <c r="H564" t="b">
        <v>0</v>
      </c>
      <c r="I564">
        <v>0</v>
      </c>
      <c r="L564" s="188">
        <f>IFERROR(_xlfn.XLOOKUP(A564,[1]Fleet!A:A,[1]Fleet!E:E,""),"")</f>
        <v>2</v>
      </c>
      <c r="M564" s="188" t="s">
        <v>22</v>
      </c>
      <c r="N564" s="188" t="s">
        <v>22</v>
      </c>
      <c r="O564" s="198" t="s">
        <v>1417</v>
      </c>
      <c r="P564">
        <v>634</v>
      </c>
      <c r="Q564">
        <f>_xlfn.XLOOKUP(A564,'[1]Classic Net to delete'!D:D,'[1]Classic Net to delete'!AA:AA,0)</f>
        <v>0</v>
      </c>
    </row>
    <row r="565" spans="1:17" x14ac:dyDescent="0.25">
      <c r="A565" t="s">
        <v>1426</v>
      </c>
      <c r="B565" t="s">
        <v>1427</v>
      </c>
      <c r="C565">
        <v>0</v>
      </c>
      <c r="D565" t="s">
        <v>1380</v>
      </c>
      <c r="E565" t="str">
        <f t="shared" si="14"/>
        <v>. TBC</v>
      </c>
      <c r="F565">
        <v>75</v>
      </c>
      <c r="H565" t="b">
        <v>0</v>
      </c>
      <c r="I565">
        <v>0</v>
      </c>
      <c r="L565" s="188">
        <f>IFERROR(_xlfn.XLOOKUP(A565,[1]Fleet!A:A,[1]Fleet!E:E,""),"")</f>
        <v>30</v>
      </c>
      <c r="M565" s="188" t="s">
        <v>22</v>
      </c>
      <c r="N565" s="188" t="s">
        <v>22</v>
      </c>
      <c r="O565" s="198" t="s">
        <v>1417</v>
      </c>
      <c r="P565">
        <v>600</v>
      </c>
      <c r="Q565">
        <f>_xlfn.XLOOKUP(A565,'[1]Classic Net to delete'!D:D,'[1]Classic Net to delete'!AA:AA,0)</f>
        <v>0</v>
      </c>
    </row>
    <row r="566" spans="1:17" x14ac:dyDescent="0.25">
      <c r="A566" t="s">
        <v>1426</v>
      </c>
      <c r="B566" t="s">
        <v>1428</v>
      </c>
      <c r="C566">
        <v>0</v>
      </c>
      <c r="D566" t="s">
        <v>1380</v>
      </c>
      <c r="E566" t="str">
        <f t="shared" si="14"/>
        <v>. TBC</v>
      </c>
      <c r="F566">
        <v>75</v>
      </c>
      <c r="H566" t="b">
        <v>0</v>
      </c>
      <c r="I566">
        <v>0</v>
      </c>
      <c r="L566" s="188">
        <f>IFERROR(_xlfn.XLOOKUP(A566,[1]Fleet!A:A,[1]Fleet!E:E,""),"")</f>
        <v>30</v>
      </c>
      <c r="M566" s="188" t="s">
        <v>22</v>
      </c>
      <c r="N566" s="188" t="s">
        <v>22</v>
      </c>
      <c r="O566" s="198" t="s">
        <v>1417</v>
      </c>
      <c r="P566">
        <v>604</v>
      </c>
      <c r="Q566">
        <f>_xlfn.XLOOKUP(A566,'[1]Classic Net to delete'!D:D,'[1]Classic Net to delete'!AA:AA,0)</f>
        <v>0</v>
      </c>
    </row>
    <row r="567" spans="1:17" x14ac:dyDescent="0.25">
      <c r="A567" t="s">
        <v>1426</v>
      </c>
      <c r="B567" t="s">
        <v>1429</v>
      </c>
      <c r="C567">
        <v>0</v>
      </c>
      <c r="D567" t="s">
        <v>1380</v>
      </c>
      <c r="E567" t="str">
        <f t="shared" si="14"/>
        <v>. TBC</v>
      </c>
      <c r="F567">
        <v>75</v>
      </c>
      <c r="H567" t="b">
        <v>0</v>
      </c>
      <c r="I567">
        <v>0</v>
      </c>
      <c r="L567" s="188">
        <f>IFERROR(_xlfn.XLOOKUP(A567,[1]Fleet!A:A,[1]Fleet!E:E,""),"")</f>
        <v>30</v>
      </c>
      <c r="M567" s="188" t="s">
        <v>22</v>
      </c>
      <c r="N567" s="188" t="s">
        <v>22</v>
      </c>
      <c r="O567" s="198" t="s">
        <v>1417</v>
      </c>
      <c r="P567">
        <v>605</v>
      </c>
      <c r="Q567">
        <f>_xlfn.XLOOKUP(A567,'[1]Classic Net to delete'!D:D,'[1]Classic Net to delete'!AA:AA,0)</f>
        <v>0</v>
      </c>
    </row>
    <row r="568" spans="1:17" x14ac:dyDescent="0.25">
      <c r="A568" t="s">
        <v>1426</v>
      </c>
      <c r="B568" t="s">
        <v>1430</v>
      </c>
      <c r="C568">
        <v>0</v>
      </c>
      <c r="D568" t="s">
        <v>1380</v>
      </c>
      <c r="E568" t="str">
        <f t="shared" si="14"/>
        <v>. TBC</v>
      </c>
      <c r="F568">
        <v>75</v>
      </c>
      <c r="H568" t="b">
        <v>0</v>
      </c>
      <c r="I568">
        <v>0</v>
      </c>
      <c r="L568" s="188">
        <f>IFERROR(_xlfn.XLOOKUP(A568,[1]Fleet!A:A,[1]Fleet!E:E,""),"")</f>
        <v>30</v>
      </c>
      <c r="M568" s="188" t="s">
        <v>22</v>
      </c>
      <c r="N568" s="188" t="s">
        <v>22</v>
      </c>
      <c r="O568" s="198" t="s">
        <v>1417</v>
      </c>
      <c r="P568">
        <v>606</v>
      </c>
      <c r="Q568">
        <f>_xlfn.XLOOKUP(A568,'[1]Classic Net to delete'!D:D,'[1]Classic Net to delete'!AA:AA,0)</f>
        <v>0</v>
      </c>
    </row>
    <row r="569" spans="1:17" x14ac:dyDescent="0.25">
      <c r="A569" t="s">
        <v>1426</v>
      </c>
      <c r="B569" t="s">
        <v>1431</v>
      </c>
      <c r="C569">
        <v>0</v>
      </c>
      <c r="D569" t="s">
        <v>1380</v>
      </c>
      <c r="E569" t="str">
        <f t="shared" si="14"/>
        <v>. TBC</v>
      </c>
      <c r="F569">
        <v>75</v>
      </c>
      <c r="H569" t="b">
        <v>0</v>
      </c>
      <c r="I569">
        <v>0</v>
      </c>
      <c r="L569" s="188">
        <f>IFERROR(_xlfn.XLOOKUP(A569,[1]Fleet!A:A,[1]Fleet!E:E,""),"")</f>
        <v>30</v>
      </c>
      <c r="M569" s="188" t="s">
        <v>22</v>
      </c>
      <c r="N569" s="188" t="s">
        <v>22</v>
      </c>
      <c r="O569" s="198" t="s">
        <v>1417</v>
      </c>
      <c r="P569">
        <v>607</v>
      </c>
      <c r="Q569">
        <f>_xlfn.XLOOKUP(A569,'[1]Classic Net to delete'!D:D,'[1]Classic Net to delete'!AA:AA,0)</f>
        <v>0</v>
      </c>
    </row>
    <row r="570" spans="1:17" x14ac:dyDescent="0.25">
      <c r="A570" t="s">
        <v>1426</v>
      </c>
      <c r="B570" t="s">
        <v>1432</v>
      </c>
      <c r="C570">
        <v>0</v>
      </c>
      <c r="D570" t="s">
        <v>1380</v>
      </c>
      <c r="E570" t="str">
        <f t="shared" si="14"/>
        <v>. TBC</v>
      </c>
      <c r="F570">
        <v>75</v>
      </c>
      <c r="H570" t="b">
        <v>0</v>
      </c>
      <c r="I570">
        <v>0</v>
      </c>
      <c r="L570" s="188">
        <f>IFERROR(_xlfn.XLOOKUP(A570,[1]Fleet!A:A,[1]Fleet!E:E,""),"")</f>
        <v>30</v>
      </c>
      <c r="M570" s="188" t="s">
        <v>22</v>
      </c>
      <c r="N570" s="188" t="s">
        <v>22</v>
      </c>
      <c r="O570" s="198" t="s">
        <v>1417</v>
      </c>
      <c r="P570">
        <v>608</v>
      </c>
      <c r="Q570">
        <f>_xlfn.XLOOKUP(A570,'[1]Classic Net to delete'!D:D,'[1]Classic Net to delete'!AA:AA,0)</f>
        <v>0</v>
      </c>
    </row>
    <row r="571" spans="1:17" x14ac:dyDescent="0.25">
      <c r="A571" t="s">
        <v>1426</v>
      </c>
      <c r="B571" t="s">
        <v>1433</v>
      </c>
      <c r="C571">
        <v>0</v>
      </c>
      <c r="D571" t="s">
        <v>1380</v>
      </c>
      <c r="E571" t="str">
        <f t="shared" si="14"/>
        <v>. TBC</v>
      </c>
      <c r="F571">
        <v>75</v>
      </c>
      <c r="H571" t="b">
        <v>0</v>
      </c>
      <c r="I571">
        <v>0</v>
      </c>
      <c r="L571" s="188">
        <f>IFERROR(_xlfn.XLOOKUP(A571,[1]Fleet!A:A,[1]Fleet!E:E,""),"")</f>
        <v>30</v>
      </c>
      <c r="M571" s="188" t="s">
        <v>22</v>
      </c>
      <c r="N571" s="188" t="s">
        <v>22</v>
      </c>
      <c r="O571" s="198" t="s">
        <v>1417</v>
      </c>
      <c r="P571">
        <v>609</v>
      </c>
      <c r="Q571">
        <f>_xlfn.XLOOKUP(A571,'[1]Classic Net to delete'!D:D,'[1]Classic Net to delete'!AA:AA,0)</f>
        <v>0</v>
      </c>
    </row>
    <row r="572" spans="1:17" x14ac:dyDescent="0.25">
      <c r="A572" t="s">
        <v>1426</v>
      </c>
      <c r="B572" t="s">
        <v>1434</v>
      </c>
      <c r="C572">
        <v>0</v>
      </c>
      <c r="D572" t="s">
        <v>1380</v>
      </c>
      <c r="E572" t="str">
        <f t="shared" si="14"/>
        <v>. TBC</v>
      </c>
      <c r="F572">
        <v>75</v>
      </c>
      <c r="H572" t="b">
        <v>0</v>
      </c>
      <c r="I572">
        <v>0</v>
      </c>
      <c r="L572" s="188">
        <f>IFERROR(_xlfn.XLOOKUP(A572,[1]Fleet!A:A,[1]Fleet!E:E,""),"")</f>
        <v>30</v>
      </c>
      <c r="M572" s="188" t="s">
        <v>22</v>
      </c>
      <c r="N572" s="188" t="s">
        <v>22</v>
      </c>
      <c r="O572" s="198" t="s">
        <v>1417</v>
      </c>
      <c r="P572">
        <v>610</v>
      </c>
      <c r="Q572">
        <f>_xlfn.XLOOKUP(A572,'[1]Classic Net to delete'!D:D,'[1]Classic Net to delete'!AA:AA,0)</f>
        <v>0</v>
      </c>
    </row>
    <row r="573" spans="1:17" x14ac:dyDescent="0.25">
      <c r="A573" t="s">
        <v>1426</v>
      </c>
      <c r="B573" t="s">
        <v>1435</v>
      </c>
      <c r="C573">
        <v>0</v>
      </c>
      <c r="D573" t="s">
        <v>1380</v>
      </c>
      <c r="E573" t="str">
        <f t="shared" si="14"/>
        <v>. TBC</v>
      </c>
      <c r="F573">
        <v>75</v>
      </c>
      <c r="H573" t="b">
        <v>0</v>
      </c>
      <c r="I573">
        <v>0</v>
      </c>
      <c r="L573" s="188">
        <f>IFERROR(_xlfn.XLOOKUP(A573,[1]Fleet!A:A,[1]Fleet!E:E,""),"")</f>
        <v>30</v>
      </c>
      <c r="M573" s="188" t="s">
        <v>22</v>
      </c>
      <c r="N573" s="188" t="s">
        <v>22</v>
      </c>
      <c r="O573" s="198" t="s">
        <v>1417</v>
      </c>
      <c r="P573">
        <v>611</v>
      </c>
      <c r="Q573">
        <f>_xlfn.XLOOKUP(A573,'[1]Classic Net to delete'!D:D,'[1]Classic Net to delete'!AA:AA,0)</f>
        <v>0</v>
      </c>
    </row>
    <row r="574" spans="1:17" x14ac:dyDescent="0.25">
      <c r="A574" t="s">
        <v>1426</v>
      </c>
      <c r="B574" t="s">
        <v>1436</v>
      </c>
      <c r="C574">
        <v>0</v>
      </c>
      <c r="D574" t="s">
        <v>1380</v>
      </c>
      <c r="E574" t="str">
        <f t="shared" si="14"/>
        <v>. TBC</v>
      </c>
      <c r="F574">
        <v>75</v>
      </c>
      <c r="H574" t="b">
        <v>0</v>
      </c>
      <c r="I574">
        <v>0</v>
      </c>
      <c r="L574" s="188">
        <f>IFERROR(_xlfn.XLOOKUP(A574,[1]Fleet!A:A,[1]Fleet!E:E,""),"")</f>
        <v>30</v>
      </c>
      <c r="M574" s="188" t="s">
        <v>22</v>
      </c>
      <c r="N574" s="188" t="s">
        <v>22</v>
      </c>
      <c r="O574" s="198" t="s">
        <v>1417</v>
      </c>
      <c r="P574">
        <v>612</v>
      </c>
      <c r="Q574">
        <f>_xlfn.XLOOKUP(A574,'[1]Classic Net to delete'!D:D,'[1]Classic Net to delete'!AA:AA,0)</f>
        <v>0</v>
      </c>
    </row>
    <row r="575" spans="1:17" x14ac:dyDescent="0.25">
      <c r="A575" t="s">
        <v>1426</v>
      </c>
      <c r="B575" t="s">
        <v>1437</v>
      </c>
      <c r="C575">
        <v>0</v>
      </c>
      <c r="D575" t="s">
        <v>1380</v>
      </c>
      <c r="E575" t="str">
        <f t="shared" si="14"/>
        <v>. TBC</v>
      </c>
      <c r="F575">
        <v>75</v>
      </c>
      <c r="H575" t="b">
        <v>0</v>
      </c>
      <c r="I575">
        <v>0</v>
      </c>
      <c r="L575" s="188">
        <f>IFERROR(_xlfn.XLOOKUP(A575,[1]Fleet!A:A,[1]Fleet!E:E,""),"")</f>
        <v>30</v>
      </c>
      <c r="M575" s="188" t="s">
        <v>22</v>
      </c>
      <c r="N575" s="188" t="s">
        <v>22</v>
      </c>
      <c r="O575" s="198" t="s">
        <v>1417</v>
      </c>
      <c r="P575">
        <v>613</v>
      </c>
      <c r="Q575">
        <f>_xlfn.XLOOKUP(A575,'[1]Classic Net to delete'!D:D,'[1]Classic Net to delete'!AA:AA,0)</f>
        <v>0</v>
      </c>
    </row>
    <row r="576" spans="1:17" x14ac:dyDescent="0.25">
      <c r="A576" t="s">
        <v>1426</v>
      </c>
      <c r="B576" t="s">
        <v>1438</v>
      </c>
      <c r="C576">
        <v>0</v>
      </c>
      <c r="D576" t="s">
        <v>1380</v>
      </c>
      <c r="E576" t="str">
        <f t="shared" si="14"/>
        <v>. TBC</v>
      </c>
      <c r="F576">
        <v>75</v>
      </c>
      <c r="H576" t="b">
        <v>0</v>
      </c>
      <c r="I576">
        <v>0</v>
      </c>
      <c r="L576" s="188">
        <f>IFERROR(_xlfn.XLOOKUP(A576,[1]Fleet!A:A,[1]Fleet!E:E,""),"")</f>
        <v>30</v>
      </c>
      <c r="M576" s="188" t="s">
        <v>22</v>
      </c>
      <c r="N576" s="188" t="s">
        <v>22</v>
      </c>
      <c r="O576" s="198" t="s">
        <v>1417</v>
      </c>
      <c r="P576">
        <v>614</v>
      </c>
      <c r="Q576">
        <f>_xlfn.XLOOKUP(A576,'[1]Classic Net to delete'!D:D,'[1]Classic Net to delete'!AA:AA,0)</f>
        <v>0</v>
      </c>
    </row>
    <row r="577" spans="1:17" x14ac:dyDescent="0.25">
      <c r="A577" t="s">
        <v>1426</v>
      </c>
      <c r="B577" t="s">
        <v>1439</v>
      </c>
      <c r="C577">
        <v>0</v>
      </c>
      <c r="D577" t="s">
        <v>1380</v>
      </c>
      <c r="E577" t="str">
        <f t="shared" si="14"/>
        <v>. TBC</v>
      </c>
      <c r="F577">
        <v>75</v>
      </c>
      <c r="H577" t="b">
        <v>0</v>
      </c>
      <c r="I577">
        <v>0</v>
      </c>
      <c r="L577" s="188">
        <f>IFERROR(_xlfn.XLOOKUP(A577,[1]Fleet!A:A,[1]Fleet!E:E,""),"")</f>
        <v>30</v>
      </c>
      <c r="M577" s="188" t="s">
        <v>22</v>
      </c>
      <c r="N577" s="188" t="s">
        <v>22</v>
      </c>
      <c r="O577" s="198" t="s">
        <v>1417</v>
      </c>
      <c r="P577">
        <v>615</v>
      </c>
      <c r="Q577">
        <f>_xlfn.XLOOKUP(A577,'[1]Classic Net to delete'!D:D,'[1]Classic Net to delete'!AA:AA,0)</f>
        <v>0</v>
      </c>
    </row>
    <row r="578" spans="1:17" x14ac:dyDescent="0.25">
      <c r="A578" t="s">
        <v>1426</v>
      </c>
      <c r="B578" t="s">
        <v>1440</v>
      </c>
      <c r="C578">
        <v>0</v>
      </c>
      <c r="D578" t="s">
        <v>1380</v>
      </c>
      <c r="E578" t="str">
        <f t="shared" si="14"/>
        <v>. TBC</v>
      </c>
      <c r="F578">
        <v>75</v>
      </c>
      <c r="H578" t="b">
        <v>0</v>
      </c>
      <c r="I578">
        <v>0</v>
      </c>
      <c r="L578" s="188">
        <f>IFERROR(_xlfn.XLOOKUP(A578,[1]Fleet!A:A,[1]Fleet!E:E,""),"")</f>
        <v>30</v>
      </c>
      <c r="M578" s="188" t="s">
        <v>22</v>
      </c>
      <c r="N578" s="188" t="s">
        <v>22</v>
      </c>
      <c r="O578" s="198" t="s">
        <v>1417</v>
      </c>
      <c r="P578">
        <v>616</v>
      </c>
      <c r="Q578">
        <f>_xlfn.XLOOKUP(A578,'[1]Classic Net to delete'!D:D,'[1]Classic Net to delete'!AA:AA,0)</f>
        <v>0</v>
      </c>
    </row>
    <row r="579" spans="1:17" x14ac:dyDescent="0.25">
      <c r="A579" t="s">
        <v>1426</v>
      </c>
      <c r="B579" t="s">
        <v>1441</v>
      </c>
      <c r="C579">
        <v>0</v>
      </c>
      <c r="D579" t="s">
        <v>1380</v>
      </c>
      <c r="E579" t="str">
        <f t="shared" si="14"/>
        <v>. TBC</v>
      </c>
      <c r="F579">
        <v>75</v>
      </c>
      <c r="H579" t="b">
        <v>0</v>
      </c>
      <c r="I579">
        <v>0</v>
      </c>
      <c r="L579" s="188">
        <f>IFERROR(_xlfn.XLOOKUP(A579,[1]Fleet!A:A,[1]Fleet!E:E,""),"")</f>
        <v>30</v>
      </c>
      <c r="M579" s="188" t="s">
        <v>22</v>
      </c>
      <c r="N579" s="188" t="s">
        <v>22</v>
      </c>
      <c r="O579" s="198" t="s">
        <v>1417</v>
      </c>
      <c r="P579">
        <v>617</v>
      </c>
      <c r="Q579">
        <f>_xlfn.XLOOKUP(A579,'[1]Classic Net to delete'!D:D,'[1]Classic Net to delete'!AA:AA,0)</f>
        <v>0</v>
      </c>
    </row>
    <row r="580" spans="1:17" x14ac:dyDescent="0.25">
      <c r="A580" t="s">
        <v>1426</v>
      </c>
      <c r="B580" t="s">
        <v>1442</v>
      </c>
      <c r="C580">
        <v>0</v>
      </c>
      <c r="D580" t="s">
        <v>1380</v>
      </c>
      <c r="E580" t="str">
        <f t="shared" si="14"/>
        <v>. TBC</v>
      </c>
      <c r="F580">
        <v>75</v>
      </c>
      <c r="H580" t="b">
        <v>0</v>
      </c>
      <c r="I580">
        <v>0</v>
      </c>
      <c r="L580" s="188">
        <f>IFERROR(_xlfn.XLOOKUP(A580,[1]Fleet!A:A,[1]Fleet!E:E,""),"")</f>
        <v>30</v>
      </c>
      <c r="M580" s="188" t="s">
        <v>22</v>
      </c>
      <c r="N580" s="188" t="s">
        <v>22</v>
      </c>
      <c r="O580" s="198" t="s">
        <v>1417</v>
      </c>
      <c r="P580">
        <v>618</v>
      </c>
      <c r="Q580">
        <f>_xlfn.XLOOKUP(A580,'[1]Classic Net to delete'!D:D,'[1]Classic Net to delete'!AA:AA,0)</f>
        <v>0</v>
      </c>
    </row>
    <row r="581" spans="1:17" x14ac:dyDescent="0.25">
      <c r="A581" t="s">
        <v>1426</v>
      </c>
      <c r="B581" t="s">
        <v>1443</v>
      </c>
      <c r="C581">
        <v>0</v>
      </c>
      <c r="D581" t="s">
        <v>1380</v>
      </c>
      <c r="E581" t="str">
        <f t="shared" ref="E581:E644" si="15">CONCATENATE(K581,". ",O581)</f>
        <v>. TBC</v>
      </c>
      <c r="F581">
        <v>75</v>
      </c>
      <c r="H581" t="b">
        <v>0</v>
      </c>
      <c r="I581">
        <v>0</v>
      </c>
      <c r="L581" s="188">
        <f>IFERROR(_xlfn.XLOOKUP(A581,[1]Fleet!A:A,[1]Fleet!E:E,""),"")</f>
        <v>30</v>
      </c>
      <c r="M581" s="188" t="s">
        <v>22</v>
      </c>
      <c r="N581" s="188" t="s">
        <v>22</v>
      </c>
      <c r="O581" s="198" t="s">
        <v>1417</v>
      </c>
      <c r="P581">
        <v>619</v>
      </c>
      <c r="Q581">
        <f>_xlfn.XLOOKUP(A581,'[1]Classic Net to delete'!D:D,'[1]Classic Net to delete'!AA:AA,0)</f>
        <v>0</v>
      </c>
    </row>
    <row r="582" spans="1:17" x14ac:dyDescent="0.25">
      <c r="A582" t="s">
        <v>1426</v>
      </c>
      <c r="B582" t="s">
        <v>1444</v>
      </c>
      <c r="C582">
        <v>0</v>
      </c>
      <c r="D582" t="s">
        <v>1380</v>
      </c>
      <c r="E582" t="str">
        <f t="shared" si="15"/>
        <v>. TBC</v>
      </c>
      <c r="F582">
        <v>75</v>
      </c>
      <c r="H582" t="b">
        <v>0</v>
      </c>
      <c r="I582">
        <v>0</v>
      </c>
      <c r="L582" s="188">
        <f>IFERROR(_xlfn.XLOOKUP(A582,[1]Fleet!A:A,[1]Fleet!E:E,""),"")</f>
        <v>30</v>
      </c>
      <c r="M582" s="188" t="s">
        <v>22</v>
      </c>
      <c r="N582" s="188" t="s">
        <v>22</v>
      </c>
      <c r="O582" s="198" t="s">
        <v>1417</v>
      </c>
      <c r="P582">
        <v>620</v>
      </c>
      <c r="Q582">
        <f>_xlfn.XLOOKUP(A582,'[1]Classic Net to delete'!D:D,'[1]Classic Net to delete'!AA:AA,0)</f>
        <v>0</v>
      </c>
    </row>
    <row r="583" spans="1:17" x14ac:dyDescent="0.25">
      <c r="A583" t="s">
        <v>1426</v>
      </c>
      <c r="B583" t="s">
        <v>1445</v>
      </c>
      <c r="C583">
        <v>0</v>
      </c>
      <c r="D583" t="s">
        <v>1380</v>
      </c>
      <c r="E583" t="str">
        <f t="shared" si="15"/>
        <v>. TBC</v>
      </c>
      <c r="F583">
        <v>75</v>
      </c>
      <c r="H583" t="b">
        <v>0</v>
      </c>
      <c r="I583">
        <v>0</v>
      </c>
      <c r="L583" s="188">
        <f>IFERROR(_xlfn.XLOOKUP(A583,[1]Fleet!A:A,[1]Fleet!E:E,""),"")</f>
        <v>30</v>
      </c>
      <c r="M583" s="188" t="s">
        <v>22</v>
      </c>
      <c r="N583" s="188" t="s">
        <v>22</v>
      </c>
      <c r="O583" s="198" t="s">
        <v>1417</v>
      </c>
      <c r="P583">
        <v>621</v>
      </c>
      <c r="Q583">
        <f>_xlfn.XLOOKUP(A583,'[1]Classic Net to delete'!D:D,'[1]Classic Net to delete'!AA:AA,0)</f>
        <v>0</v>
      </c>
    </row>
    <row r="584" spans="1:17" x14ac:dyDescent="0.25">
      <c r="A584" t="s">
        <v>1426</v>
      </c>
      <c r="B584" t="s">
        <v>1446</v>
      </c>
      <c r="C584">
        <v>0</v>
      </c>
      <c r="D584" t="s">
        <v>1380</v>
      </c>
      <c r="E584" t="str">
        <f t="shared" si="15"/>
        <v>. TBC</v>
      </c>
      <c r="F584">
        <v>75</v>
      </c>
      <c r="H584" t="b">
        <v>0</v>
      </c>
      <c r="I584">
        <v>0</v>
      </c>
      <c r="L584" s="188">
        <f>IFERROR(_xlfn.XLOOKUP(A584,[1]Fleet!A:A,[1]Fleet!E:E,""),"")</f>
        <v>30</v>
      </c>
      <c r="M584" s="188" t="s">
        <v>22</v>
      </c>
      <c r="N584" s="188" t="s">
        <v>22</v>
      </c>
      <c r="O584" s="198" t="s">
        <v>1417</v>
      </c>
      <c r="P584">
        <v>622</v>
      </c>
      <c r="Q584">
        <f>_xlfn.XLOOKUP(A584,'[1]Classic Net to delete'!D:D,'[1]Classic Net to delete'!AA:AA,0)</f>
        <v>0</v>
      </c>
    </row>
    <row r="585" spans="1:17" x14ac:dyDescent="0.25">
      <c r="A585" t="s">
        <v>1426</v>
      </c>
      <c r="B585" t="s">
        <v>1447</v>
      </c>
      <c r="C585">
        <v>0</v>
      </c>
      <c r="D585" t="s">
        <v>1380</v>
      </c>
      <c r="E585" t="str">
        <f t="shared" si="15"/>
        <v>. TBC</v>
      </c>
      <c r="F585">
        <v>75</v>
      </c>
      <c r="H585" t="b">
        <v>0</v>
      </c>
      <c r="I585">
        <v>0</v>
      </c>
      <c r="L585" s="188">
        <f>IFERROR(_xlfn.XLOOKUP(A585,[1]Fleet!A:A,[1]Fleet!E:E,""),"")</f>
        <v>30</v>
      </c>
      <c r="M585" s="188" t="s">
        <v>22</v>
      </c>
      <c r="N585" s="188" t="s">
        <v>22</v>
      </c>
      <c r="O585" s="198" t="s">
        <v>1417</v>
      </c>
      <c r="P585">
        <v>623</v>
      </c>
      <c r="Q585">
        <f>_xlfn.XLOOKUP(A585,'[1]Classic Net to delete'!D:D,'[1]Classic Net to delete'!AA:AA,0)</f>
        <v>0</v>
      </c>
    </row>
    <row r="586" spans="1:17" x14ac:dyDescent="0.25">
      <c r="A586" t="s">
        <v>1426</v>
      </c>
      <c r="B586" t="s">
        <v>1448</v>
      </c>
      <c r="C586">
        <v>0</v>
      </c>
      <c r="D586" t="s">
        <v>1380</v>
      </c>
      <c r="E586" t="str">
        <f t="shared" si="15"/>
        <v>. TBC</v>
      </c>
      <c r="F586">
        <v>75</v>
      </c>
      <c r="H586" t="b">
        <v>0</v>
      </c>
      <c r="I586">
        <v>0</v>
      </c>
      <c r="L586" s="188">
        <f>IFERROR(_xlfn.XLOOKUP(A586,[1]Fleet!A:A,[1]Fleet!E:E,""),"")</f>
        <v>30</v>
      </c>
      <c r="M586" s="188" t="s">
        <v>22</v>
      </c>
      <c r="N586" s="188" t="s">
        <v>22</v>
      </c>
      <c r="O586" s="198" t="s">
        <v>1417</v>
      </c>
      <c r="P586">
        <v>624</v>
      </c>
      <c r="Q586">
        <f>_xlfn.XLOOKUP(A586,'[1]Classic Net to delete'!D:D,'[1]Classic Net to delete'!AA:AA,0)</f>
        <v>0</v>
      </c>
    </row>
    <row r="587" spans="1:17" x14ac:dyDescent="0.25">
      <c r="A587" t="s">
        <v>1426</v>
      </c>
      <c r="B587" t="s">
        <v>1449</v>
      </c>
      <c r="C587">
        <v>0</v>
      </c>
      <c r="D587" t="s">
        <v>1380</v>
      </c>
      <c r="E587" t="str">
        <f t="shared" si="15"/>
        <v>. TBC</v>
      </c>
      <c r="F587">
        <v>75</v>
      </c>
      <c r="H587" t="b">
        <v>0</v>
      </c>
      <c r="I587">
        <v>0</v>
      </c>
      <c r="L587" s="188">
        <f>IFERROR(_xlfn.XLOOKUP(A587,[1]Fleet!A:A,[1]Fleet!E:E,""),"")</f>
        <v>30</v>
      </c>
      <c r="M587" s="188" t="s">
        <v>22</v>
      </c>
      <c r="N587" s="188" t="s">
        <v>22</v>
      </c>
      <c r="O587" s="198" t="s">
        <v>1417</v>
      </c>
      <c r="P587">
        <v>625</v>
      </c>
      <c r="Q587">
        <f>_xlfn.XLOOKUP(A587,'[1]Classic Net to delete'!D:D,'[1]Classic Net to delete'!AA:AA,0)</f>
        <v>0</v>
      </c>
    </row>
    <row r="588" spans="1:17" x14ac:dyDescent="0.25">
      <c r="A588" t="s">
        <v>1426</v>
      </c>
      <c r="B588" t="s">
        <v>1450</v>
      </c>
      <c r="C588">
        <v>0</v>
      </c>
      <c r="D588" t="s">
        <v>1380</v>
      </c>
      <c r="E588" t="str">
        <f t="shared" si="15"/>
        <v>. TBC</v>
      </c>
      <c r="F588">
        <v>75</v>
      </c>
      <c r="H588" t="b">
        <v>0</v>
      </c>
      <c r="I588">
        <v>0</v>
      </c>
      <c r="L588" s="188">
        <f>IFERROR(_xlfn.XLOOKUP(A588,[1]Fleet!A:A,[1]Fleet!E:E,""),"")</f>
        <v>30</v>
      </c>
      <c r="M588" s="188" t="s">
        <v>22</v>
      </c>
      <c r="N588" s="188" t="s">
        <v>22</v>
      </c>
      <c r="O588" s="198" t="s">
        <v>1417</v>
      </c>
      <c r="P588">
        <v>626</v>
      </c>
      <c r="Q588">
        <f>_xlfn.XLOOKUP(A588,'[1]Classic Net to delete'!D:D,'[1]Classic Net to delete'!AA:AA,0)</f>
        <v>0</v>
      </c>
    </row>
    <row r="589" spans="1:17" x14ac:dyDescent="0.25">
      <c r="A589" t="s">
        <v>1426</v>
      </c>
      <c r="B589" t="s">
        <v>1451</v>
      </c>
      <c r="C589">
        <v>0</v>
      </c>
      <c r="D589" t="s">
        <v>1380</v>
      </c>
      <c r="E589" t="str">
        <f t="shared" si="15"/>
        <v>. TBC</v>
      </c>
      <c r="F589">
        <v>75</v>
      </c>
      <c r="H589" t="b">
        <v>0</v>
      </c>
      <c r="I589">
        <v>0</v>
      </c>
      <c r="L589" s="188">
        <f>IFERROR(_xlfn.XLOOKUP(A589,[1]Fleet!A:A,[1]Fleet!E:E,""),"")</f>
        <v>30</v>
      </c>
      <c r="M589" s="188" t="s">
        <v>22</v>
      </c>
      <c r="N589" s="188" t="s">
        <v>22</v>
      </c>
      <c r="O589" s="198" t="s">
        <v>1417</v>
      </c>
      <c r="P589">
        <v>627</v>
      </c>
      <c r="Q589">
        <f>_xlfn.XLOOKUP(A589,'[1]Classic Net to delete'!D:D,'[1]Classic Net to delete'!AA:AA,0)</f>
        <v>0</v>
      </c>
    </row>
    <row r="590" spans="1:17" x14ac:dyDescent="0.25">
      <c r="A590" t="s">
        <v>1426</v>
      </c>
      <c r="B590" t="s">
        <v>1452</v>
      </c>
      <c r="C590">
        <v>0</v>
      </c>
      <c r="D590" t="s">
        <v>1380</v>
      </c>
      <c r="E590" t="str">
        <f t="shared" si="15"/>
        <v>. TBC</v>
      </c>
      <c r="F590">
        <v>75</v>
      </c>
      <c r="H590" t="b">
        <v>0</v>
      </c>
      <c r="I590">
        <v>0</v>
      </c>
      <c r="L590" s="188">
        <f>IFERROR(_xlfn.XLOOKUP(A590,[1]Fleet!A:A,[1]Fleet!E:E,""),"")</f>
        <v>30</v>
      </c>
      <c r="M590" s="188" t="s">
        <v>22</v>
      </c>
      <c r="N590" s="188" t="s">
        <v>22</v>
      </c>
      <c r="O590" s="198" t="s">
        <v>1417</v>
      </c>
      <c r="P590">
        <v>628</v>
      </c>
      <c r="Q590">
        <f>_xlfn.XLOOKUP(A590,'[1]Classic Net to delete'!D:D,'[1]Classic Net to delete'!AA:AA,0)</f>
        <v>0</v>
      </c>
    </row>
    <row r="591" spans="1:17" x14ac:dyDescent="0.25">
      <c r="A591" t="s">
        <v>1426</v>
      </c>
      <c r="B591" t="s">
        <v>1453</v>
      </c>
      <c r="C591">
        <v>0</v>
      </c>
      <c r="D591" t="s">
        <v>1380</v>
      </c>
      <c r="E591" t="str">
        <f t="shared" si="15"/>
        <v>. TBC</v>
      </c>
      <c r="F591">
        <v>75</v>
      </c>
      <c r="H591" t="b">
        <v>0</v>
      </c>
      <c r="I591">
        <v>0</v>
      </c>
      <c r="L591" s="188">
        <f>IFERROR(_xlfn.XLOOKUP(A591,[1]Fleet!A:A,[1]Fleet!E:E,""),"")</f>
        <v>30</v>
      </c>
      <c r="M591" s="188" t="s">
        <v>22</v>
      </c>
      <c r="N591" s="188" t="s">
        <v>22</v>
      </c>
      <c r="O591" s="198" t="s">
        <v>1417</v>
      </c>
      <c r="P591">
        <v>629</v>
      </c>
      <c r="Q591">
        <f>_xlfn.XLOOKUP(A591,'[1]Classic Net to delete'!D:D,'[1]Classic Net to delete'!AA:AA,0)</f>
        <v>0</v>
      </c>
    </row>
    <row r="592" spans="1:17" x14ac:dyDescent="0.25">
      <c r="A592" t="s">
        <v>1426</v>
      </c>
      <c r="B592" t="s">
        <v>1454</v>
      </c>
      <c r="C592">
        <v>0</v>
      </c>
      <c r="D592" t="s">
        <v>1380</v>
      </c>
      <c r="E592" t="str">
        <f t="shared" si="15"/>
        <v>. TBC</v>
      </c>
      <c r="F592">
        <v>75</v>
      </c>
      <c r="H592" t="b">
        <v>0</v>
      </c>
      <c r="I592">
        <v>0</v>
      </c>
      <c r="L592" s="188">
        <f>IFERROR(_xlfn.XLOOKUP(A592,[1]Fleet!A:A,[1]Fleet!E:E,""),"")</f>
        <v>30</v>
      </c>
      <c r="M592" s="188" t="s">
        <v>22</v>
      </c>
      <c r="N592" s="188" t="s">
        <v>22</v>
      </c>
      <c r="O592" s="198" t="s">
        <v>1417</v>
      </c>
      <c r="P592">
        <v>630</v>
      </c>
      <c r="Q592">
        <f>_xlfn.XLOOKUP(A592,'[1]Classic Net to delete'!D:D,'[1]Classic Net to delete'!AA:AA,0)</f>
        <v>0</v>
      </c>
    </row>
    <row r="593" spans="1:17" x14ac:dyDescent="0.25">
      <c r="A593" t="s">
        <v>1426</v>
      </c>
      <c r="B593" t="s">
        <v>1455</v>
      </c>
      <c r="C593">
        <v>0</v>
      </c>
      <c r="D593" t="s">
        <v>1380</v>
      </c>
      <c r="E593" t="str">
        <f t="shared" si="15"/>
        <v>. TBC</v>
      </c>
      <c r="F593">
        <v>75</v>
      </c>
      <c r="H593" t="b">
        <v>0</v>
      </c>
      <c r="I593">
        <v>0</v>
      </c>
      <c r="L593" s="188">
        <f>IFERROR(_xlfn.XLOOKUP(A593,[1]Fleet!A:A,[1]Fleet!E:E,""),"")</f>
        <v>30</v>
      </c>
      <c r="M593" s="188" t="s">
        <v>22</v>
      </c>
      <c r="N593" s="188" t="s">
        <v>22</v>
      </c>
      <c r="O593" s="198" t="s">
        <v>1417</v>
      </c>
      <c r="P593">
        <v>631</v>
      </c>
      <c r="Q593">
        <f>_xlfn.XLOOKUP(A593,'[1]Classic Net to delete'!D:D,'[1]Classic Net to delete'!AA:AA,0)</f>
        <v>0</v>
      </c>
    </row>
    <row r="594" spans="1:17" x14ac:dyDescent="0.25">
      <c r="A594" t="s">
        <v>1426</v>
      </c>
      <c r="B594" t="s">
        <v>1456</v>
      </c>
      <c r="C594">
        <v>0</v>
      </c>
      <c r="D594" t="s">
        <v>1380</v>
      </c>
      <c r="E594" t="str">
        <f t="shared" si="15"/>
        <v>. TBC</v>
      </c>
      <c r="F594">
        <v>75</v>
      </c>
      <c r="H594" t="b">
        <v>0</v>
      </c>
      <c r="I594">
        <v>0</v>
      </c>
      <c r="L594" s="188">
        <f>IFERROR(_xlfn.XLOOKUP(A594,[1]Fleet!A:A,[1]Fleet!E:E,""),"")</f>
        <v>30</v>
      </c>
      <c r="M594" s="188" t="s">
        <v>22</v>
      </c>
      <c r="N594" s="188" t="s">
        <v>22</v>
      </c>
      <c r="O594" s="198" t="s">
        <v>1417</v>
      </c>
      <c r="P594">
        <v>632</v>
      </c>
      <c r="Q594">
        <f>_xlfn.XLOOKUP(A594,'[1]Classic Net to delete'!D:D,'[1]Classic Net to delete'!AA:AA,0)</f>
        <v>0</v>
      </c>
    </row>
    <row r="595" spans="1:17" x14ac:dyDescent="0.25">
      <c r="A595" t="s">
        <v>1457</v>
      </c>
      <c r="B595" t="s">
        <v>1458</v>
      </c>
      <c r="C595">
        <v>36.01</v>
      </c>
      <c r="D595" t="s">
        <v>1380</v>
      </c>
      <c r="E595" t="str">
        <f t="shared" si="15"/>
        <v>. Trucks and Trolleys</v>
      </c>
      <c r="F595">
        <v>75</v>
      </c>
      <c r="H595" t="b">
        <v>0</v>
      </c>
      <c r="I595">
        <v>0</v>
      </c>
      <c r="L595" s="188">
        <f>IFERROR(_xlfn.XLOOKUP(A595,[1]Fleet!A:A,[1]Fleet!E:E,""),"")</f>
        <v>6</v>
      </c>
      <c r="M595" s="188" t="s">
        <v>22</v>
      </c>
      <c r="N595" s="188" t="s">
        <v>22</v>
      </c>
      <c r="O595" s="198" t="s">
        <v>1459</v>
      </c>
      <c r="P595">
        <v>659</v>
      </c>
      <c r="Q595">
        <f>_xlfn.XLOOKUP(A595,'[1]Classic Net to delete'!D:D,'[1]Classic Net to delete'!AA:AA,0)</f>
        <v>0</v>
      </c>
    </row>
    <row r="596" spans="1:17" x14ac:dyDescent="0.25">
      <c r="A596" t="s">
        <v>1460</v>
      </c>
      <c r="B596" t="s">
        <v>1461</v>
      </c>
      <c r="C596">
        <v>55.27</v>
      </c>
      <c r="D596" t="s">
        <v>1380</v>
      </c>
      <c r="E596" t="str">
        <f t="shared" si="15"/>
        <v>. Trucks and Trolleys</v>
      </c>
      <c r="F596">
        <v>75</v>
      </c>
      <c r="H596" t="b">
        <v>0</v>
      </c>
      <c r="I596">
        <v>0</v>
      </c>
      <c r="L596" s="188">
        <f>IFERROR(_xlfn.XLOOKUP(A596,[1]Fleet!A:A,[1]Fleet!E:E,""),"")</f>
        <v>6</v>
      </c>
      <c r="M596" s="188" t="s">
        <v>22</v>
      </c>
      <c r="N596" s="188" t="s">
        <v>22</v>
      </c>
      <c r="O596" s="198" t="s">
        <v>1459</v>
      </c>
      <c r="P596">
        <v>650</v>
      </c>
      <c r="Q596">
        <f>_xlfn.XLOOKUP(A596,'[1]Classic Net to delete'!D:D,'[1]Classic Net to delete'!AA:AA,0)</f>
        <v>0</v>
      </c>
    </row>
    <row r="597" spans="1:17" x14ac:dyDescent="0.25">
      <c r="A597" t="s">
        <v>1462</v>
      </c>
      <c r="B597" t="s">
        <v>1463</v>
      </c>
      <c r="C597">
        <v>30.98</v>
      </c>
      <c r="D597" t="s">
        <v>1380</v>
      </c>
      <c r="E597" t="str">
        <f t="shared" si="15"/>
        <v>. Trucks and Trolleys</v>
      </c>
      <c r="F597">
        <v>75</v>
      </c>
      <c r="H597" t="b">
        <v>0</v>
      </c>
      <c r="I597">
        <v>0</v>
      </c>
      <c r="L597" s="188">
        <f>IFERROR(_xlfn.XLOOKUP(A597,[1]Fleet!A:A,[1]Fleet!E:E,""),"")</f>
        <v>4</v>
      </c>
      <c r="M597" s="188" t="s">
        <v>22</v>
      </c>
      <c r="N597" s="188" t="s">
        <v>22</v>
      </c>
      <c r="O597" s="198" t="s">
        <v>1459</v>
      </c>
      <c r="P597">
        <v>657</v>
      </c>
      <c r="Q597">
        <f>_xlfn.XLOOKUP(A597,'[1]Classic Net to delete'!D:D,'[1]Classic Net to delete'!AA:AA,0)</f>
        <v>0</v>
      </c>
    </row>
    <row r="598" spans="1:17" x14ac:dyDescent="0.25">
      <c r="A598" t="s">
        <v>1464</v>
      </c>
      <c r="B598" t="s">
        <v>1465</v>
      </c>
      <c r="C598">
        <v>80.2</v>
      </c>
      <c r="D598" t="s">
        <v>1380</v>
      </c>
      <c r="E598" t="str">
        <f t="shared" si="15"/>
        <v>. Trucks and Trolleys</v>
      </c>
      <c r="F598">
        <v>75</v>
      </c>
      <c r="H598" t="b">
        <v>0</v>
      </c>
      <c r="I598">
        <v>0</v>
      </c>
      <c r="L598" s="188">
        <f>IFERROR(_xlfn.XLOOKUP(A598,[1]Fleet!A:A,[1]Fleet!E:E,""),"")</f>
        <v>4</v>
      </c>
      <c r="M598" s="188" t="s">
        <v>22</v>
      </c>
      <c r="N598" s="188" t="s">
        <v>22</v>
      </c>
      <c r="O598" s="198" t="s">
        <v>1459</v>
      </c>
      <c r="P598">
        <v>652</v>
      </c>
      <c r="Q598">
        <f>_xlfn.XLOOKUP(A598,'[1]Classic Net to delete'!D:D,'[1]Classic Net to delete'!AA:AA,0)</f>
        <v>0</v>
      </c>
    </row>
    <row r="599" spans="1:17" x14ac:dyDescent="0.25">
      <c r="A599" t="s">
        <v>1466</v>
      </c>
      <c r="B599" t="s">
        <v>1467</v>
      </c>
      <c r="C599">
        <v>48.26</v>
      </c>
      <c r="D599" t="s">
        <v>1380</v>
      </c>
      <c r="E599" t="str">
        <f t="shared" si="15"/>
        <v>01. Chain Hoist</v>
      </c>
      <c r="F599">
        <v>75</v>
      </c>
      <c r="H599" t="b">
        <v>1</v>
      </c>
      <c r="I599">
        <v>1056.0999999999999</v>
      </c>
      <c r="K599" s="192" t="s">
        <v>21</v>
      </c>
      <c r="L599" s="188">
        <f>IFERROR(_xlfn.XLOOKUP(A599,[1]Fleet!A:A,[1]Fleet!E:E,""),"")</f>
        <v>2</v>
      </c>
      <c r="M599" s="188">
        <v>45.1</v>
      </c>
      <c r="N599" s="188" t="s">
        <v>1468</v>
      </c>
      <c r="O599" s="198" t="s">
        <v>1469</v>
      </c>
      <c r="P599">
        <v>562</v>
      </c>
      <c r="Q599">
        <f>_xlfn.XLOOKUP(A599,'[1]Classic Net to delete'!D:D,'[1]Classic Net to delete'!AA:AA,0)</f>
        <v>1056</v>
      </c>
    </row>
    <row r="600" spans="1:17" x14ac:dyDescent="0.25">
      <c r="A600" t="s">
        <v>1470</v>
      </c>
      <c r="B600" t="s">
        <v>1471</v>
      </c>
      <c r="C600">
        <v>0</v>
      </c>
      <c r="D600" t="s">
        <v>1380</v>
      </c>
      <c r="E600" t="str">
        <f t="shared" si="15"/>
        <v>01. Chain Hoist</v>
      </c>
      <c r="F600">
        <v>75</v>
      </c>
      <c r="H600" t="b">
        <v>0</v>
      </c>
      <c r="I600">
        <v>1057.0999999999999</v>
      </c>
      <c r="K600" s="192" t="s">
        <v>21</v>
      </c>
      <c r="L600" s="188" t="str">
        <f>IFERROR(_xlfn.XLOOKUP(A600,[1]Fleet!A:A,[1]Fleet!E:E,""),"")</f>
        <v/>
      </c>
      <c r="M600" s="188">
        <v>54.300000000000004</v>
      </c>
      <c r="N600" s="188" t="s">
        <v>1472</v>
      </c>
      <c r="O600" s="198" t="s">
        <v>1469</v>
      </c>
      <c r="P600">
        <v>575</v>
      </c>
      <c r="Q600">
        <f>_xlfn.XLOOKUP(A600,'[1]Classic Net to delete'!D:D,'[1]Classic Net to delete'!AA:AA,0)</f>
        <v>1057</v>
      </c>
    </row>
    <row r="601" spans="1:17" x14ac:dyDescent="0.25">
      <c r="A601" t="s">
        <v>1473</v>
      </c>
      <c r="B601" t="s">
        <v>1474</v>
      </c>
      <c r="C601">
        <v>29.69</v>
      </c>
      <c r="D601" t="s">
        <v>1380</v>
      </c>
      <c r="E601" t="str">
        <f t="shared" si="15"/>
        <v>02. Clamps, Shackles, Slings and Pulleys</v>
      </c>
      <c r="F601">
        <v>75</v>
      </c>
      <c r="H601" t="b">
        <v>1</v>
      </c>
      <c r="I601">
        <v>1061</v>
      </c>
      <c r="K601" s="192" t="s">
        <v>54</v>
      </c>
      <c r="L601" s="188">
        <f>IFERROR(_xlfn.XLOOKUP(A601,[1]Fleet!A:A,[1]Fleet!E:E,""),"")</f>
        <v>6</v>
      </c>
      <c r="M601" s="188">
        <v>27.75</v>
      </c>
      <c r="N601" s="188" t="s">
        <v>1475</v>
      </c>
      <c r="O601" s="198" t="s">
        <v>1476</v>
      </c>
      <c r="P601">
        <v>582</v>
      </c>
      <c r="Q601">
        <f>_xlfn.XLOOKUP(A601,'[1]Classic Net to delete'!D:D,'[1]Classic Net to delete'!AA:AA,0)</f>
        <v>1061</v>
      </c>
    </row>
    <row r="602" spans="1:17" x14ac:dyDescent="0.25">
      <c r="A602" t="s">
        <v>1477</v>
      </c>
      <c r="B602" t="s">
        <v>1478</v>
      </c>
      <c r="C602">
        <v>7.92</v>
      </c>
      <c r="D602" t="s">
        <v>1380</v>
      </c>
      <c r="E602" t="str">
        <f t="shared" si="15"/>
        <v>02. Clamps, Shackles, Slings and Pulleys</v>
      </c>
      <c r="F602">
        <v>75</v>
      </c>
      <c r="H602" t="b">
        <v>1</v>
      </c>
      <c r="I602">
        <v>1063</v>
      </c>
      <c r="K602" s="192" t="s">
        <v>54</v>
      </c>
      <c r="L602" s="188" t="str">
        <f>IFERROR(_xlfn.XLOOKUP(A602,[1]Fleet!A:A,[1]Fleet!E:E,""),"")</f>
        <v/>
      </c>
      <c r="M602" s="188">
        <v>7.4</v>
      </c>
      <c r="N602" s="188" t="s">
        <v>1479</v>
      </c>
      <c r="O602" s="198" t="s">
        <v>1476</v>
      </c>
      <c r="P602">
        <v>538</v>
      </c>
      <c r="Q602">
        <f>_xlfn.XLOOKUP(A602,'[1]Classic Net to delete'!D:D,'[1]Classic Net to delete'!AA:AA,0)</f>
        <v>1063</v>
      </c>
    </row>
    <row r="603" spans="1:17" x14ac:dyDescent="0.25">
      <c r="A603" t="s">
        <v>1480</v>
      </c>
      <c r="B603" t="s">
        <v>1481</v>
      </c>
      <c r="C603">
        <v>16.16</v>
      </c>
      <c r="D603" t="s">
        <v>1380</v>
      </c>
      <c r="E603" t="str">
        <f t="shared" si="15"/>
        <v>02. Clamps, Shackles, Slings and Pulleys</v>
      </c>
      <c r="F603">
        <v>75</v>
      </c>
      <c r="H603" t="b">
        <v>1</v>
      </c>
      <c r="I603">
        <v>1064</v>
      </c>
      <c r="K603" s="192" t="s">
        <v>54</v>
      </c>
      <c r="L603" s="188" t="str">
        <f>IFERROR(_xlfn.XLOOKUP(A603,[1]Fleet!A:A,[1]Fleet!E:E,""),"")</f>
        <v/>
      </c>
      <c r="M603" s="188">
        <v>15.100000000000001</v>
      </c>
      <c r="N603" s="188" t="s">
        <v>1482</v>
      </c>
      <c r="O603" s="198" t="s">
        <v>1476</v>
      </c>
      <c r="P603">
        <v>539</v>
      </c>
      <c r="Q603">
        <f>_xlfn.XLOOKUP(A603,'[1]Classic Net to delete'!D:D,'[1]Classic Net to delete'!AA:AA,0)</f>
        <v>1064</v>
      </c>
    </row>
    <row r="604" spans="1:17" x14ac:dyDescent="0.25">
      <c r="A604" t="s">
        <v>1483</v>
      </c>
      <c r="B604" t="s">
        <v>1484</v>
      </c>
      <c r="C604">
        <v>17.07</v>
      </c>
      <c r="D604" t="s">
        <v>1380</v>
      </c>
      <c r="E604" t="str">
        <f t="shared" si="15"/>
        <v>02. Clamps, Shackles, Slings and Pulleys</v>
      </c>
      <c r="F604">
        <v>75</v>
      </c>
      <c r="H604" t="b">
        <v>1</v>
      </c>
      <c r="I604">
        <v>1065</v>
      </c>
      <c r="K604" s="192" t="s">
        <v>54</v>
      </c>
      <c r="L604" s="188" t="str">
        <f>IFERROR(_xlfn.XLOOKUP(A604,[1]Fleet!A:A,[1]Fleet!E:E,""),"")</f>
        <v/>
      </c>
      <c r="M604" s="188">
        <v>15.950000000000001</v>
      </c>
      <c r="N604" s="188" t="s">
        <v>1485</v>
      </c>
      <c r="O604" s="198" t="s">
        <v>1476</v>
      </c>
      <c r="P604">
        <v>541</v>
      </c>
      <c r="Q604">
        <f>_xlfn.XLOOKUP(A604,'[1]Classic Net to delete'!D:D,'[1]Classic Net to delete'!AA:AA,0)</f>
        <v>1065</v>
      </c>
    </row>
    <row r="605" spans="1:17" x14ac:dyDescent="0.25">
      <c r="A605" t="s">
        <v>1486</v>
      </c>
      <c r="B605" t="s">
        <v>1487</v>
      </c>
      <c r="C605">
        <v>23.97</v>
      </c>
      <c r="D605" t="s">
        <v>1380</v>
      </c>
      <c r="E605" t="str">
        <f t="shared" si="15"/>
        <v>02. Clamps, Shackles, Slings and Pulleys</v>
      </c>
      <c r="F605">
        <v>75</v>
      </c>
      <c r="H605" t="b">
        <v>1</v>
      </c>
      <c r="I605">
        <v>1066</v>
      </c>
      <c r="K605" s="192" t="s">
        <v>54</v>
      </c>
      <c r="L605" s="188" t="str">
        <f>IFERROR(_xlfn.XLOOKUP(A605,[1]Fleet!A:A,[1]Fleet!E:E,""),"")</f>
        <v/>
      </c>
      <c r="M605" s="188">
        <v>22.400000000000002</v>
      </c>
      <c r="N605" s="188" t="s">
        <v>1488</v>
      </c>
      <c r="O605" s="198" t="s">
        <v>1476</v>
      </c>
      <c r="P605">
        <v>540</v>
      </c>
      <c r="Q605">
        <f>_xlfn.XLOOKUP(A605,'[1]Classic Net to delete'!D:D,'[1]Classic Net to delete'!AA:AA,0)</f>
        <v>1066</v>
      </c>
    </row>
    <row r="606" spans="1:17" x14ac:dyDescent="0.25">
      <c r="A606" t="s">
        <v>1489</v>
      </c>
      <c r="B606" t="s">
        <v>1490</v>
      </c>
      <c r="C606">
        <v>79.180000000000007</v>
      </c>
      <c r="D606" t="s">
        <v>1380</v>
      </c>
      <c r="E606" t="str">
        <f t="shared" si="15"/>
        <v>02. Clamps, Shackles, Slings and Pulleys</v>
      </c>
      <c r="F606">
        <v>75</v>
      </c>
      <c r="H606" t="b">
        <v>1</v>
      </c>
      <c r="I606">
        <v>1069</v>
      </c>
      <c r="K606" s="192" t="s">
        <v>54</v>
      </c>
      <c r="L606" s="188">
        <f>IFERROR(_xlfn.XLOOKUP(A606,[1]Fleet!A:A,[1]Fleet!E:E,""),"")</f>
        <v>1</v>
      </c>
      <c r="M606" s="188">
        <v>74</v>
      </c>
      <c r="N606" s="188" t="s">
        <v>1490</v>
      </c>
      <c r="O606" s="198" t="s">
        <v>1476</v>
      </c>
      <c r="P606">
        <v>573</v>
      </c>
      <c r="Q606">
        <f>_xlfn.XLOOKUP(A606,'[1]Classic Net to delete'!D:D,'[1]Classic Net to delete'!AA:AA,0)</f>
        <v>1069</v>
      </c>
    </row>
    <row r="607" spans="1:17" x14ac:dyDescent="0.25">
      <c r="A607" t="s">
        <v>1491</v>
      </c>
      <c r="B607" t="s">
        <v>1492</v>
      </c>
      <c r="C607">
        <v>30.98</v>
      </c>
      <c r="D607" t="s">
        <v>1380</v>
      </c>
      <c r="E607" t="str">
        <f t="shared" si="15"/>
        <v>02. Clamps, Shackles, Slings and Pulleys</v>
      </c>
      <c r="F607">
        <v>75</v>
      </c>
      <c r="H607" t="b">
        <v>1</v>
      </c>
      <c r="I607">
        <v>1083</v>
      </c>
      <c r="K607" s="192" t="s">
        <v>54</v>
      </c>
      <c r="L607" s="188">
        <f>IFERROR(_xlfn.XLOOKUP(A607,[1]Fleet!A:A,[1]Fleet!E:E,""),"")</f>
        <v>3</v>
      </c>
      <c r="M607" s="188">
        <v>28.950000000000003</v>
      </c>
      <c r="N607" s="188" t="s">
        <v>1492</v>
      </c>
      <c r="O607" s="198" t="s">
        <v>1476</v>
      </c>
      <c r="P607">
        <v>570</v>
      </c>
      <c r="Q607">
        <f>_xlfn.XLOOKUP(A607,'[1]Classic Net to delete'!D:D,'[1]Classic Net to delete'!AA:AA,0)</f>
        <v>1083</v>
      </c>
    </row>
    <row r="608" spans="1:17" x14ac:dyDescent="0.25">
      <c r="A608" t="s">
        <v>1493</v>
      </c>
      <c r="B608" t="s">
        <v>1494</v>
      </c>
      <c r="C608">
        <v>19.309999999999999</v>
      </c>
      <c r="D608" t="s">
        <v>1380</v>
      </c>
      <c r="E608" t="str">
        <f t="shared" si="15"/>
        <v>02. Clamps, Shackles, Slings and Pulleys</v>
      </c>
      <c r="F608">
        <v>75</v>
      </c>
      <c r="H608" t="b">
        <v>1</v>
      </c>
      <c r="I608">
        <v>1084</v>
      </c>
      <c r="K608" s="192" t="s">
        <v>54</v>
      </c>
      <c r="L608" s="188" t="str">
        <f>IFERROR(_xlfn.XLOOKUP(A608,[1]Fleet!A:A,[1]Fleet!E:E,""),"")</f>
        <v/>
      </c>
      <c r="M608" s="188">
        <v>18.05</v>
      </c>
      <c r="N608" s="188" t="s">
        <v>1495</v>
      </c>
      <c r="O608" s="198" t="s">
        <v>1476</v>
      </c>
      <c r="P608">
        <v>547</v>
      </c>
      <c r="Q608">
        <f>_xlfn.XLOOKUP(A608,'[1]Classic Net to delete'!D:D,'[1]Classic Net to delete'!AA:AA,0)</f>
        <v>1084</v>
      </c>
    </row>
    <row r="609" spans="1:17" x14ac:dyDescent="0.25">
      <c r="A609" t="s">
        <v>1496</v>
      </c>
      <c r="B609" t="s">
        <v>1497</v>
      </c>
      <c r="C609">
        <v>8.61</v>
      </c>
      <c r="D609" t="s">
        <v>1380</v>
      </c>
      <c r="E609" t="str">
        <f t="shared" si="15"/>
        <v>02. Clamps, Shackles, Slings and Pulleys</v>
      </c>
      <c r="F609">
        <v>75</v>
      </c>
      <c r="H609" t="b">
        <v>1</v>
      </c>
      <c r="I609">
        <v>1085</v>
      </c>
      <c r="K609" s="192" t="s">
        <v>54</v>
      </c>
      <c r="L609" s="188" t="str">
        <f>IFERROR(_xlfn.XLOOKUP(A609,[1]Fleet!A:A,[1]Fleet!E:E,""),"")</f>
        <v/>
      </c>
      <c r="M609" s="188">
        <v>8.0500000000000007</v>
      </c>
      <c r="N609" s="188" t="s">
        <v>1498</v>
      </c>
      <c r="O609" s="198" t="s">
        <v>1476</v>
      </c>
      <c r="P609">
        <v>546</v>
      </c>
      <c r="Q609">
        <f>_xlfn.XLOOKUP(A609,'[1]Classic Net to delete'!D:D,'[1]Classic Net to delete'!AA:AA,0)</f>
        <v>1085</v>
      </c>
    </row>
    <row r="610" spans="1:17" x14ac:dyDescent="0.25">
      <c r="A610" t="s">
        <v>1499</v>
      </c>
      <c r="B610" t="s">
        <v>1500</v>
      </c>
      <c r="C610">
        <v>23.97</v>
      </c>
      <c r="D610" t="s">
        <v>1380</v>
      </c>
      <c r="E610" t="str">
        <f t="shared" si="15"/>
        <v>03. Glass Handling</v>
      </c>
      <c r="F610">
        <v>75</v>
      </c>
      <c r="H610" t="b">
        <v>1</v>
      </c>
      <c r="I610">
        <v>1088</v>
      </c>
      <c r="K610" s="192" t="s">
        <v>85</v>
      </c>
      <c r="L610" s="188" t="str">
        <f>IFERROR(_xlfn.XLOOKUP(A610,[1]Fleet!A:A,[1]Fleet!E:E,""),"")</f>
        <v/>
      </c>
      <c r="M610" s="188">
        <v>22.400000000000002</v>
      </c>
      <c r="N610" s="188" t="s">
        <v>1500</v>
      </c>
      <c r="O610" s="198" t="s">
        <v>1501</v>
      </c>
      <c r="P610">
        <v>545</v>
      </c>
      <c r="Q610">
        <f>_xlfn.XLOOKUP(A610,'[1]Classic Net to delete'!D:D,'[1]Classic Net to delete'!AA:AA,0)</f>
        <v>1088</v>
      </c>
    </row>
    <row r="611" spans="1:17" x14ac:dyDescent="0.25">
      <c r="A611" t="s">
        <v>1502</v>
      </c>
      <c r="B611" t="s">
        <v>1503</v>
      </c>
      <c r="C611">
        <v>29.05</v>
      </c>
      <c r="D611" t="s">
        <v>1380</v>
      </c>
      <c r="E611" t="str">
        <f t="shared" si="15"/>
        <v>03. Glass Handling</v>
      </c>
      <c r="F611">
        <v>75</v>
      </c>
      <c r="H611" t="b">
        <v>1</v>
      </c>
      <c r="I611">
        <v>1089</v>
      </c>
      <c r="K611" s="192" t="s">
        <v>85</v>
      </c>
      <c r="L611" s="188" t="str">
        <f>IFERROR(_xlfn.XLOOKUP(A611,[1]Fleet!A:A,[1]Fleet!E:E,""),"")</f>
        <v/>
      </c>
      <c r="M611" s="188">
        <v>27.150000000000002</v>
      </c>
      <c r="N611" s="188" t="s">
        <v>1503</v>
      </c>
      <c r="O611" s="198" t="s">
        <v>1501</v>
      </c>
      <c r="P611">
        <v>544</v>
      </c>
      <c r="Q611">
        <f>_xlfn.XLOOKUP(A611,'[1]Classic Net to delete'!D:D,'[1]Classic Net to delete'!AA:AA,0)</f>
        <v>1089</v>
      </c>
    </row>
    <row r="612" spans="1:17" x14ac:dyDescent="0.25">
      <c r="A612" t="s">
        <v>1504</v>
      </c>
      <c r="B612" t="s">
        <v>1505</v>
      </c>
      <c r="C612">
        <v>156.49</v>
      </c>
      <c r="D612" t="s">
        <v>1380</v>
      </c>
      <c r="E612" t="str">
        <f t="shared" si="15"/>
        <v>04. Material Lifts</v>
      </c>
      <c r="F612">
        <v>75</v>
      </c>
      <c r="H612" t="b">
        <v>1</v>
      </c>
      <c r="I612">
        <v>1072</v>
      </c>
      <c r="K612" s="192" t="s">
        <v>89</v>
      </c>
      <c r="L612" s="188">
        <f>IFERROR(_xlfn.XLOOKUP(A612,[1]Fleet!A:A,[1]Fleet!E:E,""),"")</f>
        <v>34</v>
      </c>
      <c r="M612" s="188">
        <v>146.25</v>
      </c>
      <c r="N612" s="188" t="s">
        <v>1506</v>
      </c>
      <c r="O612" s="198" t="s">
        <v>1507</v>
      </c>
      <c r="P612">
        <v>568</v>
      </c>
      <c r="Q612">
        <f>_xlfn.XLOOKUP(A612,'[1]Classic Net to delete'!D:D,'[1]Classic Net to delete'!AA:AA,0)</f>
        <v>1072</v>
      </c>
    </row>
    <row r="613" spans="1:17" x14ac:dyDescent="0.25">
      <c r="A613" t="s">
        <v>1508</v>
      </c>
      <c r="B613" t="s">
        <v>1509</v>
      </c>
      <c r="C613">
        <v>178.16</v>
      </c>
      <c r="D613" t="s">
        <v>1380</v>
      </c>
      <c r="E613" t="str">
        <f t="shared" si="15"/>
        <v>04. Material Lifts</v>
      </c>
      <c r="F613">
        <v>75</v>
      </c>
      <c r="H613" t="b">
        <v>1</v>
      </c>
      <c r="I613">
        <v>1073</v>
      </c>
      <c r="K613" s="192" t="s">
        <v>89</v>
      </c>
      <c r="L613" s="188">
        <f>IFERROR(_xlfn.XLOOKUP(A613,[1]Fleet!A:A,[1]Fleet!E:E,""),"")</f>
        <v>35</v>
      </c>
      <c r="M613" s="188">
        <v>166.5</v>
      </c>
      <c r="N613" s="188" t="s">
        <v>1510</v>
      </c>
      <c r="O613" s="198" t="s">
        <v>1507</v>
      </c>
      <c r="P613">
        <v>569</v>
      </c>
      <c r="Q613">
        <f>_xlfn.XLOOKUP(A613,'[1]Classic Net to delete'!D:D,'[1]Classic Net to delete'!AA:AA,0)</f>
        <v>1073</v>
      </c>
    </row>
    <row r="614" spans="1:17" x14ac:dyDescent="0.25">
      <c r="A614" t="s">
        <v>1511</v>
      </c>
      <c r="B614" t="s">
        <v>1512</v>
      </c>
      <c r="C614">
        <v>192.70000000000002</v>
      </c>
      <c r="D614" t="s">
        <v>1380</v>
      </c>
      <c r="E614" t="str">
        <f t="shared" si="15"/>
        <v>04. Material Lifts</v>
      </c>
      <c r="F614">
        <v>75</v>
      </c>
      <c r="H614" t="b">
        <v>1</v>
      </c>
      <c r="I614">
        <v>1074</v>
      </c>
      <c r="K614" s="192" t="s">
        <v>89</v>
      </c>
      <c r="L614" s="188">
        <f>IFERROR(_xlfn.XLOOKUP(A614,[1]Fleet!A:A,[1]Fleet!E:E,""),"")</f>
        <v>2</v>
      </c>
      <c r="M614" s="188">
        <v>172.05</v>
      </c>
      <c r="N614" s="188" t="s">
        <v>1513</v>
      </c>
      <c r="O614" s="198" t="s">
        <v>1507</v>
      </c>
      <c r="P614">
        <v>587</v>
      </c>
      <c r="Q614">
        <f>_xlfn.XLOOKUP(A614,'[1]Classic Net to delete'!D:D,'[1]Classic Net to delete'!AA:AA,0)</f>
        <v>1074</v>
      </c>
    </row>
    <row r="615" spans="1:17" x14ac:dyDescent="0.25">
      <c r="A615" t="s">
        <v>1514</v>
      </c>
      <c r="B615" t="s">
        <v>1515</v>
      </c>
      <c r="C615">
        <v>198.63</v>
      </c>
      <c r="D615" t="s">
        <v>1380</v>
      </c>
      <c r="E615" t="str">
        <f t="shared" si="15"/>
        <v>04. Material Lifts</v>
      </c>
      <c r="F615">
        <v>75</v>
      </c>
      <c r="H615" t="b">
        <v>1</v>
      </c>
      <c r="I615">
        <v>1075</v>
      </c>
      <c r="K615" s="192" t="s">
        <v>89</v>
      </c>
      <c r="L615" s="188">
        <f>IFERROR(_xlfn.XLOOKUP(A615,[1]Fleet!A:A,[1]Fleet!E:E,""),"")</f>
        <v>7</v>
      </c>
      <c r="M615" s="188">
        <v>177.35000000000002</v>
      </c>
      <c r="N615" s="188" t="s">
        <v>1516</v>
      </c>
      <c r="O615" s="198" t="s">
        <v>1507</v>
      </c>
      <c r="P615">
        <v>588</v>
      </c>
      <c r="Q615">
        <f>_xlfn.XLOOKUP(A615,'[1]Classic Net to delete'!D:D,'[1]Classic Net to delete'!AA:AA,0)</f>
        <v>1075</v>
      </c>
    </row>
    <row r="616" spans="1:17" x14ac:dyDescent="0.25">
      <c r="A616" t="s">
        <v>1517</v>
      </c>
      <c r="B616" t="s">
        <v>1518</v>
      </c>
      <c r="C616">
        <v>25.57</v>
      </c>
      <c r="D616" t="s">
        <v>1380</v>
      </c>
      <c r="E616" t="str">
        <f t="shared" si="15"/>
        <v>04. Material Lifts</v>
      </c>
      <c r="F616">
        <v>75</v>
      </c>
      <c r="H616" t="b">
        <v>1</v>
      </c>
      <c r="I616">
        <v>1076</v>
      </c>
      <c r="K616" s="192" t="s">
        <v>89</v>
      </c>
      <c r="L616" s="188" t="str">
        <f>IFERROR(_xlfn.XLOOKUP(A616,[1]Fleet!A:A,[1]Fleet!E:E,""),"")</f>
        <v/>
      </c>
      <c r="M616" s="188">
        <v>23.900000000000002</v>
      </c>
      <c r="N616" s="188" t="s">
        <v>1519</v>
      </c>
      <c r="O616" s="198" t="s">
        <v>1507</v>
      </c>
      <c r="P616">
        <v>592</v>
      </c>
      <c r="Q616">
        <f>_xlfn.XLOOKUP(A616,'[1]Classic Net to delete'!D:D,'[1]Classic Net to delete'!AA:AA,0)</f>
        <v>1076</v>
      </c>
    </row>
    <row r="617" spans="1:17" x14ac:dyDescent="0.25">
      <c r="A617" t="s">
        <v>1520</v>
      </c>
      <c r="B617" t="s">
        <v>1521</v>
      </c>
      <c r="C617">
        <v>27.12</v>
      </c>
      <c r="D617" t="s">
        <v>1380</v>
      </c>
      <c r="E617" t="str">
        <f t="shared" si="15"/>
        <v>04. Material Lifts</v>
      </c>
      <c r="F617">
        <v>75</v>
      </c>
      <c r="H617" t="b">
        <v>1</v>
      </c>
      <c r="I617">
        <v>1077</v>
      </c>
      <c r="K617" s="192" t="s">
        <v>89</v>
      </c>
      <c r="L617" s="188">
        <f>IFERROR(_xlfn.XLOOKUP(A617,[1]Fleet!A:A,[1]Fleet!E:E,""),"")</f>
        <v>1</v>
      </c>
      <c r="M617" s="188">
        <v>25.35</v>
      </c>
      <c r="N617" s="188" t="s">
        <v>1522</v>
      </c>
      <c r="O617" s="198" t="s">
        <v>1507</v>
      </c>
      <c r="P617">
        <v>585</v>
      </c>
      <c r="Q617">
        <f>_xlfn.XLOOKUP(A617,'[1]Classic Net to delete'!D:D,'[1]Classic Net to delete'!AA:AA,0)</f>
        <v>1077</v>
      </c>
    </row>
    <row r="618" spans="1:17" x14ac:dyDescent="0.25">
      <c r="A618" t="s">
        <v>1523</v>
      </c>
      <c r="B618" t="s">
        <v>1524</v>
      </c>
      <c r="C618">
        <v>113.58</v>
      </c>
      <c r="D618" t="s">
        <v>1380</v>
      </c>
      <c r="E618" t="str">
        <f t="shared" si="15"/>
        <v>04. Material Lifts</v>
      </c>
      <c r="F618">
        <v>75</v>
      </c>
      <c r="H618" t="b">
        <v>1</v>
      </c>
      <c r="I618">
        <v>1078</v>
      </c>
      <c r="K618" s="192" t="s">
        <v>89</v>
      </c>
      <c r="L618" s="188">
        <f>IFERROR(_xlfn.XLOOKUP(A618,[1]Fleet!A:A,[1]Fleet!E:E,""),"")</f>
        <v>4</v>
      </c>
      <c r="M618" s="188">
        <v>106.15</v>
      </c>
      <c r="N618" s="188" t="s">
        <v>1524</v>
      </c>
      <c r="O618" s="198" t="s">
        <v>1507</v>
      </c>
      <c r="P618">
        <v>583</v>
      </c>
      <c r="Q618">
        <f>_xlfn.XLOOKUP(A618,'[1]Classic Net to delete'!D:D,'[1]Classic Net to delete'!AA:AA,0)</f>
        <v>1078</v>
      </c>
    </row>
    <row r="619" spans="1:17" x14ac:dyDescent="0.25">
      <c r="A619" t="s">
        <v>1525</v>
      </c>
      <c r="B619" t="s">
        <v>1526</v>
      </c>
      <c r="C619">
        <v>119.25</v>
      </c>
      <c r="D619" t="s">
        <v>1380</v>
      </c>
      <c r="E619" t="str">
        <f t="shared" si="15"/>
        <v>04. Material Lifts</v>
      </c>
      <c r="F619">
        <v>75</v>
      </c>
      <c r="H619" t="b">
        <v>1</v>
      </c>
      <c r="I619">
        <v>1079</v>
      </c>
      <c r="K619" s="192" t="s">
        <v>89</v>
      </c>
      <c r="L619" s="188">
        <f>IFERROR(_xlfn.XLOOKUP(A619,[1]Fleet!A:A,[1]Fleet!E:E,""),"")</f>
        <v>5</v>
      </c>
      <c r="M619" s="188">
        <v>111.45</v>
      </c>
      <c r="N619" s="188" t="s">
        <v>1526</v>
      </c>
      <c r="O619" s="198" t="s">
        <v>1507</v>
      </c>
      <c r="P619">
        <v>601</v>
      </c>
      <c r="Q619">
        <f>_xlfn.XLOOKUP(A619,'[1]Classic Net to delete'!D:D,'[1]Classic Net to delete'!AA:AA,0)</f>
        <v>1079</v>
      </c>
    </row>
    <row r="620" spans="1:17" x14ac:dyDescent="0.25">
      <c r="A620" t="s">
        <v>1527</v>
      </c>
      <c r="B620" t="s">
        <v>1528</v>
      </c>
      <c r="C620">
        <v>35.04</v>
      </c>
      <c r="D620" t="s">
        <v>1380</v>
      </c>
      <c r="E620" t="str">
        <f t="shared" si="15"/>
        <v>05. Kerb &amp; Slab Lifting</v>
      </c>
      <c r="F620">
        <v>75</v>
      </c>
      <c r="H620" t="b">
        <v>1</v>
      </c>
      <c r="I620">
        <v>1092</v>
      </c>
      <c r="K620" s="192" t="s">
        <v>32</v>
      </c>
      <c r="L620" s="188">
        <f>IFERROR(_xlfn.XLOOKUP(A620,[1]Fleet!A:A,[1]Fleet!E:E,""),"")</f>
        <v>7</v>
      </c>
      <c r="M620" s="188">
        <v>32.75</v>
      </c>
      <c r="N620" s="188" t="s">
        <v>1529</v>
      </c>
      <c r="O620" s="198" t="s">
        <v>1530</v>
      </c>
      <c r="P620">
        <v>586</v>
      </c>
      <c r="Q620">
        <f>_xlfn.XLOOKUP(A620,'[1]Classic Net to delete'!D:D,'[1]Classic Net to delete'!AA:AA,0)</f>
        <v>1092</v>
      </c>
    </row>
    <row r="621" spans="1:17" x14ac:dyDescent="0.25">
      <c r="A621" t="s">
        <v>1531</v>
      </c>
      <c r="B621" t="s">
        <v>1532</v>
      </c>
      <c r="C621">
        <v>144.5</v>
      </c>
      <c r="D621" t="s">
        <v>1380</v>
      </c>
      <c r="E621" t="str">
        <f t="shared" si="15"/>
        <v>05. Kerb &amp; Slab Lifting</v>
      </c>
      <c r="F621">
        <v>75</v>
      </c>
      <c r="H621" t="b">
        <v>1</v>
      </c>
      <c r="I621">
        <v>1093</v>
      </c>
      <c r="K621" s="192" t="s">
        <v>32</v>
      </c>
      <c r="L621" s="188">
        <f>IFERROR(_xlfn.XLOOKUP(A621,[1]Fleet!A:A,[1]Fleet!E:E,""),"")</f>
        <v>21</v>
      </c>
      <c r="M621" s="188">
        <v>135.05000000000001</v>
      </c>
      <c r="N621" s="188" t="s">
        <v>1533</v>
      </c>
      <c r="O621" s="198" t="s">
        <v>1530</v>
      </c>
      <c r="P621">
        <v>576</v>
      </c>
      <c r="Q621">
        <f>_xlfn.XLOOKUP(A621,'[1]Classic Net to delete'!D:D,'[1]Classic Net to delete'!AA:AA,0)</f>
        <v>1093</v>
      </c>
    </row>
    <row r="622" spans="1:17" x14ac:dyDescent="0.25">
      <c r="A622" t="s">
        <v>1534</v>
      </c>
      <c r="B622" t="s">
        <v>1535</v>
      </c>
      <c r="C622">
        <v>73.78</v>
      </c>
      <c r="D622" t="s">
        <v>1380</v>
      </c>
      <c r="E622" t="str">
        <f t="shared" si="15"/>
        <v>05. Kerb &amp; Slab Lifting</v>
      </c>
      <c r="F622">
        <v>75</v>
      </c>
      <c r="H622" t="b">
        <v>1</v>
      </c>
      <c r="I622">
        <v>1094</v>
      </c>
      <c r="K622" s="192" t="s">
        <v>32</v>
      </c>
      <c r="L622" s="188">
        <f>IFERROR(_xlfn.XLOOKUP(A622,[1]Fleet!A:A,[1]Fleet!E:E,""),"")</f>
        <v>2</v>
      </c>
      <c r="M622" s="188">
        <v>68.95</v>
      </c>
      <c r="N622" s="188" t="s">
        <v>1535</v>
      </c>
      <c r="O622" s="198" t="s">
        <v>1530</v>
      </c>
      <c r="P622">
        <v>664</v>
      </c>
      <c r="Q622">
        <f>_xlfn.XLOOKUP(A622,'[1]Classic Net to delete'!D:D,'[1]Classic Net to delete'!AA:AA,0)</f>
        <v>1094</v>
      </c>
    </row>
    <row r="623" spans="1:17" x14ac:dyDescent="0.25">
      <c r="A623" t="s">
        <v>1536</v>
      </c>
      <c r="B623" t="s">
        <v>1537</v>
      </c>
      <c r="C623">
        <v>146.22</v>
      </c>
      <c r="D623" t="s">
        <v>1380</v>
      </c>
      <c r="E623" t="str">
        <f t="shared" si="15"/>
        <v>06. Hoists</v>
      </c>
      <c r="F623">
        <v>75</v>
      </c>
      <c r="H623" t="b">
        <v>1</v>
      </c>
      <c r="I623">
        <v>1097</v>
      </c>
      <c r="K623" s="192" t="s">
        <v>36</v>
      </c>
      <c r="L623" s="188">
        <f>IFERROR(_xlfn.XLOOKUP(A623,[1]Fleet!A:A,[1]Fleet!E:E,""),"")</f>
        <v>26</v>
      </c>
      <c r="M623" s="188">
        <v>136.65</v>
      </c>
      <c r="N623" s="188" t="s">
        <v>1537</v>
      </c>
      <c r="O623" s="198" t="s">
        <v>1538</v>
      </c>
      <c r="P623">
        <v>572</v>
      </c>
      <c r="Q623">
        <f>_xlfn.XLOOKUP(A623,'[1]Classic Net to delete'!D:D,'[1]Classic Net to delete'!AA:AA,0)</f>
        <v>1097</v>
      </c>
    </row>
    <row r="624" spans="1:17" x14ac:dyDescent="0.25">
      <c r="A624" t="s">
        <v>1539</v>
      </c>
      <c r="B624" t="s">
        <v>1540</v>
      </c>
      <c r="C624">
        <v>35.36</v>
      </c>
      <c r="D624" t="s">
        <v>1380</v>
      </c>
      <c r="E624" t="str">
        <f t="shared" si="15"/>
        <v>06. Hoists</v>
      </c>
      <c r="F624">
        <v>75</v>
      </c>
      <c r="H624" t="b">
        <v>1</v>
      </c>
      <c r="I624">
        <v>1098</v>
      </c>
      <c r="K624" s="192" t="s">
        <v>36</v>
      </c>
      <c r="L624" s="188">
        <f>IFERROR(_xlfn.XLOOKUP(A624,[1]Fleet!A:A,[1]Fleet!E:E,""),"")</f>
        <v>11</v>
      </c>
      <c r="M624" s="188">
        <v>33.050000000000004</v>
      </c>
      <c r="N624" s="188" t="s">
        <v>1541</v>
      </c>
      <c r="O624" s="198" t="s">
        <v>1538</v>
      </c>
      <c r="P624">
        <v>557</v>
      </c>
      <c r="Q624">
        <f>_xlfn.XLOOKUP(A624,'[1]Classic Net to delete'!D:D,'[1]Classic Net to delete'!AA:AA,0)</f>
        <v>1098</v>
      </c>
    </row>
    <row r="625" spans="1:17" x14ac:dyDescent="0.25">
      <c r="A625" t="s">
        <v>1542</v>
      </c>
      <c r="B625" t="s">
        <v>1543</v>
      </c>
      <c r="C625">
        <v>188.96</v>
      </c>
      <c r="D625" t="s">
        <v>1380</v>
      </c>
      <c r="E625" t="str">
        <f t="shared" si="15"/>
        <v>06. Hoists</v>
      </c>
      <c r="F625">
        <v>75</v>
      </c>
      <c r="H625" t="b">
        <v>1</v>
      </c>
      <c r="I625">
        <v>1099</v>
      </c>
      <c r="K625" s="192" t="s">
        <v>36</v>
      </c>
      <c r="L625" s="188">
        <f>IFERROR(_xlfn.XLOOKUP(A625,[1]Fleet!A:A,[1]Fleet!E:E,""),"")</f>
        <v>1</v>
      </c>
      <c r="M625" s="188">
        <v>176.60000000000002</v>
      </c>
      <c r="N625" s="188" t="s">
        <v>1544</v>
      </c>
      <c r="O625" s="198" t="s">
        <v>1538</v>
      </c>
      <c r="P625">
        <v>556</v>
      </c>
      <c r="Q625">
        <f>_xlfn.XLOOKUP(A625,'[1]Classic Net to delete'!D:D,'[1]Classic Net to delete'!AA:AA,0)</f>
        <v>1099</v>
      </c>
    </row>
    <row r="626" spans="1:17" x14ac:dyDescent="0.25">
      <c r="A626" t="s">
        <v>1545</v>
      </c>
      <c r="B626" t="s">
        <v>1546</v>
      </c>
      <c r="C626">
        <v>246.03</v>
      </c>
      <c r="D626" t="s">
        <v>1380</v>
      </c>
      <c r="E626" t="str">
        <f t="shared" si="15"/>
        <v>06. Hoists</v>
      </c>
      <c r="F626">
        <v>75</v>
      </c>
      <c r="H626" t="b">
        <v>1</v>
      </c>
      <c r="I626">
        <v>1100</v>
      </c>
      <c r="K626" s="192" t="s">
        <v>36</v>
      </c>
      <c r="L626" s="188">
        <f>IFERROR(_xlfn.XLOOKUP(A626,[1]Fleet!A:A,[1]Fleet!E:E,""),"")</f>
        <v>10</v>
      </c>
      <c r="M626" s="188">
        <v>189.25</v>
      </c>
      <c r="N626" s="188" t="s">
        <v>1546</v>
      </c>
      <c r="O626" s="198" t="s">
        <v>1538</v>
      </c>
      <c r="P626">
        <v>589</v>
      </c>
      <c r="Q626">
        <f>_xlfn.XLOOKUP(A626,'[1]Classic Net to delete'!D:D,'[1]Classic Net to delete'!AA:AA,0)</f>
        <v>1100</v>
      </c>
    </row>
    <row r="627" spans="1:17" x14ac:dyDescent="0.25">
      <c r="A627" t="s">
        <v>1547</v>
      </c>
      <c r="B627" t="s">
        <v>1548</v>
      </c>
      <c r="C627">
        <v>242.3</v>
      </c>
      <c r="D627" t="s">
        <v>1380</v>
      </c>
      <c r="E627" t="str">
        <f t="shared" si="15"/>
        <v>06. Hoists</v>
      </c>
      <c r="F627">
        <v>75</v>
      </c>
      <c r="H627" t="b">
        <v>1</v>
      </c>
      <c r="I627">
        <v>1101</v>
      </c>
      <c r="K627" s="192" t="s">
        <v>36</v>
      </c>
      <c r="L627" s="188">
        <f>IFERROR(_xlfn.XLOOKUP(A627,[1]Fleet!A:A,[1]Fleet!E:E,""),"")</f>
        <v>4</v>
      </c>
      <c r="M627" s="188">
        <v>226.45000000000002</v>
      </c>
      <c r="N627" s="188" t="s">
        <v>1549</v>
      </c>
      <c r="O627" s="198" t="s">
        <v>1538</v>
      </c>
      <c r="P627">
        <v>571</v>
      </c>
      <c r="Q627">
        <f>_xlfn.XLOOKUP(A627,'[1]Classic Net to delete'!D:D,'[1]Classic Net to delete'!AA:AA,0)</f>
        <v>1101</v>
      </c>
    </row>
    <row r="628" spans="1:17" x14ac:dyDescent="0.25">
      <c r="A628" t="s">
        <v>1550</v>
      </c>
      <c r="B628" t="s">
        <v>1551</v>
      </c>
      <c r="C628">
        <v>56.76</v>
      </c>
      <c r="D628" t="s">
        <v>1380</v>
      </c>
      <c r="E628" t="str">
        <f t="shared" si="15"/>
        <v>06. Hoists</v>
      </c>
      <c r="F628">
        <v>75</v>
      </c>
      <c r="H628" t="b">
        <v>1</v>
      </c>
      <c r="I628">
        <v>1102</v>
      </c>
      <c r="K628" s="192" t="s">
        <v>36</v>
      </c>
      <c r="L628" s="188" t="str">
        <f>IFERROR(_xlfn.XLOOKUP(A628,[1]Fleet!A:A,[1]Fleet!E:E,""),"")</f>
        <v/>
      </c>
      <c r="M628" s="188">
        <v>53.050000000000004</v>
      </c>
      <c r="N628" s="188" t="s">
        <v>1551</v>
      </c>
      <c r="O628" s="198" t="s">
        <v>1538</v>
      </c>
      <c r="P628">
        <v>553</v>
      </c>
      <c r="Q628">
        <f>_xlfn.XLOOKUP(A628,'[1]Classic Net to delete'!D:D,'[1]Classic Net to delete'!AA:AA,0)</f>
        <v>1102</v>
      </c>
    </row>
    <row r="629" spans="1:17" x14ac:dyDescent="0.25">
      <c r="A629" t="s">
        <v>1552</v>
      </c>
      <c r="B629" t="s">
        <v>1553</v>
      </c>
      <c r="C629">
        <v>28.36</v>
      </c>
      <c r="D629" t="s">
        <v>1380</v>
      </c>
      <c r="E629" t="str">
        <f t="shared" si="15"/>
        <v>06. Hoists</v>
      </c>
      <c r="F629">
        <v>75</v>
      </c>
      <c r="H629" t="b">
        <v>1</v>
      </c>
      <c r="I629">
        <v>1103</v>
      </c>
      <c r="K629" s="192" t="s">
        <v>36</v>
      </c>
      <c r="L629" s="188" t="str">
        <f>IFERROR(_xlfn.XLOOKUP(A629,[1]Fleet!A:A,[1]Fleet!E:E,""),"")</f>
        <v/>
      </c>
      <c r="M629" s="188">
        <v>26.5</v>
      </c>
      <c r="N629" s="188" t="s">
        <v>1553</v>
      </c>
      <c r="O629" s="198" t="s">
        <v>1538</v>
      </c>
      <c r="P629">
        <v>554</v>
      </c>
      <c r="Q629">
        <f>_xlfn.XLOOKUP(A629,'[1]Classic Net to delete'!D:D,'[1]Classic Net to delete'!AA:AA,0)</f>
        <v>1103</v>
      </c>
    </row>
    <row r="630" spans="1:17" x14ac:dyDescent="0.25">
      <c r="A630" t="s">
        <v>1554</v>
      </c>
      <c r="B630" t="s">
        <v>1555</v>
      </c>
      <c r="C630">
        <v>56.76</v>
      </c>
      <c r="D630" t="s">
        <v>1380</v>
      </c>
      <c r="E630" t="str">
        <f t="shared" si="15"/>
        <v>06. Hoists</v>
      </c>
      <c r="F630">
        <v>75</v>
      </c>
      <c r="H630" t="b">
        <v>1</v>
      </c>
      <c r="I630">
        <v>1104</v>
      </c>
      <c r="K630" s="192" t="s">
        <v>36</v>
      </c>
      <c r="L630" s="188" t="str">
        <f>IFERROR(_xlfn.XLOOKUP(A630,[1]Fleet!A:A,[1]Fleet!E:E,""),"")</f>
        <v/>
      </c>
      <c r="M630" s="188">
        <v>53.050000000000004</v>
      </c>
      <c r="N630" s="188" t="s">
        <v>1555</v>
      </c>
      <c r="O630" s="198" t="s">
        <v>1538</v>
      </c>
      <c r="P630">
        <v>552</v>
      </c>
      <c r="Q630">
        <f>_xlfn.XLOOKUP(A630,'[1]Classic Net to delete'!D:D,'[1]Classic Net to delete'!AA:AA,0)</f>
        <v>1104</v>
      </c>
    </row>
    <row r="631" spans="1:17" x14ac:dyDescent="0.25">
      <c r="A631" t="s">
        <v>1556</v>
      </c>
      <c r="B631" t="s">
        <v>1557</v>
      </c>
      <c r="C631">
        <v>30.98</v>
      </c>
      <c r="D631" t="s">
        <v>1380</v>
      </c>
      <c r="E631" t="str">
        <f t="shared" si="15"/>
        <v>06. Hoists</v>
      </c>
      <c r="F631">
        <v>75</v>
      </c>
      <c r="H631" t="b">
        <v>1</v>
      </c>
      <c r="I631">
        <v>1105</v>
      </c>
      <c r="K631" s="192" t="s">
        <v>36</v>
      </c>
      <c r="L631" s="188" t="str">
        <f>IFERROR(_xlfn.XLOOKUP(A631,[1]Fleet!A:A,[1]Fleet!E:E,""),"")</f>
        <v/>
      </c>
      <c r="M631" s="188">
        <v>28.950000000000003</v>
      </c>
      <c r="N631" s="188" t="s">
        <v>1557</v>
      </c>
      <c r="O631" s="198" t="s">
        <v>1538</v>
      </c>
      <c r="P631">
        <v>551</v>
      </c>
      <c r="Q631">
        <f>_xlfn.XLOOKUP(A631,'[1]Classic Net to delete'!D:D,'[1]Classic Net to delete'!AA:AA,0)</f>
        <v>1105</v>
      </c>
    </row>
    <row r="632" spans="1:17" x14ac:dyDescent="0.25">
      <c r="A632" t="s">
        <v>1558</v>
      </c>
      <c r="B632" t="s">
        <v>1559</v>
      </c>
      <c r="C632">
        <v>30.330000000000002</v>
      </c>
      <c r="D632" t="s">
        <v>1380</v>
      </c>
      <c r="E632" t="str">
        <f t="shared" si="15"/>
        <v>06. Hoists</v>
      </c>
      <c r="F632">
        <v>75</v>
      </c>
      <c r="H632" t="b">
        <v>1</v>
      </c>
      <c r="I632">
        <v>1106</v>
      </c>
      <c r="K632" s="192" t="s">
        <v>36</v>
      </c>
      <c r="L632" s="188" t="str">
        <f>IFERROR(_xlfn.XLOOKUP(A632,[1]Fleet!A:A,[1]Fleet!E:E,""),"")</f>
        <v/>
      </c>
      <c r="M632" s="188">
        <v>28.35</v>
      </c>
      <c r="N632" s="188" t="s">
        <v>1559</v>
      </c>
      <c r="O632" s="198" t="s">
        <v>1538</v>
      </c>
      <c r="P632">
        <v>550</v>
      </c>
      <c r="Q632">
        <f>_xlfn.XLOOKUP(A632,'[1]Classic Net to delete'!D:D,'[1]Classic Net to delete'!AA:AA,0)</f>
        <v>1106</v>
      </c>
    </row>
    <row r="633" spans="1:17" x14ac:dyDescent="0.25">
      <c r="A633" t="s">
        <v>1560</v>
      </c>
      <c r="B633" t="s">
        <v>1561</v>
      </c>
      <c r="C633">
        <v>30.330000000000002</v>
      </c>
      <c r="D633" t="s">
        <v>1380</v>
      </c>
      <c r="E633" t="str">
        <f t="shared" si="15"/>
        <v>06. Hoists</v>
      </c>
      <c r="F633">
        <v>75</v>
      </c>
      <c r="H633" t="b">
        <v>1</v>
      </c>
      <c r="I633">
        <v>1107</v>
      </c>
      <c r="K633" s="192" t="s">
        <v>36</v>
      </c>
      <c r="L633" s="188" t="str">
        <f>IFERROR(_xlfn.XLOOKUP(A633,[1]Fleet!A:A,[1]Fleet!E:E,""),"")</f>
        <v/>
      </c>
      <c r="M633" s="188">
        <v>28.35</v>
      </c>
      <c r="N633" s="188" t="s">
        <v>1562</v>
      </c>
      <c r="O633" s="198" t="s">
        <v>1538</v>
      </c>
      <c r="P633">
        <v>549</v>
      </c>
      <c r="Q633">
        <f>_xlfn.XLOOKUP(A633,'[1]Classic Net to delete'!D:D,'[1]Classic Net to delete'!AA:AA,0)</f>
        <v>1107</v>
      </c>
    </row>
    <row r="634" spans="1:17" x14ac:dyDescent="0.25">
      <c r="A634" t="s">
        <v>1563</v>
      </c>
      <c r="B634" t="s">
        <v>1564</v>
      </c>
      <c r="C634">
        <v>23.97</v>
      </c>
      <c r="D634" t="s">
        <v>1380</v>
      </c>
      <c r="E634" t="str">
        <f t="shared" si="15"/>
        <v>06. Hoists</v>
      </c>
      <c r="F634">
        <v>75</v>
      </c>
      <c r="H634" t="b">
        <v>1</v>
      </c>
      <c r="I634">
        <v>1108</v>
      </c>
      <c r="K634" s="192" t="s">
        <v>36</v>
      </c>
      <c r="L634" s="188" t="str">
        <f>IFERROR(_xlfn.XLOOKUP(A634,[1]Fleet!A:A,[1]Fleet!E:E,""),"")</f>
        <v/>
      </c>
      <c r="M634" s="188">
        <v>22.400000000000002</v>
      </c>
      <c r="N634" s="188" t="s">
        <v>1564</v>
      </c>
      <c r="O634" s="198" t="s">
        <v>1538</v>
      </c>
      <c r="P634">
        <v>548</v>
      </c>
      <c r="Q634">
        <f>_xlfn.XLOOKUP(A634,'[1]Classic Net to delete'!D:D,'[1]Classic Net to delete'!AA:AA,0)</f>
        <v>1108</v>
      </c>
    </row>
    <row r="635" spans="1:17" x14ac:dyDescent="0.25">
      <c r="A635" t="s">
        <v>1565</v>
      </c>
      <c r="B635" t="s">
        <v>1566</v>
      </c>
      <c r="C635">
        <v>87.74</v>
      </c>
      <c r="D635" t="s">
        <v>1380</v>
      </c>
      <c r="E635" t="str">
        <f t="shared" si="15"/>
        <v>07. Crane Attachments</v>
      </c>
      <c r="F635">
        <v>75</v>
      </c>
      <c r="H635" t="b">
        <v>1</v>
      </c>
      <c r="I635">
        <v>1111</v>
      </c>
      <c r="K635" s="192" t="s">
        <v>40</v>
      </c>
      <c r="L635" s="188">
        <f>IFERROR(_xlfn.XLOOKUP(A635,[1]Fleet!A:A,[1]Fleet!E:E,""),"")</f>
        <v>2</v>
      </c>
      <c r="M635" s="188">
        <v>82</v>
      </c>
      <c r="N635" s="188" t="s">
        <v>1566</v>
      </c>
      <c r="O635" s="198" t="s">
        <v>1567</v>
      </c>
      <c r="P635">
        <v>577</v>
      </c>
      <c r="Q635">
        <f>_xlfn.XLOOKUP(A635,'[1]Classic Net to delete'!D:D,'[1]Classic Net to delete'!AA:AA,0)</f>
        <v>1111</v>
      </c>
    </row>
    <row r="636" spans="1:17" x14ac:dyDescent="0.25">
      <c r="A636" t="s">
        <v>1568</v>
      </c>
      <c r="B636" t="s">
        <v>1569</v>
      </c>
      <c r="C636">
        <v>78.86</v>
      </c>
      <c r="D636" t="s">
        <v>1380</v>
      </c>
      <c r="E636" t="str">
        <f t="shared" si="15"/>
        <v>07. Crane Attachments</v>
      </c>
      <c r="F636">
        <v>75</v>
      </c>
      <c r="H636" t="b">
        <v>1</v>
      </c>
      <c r="I636">
        <v>1112</v>
      </c>
      <c r="K636" s="192" t="s">
        <v>40</v>
      </c>
      <c r="L636" s="188">
        <f>IFERROR(_xlfn.XLOOKUP(A636,[1]Fleet!A:A,[1]Fleet!E:E,""),"")</f>
        <v>4</v>
      </c>
      <c r="M636" s="188">
        <v>73.7</v>
      </c>
      <c r="N636" s="188" t="s">
        <v>1570</v>
      </c>
      <c r="O636" s="198" t="s">
        <v>1567</v>
      </c>
      <c r="P636">
        <v>580</v>
      </c>
      <c r="Q636">
        <f>_xlfn.XLOOKUP(A636,'[1]Classic Net to delete'!D:D,'[1]Classic Net to delete'!AA:AA,0)</f>
        <v>1112</v>
      </c>
    </row>
    <row r="637" spans="1:17" x14ac:dyDescent="0.25">
      <c r="A637" t="s">
        <v>1571</v>
      </c>
      <c r="B637" t="s">
        <v>1572</v>
      </c>
      <c r="C637">
        <v>18.62</v>
      </c>
      <c r="D637" t="s">
        <v>1380</v>
      </c>
      <c r="E637" t="str">
        <f t="shared" si="15"/>
        <v>08. Jacks</v>
      </c>
      <c r="F637">
        <v>75</v>
      </c>
      <c r="H637" t="b">
        <v>1</v>
      </c>
      <c r="I637">
        <v>1115</v>
      </c>
      <c r="K637" s="192" t="s">
        <v>44</v>
      </c>
      <c r="L637" s="188">
        <f>IFERROR(_xlfn.XLOOKUP(A637,[1]Fleet!A:A,[1]Fleet!E:E,""),"")</f>
        <v>2</v>
      </c>
      <c r="M637" s="188">
        <v>17.400000000000002</v>
      </c>
      <c r="N637" s="188" t="s">
        <v>1573</v>
      </c>
      <c r="O637" s="198" t="s">
        <v>1574</v>
      </c>
      <c r="P637">
        <v>567</v>
      </c>
      <c r="Q637">
        <f>_xlfn.XLOOKUP(A637,'[1]Classic Net to delete'!D:D,'[1]Classic Net to delete'!AA:AA,0)</f>
        <v>1115</v>
      </c>
    </row>
    <row r="638" spans="1:17" x14ac:dyDescent="0.25">
      <c r="A638" t="s">
        <v>1575</v>
      </c>
      <c r="B638" t="s">
        <v>1576</v>
      </c>
      <c r="C638">
        <v>27.12</v>
      </c>
      <c r="D638" t="s">
        <v>1380</v>
      </c>
      <c r="E638" t="str">
        <f t="shared" si="15"/>
        <v>08. Jacks</v>
      </c>
      <c r="F638">
        <v>75</v>
      </c>
      <c r="H638" t="b">
        <v>1</v>
      </c>
      <c r="I638">
        <v>1116</v>
      </c>
      <c r="K638" s="192" t="s">
        <v>44</v>
      </c>
      <c r="L638" s="188">
        <f>IFERROR(_xlfn.XLOOKUP(A638,[1]Fleet!A:A,[1]Fleet!E:E,""),"")</f>
        <v>3</v>
      </c>
      <c r="M638" s="188">
        <v>25.35</v>
      </c>
      <c r="N638" s="188" t="s">
        <v>1576</v>
      </c>
      <c r="O638" s="198" t="s">
        <v>1574</v>
      </c>
      <c r="P638">
        <v>581</v>
      </c>
      <c r="Q638">
        <f>_xlfn.XLOOKUP(A638,'[1]Classic Net to delete'!D:D,'[1]Classic Net to delete'!AA:AA,0)</f>
        <v>1116</v>
      </c>
    </row>
    <row r="639" spans="1:17" x14ac:dyDescent="0.25">
      <c r="A639" t="s">
        <v>1577</v>
      </c>
      <c r="B639" t="s">
        <v>1578</v>
      </c>
      <c r="C639">
        <v>43.87</v>
      </c>
      <c r="D639" t="s">
        <v>1380</v>
      </c>
      <c r="E639" t="str">
        <f t="shared" si="15"/>
        <v>08. Jacks</v>
      </c>
      <c r="F639">
        <v>75</v>
      </c>
      <c r="H639" t="b">
        <v>1</v>
      </c>
      <c r="I639">
        <v>1117</v>
      </c>
      <c r="K639" s="192" t="s">
        <v>44</v>
      </c>
      <c r="L639" s="188">
        <f>IFERROR(_xlfn.XLOOKUP(A639,[1]Fleet!A:A,[1]Fleet!E:E,""),"")</f>
        <v>8</v>
      </c>
      <c r="M639" s="188">
        <v>41</v>
      </c>
      <c r="N639" s="188" t="s">
        <v>1578</v>
      </c>
      <c r="O639" s="198" t="s">
        <v>1574</v>
      </c>
      <c r="P639">
        <v>574</v>
      </c>
      <c r="Q639">
        <f>_xlfn.XLOOKUP(A639,'[1]Classic Net to delete'!D:D,'[1]Classic Net to delete'!AA:AA,0)</f>
        <v>1117</v>
      </c>
    </row>
    <row r="640" spans="1:17" x14ac:dyDescent="0.25">
      <c r="A640" t="s">
        <v>1579</v>
      </c>
      <c r="B640" t="s">
        <v>1580</v>
      </c>
      <c r="C640">
        <v>121.23</v>
      </c>
      <c r="D640" t="s">
        <v>1380</v>
      </c>
      <c r="E640" t="str">
        <f t="shared" si="15"/>
        <v>08. Jacks</v>
      </c>
      <c r="F640">
        <v>75</v>
      </c>
      <c r="H640" t="b">
        <v>1</v>
      </c>
      <c r="I640">
        <v>1118</v>
      </c>
      <c r="K640" s="192" t="s">
        <v>44</v>
      </c>
      <c r="L640" s="188">
        <f>IFERROR(_xlfn.XLOOKUP(A640,[1]Fleet!A:A,[1]Fleet!E:E,""),"")</f>
        <v>10</v>
      </c>
      <c r="M640" s="188">
        <v>113.30000000000001</v>
      </c>
      <c r="N640" s="188" t="s">
        <v>1580</v>
      </c>
      <c r="O640" s="198" t="s">
        <v>1574</v>
      </c>
      <c r="P640">
        <v>602</v>
      </c>
      <c r="Q640">
        <f>_xlfn.XLOOKUP(A640,'[1]Classic Net to delete'!D:D,'[1]Classic Net to delete'!AA:AA,0)</f>
        <v>1118</v>
      </c>
    </row>
    <row r="641" spans="1:17" x14ac:dyDescent="0.25">
      <c r="A641" t="s">
        <v>1581</v>
      </c>
      <c r="B641" t="s">
        <v>1582</v>
      </c>
      <c r="C641">
        <v>30.98</v>
      </c>
      <c r="D641" t="s">
        <v>1380</v>
      </c>
      <c r="E641" t="str">
        <f t="shared" si="15"/>
        <v>09. Trucks and Trolleys</v>
      </c>
      <c r="F641">
        <v>75</v>
      </c>
      <c r="H641" t="b">
        <v>1</v>
      </c>
      <c r="I641">
        <v>1062</v>
      </c>
      <c r="K641" s="192" t="s">
        <v>48</v>
      </c>
      <c r="L641" s="188">
        <f>IFERROR(_xlfn.XLOOKUP(A641,[1]Fleet!A:A,[1]Fleet!E:E,""),"")</f>
        <v>4</v>
      </c>
      <c r="M641" s="188">
        <v>28.950000000000003</v>
      </c>
      <c r="N641" s="188" t="s">
        <v>1583</v>
      </c>
      <c r="O641" s="198" t="s">
        <v>1459</v>
      </c>
      <c r="P641">
        <v>647</v>
      </c>
      <c r="Q641">
        <f>_xlfn.XLOOKUP(A641,'[1]Classic Net to delete'!D:D,'[1]Classic Net to delete'!AA:AA,0)</f>
        <v>1062</v>
      </c>
    </row>
    <row r="642" spans="1:17" x14ac:dyDescent="0.25">
      <c r="A642" t="s">
        <v>1584</v>
      </c>
      <c r="B642" t="s">
        <v>1585</v>
      </c>
      <c r="C642">
        <v>55.27</v>
      </c>
      <c r="D642" t="s">
        <v>1380</v>
      </c>
      <c r="E642" t="str">
        <f t="shared" si="15"/>
        <v>09. Trucks and Trolleys</v>
      </c>
      <c r="F642">
        <v>75</v>
      </c>
      <c r="H642" t="b">
        <v>1</v>
      </c>
      <c r="I642">
        <v>1121</v>
      </c>
      <c r="K642" s="192" t="s">
        <v>48</v>
      </c>
      <c r="L642" s="188">
        <f>IFERROR(_xlfn.XLOOKUP(A642,[1]Fleet!A:A,[1]Fleet!E:E,""),"")</f>
        <v>81</v>
      </c>
      <c r="M642" s="188">
        <v>51.650000000000006</v>
      </c>
      <c r="N642" s="188" t="s">
        <v>1586</v>
      </c>
      <c r="O642" s="198" t="s">
        <v>1459</v>
      </c>
      <c r="P642">
        <v>644</v>
      </c>
      <c r="Q642">
        <f>_xlfn.XLOOKUP(A642,'[1]Classic Net to delete'!D:D,'[1]Classic Net to delete'!AA:AA,0)</f>
        <v>1121</v>
      </c>
    </row>
    <row r="643" spans="1:17" x14ac:dyDescent="0.25">
      <c r="A643" t="s">
        <v>1587</v>
      </c>
      <c r="B643" t="s">
        <v>1588</v>
      </c>
      <c r="C643">
        <v>78.59</v>
      </c>
      <c r="D643" t="s">
        <v>1380</v>
      </c>
      <c r="E643" t="str">
        <f t="shared" si="15"/>
        <v>09. Trucks and Trolleys</v>
      </c>
      <c r="F643">
        <v>75</v>
      </c>
      <c r="H643" t="b">
        <v>1</v>
      </c>
      <c r="I643">
        <v>1122</v>
      </c>
      <c r="K643" s="192" t="s">
        <v>48</v>
      </c>
      <c r="L643" s="188">
        <f>IFERROR(_xlfn.XLOOKUP(A643,[1]Fleet!A:A,[1]Fleet!E:E,""),"")</f>
        <v>20</v>
      </c>
      <c r="M643" s="188">
        <v>73.45</v>
      </c>
      <c r="N643" s="188" t="s">
        <v>1588</v>
      </c>
      <c r="O643" s="198" t="s">
        <v>1459</v>
      </c>
      <c r="P643">
        <v>640</v>
      </c>
      <c r="Q643">
        <f>_xlfn.XLOOKUP(A643,'[1]Classic Net to delete'!D:D,'[1]Classic Net to delete'!AA:AA,0)</f>
        <v>1122</v>
      </c>
    </row>
    <row r="644" spans="1:17" x14ac:dyDescent="0.25">
      <c r="A644" t="s">
        <v>1589</v>
      </c>
      <c r="B644" t="s">
        <v>1590</v>
      </c>
      <c r="C644">
        <v>69.39</v>
      </c>
      <c r="D644" t="s">
        <v>1380</v>
      </c>
      <c r="E644" t="str">
        <f t="shared" si="15"/>
        <v>09. Trucks and Trolleys</v>
      </c>
      <c r="F644">
        <v>75</v>
      </c>
      <c r="H644" t="b">
        <v>1</v>
      </c>
      <c r="I644">
        <v>1123</v>
      </c>
      <c r="K644" s="192" t="s">
        <v>48</v>
      </c>
      <c r="L644" s="188">
        <f>IFERROR(_xlfn.XLOOKUP(A644,[1]Fleet!A:A,[1]Fleet!E:E,""),"")</f>
        <v>8</v>
      </c>
      <c r="M644" s="188">
        <v>64.850000000000009</v>
      </c>
      <c r="N644" s="188" t="s">
        <v>1591</v>
      </c>
      <c r="O644" s="198" t="s">
        <v>1459</v>
      </c>
      <c r="P644">
        <v>645</v>
      </c>
      <c r="Q644">
        <f>_xlfn.XLOOKUP(A644,'[1]Classic Net to delete'!D:D,'[1]Classic Net to delete'!AA:AA,0)</f>
        <v>1123</v>
      </c>
    </row>
    <row r="645" spans="1:17" x14ac:dyDescent="0.25">
      <c r="A645" t="s">
        <v>1592</v>
      </c>
      <c r="B645" t="s">
        <v>1593</v>
      </c>
      <c r="C645">
        <v>79.88</v>
      </c>
      <c r="D645" t="s">
        <v>1380</v>
      </c>
      <c r="E645" t="str">
        <f t="shared" ref="E645:E708" si="16">CONCATENATE(K645,". ",O645)</f>
        <v>09. Trucks and Trolleys</v>
      </c>
      <c r="F645">
        <v>75</v>
      </c>
      <c r="H645" t="b">
        <v>1</v>
      </c>
      <c r="I645">
        <v>1124</v>
      </c>
      <c r="K645" s="192" t="s">
        <v>48</v>
      </c>
      <c r="L645" s="188">
        <f>IFERROR(_xlfn.XLOOKUP(A645,[1]Fleet!A:A,[1]Fleet!E:E,""),"")</f>
        <v>7</v>
      </c>
      <c r="M645" s="188">
        <v>74.650000000000006</v>
      </c>
      <c r="N645" s="188" t="s">
        <v>1593</v>
      </c>
      <c r="O645" s="198" t="s">
        <v>1459</v>
      </c>
      <c r="P645">
        <v>651</v>
      </c>
      <c r="Q645">
        <f>_xlfn.XLOOKUP(A645,'[1]Classic Net to delete'!D:D,'[1]Classic Net to delete'!AA:AA,0)</f>
        <v>1124</v>
      </c>
    </row>
    <row r="646" spans="1:17" x14ac:dyDescent="0.25">
      <c r="A646" t="s">
        <v>1594</v>
      </c>
      <c r="B646" t="s">
        <v>1595</v>
      </c>
      <c r="C646">
        <v>86.56</v>
      </c>
      <c r="D646" t="s">
        <v>1380</v>
      </c>
      <c r="E646" t="str">
        <f t="shared" si="16"/>
        <v>09. Trucks and Trolleys</v>
      </c>
      <c r="F646">
        <v>75</v>
      </c>
      <c r="H646" t="b">
        <v>1</v>
      </c>
      <c r="I646">
        <v>1125</v>
      </c>
      <c r="K646" s="192" t="s">
        <v>48</v>
      </c>
      <c r="L646" s="188">
        <f>IFERROR(_xlfn.XLOOKUP(A646,[1]Fleet!A:A,[1]Fleet!E:E,""),"")</f>
        <v>16</v>
      </c>
      <c r="M646" s="188">
        <v>80.900000000000006</v>
      </c>
      <c r="N646" s="188" t="s">
        <v>1595</v>
      </c>
      <c r="O646" s="198" t="s">
        <v>1459</v>
      </c>
      <c r="P646">
        <v>663</v>
      </c>
      <c r="Q646">
        <f>_xlfn.XLOOKUP(A646,'[1]Classic Net to delete'!D:D,'[1]Classic Net to delete'!AA:AA,0)</f>
        <v>1125</v>
      </c>
    </row>
    <row r="647" spans="1:17" x14ac:dyDescent="0.25">
      <c r="A647" t="s">
        <v>1596</v>
      </c>
      <c r="B647" t="s">
        <v>1597</v>
      </c>
      <c r="C647">
        <v>134.55000000000001</v>
      </c>
      <c r="D647" t="s">
        <v>1380</v>
      </c>
      <c r="E647" t="str">
        <f t="shared" si="16"/>
        <v>09. Trucks and Trolleys</v>
      </c>
      <c r="F647">
        <v>75</v>
      </c>
      <c r="H647" t="b">
        <v>1</v>
      </c>
      <c r="I647">
        <v>1126</v>
      </c>
      <c r="K647" s="192" t="s">
        <v>48</v>
      </c>
      <c r="L647" s="188">
        <f>IFERROR(_xlfn.XLOOKUP(A647,[1]Fleet!A:A,[1]Fleet!E:E,""),"")</f>
        <v>5</v>
      </c>
      <c r="M647" s="188">
        <v>125.75</v>
      </c>
      <c r="N647" s="188" t="s">
        <v>1598</v>
      </c>
      <c r="O647" s="198" t="s">
        <v>1459</v>
      </c>
      <c r="P647">
        <v>646</v>
      </c>
      <c r="Q647">
        <f>_xlfn.XLOOKUP(A647,'[1]Classic Net to delete'!D:D,'[1]Classic Net to delete'!AA:AA,0)</f>
        <v>1126</v>
      </c>
    </row>
    <row r="648" spans="1:17" x14ac:dyDescent="0.25">
      <c r="A648" t="s">
        <v>1599</v>
      </c>
      <c r="B648" t="s">
        <v>1419</v>
      </c>
      <c r="C648">
        <v>246.05</v>
      </c>
      <c r="D648" t="s">
        <v>1380</v>
      </c>
      <c r="E648" t="str">
        <f t="shared" si="16"/>
        <v>09. Trucks and Trolleys</v>
      </c>
      <c r="F648">
        <v>75</v>
      </c>
      <c r="H648" t="b">
        <v>1</v>
      </c>
      <c r="I648">
        <v>1127</v>
      </c>
      <c r="K648" s="192" t="s">
        <v>48</v>
      </c>
      <c r="L648" s="188">
        <f>IFERROR(_xlfn.XLOOKUP(A648,[1]Fleet!A:A,[1]Fleet!E:E,""),"")</f>
        <v>32</v>
      </c>
      <c r="M648" s="188">
        <v>229.95000000000002</v>
      </c>
      <c r="N648" s="188" t="s">
        <v>1600</v>
      </c>
      <c r="O648" s="198" t="s">
        <v>1459</v>
      </c>
      <c r="P648">
        <v>665</v>
      </c>
      <c r="Q648">
        <f>_xlfn.XLOOKUP(A648,'[1]Classic Net to delete'!D:D,'[1]Classic Net to delete'!AA:AA,0)</f>
        <v>1127</v>
      </c>
    </row>
    <row r="649" spans="1:17" x14ac:dyDescent="0.25">
      <c r="A649" t="s">
        <v>1601</v>
      </c>
      <c r="B649" t="s">
        <v>1602</v>
      </c>
      <c r="C649">
        <v>36.01</v>
      </c>
      <c r="D649" t="s">
        <v>1380</v>
      </c>
      <c r="E649" t="str">
        <f t="shared" si="16"/>
        <v>09. Trucks and Trolleys</v>
      </c>
      <c r="F649">
        <v>75</v>
      </c>
      <c r="H649" t="b">
        <v>1</v>
      </c>
      <c r="I649">
        <v>1128</v>
      </c>
      <c r="K649" s="192" t="s">
        <v>48</v>
      </c>
      <c r="L649" s="188">
        <f>IFERROR(_xlfn.XLOOKUP(A649,[1]Fleet!A:A,[1]Fleet!E:E,""),"")</f>
        <v>61</v>
      </c>
      <c r="M649" s="188">
        <v>33.65</v>
      </c>
      <c r="N649" s="188" t="s">
        <v>1602</v>
      </c>
      <c r="O649" s="198" t="s">
        <v>1459</v>
      </c>
      <c r="P649">
        <v>643</v>
      </c>
      <c r="Q649">
        <f>_xlfn.XLOOKUP(A649,'[1]Classic Net to delete'!D:D,'[1]Classic Net to delete'!AA:AA,0)</f>
        <v>1128</v>
      </c>
    </row>
    <row r="650" spans="1:17" x14ac:dyDescent="0.25">
      <c r="A650" t="s">
        <v>1603</v>
      </c>
      <c r="B650" t="s">
        <v>1604</v>
      </c>
      <c r="C650">
        <v>37.69</v>
      </c>
      <c r="D650" t="s">
        <v>1380</v>
      </c>
      <c r="E650" t="str">
        <f t="shared" si="16"/>
        <v>09. Trucks and Trolleys</v>
      </c>
      <c r="F650">
        <v>75</v>
      </c>
      <c r="H650" t="b">
        <v>1</v>
      </c>
      <c r="I650">
        <v>1129</v>
      </c>
      <c r="K650" s="192" t="s">
        <v>48</v>
      </c>
      <c r="L650" s="188">
        <f>IFERROR(_xlfn.XLOOKUP(A650,[1]Fleet!A:A,[1]Fleet!E:E,""),"")</f>
        <v>84</v>
      </c>
      <c r="M650" s="188">
        <v>33.65</v>
      </c>
      <c r="N650" s="188" t="s">
        <v>1604</v>
      </c>
      <c r="O650" s="198" t="s">
        <v>1459</v>
      </c>
      <c r="P650">
        <v>660</v>
      </c>
      <c r="Q650">
        <f>_xlfn.XLOOKUP(A650,'[1]Classic Net to delete'!D:D,'[1]Classic Net to delete'!AA:AA,0)</f>
        <v>1129</v>
      </c>
    </row>
    <row r="651" spans="1:17" x14ac:dyDescent="0.25">
      <c r="A651" t="s">
        <v>1605</v>
      </c>
      <c r="B651" t="s">
        <v>1606</v>
      </c>
      <c r="C651">
        <v>46.03</v>
      </c>
      <c r="D651" t="s">
        <v>1380</v>
      </c>
      <c r="E651" t="str">
        <f t="shared" si="16"/>
        <v>09. Trucks and Trolleys</v>
      </c>
      <c r="F651">
        <v>75</v>
      </c>
      <c r="H651" t="b">
        <v>1</v>
      </c>
      <c r="I651">
        <v>1130</v>
      </c>
      <c r="K651" s="192" t="s">
        <v>48</v>
      </c>
      <c r="L651" s="188">
        <f>IFERROR(_xlfn.XLOOKUP(A651,[1]Fleet!A:A,[1]Fleet!E:E,""),"")</f>
        <v>2</v>
      </c>
      <c r="M651" s="188">
        <v>41.1</v>
      </c>
      <c r="N651" s="188" t="s">
        <v>1606</v>
      </c>
      <c r="O651" s="198" t="s">
        <v>1459</v>
      </c>
      <c r="P651">
        <v>662</v>
      </c>
      <c r="Q651">
        <f>_xlfn.XLOOKUP(A651,'[1]Classic Net to delete'!D:D,'[1]Classic Net to delete'!AA:AA,0)</f>
        <v>1130</v>
      </c>
    </row>
    <row r="652" spans="1:17" x14ac:dyDescent="0.25">
      <c r="A652" t="s">
        <v>1607</v>
      </c>
      <c r="B652" t="s">
        <v>1608</v>
      </c>
      <c r="C652">
        <v>43.980000000000004</v>
      </c>
      <c r="D652" t="s">
        <v>1380</v>
      </c>
      <c r="E652" t="str">
        <f t="shared" si="16"/>
        <v>09. Trucks and Trolleys</v>
      </c>
      <c r="F652">
        <v>75</v>
      </c>
      <c r="H652" t="b">
        <v>1</v>
      </c>
      <c r="I652">
        <v>1131</v>
      </c>
      <c r="K652" s="192" t="s">
        <v>48</v>
      </c>
      <c r="L652" s="188">
        <f>IFERROR(_xlfn.XLOOKUP(A652,[1]Fleet!A:A,[1]Fleet!E:E,""),"")</f>
        <v>65</v>
      </c>
      <c r="M652" s="188">
        <v>41.1</v>
      </c>
      <c r="N652" s="188" t="s">
        <v>1608</v>
      </c>
      <c r="O652" s="198" t="s">
        <v>1459</v>
      </c>
      <c r="P652">
        <v>666</v>
      </c>
      <c r="Q652">
        <f>_xlfn.XLOOKUP(A652,'[1]Classic Net to delete'!D:D,'[1]Classic Net to delete'!AA:AA,0)</f>
        <v>1131</v>
      </c>
    </row>
    <row r="653" spans="1:17" x14ac:dyDescent="0.25">
      <c r="A653" t="s">
        <v>1609</v>
      </c>
      <c r="B653" t="s">
        <v>1610</v>
      </c>
      <c r="C653">
        <v>23.97</v>
      </c>
      <c r="D653" t="s">
        <v>1380</v>
      </c>
      <c r="E653" t="str">
        <f t="shared" si="16"/>
        <v>09. Trucks and Trolleys</v>
      </c>
      <c r="F653">
        <v>75</v>
      </c>
      <c r="H653" t="b">
        <v>1</v>
      </c>
      <c r="I653">
        <v>1135</v>
      </c>
      <c r="K653" s="192" t="s">
        <v>48</v>
      </c>
      <c r="L653" s="188">
        <f>IFERROR(_xlfn.XLOOKUP(A653,[1]Fleet!A:A,[1]Fleet!E:E,""),"")</f>
        <v>8</v>
      </c>
      <c r="M653" s="188">
        <v>22.400000000000002</v>
      </c>
      <c r="N653" s="188" t="s">
        <v>1610</v>
      </c>
      <c r="O653" s="198" t="s">
        <v>1459</v>
      </c>
      <c r="P653">
        <v>648</v>
      </c>
      <c r="Q653">
        <f>_xlfn.XLOOKUP(A653,'[1]Classic Net to delete'!D:D,'[1]Classic Net to delete'!AA:AA,0)</f>
        <v>1135</v>
      </c>
    </row>
    <row r="654" spans="1:17" x14ac:dyDescent="0.25">
      <c r="A654" t="s">
        <v>1611</v>
      </c>
      <c r="B654" t="s">
        <v>1612</v>
      </c>
      <c r="C654">
        <v>32.85</v>
      </c>
      <c r="D654" t="s">
        <v>1380</v>
      </c>
      <c r="E654" t="str">
        <f t="shared" si="16"/>
        <v>09. Trucks and Trolleys</v>
      </c>
      <c r="F654">
        <v>75</v>
      </c>
      <c r="H654" t="b">
        <v>1</v>
      </c>
      <c r="I654">
        <v>1136</v>
      </c>
      <c r="K654" s="192" t="s">
        <v>48</v>
      </c>
      <c r="L654" s="188">
        <f>IFERROR(_xlfn.XLOOKUP(A654,[1]Fleet!A:A,[1]Fleet!E:E,""),"")</f>
        <v>4</v>
      </c>
      <c r="M654" s="188">
        <v>30.700000000000003</v>
      </c>
      <c r="N654" s="188" t="s">
        <v>1613</v>
      </c>
      <c r="O654" s="198" t="s">
        <v>1459</v>
      </c>
      <c r="P654">
        <v>654</v>
      </c>
      <c r="Q654">
        <f>_xlfn.XLOOKUP(A654,'[1]Classic Net to delete'!D:D,'[1]Classic Net to delete'!AA:AA,0)</f>
        <v>1136</v>
      </c>
    </row>
    <row r="655" spans="1:17" x14ac:dyDescent="0.25">
      <c r="A655" t="s">
        <v>1614</v>
      </c>
      <c r="B655" t="s">
        <v>1615</v>
      </c>
      <c r="C655">
        <v>27.12</v>
      </c>
      <c r="D655" t="s">
        <v>1380</v>
      </c>
      <c r="E655" t="str">
        <f t="shared" si="16"/>
        <v>09. Trucks and Trolleys</v>
      </c>
      <c r="F655">
        <v>75</v>
      </c>
      <c r="H655" t="b">
        <v>1</v>
      </c>
      <c r="I655">
        <v>1137</v>
      </c>
      <c r="K655" s="192" t="s">
        <v>48</v>
      </c>
      <c r="L655" s="188">
        <f>IFERROR(_xlfn.XLOOKUP(A655,[1]Fleet!A:A,[1]Fleet!E:E,""),"")</f>
        <v>3</v>
      </c>
      <c r="M655" s="188">
        <v>25.35</v>
      </c>
      <c r="N655" s="188" t="s">
        <v>1615</v>
      </c>
      <c r="O655" s="198" t="s">
        <v>1459</v>
      </c>
      <c r="P655">
        <v>635</v>
      </c>
      <c r="Q655">
        <f>_xlfn.XLOOKUP(A655,'[1]Classic Net to delete'!D:D,'[1]Classic Net to delete'!AA:AA,0)</f>
        <v>1137</v>
      </c>
    </row>
    <row r="656" spans="1:17" x14ac:dyDescent="0.25">
      <c r="A656" t="s">
        <v>1616</v>
      </c>
      <c r="B656" t="s">
        <v>1617</v>
      </c>
      <c r="C656">
        <v>47.03</v>
      </c>
      <c r="D656" t="s">
        <v>1380</v>
      </c>
      <c r="E656" t="str">
        <f t="shared" si="16"/>
        <v>09. Trucks and Trolleys</v>
      </c>
      <c r="F656">
        <v>75</v>
      </c>
      <c r="H656" t="b">
        <v>1</v>
      </c>
      <c r="I656">
        <v>1138</v>
      </c>
      <c r="K656" s="192" t="s">
        <v>48</v>
      </c>
      <c r="L656" s="188">
        <f>IFERROR(_xlfn.XLOOKUP(A656,[1]Fleet!A:A,[1]Fleet!E:E,""),"")</f>
        <v>1</v>
      </c>
      <c r="M656" s="188">
        <v>43.95</v>
      </c>
      <c r="N656" s="188" t="s">
        <v>1617</v>
      </c>
      <c r="O656" s="198" t="s">
        <v>1459</v>
      </c>
      <c r="P656">
        <v>649</v>
      </c>
      <c r="Q656">
        <f>_xlfn.XLOOKUP(A656,'[1]Classic Net to delete'!D:D,'[1]Classic Net to delete'!AA:AA,0)</f>
        <v>1138</v>
      </c>
    </row>
    <row r="657" spans="1:17" x14ac:dyDescent="0.25">
      <c r="A657" t="s">
        <v>1618</v>
      </c>
      <c r="B657" t="s">
        <v>1619</v>
      </c>
      <c r="C657">
        <v>49.65</v>
      </c>
      <c r="D657" t="s">
        <v>1380</v>
      </c>
      <c r="E657" t="str">
        <f t="shared" si="16"/>
        <v>09. Trucks and Trolleys</v>
      </c>
      <c r="F657">
        <v>75</v>
      </c>
      <c r="H657" t="b">
        <v>1</v>
      </c>
      <c r="I657">
        <v>1139</v>
      </c>
      <c r="K657" s="192" t="s">
        <v>48</v>
      </c>
      <c r="L657" s="188">
        <f>IFERROR(_xlfn.XLOOKUP(A657,[1]Fleet!A:A,[1]Fleet!E:E,""),"")</f>
        <v>10</v>
      </c>
      <c r="M657" s="188">
        <v>46.400000000000006</v>
      </c>
      <c r="N657" s="188" t="s">
        <v>1620</v>
      </c>
      <c r="O657" s="198" t="s">
        <v>1459</v>
      </c>
      <c r="P657">
        <v>642</v>
      </c>
      <c r="Q657">
        <f>_xlfn.XLOOKUP(A657,'[1]Classic Net to delete'!D:D,'[1]Classic Net to delete'!AA:AA,0)</f>
        <v>1139</v>
      </c>
    </row>
    <row r="658" spans="1:17" x14ac:dyDescent="0.25">
      <c r="A658" t="s">
        <v>1621</v>
      </c>
      <c r="B658" t="s">
        <v>1622</v>
      </c>
      <c r="C658">
        <v>49.65</v>
      </c>
      <c r="D658" t="s">
        <v>1380</v>
      </c>
      <c r="E658" t="str">
        <f t="shared" si="16"/>
        <v>09. Trucks and Trolleys</v>
      </c>
      <c r="F658">
        <v>75</v>
      </c>
      <c r="H658" t="b">
        <v>1</v>
      </c>
      <c r="I658">
        <v>1140</v>
      </c>
      <c r="K658" s="192" t="s">
        <v>48</v>
      </c>
      <c r="L658" s="188">
        <f>IFERROR(_xlfn.XLOOKUP(A658,[1]Fleet!A:A,[1]Fleet!E:E,""),"")</f>
        <v>5</v>
      </c>
      <c r="M658" s="188">
        <v>46.400000000000006</v>
      </c>
      <c r="N658" s="188" t="s">
        <v>1623</v>
      </c>
      <c r="O658" s="198" t="s">
        <v>1459</v>
      </c>
      <c r="P658">
        <v>661</v>
      </c>
      <c r="Q658">
        <f>_xlfn.XLOOKUP(A658,'[1]Classic Net to delete'!D:D,'[1]Classic Net to delete'!AA:AA,0)</f>
        <v>1140</v>
      </c>
    </row>
    <row r="659" spans="1:17" x14ac:dyDescent="0.25">
      <c r="A659" t="s">
        <v>1624</v>
      </c>
      <c r="B659" t="s">
        <v>1625</v>
      </c>
      <c r="C659">
        <v>77.95</v>
      </c>
      <c r="D659" t="s">
        <v>1380</v>
      </c>
      <c r="E659" t="str">
        <f t="shared" si="16"/>
        <v>09. Trucks and Trolleys</v>
      </c>
      <c r="F659">
        <v>75</v>
      </c>
      <c r="H659" t="b">
        <v>1</v>
      </c>
      <c r="I659">
        <v>1141</v>
      </c>
      <c r="K659" s="192" t="s">
        <v>48</v>
      </c>
      <c r="L659" s="188">
        <f>IFERROR(_xlfn.XLOOKUP(A659,[1]Fleet!A:A,[1]Fleet!E:E,""),"")</f>
        <v>29</v>
      </c>
      <c r="M659" s="188">
        <v>72.850000000000009</v>
      </c>
      <c r="N659" s="188" t="s">
        <v>1626</v>
      </c>
      <c r="O659" s="198" t="s">
        <v>1459</v>
      </c>
      <c r="P659">
        <v>641</v>
      </c>
      <c r="Q659">
        <f>_xlfn.XLOOKUP(A659,'[1]Classic Net to delete'!D:D,'[1]Classic Net to delete'!AA:AA,0)</f>
        <v>1141</v>
      </c>
    </row>
    <row r="660" spans="1:17" x14ac:dyDescent="0.25">
      <c r="A660" t="s">
        <v>1627</v>
      </c>
      <c r="B660" t="s">
        <v>1628</v>
      </c>
      <c r="C660">
        <v>74.47</v>
      </c>
      <c r="D660" t="s">
        <v>1380</v>
      </c>
      <c r="E660" t="str">
        <f t="shared" si="16"/>
        <v>09. Trucks and Trolleys</v>
      </c>
      <c r="F660">
        <v>75</v>
      </c>
      <c r="H660" t="b">
        <v>1</v>
      </c>
      <c r="I660">
        <v>1142</v>
      </c>
      <c r="K660" s="192" t="s">
        <v>48</v>
      </c>
      <c r="L660" s="188">
        <f>IFERROR(_xlfn.XLOOKUP(A660,[1]Fleet!A:A,[1]Fleet!E:E,""),"")</f>
        <v>1</v>
      </c>
      <c r="M660" s="188">
        <v>69.600000000000009</v>
      </c>
      <c r="N660" s="188" t="s">
        <v>1628</v>
      </c>
      <c r="O660" s="198" t="s">
        <v>1459</v>
      </c>
      <c r="P660">
        <v>656</v>
      </c>
      <c r="Q660">
        <f>_xlfn.XLOOKUP(A660,'[1]Classic Net to delete'!D:D,'[1]Classic Net to delete'!AA:AA,0)</f>
        <v>1142</v>
      </c>
    </row>
    <row r="661" spans="1:17" x14ac:dyDescent="0.25">
      <c r="A661" t="s">
        <v>1629</v>
      </c>
      <c r="B661" t="s">
        <v>1630</v>
      </c>
      <c r="C661">
        <v>18.62</v>
      </c>
      <c r="D661" t="s">
        <v>1380</v>
      </c>
      <c r="E661" t="str">
        <f t="shared" si="16"/>
        <v>09. Trucks and Trolleys</v>
      </c>
      <c r="F661">
        <v>75</v>
      </c>
      <c r="H661" t="b">
        <v>1</v>
      </c>
      <c r="I661">
        <v>1143</v>
      </c>
      <c r="K661" s="192" t="s">
        <v>48</v>
      </c>
      <c r="L661" s="188" t="str">
        <f>IFERROR(_xlfn.XLOOKUP(A661,[1]Fleet!A:A,[1]Fleet!E:E,""),"")</f>
        <v/>
      </c>
      <c r="M661" s="188">
        <v>17.400000000000002</v>
      </c>
      <c r="N661" s="188" t="s">
        <v>1630</v>
      </c>
      <c r="O661" s="198" t="s">
        <v>1459</v>
      </c>
      <c r="P661">
        <v>542</v>
      </c>
      <c r="Q661">
        <f>_xlfn.XLOOKUP(A661,'[1]Classic Net to delete'!D:D,'[1]Classic Net to delete'!AA:AA,0)</f>
        <v>1143</v>
      </c>
    </row>
    <row r="662" spans="1:17" x14ac:dyDescent="0.25">
      <c r="A662" t="s">
        <v>1629</v>
      </c>
      <c r="B662" t="s">
        <v>1630</v>
      </c>
      <c r="C662">
        <v>18.62</v>
      </c>
      <c r="D662" t="s">
        <v>1380</v>
      </c>
      <c r="E662" t="str">
        <f t="shared" si="16"/>
        <v>09. Trucks and Trolleys</v>
      </c>
      <c r="F662">
        <v>75</v>
      </c>
      <c r="H662" t="b">
        <v>0</v>
      </c>
      <c r="I662">
        <v>1143</v>
      </c>
      <c r="K662" s="192" t="s">
        <v>48</v>
      </c>
      <c r="L662" s="188" t="str">
        <f>IFERROR(_xlfn.XLOOKUP(A662,[1]Fleet!A:A,[1]Fleet!E:E,""),"")</f>
        <v/>
      </c>
      <c r="M662" s="188">
        <v>17.400000000000002</v>
      </c>
      <c r="N662" s="188" t="s">
        <v>1630</v>
      </c>
      <c r="O662" s="198" t="s">
        <v>1459</v>
      </c>
      <c r="P662">
        <v>543</v>
      </c>
      <c r="Q662">
        <f>_xlfn.XLOOKUP(A662,'[1]Classic Net to delete'!D:D,'[1]Classic Net to delete'!AA:AA,0)</f>
        <v>1143</v>
      </c>
    </row>
    <row r="663" spans="1:17" x14ac:dyDescent="0.25">
      <c r="A663" t="s">
        <v>1631</v>
      </c>
      <c r="B663" t="s">
        <v>1632</v>
      </c>
      <c r="C663">
        <v>32.85</v>
      </c>
      <c r="D663" t="s">
        <v>1380</v>
      </c>
      <c r="E663" t="str">
        <f t="shared" si="16"/>
        <v>09. Trucks and Trolleys</v>
      </c>
      <c r="F663">
        <v>75</v>
      </c>
      <c r="H663" t="b">
        <v>1</v>
      </c>
      <c r="I663">
        <v>1145</v>
      </c>
      <c r="K663" s="192" t="s">
        <v>48</v>
      </c>
      <c r="L663" s="188">
        <f>IFERROR(_xlfn.XLOOKUP(A663,[1]Fleet!A:A,[1]Fleet!E:E,""),"")</f>
        <v>5</v>
      </c>
      <c r="M663" s="188">
        <v>30.700000000000003</v>
      </c>
      <c r="N663" s="188" t="s">
        <v>1632</v>
      </c>
      <c r="O663" s="198" t="s">
        <v>1459</v>
      </c>
      <c r="P663">
        <v>603</v>
      </c>
      <c r="Q663">
        <f>_xlfn.XLOOKUP(A663,'[1]Classic Net to delete'!D:D,'[1]Classic Net to delete'!AA:AA,0)</f>
        <v>1145</v>
      </c>
    </row>
    <row r="664" spans="1:17" x14ac:dyDescent="0.25">
      <c r="A664" t="s">
        <v>1633</v>
      </c>
      <c r="B664" t="s">
        <v>1634</v>
      </c>
      <c r="C664">
        <v>27.12</v>
      </c>
      <c r="D664" t="s">
        <v>1380</v>
      </c>
      <c r="E664" t="str">
        <f t="shared" si="16"/>
        <v>09. Trucks and Trolleys</v>
      </c>
      <c r="F664">
        <v>75</v>
      </c>
      <c r="H664" t="b">
        <v>1</v>
      </c>
      <c r="I664">
        <v>1146</v>
      </c>
      <c r="K664" s="192" t="s">
        <v>48</v>
      </c>
      <c r="L664" s="188">
        <f>IFERROR(_xlfn.XLOOKUP(A664,[1]Fleet!A:A,[1]Fleet!E:E,""),"")</f>
        <v>5</v>
      </c>
      <c r="M664" s="188">
        <v>25.35</v>
      </c>
      <c r="N664" s="188" t="s">
        <v>1634</v>
      </c>
      <c r="O664" s="198" t="s">
        <v>1459</v>
      </c>
      <c r="P664">
        <v>658</v>
      </c>
      <c r="Q664">
        <f>_xlfn.XLOOKUP(A664,'[1]Classic Net to delete'!D:D,'[1]Classic Net to delete'!AA:AA,0)</f>
        <v>1146</v>
      </c>
    </row>
    <row r="665" spans="1:17" x14ac:dyDescent="0.25">
      <c r="A665" t="s">
        <v>1635</v>
      </c>
      <c r="B665" t="s">
        <v>1636</v>
      </c>
      <c r="C665" t="s">
        <v>1637</v>
      </c>
      <c r="D665" t="s">
        <v>1380</v>
      </c>
      <c r="E665" t="str">
        <f t="shared" si="16"/>
        <v>09. Trucks and Trolleys</v>
      </c>
      <c r="F665">
        <v>75</v>
      </c>
      <c r="H665" t="b">
        <v>0</v>
      </c>
      <c r="I665">
        <v>1149</v>
      </c>
      <c r="K665" s="192" t="s">
        <v>48</v>
      </c>
      <c r="L665" s="188" t="str">
        <f>IFERROR(_xlfn.XLOOKUP(A665,[1]Fleet!A:A,[1]Fleet!E:E,""),"")</f>
        <v/>
      </c>
      <c r="M665" s="188">
        <v>113.5</v>
      </c>
      <c r="N665" s="188" t="s">
        <v>1636</v>
      </c>
      <c r="O665" s="198" t="s">
        <v>1459</v>
      </c>
      <c r="P665">
        <v>655</v>
      </c>
      <c r="Q665">
        <f>_xlfn.XLOOKUP(A665,'[1]Classic Net to delete'!D:D,'[1]Classic Net to delete'!AA:AA,0)</f>
        <v>1149</v>
      </c>
    </row>
    <row r="666" spans="1:17" x14ac:dyDescent="0.25">
      <c r="A666" t="s">
        <v>1638</v>
      </c>
      <c r="B666" t="s">
        <v>1639</v>
      </c>
      <c r="C666" t="s">
        <v>1637</v>
      </c>
      <c r="D666" t="s">
        <v>1380</v>
      </c>
      <c r="E666" t="str">
        <f t="shared" si="16"/>
        <v>09. Trucks and Trolleys</v>
      </c>
      <c r="F666">
        <v>75</v>
      </c>
      <c r="H666" t="b">
        <v>0</v>
      </c>
      <c r="I666">
        <v>1150</v>
      </c>
      <c r="K666" s="192" t="s">
        <v>48</v>
      </c>
      <c r="L666" s="188" t="str">
        <f>IFERROR(_xlfn.XLOOKUP(A666,[1]Fleet!A:A,[1]Fleet!E:E,""),"")</f>
        <v/>
      </c>
      <c r="M666" s="188">
        <v>151.55000000000001</v>
      </c>
      <c r="N666" s="188" t="s">
        <v>1639</v>
      </c>
      <c r="O666" s="198" t="s">
        <v>1459</v>
      </c>
      <c r="P666">
        <v>633</v>
      </c>
      <c r="Q666">
        <f>_xlfn.XLOOKUP(A666,'[1]Classic Net to delete'!D:D,'[1]Classic Net to delete'!AA:AA,0)</f>
        <v>1150</v>
      </c>
    </row>
    <row r="667" spans="1:17" x14ac:dyDescent="0.25">
      <c r="A667" t="s">
        <v>1640</v>
      </c>
      <c r="B667" t="s">
        <v>1641</v>
      </c>
      <c r="C667">
        <v>56.76</v>
      </c>
      <c r="D667" t="s">
        <v>1380</v>
      </c>
      <c r="E667" t="str">
        <f t="shared" si="16"/>
        <v>09. Trucks and Trolleys</v>
      </c>
      <c r="F667">
        <v>75</v>
      </c>
      <c r="H667" t="b">
        <v>1</v>
      </c>
      <c r="I667">
        <v>1160</v>
      </c>
      <c r="K667" s="192" t="s">
        <v>48</v>
      </c>
      <c r="L667" s="188">
        <f>IFERROR(_xlfn.XLOOKUP(A667,[1]Fleet!A:A,[1]Fleet!E:E,""),"")</f>
        <v>13</v>
      </c>
      <c r="M667" s="188">
        <v>53.050000000000004</v>
      </c>
      <c r="N667" s="188" t="s">
        <v>1641</v>
      </c>
      <c r="O667" s="198" t="s">
        <v>1459</v>
      </c>
      <c r="P667">
        <v>653</v>
      </c>
      <c r="Q667">
        <f>_xlfn.XLOOKUP(A667,'[1]Classic Net to delete'!D:D,'[1]Classic Net to delete'!AA:AA,0)</f>
        <v>1160</v>
      </c>
    </row>
    <row r="668" spans="1:17" x14ac:dyDescent="0.25">
      <c r="A668" t="s">
        <v>1642</v>
      </c>
      <c r="B668" t="s">
        <v>1643</v>
      </c>
      <c r="C668">
        <v>14.23</v>
      </c>
      <c r="D668" t="s">
        <v>1380</v>
      </c>
      <c r="E668" t="str">
        <f t="shared" si="16"/>
        <v>10. Rubbish Disposal</v>
      </c>
      <c r="F668">
        <v>75</v>
      </c>
      <c r="H668" t="b">
        <v>1</v>
      </c>
      <c r="I668">
        <v>1153</v>
      </c>
      <c r="K668" s="192" t="s">
        <v>1644</v>
      </c>
      <c r="L668" s="188" t="str">
        <f>IFERROR(_xlfn.XLOOKUP(A668,[1]Fleet!A:A,[1]Fleet!E:E,""),"")</f>
        <v/>
      </c>
      <c r="M668" s="188">
        <v>13.3</v>
      </c>
      <c r="N668" s="188" t="s">
        <v>1643</v>
      </c>
      <c r="O668" s="198" t="s">
        <v>1645</v>
      </c>
      <c r="P668">
        <v>597</v>
      </c>
      <c r="Q668">
        <f>_xlfn.XLOOKUP(A668,'[1]Classic Net to delete'!D:D,'[1]Classic Net to delete'!AA:AA,0)</f>
        <v>1153</v>
      </c>
    </row>
    <row r="669" spans="1:17" x14ac:dyDescent="0.25">
      <c r="A669" t="s">
        <v>1646</v>
      </c>
      <c r="B669" t="s">
        <v>1647</v>
      </c>
      <c r="C669">
        <v>26.16</v>
      </c>
      <c r="D669" t="s">
        <v>1380</v>
      </c>
      <c r="E669" t="str">
        <f t="shared" si="16"/>
        <v>10. Rubbish Disposal</v>
      </c>
      <c r="F669">
        <v>75</v>
      </c>
      <c r="H669" t="b">
        <v>1</v>
      </c>
      <c r="I669">
        <v>1154</v>
      </c>
      <c r="K669" s="192" t="s">
        <v>1644</v>
      </c>
      <c r="L669" s="188" t="str">
        <f>IFERROR(_xlfn.XLOOKUP(A669,[1]Fleet!A:A,[1]Fleet!E:E,""),"")</f>
        <v/>
      </c>
      <c r="M669" s="188">
        <v>24.450000000000003</v>
      </c>
      <c r="N669" s="188" t="s">
        <v>1647</v>
      </c>
      <c r="O669" s="198" t="s">
        <v>1645</v>
      </c>
      <c r="P669">
        <v>596</v>
      </c>
      <c r="Q669">
        <f>_xlfn.XLOOKUP(A669,'[1]Classic Net to delete'!D:D,'[1]Classic Net to delete'!AA:AA,0)</f>
        <v>1154</v>
      </c>
    </row>
    <row r="670" spans="1:17" x14ac:dyDescent="0.25">
      <c r="A670" t="s">
        <v>1648</v>
      </c>
      <c r="B670" t="s">
        <v>1649</v>
      </c>
      <c r="C670">
        <v>25.57</v>
      </c>
      <c r="D670" t="s">
        <v>1380</v>
      </c>
      <c r="E670" t="str">
        <f t="shared" si="16"/>
        <v>10. Rubbish Disposal</v>
      </c>
      <c r="F670">
        <v>75</v>
      </c>
      <c r="H670" t="b">
        <v>1</v>
      </c>
      <c r="I670">
        <v>1155</v>
      </c>
      <c r="K670" s="192" t="s">
        <v>1644</v>
      </c>
      <c r="L670" s="188" t="str">
        <f>IFERROR(_xlfn.XLOOKUP(A670,[1]Fleet!A:A,[1]Fleet!E:E,""),"")</f>
        <v/>
      </c>
      <c r="M670" s="188">
        <v>23.900000000000002</v>
      </c>
      <c r="N670" s="188" t="s">
        <v>1649</v>
      </c>
      <c r="O670" s="198" t="s">
        <v>1645</v>
      </c>
      <c r="P670">
        <v>595</v>
      </c>
      <c r="Q670">
        <f>_xlfn.XLOOKUP(A670,'[1]Classic Net to delete'!D:D,'[1]Classic Net to delete'!AA:AA,0)</f>
        <v>1155</v>
      </c>
    </row>
    <row r="671" spans="1:17" x14ac:dyDescent="0.25">
      <c r="A671" t="s">
        <v>1650</v>
      </c>
      <c r="B671" t="s">
        <v>1651</v>
      </c>
      <c r="C671">
        <v>25.57</v>
      </c>
      <c r="D671" t="s">
        <v>1380</v>
      </c>
      <c r="E671" t="str">
        <f t="shared" si="16"/>
        <v>10. Rubbish Disposal</v>
      </c>
      <c r="F671">
        <v>75</v>
      </c>
      <c r="H671" t="b">
        <v>1</v>
      </c>
      <c r="I671">
        <v>1156</v>
      </c>
      <c r="K671" s="192" t="s">
        <v>1644</v>
      </c>
      <c r="L671" s="188" t="str">
        <f>IFERROR(_xlfn.XLOOKUP(A671,[1]Fleet!A:A,[1]Fleet!E:E,""),"")</f>
        <v/>
      </c>
      <c r="M671" s="188">
        <v>23.900000000000002</v>
      </c>
      <c r="N671" s="188" t="s">
        <v>1651</v>
      </c>
      <c r="O671" s="198" t="s">
        <v>1645</v>
      </c>
      <c r="P671">
        <v>594</v>
      </c>
      <c r="Q671">
        <f>_xlfn.XLOOKUP(A671,'[1]Classic Net to delete'!D:D,'[1]Classic Net to delete'!AA:AA,0)</f>
        <v>1156</v>
      </c>
    </row>
    <row r="672" spans="1:17" x14ac:dyDescent="0.25">
      <c r="A672" t="s">
        <v>1652</v>
      </c>
      <c r="B672" t="s">
        <v>1653</v>
      </c>
      <c r="C672">
        <v>29.69</v>
      </c>
      <c r="D672" t="s">
        <v>1380</v>
      </c>
      <c r="E672" t="str">
        <f t="shared" si="16"/>
        <v>10. Rubbish Disposal</v>
      </c>
      <c r="F672">
        <v>75</v>
      </c>
      <c r="H672" t="b">
        <v>1</v>
      </c>
      <c r="I672">
        <v>1157</v>
      </c>
      <c r="K672" s="192" t="s">
        <v>1644</v>
      </c>
      <c r="L672" s="188" t="str">
        <f>IFERROR(_xlfn.XLOOKUP(A672,[1]Fleet!A:A,[1]Fleet!E:E,""),"")</f>
        <v/>
      </c>
      <c r="M672" s="188">
        <v>27.75</v>
      </c>
      <c r="N672" s="188" t="s">
        <v>1653</v>
      </c>
      <c r="O672" s="198" t="s">
        <v>1645</v>
      </c>
      <c r="P672">
        <v>593</v>
      </c>
      <c r="Q672">
        <f>_xlfn.XLOOKUP(A672,'[1]Classic Net to delete'!D:D,'[1]Classic Net to delete'!AA:AA,0)</f>
        <v>1157</v>
      </c>
    </row>
    <row r="673" spans="1:17" x14ac:dyDescent="0.25">
      <c r="A673" t="s">
        <v>1654</v>
      </c>
      <c r="B673" t="s">
        <v>1655</v>
      </c>
      <c r="C673">
        <v>14.23</v>
      </c>
      <c r="D673" t="s">
        <v>1380</v>
      </c>
      <c r="E673" t="str">
        <f t="shared" si="16"/>
        <v>10. Rubbish Disposal</v>
      </c>
      <c r="F673">
        <v>75</v>
      </c>
      <c r="H673" t="b">
        <v>1</v>
      </c>
      <c r="I673">
        <v>1158</v>
      </c>
      <c r="K673" s="192" t="s">
        <v>1644</v>
      </c>
      <c r="L673" s="188" t="str">
        <f>IFERROR(_xlfn.XLOOKUP(A673,[1]Fleet!A:A,[1]Fleet!E:E,""),"")</f>
        <v/>
      </c>
      <c r="M673" s="188">
        <v>13.3</v>
      </c>
      <c r="N673" s="188" t="s">
        <v>1655</v>
      </c>
      <c r="O673" s="198" t="s">
        <v>1645</v>
      </c>
      <c r="P673">
        <v>599</v>
      </c>
      <c r="Q673">
        <f>_xlfn.XLOOKUP(A673,'[1]Classic Net to delete'!D:D,'[1]Classic Net to delete'!AA:AA,0)</f>
        <v>1158</v>
      </c>
    </row>
    <row r="674" spans="1:17" x14ac:dyDescent="0.25">
      <c r="A674" t="s">
        <v>1656</v>
      </c>
      <c r="B674" t="s">
        <v>1657</v>
      </c>
      <c r="C674">
        <v>17.07</v>
      </c>
      <c r="D674" t="s">
        <v>1380</v>
      </c>
      <c r="E674" t="str">
        <f t="shared" si="16"/>
        <v>10. Rubbish Disposal</v>
      </c>
      <c r="F674">
        <v>75</v>
      </c>
      <c r="H674" t="b">
        <v>1</v>
      </c>
      <c r="I674">
        <v>1159</v>
      </c>
      <c r="K674" s="192" t="s">
        <v>1644</v>
      </c>
      <c r="L674" s="188" t="str">
        <f>IFERROR(_xlfn.XLOOKUP(A674,[1]Fleet!A:A,[1]Fleet!E:E,""),"")</f>
        <v/>
      </c>
      <c r="M674" s="188">
        <v>15.950000000000001</v>
      </c>
      <c r="N674" s="188" t="s">
        <v>1657</v>
      </c>
      <c r="O674" s="198" t="s">
        <v>1645</v>
      </c>
      <c r="P674">
        <v>598</v>
      </c>
      <c r="Q674">
        <f>_xlfn.XLOOKUP(A674,'[1]Classic Net to delete'!D:D,'[1]Classic Net to delete'!AA:AA,0)</f>
        <v>1159</v>
      </c>
    </row>
    <row r="675" spans="1:17" x14ac:dyDescent="0.25">
      <c r="A675" t="s">
        <v>1658</v>
      </c>
      <c r="B675" t="s">
        <v>1659</v>
      </c>
      <c r="C675">
        <v>52.06</v>
      </c>
      <c r="D675" t="s">
        <v>1660</v>
      </c>
      <c r="E675" t="str">
        <f t="shared" si="16"/>
        <v>. Site Lights</v>
      </c>
      <c r="F675">
        <v>75</v>
      </c>
      <c r="H675" t="b">
        <v>0</v>
      </c>
      <c r="I675">
        <v>0</v>
      </c>
      <c r="L675" s="188">
        <f>IFERROR(_xlfn.XLOOKUP(A675,[1]Fleet!A:A,[1]Fleet!E:E,""),"")</f>
        <v>1</v>
      </c>
      <c r="M675" s="188" t="s">
        <v>22</v>
      </c>
      <c r="N675" s="188" t="s">
        <v>22</v>
      </c>
      <c r="O675" s="198" t="s">
        <v>1661</v>
      </c>
      <c r="P675">
        <v>670</v>
      </c>
      <c r="Q675">
        <f>_xlfn.XLOOKUP(A675,'[1]Classic Net to delete'!D:D,'[1]Classic Net to delete'!AA:AA,0)</f>
        <v>0</v>
      </c>
    </row>
    <row r="676" spans="1:17" x14ac:dyDescent="0.25">
      <c r="A676" t="s">
        <v>1662</v>
      </c>
      <c r="B676" t="s">
        <v>1663</v>
      </c>
      <c r="C676">
        <v>66.13</v>
      </c>
      <c r="D676" t="s">
        <v>1660</v>
      </c>
      <c r="E676" t="str">
        <f t="shared" si="16"/>
        <v>. Site Lights</v>
      </c>
      <c r="F676">
        <v>75</v>
      </c>
      <c r="H676" t="b">
        <v>0</v>
      </c>
      <c r="I676">
        <v>0</v>
      </c>
      <c r="L676" s="188">
        <f>IFERROR(_xlfn.XLOOKUP(A676,[1]Fleet!A:A,[1]Fleet!E:E,""),"")</f>
        <v>5</v>
      </c>
      <c r="M676" s="188" t="s">
        <v>22</v>
      </c>
      <c r="N676" s="188" t="s">
        <v>22</v>
      </c>
      <c r="O676" s="198" t="s">
        <v>1661</v>
      </c>
      <c r="P676">
        <v>690</v>
      </c>
      <c r="Q676">
        <f>_xlfn.XLOOKUP(A676,'[1]Classic Net to delete'!D:D,'[1]Classic Net to delete'!AA:AA,0)</f>
        <v>0</v>
      </c>
    </row>
    <row r="677" spans="1:17" x14ac:dyDescent="0.25">
      <c r="A677" t="s">
        <v>1664</v>
      </c>
      <c r="B677" t="s">
        <v>1665</v>
      </c>
      <c r="C677">
        <v>0</v>
      </c>
      <c r="D677" t="s">
        <v>1660</v>
      </c>
      <c r="E677" t="str">
        <f t="shared" si="16"/>
        <v>. Site Lights</v>
      </c>
      <c r="F677">
        <v>75</v>
      </c>
      <c r="H677" t="b">
        <v>0</v>
      </c>
      <c r="I677">
        <v>0</v>
      </c>
      <c r="L677" s="188">
        <f>IFERROR(_xlfn.XLOOKUP(A677,[1]Fleet!A:A,[1]Fleet!E:E,""),"")</f>
        <v>0</v>
      </c>
      <c r="M677" s="188" t="s">
        <v>22</v>
      </c>
      <c r="N677" s="188" t="s">
        <v>22</v>
      </c>
      <c r="O677" s="198" t="s">
        <v>1661</v>
      </c>
      <c r="P677">
        <v>672</v>
      </c>
      <c r="Q677">
        <f>_xlfn.XLOOKUP(A677,'[1]Classic Net to delete'!D:D,'[1]Classic Net to delete'!AA:AA,0)</f>
        <v>0</v>
      </c>
    </row>
    <row r="678" spans="1:17" x14ac:dyDescent="0.25">
      <c r="A678" t="s">
        <v>1666</v>
      </c>
      <c r="B678" t="s">
        <v>1667</v>
      </c>
      <c r="C678">
        <v>66.13</v>
      </c>
      <c r="D678" t="s">
        <v>1660</v>
      </c>
      <c r="E678" t="str">
        <f t="shared" si="16"/>
        <v>. Site Lights</v>
      </c>
      <c r="F678">
        <v>75</v>
      </c>
      <c r="H678" t="b">
        <v>0</v>
      </c>
      <c r="I678">
        <v>0</v>
      </c>
      <c r="L678" s="188">
        <f>IFERROR(_xlfn.XLOOKUP(A678,[1]Fleet!A:A,[1]Fleet!E:E,""),"")</f>
        <v>2</v>
      </c>
      <c r="M678" s="188" t="s">
        <v>22</v>
      </c>
      <c r="N678" s="188" t="s">
        <v>22</v>
      </c>
      <c r="O678" s="198" t="s">
        <v>1661</v>
      </c>
      <c r="P678">
        <v>688</v>
      </c>
      <c r="Q678">
        <f>_xlfn.XLOOKUP(A678,'[1]Classic Net to delete'!D:D,'[1]Classic Net to delete'!AA:AA,0)</f>
        <v>0</v>
      </c>
    </row>
    <row r="679" spans="1:17" x14ac:dyDescent="0.25">
      <c r="A679" t="s">
        <v>1668</v>
      </c>
      <c r="B679" t="s">
        <v>1669</v>
      </c>
      <c r="C679">
        <v>66.13</v>
      </c>
      <c r="D679" t="s">
        <v>1660</v>
      </c>
      <c r="E679" t="str">
        <f t="shared" si="16"/>
        <v>. Site Lights</v>
      </c>
      <c r="F679">
        <v>75</v>
      </c>
      <c r="H679" t="b">
        <v>0</v>
      </c>
      <c r="I679">
        <v>0</v>
      </c>
      <c r="L679" s="188">
        <f>IFERROR(_xlfn.XLOOKUP(A679,[1]Fleet!A:A,[1]Fleet!E:E,""),"")</f>
        <v>2</v>
      </c>
      <c r="M679" s="188" t="s">
        <v>22</v>
      </c>
      <c r="N679" s="188" t="s">
        <v>22</v>
      </c>
      <c r="O679" s="198" t="s">
        <v>1661</v>
      </c>
      <c r="P679">
        <v>689</v>
      </c>
      <c r="Q679">
        <f>_xlfn.XLOOKUP(A679,'[1]Classic Net to delete'!D:D,'[1]Classic Net to delete'!AA:AA,0)</f>
        <v>0</v>
      </c>
    </row>
    <row r="680" spans="1:17" x14ac:dyDescent="0.25">
      <c r="A680" t="s">
        <v>1670</v>
      </c>
      <c r="B680" t="s">
        <v>1671</v>
      </c>
      <c r="C680">
        <v>0</v>
      </c>
      <c r="D680" t="s">
        <v>1660</v>
      </c>
      <c r="E680" t="str">
        <f t="shared" si="16"/>
        <v>. Site Lights</v>
      </c>
      <c r="F680">
        <v>75</v>
      </c>
      <c r="H680" t="b">
        <v>0</v>
      </c>
      <c r="I680">
        <v>0</v>
      </c>
      <c r="L680" s="188" t="str">
        <f>IFERROR(_xlfn.XLOOKUP(A680,[1]Fleet!A:A,[1]Fleet!E:E,""),"")</f>
        <v/>
      </c>
      <c r="M680" s="188" t="s">
        <v>22</v>
      </c>
      <c r="N680" s="188" t="s">
        <v>22</v>
      </c>
      <c r="O680" s="198" t="s">
        <v>1661</v>
      </c>
      <c r="P680">
        <v>685</v>
      </c>
      <c r="Q680">
        <f>_xlfn.XLOOKUP(A680,'[1]Classic Net to delete'!D:D,'[1]Classic Net to delete'!AA:AA,0)</f>
        <v>0</v>
      </c>
    </row>
    <row r="681" spans="1:17" x14ac:dyDescent="0.25">
      <c r="A681" t="s">
        <v>1672</v>
      </c>
      <c r="B681" t="s">
        <v>1673</v>
      </c>
      <c r="C681">
        <v>29.69</v>
      </c>
      <c r="D681" t="s">
        <v>1660</v>
      </c>
      <c r="E681" t="str">
        <f t="shared" si="16"/>
        <v>. Site Lights</v>
      </c>
      <c r="F681">
        <v>75</v>
      </c>
      <c r="H681" t="b">
        <v>0</v>
      </c>
      <c r="I681">
        <v>0</v>
      </c>
      <c r="L681" s="188">
        <f>IFERROR(_xlfn.XLOOKUP(A681,[1]Fleet!A:A,[1]Fleet!E:E,""),"")</f>
        <v>4</v>
      </c>
      <c r="M681" s="188" t="s">
        <v>22</v>
      </c>
      <c r="N681" s="188" t="s">
        <v>22</v>
      </c>
      <c r="O681" s="198" t="s">
        <v>1661</v>
      </c>
      <c r="P681">
        <v>686</v>
      </c>
      <c r="Q681">
        <f>_xlfn.XLOOKUP(A681,'[1]Classic Net to delete'!D:D,'[1]Classic Net to delete'!AA:AA,0)</f>
        <v>0</v>
      </c>
    </row>
    <row r="682" spans="1:17" x14ac:dyDescent="0.25">
      <c r="A682" t="s">
        <v>1674</v>
      </c>
      <c r="B682" t="s">
        <v>1675</v>
      </c>
      <c r="C682">
        <v>0</v>
      </c>
      <c r="D682" t="s">
        <v>1660</v>
      </c>
      <c r="E682" t="str">
        <f t="shared" si="16"/>
        <v>. Site Lights</v>
      </c>
      <c r="F682">
        <v>75</v>
      </c>
      <c r="H682" t="b">
        <v>0</v>
      </c>
      <c r="I682">
        <v>0</v>
      </c>
      <c r="L682" s="188">
        <f>IFERROR(_xlfn.XLOOKUP(A682,[1]Fleet!A:A,[1]Fleet!E:E,""),"")</f>
        <v>2</v>
      </c>
      <c r="M682" s="188" t="s">
        <v>22</v>
      </c>
      <c r="N682" s="188" t="s">
        <v>22</v>
      </c>
      <c r="O682" s="198" t="s">
        <v>1661</v>
      </c>
      <c r="P682">
        <v>681</v>
      </c>
      <c r="Q682">
        <f>_xlfn.XLOOKUP(A682,'[1]Classic Net to delete'!D:D,'[1]Classic Net to delete'!AA:AA,0)</f>
        <v>0</v>
      </c>
    </row>
    <row r="683" spans="1:17" x14ac:dyDescent="0.25">
      <c r="A683" t="s">
        <v>1674</v>
      </c>
      <c r="B683" t="s">
        <v>1676</v>
      </c>
      <c r="C683">
        <v>0</v>
      </c>
      <c r="D683" t="s">
        <v>1660</v>
      </c>
      <c r="E683" t="str">
        <f t="shared" si="16"/>
        <v>. Site Lights</v>
      </c>
      <c r="F683">
        <v>75</v>
      </c>
      <c r="H683" t="b">
        <v>0</v>
      </c>
      <c r="I683">
        <v>0</v>
      </c>
      <c r="L683" s="188">
        <f>IFERROR(_xlfn.XLOOKUP(A683,[1]Fleet!A:A,[1]Fleet!E:E,""),"")</f>
        <v>2</v>
      </c>
      <c r="M683" s="188" t="s">
        <v>22</v>
      </c>
      <c r="N683" s="188" t="s">
        <v>22</v>
      </c>
      <c r="O683" s="198" t="s">
        <v>1661</v>
      </c>
      <c r="P683">
        <v>682</v>
      </c>
      <c r="Q683">
        <f>_xlfn.XLOOKUP(A683,'[1]Classic Net to delete'!D:D,'[1]Classic Net to delete'!AA:AA,0)</f>
        <v>0</v>
      </c>
    </row>
    <row r="684" spans="1:17" x14ac:dyDescent="0.25">
      <c r="A684" t="s">
        <v>1677</v>
      </c>
      <c r="B684" t="s">
        <v>1678</v>
      </c>
      <c r="C684">
        <v>23.97</v>
      </c>
      <c r="D684" t="s">
        <v>1660</v>
      </c>
      <c r="E684" t="str">
        <f t="shared" si="16"/>
        <v>01. Task Lights</v>
      </c>
      <c r="F684">
        <v>75</v>
      </c>
      <c r="H684" t="b">
        <v>1</v>
      </c>
      <c r="I684">
        <v>624</v>
      </c>
      <c r="K684" s="192" t="s">
        <v>21</v>
      </c>
      <c r="L684" s="188">
        <f>IFERROR(_xlfn.XLOOKUP(A684,[1]Fleet!A:A,[1]Fleet!E:E,""),"")</f>
        <v>5</v>
      </c>
      <c r="M684" s="188">
        <v>22.400000000000002</v>
      </c>
      <c r="N684" s="188" t="s">
        <v>1679</v>
      </c>
      <c r="O684" s="198" t="s">
        <v>1680</v>
      </c>
      <c r="P684">
        <v>687</v>
      </c>
      <c r="Q684">
        <f>_xlfn.XLOOKUP(A684,'[1]Classic Net to delete'!D:D,'[1]Classic Net to delete'!AA:AA,0)</f>
        <v>624</v>
      </c>
    </row>
    <row r="685" spans="1:17" x14ac:dyDescent="0.25">
      <c r="A685" t="s">
        <v>1681</v>
      </c>
      <c r="B685" t="s">
        <v>1682</v>
      </c>
      <c r="C685">
        <v>74.150000000000006</v>
      </c>
      <c r="D685" t="s">
        <v>1660</v>
      </c>
      <c r="E685" t="str">
        <f t="shared" si="16"/>
        <v>01. Task Lights</v>
      </c>
      <c r="F685">
        <v>75</v>
      </c>
      <c r="H685" t="b">
        <v>1</v>
      </c>
      <c r="I685">
        <v>625</v>
      </c>
      <c r="K685" s="192" t="s">
        <v>21</v>
      </c>
      <c r="L685" s="188">
        <f>IFERROR(_xlfn.XLOOKUP(A685,[1]Fleet!A:A,[1]Fleet!E:E,""),"")</f>
        <v>62</v>
      </c>
      <c r="M685" s="188">
        <v>69.3</v>
      </c>
      <c r="N685" s="188" t="s">
        <v>1683</v>
      </c>
      <c r="O685" s="198" t="s">
        <v>1680</v>
      </c>
      <c r="P685">
        <v>675</v>
      </c>
      <c r="Q685">
        <f>_xlfn.XLOOKUP(A685,'[1]Classic Net to delete'!D:D,'[1]Classic Net to delete'!AA:AA,0)</f>
        <v>625</v>
      </c>
    </row>
    <row r="686" spans="1:17" x14ac:dyDescent="0.25">
      <c r="A686" t="s">
        <v>1684</v>
      </c>
      <c r="B686" t="s">
        <v>1685</v>
      </c>
      <c r="C686">
        <v>29.69</v>
      </c>
      <c r="D686" t="s">
        <v>1660</v>
      </c>
      <c r="E686" t="str">
        <f t="shared" si="16"/>
        <v>01. Task Lights</v>
      </c>
      <c r="F686">
        <v>75</v>
      </c>
      <c r="H686" t="b">
        <v>1</v>
      </c>
      <c r="I686">
        <v>626</v>
      </c>
      <c r="K686" s="192" t="s">
        <v>21</v>
      </c>
      <c r="L686" s="188">
        <f>IFERROR(_xlfn.XLOOKUP(A686,[1]Fleet!A:A,[1]Fleet!E:E,""),"")</f>
        <v>46</v>
      </c>
      <c r="M686" s="188">
        <v>27.75</v>
      </c>
      <c r="N686" s="188" t="s">
        <v>1686</v>
      </c>
      <c r="O686" s="198" t="s">
        <v>1680</v>
      </c>
      <c r="P686">
        <v>678</v>
      </c>
      <c r="Q686">
        <f>_xlfn.XLOOKUP(A686,'[1]Classic Net to delete'!D:D,'[1]Classic Net to delete'!AA:AA,0)</f>
        <v>626</v>
      </c>
    </row>
    <row r="687" spans="1:17" x14ac:dyDescent="0.25">
      <c r="A687" t="s">
        <v>1687</v>
      </c>
      <c r="B687" t="s">
        <v>1688</v>
      </c>
      <c r="C687">
        <v>24.34</v>
      </c>
      <c r="D687" t="s">
        <v>1660</v>
      </c>
      <c r="E687" t="str">
        <f t="shared" si="16"/>
        <v>01. Task Lights</v>
      </c>
      <c r="F687">
        <v>75</v>
      </c>
      <c r="H687" t="b">
        <v>1</v>
      </c>
      <c r="I687">
        <v>627</v>
      </c>
      <c r="K687" s="192" t="s">
        <v>21</v>
      </c>
      <c r="L687" s="188">
        <f>IFERROR(_xlfn.XLOOKUP(A687,[1]Fleet!A:A,[1]Fleet!E:E,""),"")</f>
        <v>3</v>
      </c>
      <c r="M687" s="188">
        <v>22.75</v>
      </c>
      <c r="N687" s="188" t="s">
        <v>1689</v>
      </c>
      <c r="O687" s="198" t="s">
        <v>1680</v>
      </c>
      <c r="P687">
        <v>667</v>
      </c>
      <c r="Q687">
        <f>_xlfn.XLOOKUP(A687,'[1]Classic Net to delete'!D:D,'[1]Classic Net to delete'!AA:AA,0)</f>
        <v>627</v>
      </c>
    </row>
    <row r="688" spans="1:17" x14ac:dyDescent="0.25">
      <c r="A688" t="s">
        <v>1690</v>
      </c>
      <c r="B688" t="s">
        <v>1691</v>
      </c>
      <c r="C688">
        <v>25.68</v>
      </c>
      <c r="D688" t="s">
        <v>1660</v>
      </c>
      <c r="E688" t="str">
        <f t="shared" si="16"/>
        <v>01. Task Lights</v>
      </c>
      <c r="F688">
        <v>75</v>
      </c>
      <c r="H688" t="b">
        <v>1</v>
      </c>
      <c r="I688">
        <v>628</v>
      </c>
      <c r="K688" s="192" t="s">
        <v>21</v>
      </c>
      <c r="L688" s="188">
        <f>IFERROR(_xlfn.XLOOKUP(A688,[1]Fleet!A:A,[1]Fleet!E:E,""),"")</f>
        <v>235</v>
      </c>
      <c r="M688" s="188">
        <v>24</v>
      </c>
      <c r="N688" s="188" t="s">
        <v>1692</v>
      </c>
      <c r="O688" s="198" t="s">
        <v>1680</v>
      </c>
      <c r="P688">
        <v>679</v>
      </c>
      <c r="Q688">
        <f>_xlfn.XLOOKUP(A688,'[1]Classic Net to delete'!D:D,'[1]Classic Net to delete'!AA:AA,0)</f>
        <v>628</v>
      </c>
    </row>
    <row r="689" spans="1:17" x14ac:dyDescent="0.25">
      <c r="A689" t="s">
        <v>1693</v>
      </c>
      <c r="B689" t="s">
        <v>1694</v>
      </c>
      <c r="C689">
        <v>47.03</v>
      </c>
      <c r="D689" t="s">
        <v>1660</v>
      </c>
      <c r="E689" t="str">
        <f t="shared" si="16"/>
        <v>01. Task Lights</v>
      </c>
      <c r="F689">
        <v>75</v>
      </c>
      <c r="H689" t="b">
        <v>1</v>
      </c>
      <c r="I689">
        <v>629</v>
      </c>
      <c r="K689" s="192" t="s">
        <v>21</v>
      </c>
      <c r="L689" s="188">
        <f>IFERROR(_xlfn.XLOOKUP(A689,[1]Fleet!A:A,[1]Fleet!E:E,""),"")</f>
        <v>16</v>
      </c>
      <c r="M689" s="188">
        <v>43.95</v>
      </c>
      <c r="N689" s="188" t="s">
        <v>1695</v>
      </c>
      <c r="O689" s="198" t="s">
        <v>1680</v>
      </c>
      <c r="P689">
        <v>680</v>
      </c>
      <c r="Q689">
        <f>_xlfn.XLOOKUP(A689,'[1]Classic Net to delete'!D:D,'[1]Classic Net to delete'!AA:AA,0)</f>
        <v>629</v>
      </c>
    </row>
    <row r="690" spans="1:17" x14ac:dyDescent="0.25">
      <c r="A690" t="s">
        <v>1696</v>
      </c>
      <c r="B690" t="s">
        <v>1697</v>
      </c>
      <c r="C690">
        <v>38.200000000000003</v>
      </c>
      <c r="D690" t="s">
        <v>1660</v>
      </c>
      <c r="E690" t="str">
        <f t="shared" si="16"/>
        <v>01. Task Lights</v>
      </c>
      <c r="F690">
        <v>75</v>
      </c>
      <c r="H690" t="b">
        <v>1</v>
      </c>
      <c r="I690">
        <v>630</v>
      </c>
      <c r="K690" s="192" t="s">
        <v>21</v>
      </c>
      <c r="L690" s="188">
        <f>IFERROR(_xlfn.XLOOKUP(A690,[1]Fleet!A:A,[1]Fleet!E:E,""),"")</f>
        <v>1</v>
      </c>
      <c r="M690" s="188">
        <v>35.700000000000003</v>
      </c>
      <c r="N690" s="188" t="s">
        <v>1698</v>
      </c>
      <c r="O690" s="198" t="s">
        <v>1680</v>
      </c>
      <c r="P690">
        <v>668</v>
      </c>
      <c r="Q690">
        <f>_xlfn.XLOOKUP(A690,'[1]Classic Net to delete'!D:D,'[1]Classic Net to delete'!AA:AA,0)</f>
        <v>630</v>
      </c>
    </row>
    <row r="691" spans="1:17" x14ac:dyDescent="0.25">
      <c r="A691" t="s">
        <v>1699</v>
      </c>
      <c r="B691" t="s">
        <v>1700</v>
      </c>
      <c r="C691">
        <v>48.2</v>
      </c>
      <c r="D691" t="s">
        <v>1660</v>
      </c>
      <c r="E691" t="str">
        <f t="shared" si="16"/>
        <v>01. Task Lights</v>
      </c>
      <c r="F691">
        <v>75</v>
      </c>
      <c r="H691" t="b">
        <v>1</v>
      </c>
      <c r="I691">
        <v>631</v>
      </c>
      <c r="K691" s="192" t="s">
        <v>21</v>
      </c>
      <c r="L691" s="188">
        <f>IFERROR(_xlfn.XLOOKUP(A691,[1]Fleet!A:A,[1]Fleet!E:E,""),"")</f>
        <v>80</v>
      </c>
      <c r="M691" s="188">
        <v>45.050000000000004</v>
      </c>
      <c r="N691" s="188" t="s">
        <v>1700</v>
      </c>
      <c r="O691" s="198" t="s">
        <v>1680</v>
      </c>
      <c r="P691">
        <v>676</v>
      </c>
      <c r="Q691">
        <f>_xlfn.XLOOKUP(A691,'[1]Classic Net to delete'!D:D,'[1]Classic Net to delete'!AA:AA,0)</f>
        <v>631</v>
      </c>
    </row>
    <row r="692" spans="1:17" x14ac:dyDescent="0.25">
      <c r="A692" t="s">
        <v>1701</v>
      </c>
      <c r="B692" t="s">
        <v>1702</v>
      </c>
      <c r="C692">
        <v>15.46</v>
      </c>
      <c r="D692" t="s">
        <v>1660</v>
      </c>
      <c r="E692" t="str">
        <f t="shared" si="16"/>
        <v>02. Floodlights</v>
      </c>
      <c r="F692">
        <v>75</v>
      </c>
      <c r="H692" t="b">
        <v>1</v>
      </c>
      <c r="I692">
        <v>634</v>
      </c>
      <c r="K692" s="192" t="s">
        <v>54</v>
      </c>
      <c r="L692" s="188">
        <f>IFERROR(_xlfn.XLOOKUP(A692,[1]Fleet!A:A,[1]Fleet!E:E,""),"")</f>
        <v>61</v>
      </c>
      <c r="M692" s="188">
        <v>14.450000000000001</v>
      </c>
      <c r="N692" s="188" t="s">
        <v>1703</v>
      </c>
      <c r="O692" s="198" t="s">
        <v>1704</v>
      </c>
      <c r="P692">
        <v>683</v>
      </c>
      <c r="Q692">
        <f>_xlfn.XLOOKUP(A692,'[1]Classic Net to delete'!D:D,'[1]Classic Net to delete'!AA:AA,0)</f>
        <v>634</v>
      </c>
    </row>
    <row r="693" spans="1:17" x14ac:dyDescent="0.25">
      <c r="A693" t="s">
        <v>1705</v>
      </c>
      <c r="B693" t="s">
        <v>1706</v>
      </c>
      <c r="C693">
        <v>25.57</v>
      </c>
      <c r="D693" t="s">
        <v>1660</v>
      </c>
      <c r="E693" t="str">
        <f t="shared" si="16"/>
        <v>02. Floodlights</v>
      </c>
      <c r="F693">
        <v>75</v>
      </c>
      <c r="H693" t="b">
        <v>1</v>
      </c>
      <c r="I693">
        <v>635</v>
      </c>
      <c r="K693" s="192" t="s">
        <v>54</v>
      </c>
      <c r="L693" s="188">
        <f>IFERROR(_xlfn.XLOOKUP(A693,[1]Fleet!A:A,[1]Fleet!E:E,""),"")</f>
        <v>28</v>
      </c>
      <c r="M693" s="188">
        <v>23.900000000000002</v>
      </c>
      <c r="N693" s="188" t="s">
        <v>1707</v>
      </c>
      <c r="O693" s="198" t="s">
        <v>1704</v>
      </c>
      <c r="P693">
        <v>684</v>
      </c>
      <c r="Q693">
        <f>_xlfn.XLOOKUP(A693,'[1]Classic Net to delete'!D:D,'[1]Classic Net to delete'!AA:AA,0)</f>
        <v>635</v>
      </c>
    </row>
    <row r="694" spans="1:17" x14ac:dyDescent="0.25">
      <c r="A694" t="s">
        <v>1708</v>
      </c>
      <c r="B694" t="s">
        <v>1709</v>
      </c>
      <c r="C694">
        <v>20.22</v>
      </c>
      <c r="D694" t="s">
        <v>1660</v>
      </c>
      <c r="E694" t="str">
        <f t="shared" si="16"/>
        <v>02. Floodlights</v>
      </c>
      <c r="F694">
        <v>75</v>
      </c>
      <c r="H694" t="b">
        <v>1</v>
      </c>
      <c r="I694">
        <v>636</v>
      </c>
      <c r="K694" s="192" t="s">
        <v>54</v>
      </c>
      <c r="L694" s="188">
        <f>IFERROR(_xlfn.XLOOKUP(A694,[1]Fleet!A:A,[1]Fleet!E:E,""),"")</f>
        <v>15</v>
      </c>
      <c r="M694" s="188">
        <v>18.900000000000002</v>
      </c>
      <c r="N694" s="188" t="s">
        <v>1709</v>
      </c>
      <c r="O694" s="198" t="s">
        <v>1704</v>
      </c>
      <c r="P694">
        <v>669</v>
      </c>
      <c r="Q694">
        <f>_xlfn.XLOOKUP(A694,'[1]Classic Net to delete'!D:D,'[1]Classic Net to delete'!AA:AA,0)</f>
        <v>636</v>
      </c>
    </row>
    <row r="695" spans="1:17" x14ac:dyDescent="0.25">
      <c r="A695" t="s">
        <v>1710</v>
      </c>
      <c r="B695" t="s">
        <v>1711</v>
      </c>
      <c r="C695">
        <v>61.2</v>
      </c>
      <c r="D695" t="s">
        <v>1660</v>
      </c>
      <c r="E695" t="str">
        <f t="shared" si="16"/>
        <v>02. Floodlights</v>
      </c>
      <c r="F695">
        <v>75</v>
      </c>
      <c r="H695" t="b">
        <v>1</v>
      </c>
      <c r="I695">
        <v>637</v>
      </c>
      <c r="K695" s="192" t="s">
        <v>54</v>
      </c>
      <c r="L695" s="188">
        <f>IFERROR(_xlfn.XLOOKUP(A695,[1]Fleet!A:A,[1]Fleet!E:E,""),"")</f>
        <v>6</v>
      </c>
      <c r="M695" s="188">
        <v>57.2</v>
      </c>
      <c r="N695" s="188" t="s">
        <v>1712</v>
      </c>
      <c r="O695" s="198" t="s">
        <v>1704</v>
      </c>
      <c r="P695">
        <v>673</v>
      </c>
      <c r="Q695">
        <f>_xlfn.XLOOKUP(A695,'[1]Classic Net to delete'!D:D,'[1]Classic Net to delete'!AA:AA,0)</f>
        <v>637</v>
      </c>
    </row>
    <row r="696" spans="1:17" x14ac:dyDescent="0.25">
      <c r="A696" t="s">
        <v>1713</v>
      </c>
      <c r="B696" t="s">
        <v>1714</v>
      </c>
      <c r="C696">
        <v>30.39</v>
      </c>
      <c r="D696" t="s">
        <v>1660</v>
      </c>
      <c r="E696" t="str">
        <f t="shared" si="16"/>
        <v>03. Site Lighting</v>
      </c>
      <c r="F696">
        <v>75</v>
      </c>
      <c r="H696" t="b">
        <v>1</v>
      </c>
      <c r="I696">
        <v>640</v>
      </c>
      <c r="K696" s="192" t="s">
        <v>85</v>
      </c>
      <c r="L696" s="188">
        <f>IFERROR(_xlfn.XLOOKUP(A696,[1]Fleet!A:A,[1]Fleet!E:E,""),"")</f>
        <v>22</v>
      </c>
      <c r="M696" s="188">
        <v>28.400000000000002</v>
      </c>
      <c r="N696" s="188" t="s">
        <v>1714</v>
      </c>
      <c r="O696" s="198" t="s">
        <v>1715</v>
      </c>
      <c r="P696">
        <v>674</v>
      </c>
      <c r="Q696">
        <f>_xlfn.XLOOKUP(A696,'[1]Classic Net to delete'!D:D,'[1]Classic Net to delete'!AA:AA,0)</f>
        <v>640</v>
      </c>
    </row>
    <row r="697" spans="1:17" x14ac:dyDescent="0.25">
      <c r="A697" t="s">
        <v>1716</v>
      </c>
      <c r="B697" t="s">
        <v>1717</v>
      </c>
      <c r="C697">
        <v>0</v>
      </c>
      <c r="D697" t="s">
        <v>1660</v>
      </c>
      <c r="E697" t="str">
        <f t="shared" si="16"/>
        <v>03. Site Lighting</v>
      </c>
      <c r="F697">
        <v>75</v>
      </c>
      <c r="H697" t="b">
        <v>0</v>
      </c>
      <c r="I697">
        <v>641</v>
      </c>
      <c r="K697" s="192" t="s">
        <v>85</v>
      </c>
      <c r="L697" s="188">
        <f>IFERROR(_xlfn.XLOOKUP(A697,[1]Fleet!A:A,[1]Fleet!E:E,""),"")</f>
        <v>0</v>
      </c>
      <c r="M697" s="188">
        <v>23.900000000000002</v>
      </c>
      <c r="N697" s="188" t="s">
        <v>1718</v>
      </c>
      <c r="O697" s="198" t="s">
        <v>1715</v>
      </c>
      <c r="P697">
        <v>677</v>
      </c>
      <c r="Q697">
        <f>_xlfn.XLOOKUP(A697,'[1]Classic Net to delete'!D:D,'[1]Classic Net to delete'!AA:AA,0)</f>
        <v>641</v>
      </c>
    </row>
    <row r="698" spans="1:17" x14ac:dyDescent="0.25">
      <c r="A698" t="s">
        <v>1719</v>
      </c>
      <c r="B698" t="s">
        <v>1720</v>
      </c>
      <c r="C698">
        <v>7.92</v>
      </c>
      <c r="D698" t="s">
        <v>1660</v>
      </c>
      <c r="E698" t="str">
        <f t="shared" si="16"/>
        <v>03. Site Lighting</v>
      </c>
      <c r="F698">
        <v>75</v>
      </c>
      <c r="H698" t="b">
        <v>1</v>
      </c>
      <c r="I698">
        <v>643</v>
      </c>
      <c r="K698" s="192" t="s">
        <v>85</v>
      </c>
      <c r="L698" s="188">
        <f>IFERROR(_xlfn.XLOOKUP(A698,[1]Fleet!A:A,[1]Fleet!E:E,""),"")</f>
        <v>12</v>
      </c>
      <c r="M698" s="188">
        <v>7.4</v>
      </c>
      <c r="N698" s="188" t="s">
        <v>1721</v>
      </c>
      <c r="O698" s="198" t="s">
        <v>1715</v>
      </c>
      <c r="P698">
        <v>671</v>
      </c>
      <c r="Q698">
        <f>_xlfn.XLOOKUP(A698,'[1]Classic Net to delete'!D:D,'[1]Classic Net to delete'!AA:AA,0)</f>
        <v>643</v>
      </c>
    </row>
    <row r="699" spans="1:17" x14ac:dyDescent="0.25">
      <c r="A699" t="s">
        <v>1722</v>
      </c>
      <c r="B699" t="s">
        <v>1723</v>
      </c>
      <c r="C699">
        <v>87.74</v>
      </c>
      <c r="D699" t="s">
        <v>1724</v>
      </c>
      <c r="E699" t="str">
        <f t="shared" si="16"/>
        <v>. Painting and Preparation</v>
      </c>
      <c r="F699">
        <v>75</v>
      </c>
      <c r="H699" t="b">
        <v>0</v>
      </c>
      <c r="I699">
        <v>0</v>
      </c>
      <c r="L699" s="188">
        <f>IFERROR(_xlfn.XLOOKUP(A699,[1]Fleet!A:A,[1]Fleet!E:E,""),"")</f>
        <v>2</v>
      </c>
      <c r="M699" s="188" t="s">
        <v>22</v>
      </c>
      <c r="N699" s="188" t="s">
        <v>22</v>
      </c>
      <c r="O699" s="198" t="s">
        <v>1725</v>
      </c>
      <c r="P699">
        <v>697</v>
      </c>
      <c r="Q699">
        <f>_xlfn.XLOOKUP(A699,'[1]Classic Net to delete'!D:D,'[1]Classic Net to delete'!AA:AA,0)</f>
        <v>0</v>
      </c>
    </row>
    <row r="700" spans="1:17" x14ac:dyDescent="0.25">
      <c r="A700" t="s">
        <v>1726</v>
      </c>
      <c r="B700" t="s">
        <v>1727</v>
      </c>
      <c r="C700">
        <v>0</v>
      </c>
      <c r="D700" t="s">
        <v>1724</v>
      </c>
      <c r="E700" t="str">
        <f t="shared" si="16"/>
        <v>. Painting and Preparation</v>
      </c>
      <c r="F700">
        <v>75</v>
      </c>
      <c r="H700" t="b">
        <v>0</v>
      </c>
      <c r="I700">
        <v>0</v>
      </c>
      <c r="L700" s="188">
        <f>IFERROR(_xlfn.XLOOKUP(A700,[1]Fleet!A:A,[1]Fleet!E:E,""),"")</f>
        <v>0</v>
      </c>
      <c r="M700" s="188" t="s">
        <v>22</v>
      </c>
      <c r="N700" s="188" t="s">
        <v>22</v>
      </c>
      <c r="O700" s="198" t="s">
        <v>1725</v>
      </c>
      <c r="P700">
        <v>695</v>
      </c>
      <c r="Q700">
        <f>_xlfn.XLOOKUP(A700,'[1]Classic Net to delete'!D:D,'[1]Classic Net to delete'!AA:AA,0)</f>
        <v>0</v>
      </c>
    </row>
    <row r="701" spans="1:17" x14ac:dyDescent="0.25">
      <c r="A701" t="s">
        <v>1728</v>
      </c>
      <c r="B701" t="s">
        <v>1729</v>
      </c>
      <c r="C701">
        <v>0</v>
      </c>
      <c r="D701" t="s">
        <v>1724</v>
      </c>
      <c r="E701" t="str">
        <f t="shared" si="16"/>
        <v>01. Paint Spraying</v>
      </c>
      <c r="F701">
        <v>75</v>
      </c>
      <c r="H701" t="b">
        <v>0</v>
      </c>
      <c r="I701">
        <v>532</v>
      </c>
      <c r="K701" s="192" t="s">
        <v>21</v>
      </c>
      <c r="L701" s="188">
        <f>IFERROR(_xlfn.XLOOKUP(A701,[1]Fleet!A:A,[1]Fleet!E:E,""),"")</f>
        <v>4</v>
      </c>
      <c r="M701" s="188">
        <v>199.9</v>
      </c>
      <c r="N701" s="188" t="s">
        <v>1729</v>
      </c>
      <c r="O701" s="198" t="s">
        <v>1730</v>
      </c>
      <c r="P701">
        <v>691</v>
      </c>
      <c r="Q701">
        <f>_xlfn.XLOOKUP(A701,'[1]Classic Net to delete'!D:D,'[1]Classic Net to delete'!AA:AA,0)</f>
        <v>532</v>
      </c>
    </row>
    <row r="702" spans="1:17" x14ac:dyDescent="0.25">
      <c r="A702" t="s">
        <v>1731</v>
      </c>
      <c r="B702" t="s">
        <v>1732</v>
      </c>
      <c r="C702">
        <v>21.19</v>
      </c>
      <c r="D702" t="s">
        <v>1724</v>
      </c>
      <c r="E702" t="str">
        <f t="shared" si="16"/>
        <v>01. Paint Spraying</v>
      </c>
      <c r="F702">
        <v>75</v>
      </c>
      <c r="H702" t="b">
        <v>1</v>
      </c>
      <c r="I702">
        <v>533</v>
      </c>
      <c r="K702" s="192" t="s">
        <v>21</v>
      </c>
      <c r="L702" s="188" t="str">
        <f>IFERROR(_xlfn.XLOOKUP(A702,[1]Fleet!A:A,[1]Fleet!E:E,""),"")</f>
        <v/>
      </c>
      <c r="M702" s="188">
        <v>19.8</v>
      </c>
      <c r="N702" s="188" t="s">
        <v>1733</v>
      </c>
      <c r="O702" s="198" t="s">
        <v>1730</v>
      </c>
      <c r="P702">
        <v>701</v>
      </c>
      <c r="Q702">
        <f>_xlfn.XLOOKUP(A702,'[1]Classic Net to delete'!D:D,'[1]Classic Net to delete'!AA:AA,0)</f>
        <v>533</v>
      </c>
    </row>
    <row r="703" spans="1:17" x14ac:dyDescent="0.25">
      <c r="A703" t="s">
        <v>1734</v>
      </c>
      <c r="B703" t="s">
        <v>1735</v>
      </c>
      <c r="C703">
        <v>3.8000000000000003</v>
      </c>
      <c r="D703" t="s">
        <v>1724</v>
      </c>
      <c r="E703" t="str">
        <f t="shared" si="16"/>
        <v>01. Paint Spraying</v>
      </c>
      <c r="F703">
        <v>75</v>
      </c>
      <c r="H703" t="b">
        <v>1</v>
      </c>
      <c r="I703">
        <v>534</v>
      </c>
      <c r="K703" s="192" t="s">
        <v>21</v>
      </c>
      <c r="L703" s="188" t="str">
        <f>IFERROR(_xlfn.XLOOKUP(A703,[1]Fleet!A:A,[1]Fleet!E:E,""),"")</f>
        <v/>
      </c>
      <c r="M703" s="188">
        <v>3.5500000000000003</v>
      </c>
      <c r="N703" s="188" t="s">
        <v>1735</v>
      </c>
      <c r="O703" s="198" t="s">
        <v>1730</v>
      </c>
      <c r="P703">
        <v>699</v>
      </c>
      <c r="Q703">
        <f>_xlfn.XLOOKUP(A703,'[1]Classic Net to delete'!D:D,'[1]Classic Net to delete'!AA:AA,0)</f>
        <v>534</v>
      </c>
    </row>
    <row r="704" spans="1:17" x14ac:dyDescent="0.25">
      <c r="A704" t="s">
        <v>1736</v>
      </c>
      <c r="B704" t="s">
        <v>1737</v>
      </c>
      <c r="C704">
        <v>43.87</v>
      </c>
      <c r="D704" t="s">
        <v>1724</v>
      </c>
      <c r="E704" t="str">
        <f t="shared" si="16"/>
        <v>02. General Decorating</v>
      </c>
      <c r="F704">
        <v>75</v>
      </c>
      <c r="H704" t="b">
        <v>1</v>
      </c>
      <c r="I704">
        <v>538</v>
      </c>
      <c r="K704" s="192" t="s">
        <v>54</v>
      </c>
      <c r="L704" s="188">
        <f>IFERROR(_xlfn.XLOOKUP(A704,[1]Fleet!A:A,[1]Fleet!E:E,""),"")</f>
        <v>12</v>
      </c>
      <c r="M704" s="188">
        <v>41</v>
      </c>
      <c r="N704" s="188" t="s">
        <v>1738</v>
      </c>
      <c r="O704" s="198" t="s">
        <v>1739</v>
      </c>
      <c r="P704">
        <v>694</v>
      </c>
      <c r="Q704">
        <f>_xlfn.XLOOKUP(A704,'[1]Classic Net to delete'!D:D,'[1]Classic Net to delete'!AA:AA,0)</f>
        <v>538</v>
      </c>
    </row>
    <row r="705" spans="1:17" x14ac:dyDescent="0.25">
      <c r="A705" t="s">
        <v>1740</v>
      </c>
      <c r="B705" t="s">
        <v>1741</v>
      </c>
      <c r="C705">
        <v>10.75</v>
      </c>
      <c r="D705" t="s">
        <v>1724</v>
      </c>
      <c r="E705" t="str">
        <f t="shared" si="16"/>
        <v>02. General Decorating</v>
      </c>
      <c r="F705">
        <v>75</v>
      </c>
      <c r="H705" t="b">
        <v>1</v>
      </c>
      <c r="I705">
        <v>539</v>
      </c>
      <c r="K705" s="192" t="s">
        <v>54</v>
      </c>
      <c r="L705" s="188" t="str">
        <f>IFERROR(_xlfn.XLOOKUP(A705,[1]Fleet!A:A,[1]Fleet!E:E,""),"")</f>
        <v/>
      </c>
      <c r="M705" s="188">
        <v>10.050000000000001</v>
      </c>
      <c r="N705" s="188" t="s">
        <v>1742</v>
      </c>
      <c r="O705" s="198" t="s">
        <v>1739</v>
      </c>
      <c r="P705">
        <v>700</v>
      </c>
      <c r="Q705">
        <f>_xlfn.XLOOKUP(A705,'[1]Classic Net to delete'!D:D,'[1]Classic Net to delete'!AA:AA,0)</f>
        <v>539</v>
      </c>
    </row>
    <row r="706" spans="1:17" x14ac:dyDescent="0.25">
      <c r="A706" t="s">
        <v>1743</v>
      </c>
      <c r="B706" t="s">
        <v>1744</v>
      </c>
      <c r="C706">
        <v>75.38</v>
      </c>
      <c r="D706" t="s">
        <v>1724</v>
      </c>
      <c r="E706" t="str">
        <f t="shared" si="16"/>
        <v>02. General Decorating</v>
      </c>
      <c r="F706">
        <v>75</v>
      </c>
      <c r="H706" t="b">
        <v>1</v>
      </c>
      <c r="I706">
        <v>540</v>
      </c>
      <c r="K706" s="192" t="s">
        <v>54</v>
      </c>
      <c r="L706" s="188">
        <f>IFERROR(_xlfn.XLOOKUP(A706,[1]Fleet!A:A,[1]Fleet!E:E,""),"")</f>
        <v>19</v>
      </c>
      <c r="M706" s="188">
        <v>70.45</v>
      </c>
      <c r="N706" s="188" t="s">
        <v>1744</v>
      </c>
      <c r="O706" s="198" t="s">
        <v>1739</v>
      </c>
      <c r="P706">
        <v>693</v>
      </c>
      <c r="Q706">
        <f>_xlfn.XLOOKUP(A706,'[1]Classic Net to delete'!D:D,'[1]Classic Net to delete'!AA:AA,0)</f>
        <v>540</v>
      </c>
    </row>
    <row r="707" spans="1:17" x14ac:dyDescent="0.25">
      <c r="A707" t="s">
        <v>1745</v>
      </c>
      <c r="B707" t="s">
        <v>1746</v>
      </c>
      <c r="C707">
        <v>101.17</v>
      </c>
      <c r="D707" t="s">
        <v>1724</v>
      </c>
      <c r="E707" t="str">
        <f t="shared" si="16"/>
        <v>02. General Decorating</v>
      </c>
      <c r="F707">
        <v>75</v>
      </c>
      <c r="H707" t="b">
        <v>1</v>
      </c>
      <c r="I707">
        <v>541</v>
      </c>
      <c r="K707" s="192" t="s">
        <v>54</v>
      </c>
      <c r="L707" s="188">
        <f>IFERROR(_xlfn.XLOOKUP(A707,[1]Fleet!A:A,[1]Fleet!E:E,""),"")</f>
        <v>4</v>
      </c>
      <c r="M707" s="188">
        <v>94.550000000000011</v>
      </c>
      <c r="N707" s="188" t="s">
        <v>1746</v>
      </c>
      <c r="O707" s="198" t="s">
        <v>1739</v>
      </c>
      <c r="P707">
        <v>698</v>
      </c>
      <c r="Q707">
        <f>_xlfn.XLOOKUP(A707,'[1]Classic Net to delete'!D:D,'[1]Classic Net to delete'!AA:AA,0)</f>
        <v>541</v>
      </c>
    </row>
    <row r="708" spans="1:17" x14ac:dyDescent="0.25">
      <c r="A708" t="s">
        <v>1747</v>
      </c>
      <c r="B708" t="s">
        <v>1748</v>
      </c>
      <c r="C708">
        <v>28.36</v>
      </c>
      <c r="D708" t="s">
        <v>1724</v>
      </c>
      <c r="E708" t="str">
        <f t="shared" si="16"/>
        <v>02. General Decorating</v>
      </c>
      <c r="F708">
        <v>75</v>
      </c>
      <c r="H708" t="b">
        <v>1</v>
      </c>
      <c r="I708">
        <v>542</v>
      </c>
      <c r="K708" s="192" t="s">
        <v>54</v>
      </c>
      <c r="L708" s="188">
        <f>IFERROR(_xlfn.XLOOKUP(A708,[1]Fleet!A:A,[1]Fleet!E:E,""),"")</f>
        <v>16</v>
      </c>
      <c r="M708" s="188">
        <v>26.5</v>
      </c>
      <c r="N708" s="188" t="s">
        <v>1749</v>
      </c>
      <c r="O708" s="198" t="s">
        <v>1739</v>
      </c>
      <c r="P708">
        <v>692</v>
      </c>
      <c r="Q708">
        <f>_xlfn.XLOOKUP(A708,'[1]Classic Net to delete'!D:D,'[1]Classic Net to delete'!AA:AA,0)</f>
        <v>542</v>
      </c>
    </row>
    <row r="709" spans="1:17" x14ac:dyDescent="0.25">
      <c r="A709" t="s">
        <v>1750</v>
      </c>
      <c r="B709" t="s">
        <v>1751</v>
      </c>
      <c r="C709">
        <v>21.19</v>
      </c>
      <c r="D709" t="s">
        <v>1724</v>
      </c>
      <c r="E709" t="str">
        <f t="shared" ref="E709:E772" si="17">CONCATENATE(K709,". ",O709)</f>
        <v>02. General Decorating</v>
      </c>
      <c r="F709">
        <v>75</v>
      </c>
      <c r="H709" t="b">
        <v>1</v>
      </c>
      <c r="I709">
        <v>544</v>
      </c>
      <c r="K709" s="192" t="s">
        <v>54</v>
      </c>
      <c r="L709" s="188">
        <f>IFERROR(_xlfn.XLOOKUP(A709,[1]Fleet!A:A,[1]Fleet!E:E,""),"")</f>
        <v>3</v>
      </c>
      <c r="M709" s="188">
        <v>19.8</v>
      </c>
      <c r="N709" s="188" t="s">
        <v>1751</v>
      </c>
      <c r="O709" s="198" t="s">
        <v>1739</v>
      </c>
      <c r="P709">
        <v>696</v>
      </c>
      <c r="Q709">
        <f>_xlfn.XLOOKUP(A709,'[1]Classic Net to delete'!D:D,'[1]Classic Net to delete'!AA:AA,0)</f>
        <v>544</v>
      </c>
    </row>
    <row r="710" spans="1:17" x14ac:dyDescent="0.25">
      <c r="A710" t="s">
        <v>1752</v>
      </c>
      <c r="B710" t="s">
        <v>1753</v>
      </c>
      <c r="C710">
        <v>0</v>
      </c>
      <c r="D710" t="s">
        <v>1754</v>
      </c>
      <c r="E710" t="str">
        <f t="shared" si="17"/>
        <v>. Plant</v>
      </c>
      <c r="F710">
        <v>75</v>
      </c>
      <c r="H710" t="b">
        <v>0</v>
      </c>
      <c r="I710">
        <v>0</v>
      </c>
      <c r="L710" s="188" t="str">
        <f>IFERROR(_xlfn.XLOOKUP(A710,[1]Fleet!A:A,[1]Fleet!E:E,""),"")</f>
        <v/>
      </c>
      <c r="M710" s="188" t="s">
        <v>22</v>
      </c>
      <c r="N710" s="188" t="s">
        <v>22</v>
      </c>
      <c r="O710" s="198" t="s">
        <v>1755</v>
      </c>
      <c r="P710">
        <v>702</v>
      </c>
      <c r="Q710">
        <f>_xlfn.XLOOKUP(A710,'[1]Classic Net to delete'!D:D,'[1]Classic Net to delete'!AA:AA,0)</f>
        <v>0</v>
      </c>
    </row>
    <row r="711" spans="1:17" x14ac:dyDescent="0.25">
      <c r="A711" t="s">
        <v>1752</v>
      </c>
      <c r="B711" t="s">
        <v>1756</v>
      </c>
      <c r="C711">
        <v>0</v>
      </c>
      <c r="D711" t="s">
        <v>1754</v>
      </c>
      <c r="E711" t="str">
        <f t="shared" si="17"/>
        <v>. Plant</v>
      </c>
      <c r="F711">
        <v>75</v>
      </c>
      <c r="H711" t="b">
        <v>0</v>
      </c>
      <c r="I711">
        <v>0</v>
      </c>
      <c r="L711" s="188" t="str">
        <f>IFERROR(_xlfn.XLOOKUP(A711,[1]Fleet!A:A,[1]Fleet!E:E,""),"")</f>
        <v/>
      </c>
      <c r="M711" s="188" t="s">
        <v>22</v>
      </c>
      <c r="N711" s="188" t="s">
        <v>22</v>
      </c>
      <c r="O711" s="198" t="s">
        <v>1755</v>
      </c>
      <c r="P711">
        <v>703</v>
      </c>
      <c r="Q711">
        <f>_xlfn.XLOOKUP(A711,'[1]Classic Net to delete'!D:D,'[1]Classic Net to delete'!AA:AA,0)</f>
        <v>0</v>
      </c>
    </row>
    <row r="712" spans="1:17" x14ac:dyDescent="0.25">
      <c r="A712" t="s">
        <v>1752</v>
      </c>
      <c r="B712" t="s">
        <v>1757</v>
      </c>
      <c r="C712">
        <v>0</v>
      </c>
      <c r="D712" t="s">
        <v>1754</v>
      </c>
      <c r="E712" t="str">
        <f t="shared" si="17"/>
        <v>. Plant</v>
      </c>
      <c r="F712">
        <v>75</v>
      </c>
      <c r="H712" t="b">
        <v>0</v>
      </c>
      <c r="I712">
        <v>0</v>
      </c>
      <c r="L712" s="188" t="str">
        <f>IFERROR(_xlfn.XLOOKUP(A712,[1]Fleet!A:A,[1]Fleet!E:E,""),"")</f>
        <v/>
      </c>
      <c r="M712" s="188" t="s">
        <v>22</v>
      </c>
      <c r="N712" s="188" t="s">
        <v>22</v>
      </c>
      <c r="O712" s="198" t="s">
        <v>1755</v>
      </c>
      <c r="P712">
        <v>704</v>
      </c>
      <c r="Q712">
        <f>_xlfn.XLOOKUP(A712,'[1]Classic Net to delete'!D:D,'[1]Classic Net to delete'!AA:AA,0)</f>
        <v>0</v>
      </c>
    </row>
    <row r="713" spans="1:17" x14ac:dyDescent="0.25">
      <c r="A713" t="s">
        <v>1752</v>
      </c>
      <c r="B713" t="s">
        <v>1758</v>
      </c>
      <c r="C713">
        <v>0</v>
      </c>
      <c r="D713" t="s">
        <v>1754</v>
      </c>
      <c r="E713" t="str">
        <f t="shared" si="17"/>
        <v>. Plant</v>
      </c>
      <c r="F713">
        <v>75</v>
      </c>
      <c r="H713" t="b">
        <v>0</v>
      </c>
      <c r="I713">
        <v>0</v>
      </c>
      <c r="L713" s="188" t="str">
        <f>IFERROR(_xlfn.XLOOKUP(A713,[1]Fleet!A:A,[1]Fleet!E:E,""),"")</f>
        <v/>
      </c>
      <c r="M713" s="188" t="s">
        <v>22</v>
      </c>
      <c r="N713" s="188" t="s">
        <v>22</v>
      </c>
      <c r="O713" s="198" t="s">
        <v>1755</v>
      </c>
      <c r="P713">
        <v>705</v>
      </c>
      <c r="Q713">
        <f>_xlfn.XLOOKUP(A713,'[1]Classic Net to delete'!D:D,'[1]Classic Net to delete'!AA:AA,0)</f>
        <v>0</v>
      </c>
    </row>
    <row r="714" spans="1:17" x14ac:dyDescent="0.25">
      <c r="A714" t="s">
        <v>1752</v>
      </c>
      <c r="B714" t="s">
        <v>1759</v>
      </c>
      <c r="C714">
        <v>0</v>
      </c>
      <c r="D714" t="s">
        <v>1754</v>
      </c>
      <c r="E714" t="str">
        <f t="shared" si="17"/>
        <v>. Plant</v>
      </c>
      <c r="F714">
        <v>75</v>
      </c>
      <c r="H714" t="b">
        <v>0</v>
      </c>
      <c r="I714">
        <v>0</v>
      </c>
      <c r="L714" s="188" t="str">
        <f>IFERROR(_xlfn.XLOOKUP(A714,[1]Fleet!A:A,[1]Fleet!E:E,""),"")</f>
        <v/>
      </c>
      <c r="M714" s="188" t="s">
        <v>22</v>
      </c>
      <c r="N714" s="188" t="s">
        <v>22</v>
      </c>
      <c r="O714" s="198" t="s">
        <v>1755</v>
      </c>
      <c r="P714">
        <v>706</v>
      </c>
      <c r="Q714">
        <f>_xlfn.XLOOKUP(A714,'[1]Classic Net to delete'!D:D,'[1]Classic Net to delete'!AA:AA,0)</f>
        <v>0</v>
      </c>
    </row>
    <row r="715" spans="1:17" x14ac:dyDescent="0.25">
      <c r="A715" t="s">
        <v>1752</v>
      </c>
      <c r="B715" t="s">
        <v>1760</v>
      </c>
      <c r="C715">
        <v>0</v>
      </c>
      <c r="D715" t="s">
        <v>1754</v>
      </c>
      <c r="E715" t="str">
        <f t="shared" si="17"/>
        <v>. Plant</v>
      </c>
      <c r="F715">
        <v>75</v>
      </c>
      <c r="H715" t="b">
        <v>0</v>
      </c>
      <c r="I715">
        <v>0</v>
      </c>
      <c r="L715" s="188" t="str">
        <f>IFERROR(_xlfn.XLOOKUP(A715,[1]Fleet!A:A,[1]Fleet!E:E,""),"")</f>
        <v/>
      </c>
      <c r="M715" s="188" t="s">
        <v>22</v>
      </c>
      <c r="N715" s="188" t="s">
        <v>22</v>
      </c>
      <c r="O715" s="198" t="s">
        <v>1755</v>
      </c>
      <c r="P715">
        <v>707</v>
      </c>
      <c r="Q715">
        <f>_xlfn.XLOOKUP(A715,'[1]Classic Net to delete'!D:D,'[1]Classic Net to delete'!AA:AA,0)</f>
        <v>0</v>
      </c>
    </row>
    <row r="716" spans="1:17" x14ac:dyDescent="0.25">
      <c r="A716" t="s">
        <v>1752</v>
      </c>
      <c r="B716" t="s">
        <v>1761</v>
      </c>
      <c r="C716">
        <v>0</v>
      </c>
      <c r="D716" t="s">
        <v>1754</v>
      </c>
      <c r="E716" t="str">
        <f t="shared" si="17"/>
        <v>. Plant</v>
      </c>
      <c r="F716">
        <v>75</v>
      </c>
      <c r="H716" t="b">
        <v>0</v>
      </c>
      <c r="I716">
        <v>0</v>
      </c>
      <c r="L716" s="188" t="str">
        <f>IFERROR(_xlfn.XLOOKUP(A716,[1]Fleet!A:A,[1]Fleet!E:E,""),"")</f>
        <v/>
      </c>
      <c r="M716" s="188" t="s">
        <v>22</v>
      </c>
      <c r="N716" s="188" t="s">
        <v>22</v>
      </c>
      <c r="O716" s="198" t="s">
        <v>1755</v>
      </c>
      <c r="P716">
        <v>708</v>
      </c>
      <c r="Q716">
        <f>_xlfn.XLOOKUP(A716,'[1]Classic Net to delete'!D:D,'[1]Classic Net to delete'!AA:AA,0)</f>
        <v>0</v>
      </c>
    </row>
    <row r="717" spans="1:17" x14ac:dyDescent="0.25">
      <c r="A717" t="s">
        <v>1752</v>
      </c>
      <c r="B717" t="s">
        <v>1762</v>
      </c>
      <c r="C717">
        <v>0</v>
      </c>
      <c r="D717" t="s">
        <v>1754</v>
      </c>
      <c r="E717" t="str">
        <f t="shared" si="17"/>
        <v>. Plant</v>
      </c>
      <c r="F717">
        <v>75</v>
      </c>
      <c r="H717" t="b">
        <v>0</v>
      </c>
      <c r="I717">
        <v>0</v>
      </c>
      <c r="L717" s="188" t="str">
        <f>IFERROR(_xlfn.XLOOKUP(A717,[1]Fleet!A:A,[1]Fleet!E:E,""),"")</f>
        <v/>
      </c>
      <c r="M717" s="188" t="s">
        <v>22</v>
      </c>
      <c r="N717" s="188" t="s">
        <v>22</v>
      </c>
      <c r="O717" s="198" t="s">
        <v>1755</v>
      </c>
      <c r="P717">
        <v>709</v>
      </c>
      <c r="Q717">
        <f>_xlfn.XLOOKUP(A717,'[1]Classic Net to delete'!D:D,'[1]Classic Net to delete'!AA:AA,0)</f>
        <v>0</v>
      </c>
    </row>
    <row r="718" spans="1:17" x14ac:dyDescent="0.25">
      <c r="A718" t="s">
        <v>1752</v>
      </c>
      <c r="B718" t="s">
        <v>1763</v>
      </c>
      <c r="C718">
        <v>0</v>
      </c>
      <c r="D718" t="s">
        <v>1754</v>
      </c>
      <c r="E718" t="str">
        <f t="shared" si="17"/>
        <v>. Plant</v>
      </c>
      <c r="F718">
        <v>75</v>
      </c>
      <c r="H718" t="b">
        <v>0</v>
      </c>
      <c r="I718">
        <v>0</v>
      </c>
      <c r="L718" s="188" t="str">
        <f>IFERROR(_xlfn.XLOOKUP(A718,[1]Fleet!A:A,[1]Fleet!E:E,""),"")</f>
        <v/>
      </c>
      <c r="M718" s="188" t="s">
        <v>22</v>
      </c>
      <c r="N718" s="188" t="s">
        <v>22</v>
      </c>
      <c r="O718" s="198" t="s">
        <v>1755</v>
      </c>
      <c r="P718">
        <v>710</v>
      </c>
      <c r="Q718">
        <f>_xlfn.XLOOKUP(A718,'[1]Classic Net to delete'!D:D,'[1]Classic Net to delete'!AA:AA,0)</f>
        <v>0</v>
      </c>
    </row>
    <row r="719" spans="1:17" x14ac:dyDescent="0.25">
      <c r="A719" t="s">
        <v>1752</v>
      </c>
      <c r="B719" t="s">
        <v>1764</v>
      </c>
      <c r="C719">
        <v>0</v>
      </c>
      <c r="D719" t="s">
        <v>1754</v>
      </c>
      <c r="E719" t="str">
        <f t="shared" si="17"/>
        <v>. Plant</v>
      </c>
      <c r="F719">
        <v>75</v>
      </c>
      <c r="H719" t="b">
        <v>0</v>
      </c>
      <c r="I719">
        <v>0</v>
      </c>
      <c r="L719" s="188" t="str">
        <f>IFERROR(_xlfn.XLOOKUP(A719,[1]Fleet!A:A,[1]Fleet!E:E,""),"")</f>
        <v/>
      </c>
      <c r="M719" s="188" t="s">
        <v>22</v>
      </c>
      <c r="N719" s="188" t="s">
        <v>22</v>
      </c>
      <c r="O719" s="198" t="s">
        <v>1755</v>
      </c>
      <c r="P719">
        <v>711</v>
      </c>
      <c r="Q719">
        <f>_xlfn.XLOOKUP(A719,'[1]Classic Net to delete'!D:D,'[1]Classic Net to delete'!AA:AA,0)</f>
        <v>0</v>
      </c>
    </row>
    <row r="720" spans="1:17" x14ac:dyDescent="0.25">
      <c r="A720" t="s">
        <v>1752</v>
      </c>
      <c r="B720" t="s">
        <v>1765</v>
      </c>
      <c r="C720">
        <v>0</v>
      </c>
      <c r="D720" t="s">
        <v>1754</v>
      </c>
      <c r="E720" t="str">
        <f t="shared" si="17"/>
        <v>. Plant</v>
      </c>
      <c r="F720">
        <v>75</v>
      </c>
      <c r="H720" t="b">
        <v>0</v>
      </c>
      <c r="I720">
        <v>0</v>
      </c>
      <c r="L720" s="188" t="str">
        <f>IFERROR(_xlfn.XLOOKUP(A720,[1]Fleet!A:A,[1]Fleet!E:E,""),"")</f>
        <v/>
      </c>
      <c r="M720" s="188" t="s">
        <v>22</v>
      </c>
      <c r="N720" s="188" t="s">
        <v>22</v>
      </c>
      <c r="O720" s="198" t="s">
        <v>1755</v>
      </c>
      <c r="P720">
        <v>712</v>
      </c>
      <c r="Q720">
        <f>_xlfn.XLOOKUP(A720,'[1]Classic Net to delete'!D:D,'[1]Classic Net to delete'!AA:AA,0)</f>
        <v>0</v>
      </c>
    </row>
    <row r="721" spans="1:17" x14ac:dyDescent="0.25">
      <c r="A721" t="s">
        <v>1752</v>
      </c>
      <c r="B721" t="s">
        <v>1766</v>
      </c>
      <c r="C721">
        <v>0</v>
      </c>
      <c r="D721" t="s">
        <v>1754</v>
      </c>
      <c r="E721" t="str">
        <f t="shared" si="17"/>
        <v>. Plant</v>
      </c>
      <c r="F721">
        <v>75</v>
      </c>
      <c r="H721" t="b">
        <v>0</v>
      </c>
      <c r="I721">
        <v>0</v>
      </c>
      <c r="L721" s="188" t="str">
        <f>IFERROR(_xlfn.XLOOKUP(A721,[1]Fleet!A:A,[1]Fleet!E:E,""),"")</f>
        <v/>
      </c>
      <c r="M721" s="188" t="s">
        <v>22</v>
      </c>
      <c r="N721" s="188" t="s">
        <v>22</v>
      </c>
      <c r="O721" s="198" t="s">
        <v>1755</v>
      </c>
      <c r="P721">
        <v>713</v>
      </c>
      <c r="Q721">
        <f>_xlfn.XLOOKUP(A721,'[1]Classic Net to delete'!D:D,'[1]Classic Net to delete'!AA:AA,0)</f>
        <v>0</v>
      </c>
    </row>
    <row r="722" spans="1:17" x14ac:dyDescent="0.25">
      <c r="A722" t="s">
        <v>1752</v>
      </c>
      <c r="B722" t="s">
        <v>1767</v>
      </c>
      <c r="C722">
        <v>0</v>
      </c>
      <c r="D722" t="s">
        <v>1754</v>
      </c>
      <c r="E722" t="str">
        <f t="shared" si="17"/>
        <v>. Plant</v>
      </c>
      <c r="F722">
        <v>75</v>
      </c>
      <c r="H722" t="b">
        <v>0</v>
      </c>
      <c r="I722">
        <v>0</v>
      </c>
      <c r="L722" s="188" t="str">
        <f>IFERROR(_xlfn.XLOOKUP(A722,[1]Fleet!A:A,[1]Fleet!E:E,""),"")</f>
        <v/>
      </c>
      <c r="M722" s="188" t="s">
        <v>22</v>
      </c>
      <c r="N722" s="188" t="s">
        <v>22</v>
      </c>
      <c r="O722" s="198" t="s">
        <v>1755</v>
      </c>
      <c r="P722">
        <v>714</v>
      </c>
      <c r="Q722">
        <f>_xlfn.XLOOKUP(A722,'[1]Classic Net to delete'!D:D,'[1]Classic Net to delete'!AA:AA,0)</f>
        <v>0</v>
      </c>
    </row>
    <row r="723" spans="1:17" x14ac:dyDescent="0.25">
      <c r="A723" t="s">
        <v>1752</v>
      </c>
      <c r="B723" t="s">
        <v>1768</v>
      </c>
      <c r="C723">
        <v>0</v>
      </c>
      <c r="D723" t="s">
        <v>1754</v>
      </c>
      <c r="E723" t="str">
        <f t="shared" si="17"/>
        <v>. Plant</v>
      </c>
      <c r="F723">
        <v>75</v>
      </c>
      <c r="H723" t="b">
        <v>0</v>
      </c>
      <c r="I723">
        <v>0</v>
      </c>
      <c r="L723" s="188" t="str">
        <f>IFERROR(_xlfn.XLOOKUP(A723,[1]Fleet!A:A,[1]Fleet!E:E,""),"")</f>
        <v/>
      </c>
      <c r="M723" s="188" t="s">
        <v>22</v>
      </c>
      <c r="N723" s="188" t="s">
        <v>22</v>
      </c>
      <c r="O723" s="198" t="s">
        <v>1755</v>
      </c>
      <c r="P723">
        <v>715</v>
      </c>
      <c r="Q723">
        <f>_xlfn.XLOOKUP(A723,'[1]Classic Net to delete'!D:D,'[1]Classic Net to delete'!AA:AA,0)</f>
        <v>0</v>
      </c>
    </row>
    <row r="724" spans="1:17" x14ac:dyDescent="0.25">
      <c r="A724" t="s">
        <v>1752</v>
      </c>
      <c r="B724" t="s">
        <v>1769</v>
      </c>
      <c r="C724">
        <v>0</v>
      </c>
      <c r="D724" t="s">
        <v>1754</v>
      </c>
      <c r="E724" t="str">
        <f t="shared" si="17"/>
        <v>. Plant</v>
      </c>
      <c r="F724">
        <v>75</v>
      </c>
      <c r="H724" t="b">
        <v>0</v>
      </c>
      <c r="I724">
        <v>0</v>
      </c>
      <c r="L724" s="188" t="str">
        <f>IFERROR(_xlfn.XLOOKUP(A724,[1]Fleet!A:A,[1]Fleet!E:E,""),"")</f>
        <v/>
      </c>
      <c r="M724" s="188" t="s">
        <v>22</v>
      </c>
      <c r="N724" s="188" t="s">
        <v>22</v>
      </c>
      <c r="O724" s="198" t="s">
        <v>1755</v>
      </c>
      <c r="P724">
        <v>716</v>
      </c>
      <c r="Q724">
        <f>_xlfn.XLOOKUP(A724,'[1]Classic Net to delete'!D:D,'[1]Classic Net to delete'!AA:AA,0)</f>
        <v>0</v>
      </c>
    </row>
    <row r="725" spans="1:17" x14ac:dyDescent="0.25">
      <c r="A725" t="s">
        <v>1770</v>
      </c>
      <c r="B725" t="s">
        <v>1771</v>
      </c>
      <c r="C725">
        <v>0</v>
      </c>
      <c r="D725" t="s">
        <v>1772</v>
      </c>
      <c r="E725" t="str">
        <f t="shared" si="17"/>
        <v>. Pipework</v>
      </c>
      <c r="F725">
        <v>75</v>
      </c>
      <c r="H725" t="b">
        <v>0</v>
      </c>
      <c r="I725">
        <v>0</v>
      </c>
      <c r="L725" s="188" t="str">
        <f>IFERROR(_xlfn.XLOOKUP(A725,[1]Fleet!A:A,[1]Fleet!E:E,""),"")</f>
        <v/>
      </c>
      <c r="M725" s="188" t="s">
        <v>22</v>
      </c>
      <c r="N725" s="188" t="s">
        <v>22</v>
      </c>
      <c r="O725" s="198" t="s">
        <v>1773</v>
      </c>
      <c r="P725">
        <v>750</v>
      </c>
      <c r="Q725">
        <f>_xlfn.XLOOKUP(A725,'[1]Classic Net to delete'!D:D,'[1]Classic Net to delete'!AA:AA,0)</f>
        <v>0</v>
      </c>
    </row>
    <row r="726" spans="1:17" x14ac:dyDescent="0.25">
      <c r="A726" t="s">
        <v>1774</v>
      </c>
      <c r="B726" t="s">
        <v>1775</v>
      </c>
      <c r="C726">
        <v>48.26</v>
      </c>
      <c r="D726" t="s">
        <v>1772</v>
      </c>
      <c r="E726" t="str">
        <f t="shared" si="17"/>
        <v>01. Threading &amp; Grooving</v>
      </c>
      <c r="F726">
        <v>75</v>
      </c>
      <c r="H726" t="b">
        <v>1</v>
      </c>
      <c r="I726">
        <v>838</v>
      </c>
      <c r="K726" s="192" t="s">
        <v>21</v>
      </c>
      <c r="L726" s="188">
        <f>IFERROR(_xlfn.XLOOKUP(A726,[1]Fleet!A:A,[1]Fleet!E:E,""),"")</f>
        <v>1</v>
      </c>
      <c r="M726" s="188">
        <v>45.1</v>
      </c>
      <c r="N726" s="188" t="s">
        <v>1776</v>
      </c>
      <c r="O726" s="198" t="s">
        <v>1777</v>
      </c>
      <c r="P726">
        <v>738</v>
      </c>
      <c r="Q726">
        <f>_xlfn.XLOOKUP(A726,'[1]Classic Net to delete'!D:D,'[1]Classic Net to delete'!AA:AA,0)</f>
        <v>838</v>
      </c>
    </row>
    <row r="727" spans="1:17" x14ac:dyDescent="0.25">
      <c r="A727" t="s">
        <v>1778</v>
      </c>
      <c r="B727" t="s">
        <v>1779</v>
      </c>
      <c r="C727">
        <v>48.26</v>
      </c>
      <c r="D727" t="s">
        <v>1772</v>
      </c>
      <c r="E727" t="str">
        <f t="shared" si="17"/>
        <v>01. Threading &amp; Grooving</v>
      </c>
      <c r="F727">
        <v>75</v>
      </c>
      <c r="H727" t="b">
        <v>1</v>
      </c>
      <c r="I727">
        <v>839</v>
      </c>
      <c r="K727" s="192" t="s">
        <v>21</v>
      </c>
      <c r="L727" s="188">
        <f>IFERROR(_xlfn.XLOOKUP(A727,[1]Fleet!A:A,[1]Fleet!E:E,""),"")</f>
        <v>2</v>
      </c>
      <c r="M727" s="188">
        <v>45.1</v>
      </c>
      <c r="N727" s="188" t="s">
        <v>1780</v>
      </c>
      <c r="O727" s="198" t="s">
        <v>1777</v>
      </c>
      <c r="P727">
        <v>739</v>
      </c>
      <c r="Q727">
        <f>_xlfn.XLOOKUP(A727,'[1]Classic Net to delete'!D:D,'[1]Classic Net to delete'!AA:AA,0)</f>
        <v>839</v>
      </c>
    </row>
    <row r="728" spans="1:17" x14ac:dyDescent="0.25">
      <c r="A728" t="s">
        <v>1781</v>
      </c>
      <c r="B728" t="s">
        <v>1782</v>
      </c>
      <c r="C728">
        <v>97.740000000000009</v>
      </c>
      <c r="D728" t="s">
        <v>1772</v>
      </c>
      <c r="E728" t="str">
        <f t="shared" si="17"/>
        <v>01. Threading &amp; Grooving</v>
      </c>
      <c r="F728">
        <v>75</v>
      </c>
      <c r="H728" t="b">
        <v>1</v>
      </c>
      <c r="I728">
        <v>840</v>
      </c>
      <c r="K728" s="192" t="s">
        <v>21</v>
      </c>
      <c r="L728" s="188">
        <f>IFERROR(_xlfn.XLOOKUP(A728,[1]Fleet!A:A,[1]Fleet!E:E,""),"")</f>
        <v>2</v>
      </c>
      <c r="M728" s="188">
        <v>91.350000000000009</v>
      </c>
      <c r="N728" s="188" t="s">
        <v>1783</v>
      </c>
      <c r="O728" s="198" t="s">
        <v>1777</v>
      </c>
      <c r="P728">
        <v>735</v>
      </c>
      <c r="Q728">
        <f>_xlfn.XLOOKUP(A728,'[1]Classic Net to delete'!D:D,'[1]Classic Net to delete'!AA:AA,0)</f>
        <v>840</v>
      </c>
    </row>
    <row r="729" spans="1:17" x14ac:dyDescent="0.25">
      <c r="A729" t="s">
        <v>1784</v>
      </c>
      <c r="B729" t="s">
        <v>1785</v>
      </c>
      <c r="C729">
        <v>140.38</v>
      </c>
      <c r="D729" t="s">
        <v>1772</v>
      </c>
      <c r="E729" t="str">
        <f t="shared" si="17"/>
        <v>01. Threading &amp; Grooving</v>
      </c>
      <c r="F729">
        <v>75</v>
      </c>
      <c r="H729" t="b">
        <v>1</v>
      </c>
      <c r="I729">
        <v>843</v>
      </c>
      <c r="K729" s="192" t="s">
        <v>21</v>
      </c>
      <c r="L729" s="188">
        <f>IFERROR(_xlfn.XLOOKUP(A729,[1]Fleet!A:A,[1]Fleet!E:E,""),"")</f>
        <v>4</v>
      </c>
      <c r="M729" s="188">
        <v>131.20000000000002</v>
      </c>
      <c r="N729" s="188" t="s">
        <v>1786</v>
      </c>
      <c r="O729" s="198" t="s">
        <v>1777</v>
      </c>
      <c r="P729">
        <v>736</v>
      </c>
      <c r="Q729">
        <f>_xlfn.XLOOKUP(A729,'[1]Classic Net to delete'!D:D,'[1]Classic Net to delete'!AA:AA,0)</f>
        <v>843</v>
      </c>
    </row>
    <row r="730" spans="1:17" x14ac:dyDescent="0.25">
      <c r="A730" t="s">
        <v>1787</v>
      </c>
      <c r="B730" t="s">
        <v>1788</v>
      </c>
      <c r="C730">
        <v>158.63</v>
      </c>
      <c r="D730" t="s">
        <v>1772</v>
      </c>
      <c r="E730" t="str">
        <f t="shared" si="17"/>
        <v>01. Threading &amp; Grooving</v>
      </c>
      <c r="F730">
        <v>75</v>
      </c>
      <c r="H730" t="b">
        <v>1</v>
      </c>
      <c r="I730">
        <v>847</v>
      </c>
      <c r="K730" s="192" t="s">
        <v>21</v>
      </c>
      <c r="L730" s="188">
        <f>IFERROR(_xlfn.XLOOKUP(A730,[1]Fleet!A:A,[1]Fleet!E:E,""),"")</f>
        <v>1</v>
      </c>
      <c r="M730" s="188">
        <v>148.25</v>
      </c>
      <c r="N730" s="188" t="s">
        <v>1788</v>
      </c>
      <c r="O730" s="198" t="s">
        <v>1777</v>
      </c>
      <c r="P730">
        <v>737</v>
      </c>
      <c r="Q730">
        <f>_xlfn.XLOOKUP(A730,'[1]Classic Net to delete'!D:D,'[1]Classic Net to delete'!AA:AA,0)</f>
        <v>847</v>
      </c>
    </row>
    <row r="731" spans="1:17" x14ac:dyDescent="0.25">
      <c r="A731" t="s">
        <v>1789</v>
      </c>
      <c r="B731" t="s">
        <v>1790</v>
      </c>
      <c r="C731">
        <v>34.130000000000003</v>
      </c>
      <c r="D731" t="s">
        <v>1772</v>
      </c>
      <c r="E731" t="str">
        <f t="shared" si="17"/>
        <v>02. Stands, Racks and Workbenches</v>
      </c>
      <c r="F731">
        <v>75</v>
      </c>
      <c r="H731" t="b">
        <v>1</v>
      </c>
      <c r="I731">
        <v>851</v>
      </c>
      <c r="K731" s="192" t="s">
        <v>54</v>
      </c>
      <c r="L731" s="188" t="str">
        <f>IFERROR(_xlfn.XLOOKUP(A731,[1]Fleet!A:A,[1]Fleet!E:E,""),"")</f>
        <v/>
      </c>
      <c r="M731" s="188">
        <v>31.900000000000002</v>
      </c>
      <c r="N731" s="188" t="s">
        <v>1791</v>
      </c>
      <c r="O731" s="198" t="s">
        <v>1792</v>
      </c>
      <c r="P731">
        <v>717</v>
      </c>
      <c r="Q731">
        <f>_xlfn.XLOOKUP(A731,'[1]Classic Net to delete'!D:D,'[1]Classic Net to delete'!AA:AA,0)</f>
        <v>851</v>
      </c>
    </row>
    <row r="732" spans="1:17" x14ac:dyDescent="0.25">
      <c r="A732" t="s">
        <v>1793</v>
      </c>
      <c r="B732" t="s">
        <v>1794</v>
      </c>
      <c r="C732">
        <v>62.22</v>
      </c>
      <c r="D732" t="s">
        <v>1772</v>
      </c>
      <c r="E732" t="str">
        <f t="shared" si="17"/>
        <v>02. Stands, Racks and Workbenches</v>
      </c>
      <c r="F732">
        <v>75</v>
      </c>
      <c r="H732" t="b">
        <v>1</v>
      </c>
      <c r="I732">
        <v>852</v>
      </c>
      <c r="K732" s="192" t="s">
        <v>54</v>
      </c>
      <c r="L732" s="188">
        <f>IFERROR(_xlfn.XLOOKUP(A732,[1]Fleet!A:A,[1]Fleet!E:E,""),"")</f>
        <v>110</v>
      </c>
      <c r="M732" s="188">
        <v>58.150000000000006</v>
      </c>
      <c r="N732" s="188" t="s">
        <v>1794</v>
      </c>
      <c r="O732" s="198" t="s">
        <v>1792</v>
      </c>
      <c r="P732">
        <v>746</v>
      </c>
      <c r="Q732">
        <f>_xlfn.XLOOKUP(A732,'[1]Classic Net to delete'!D:D,'[1]Classic Net to delete'!AA:AA,0)</f>
        <v>852</v>
      </c>
    </row>
    <row r="733" spans="1:17" x14ac:dyDescent="0.25">
      <c r="A733" t="s">
        <v>1795</v>
      </c>
      <c r="B733" t="s">
        <v>1796</v>
      </c>
      <c r="C733">
        <v>75.7</v>
      </c>
      <c r="D733" t="s">
        <v>1772</v>
      </c>
      <c r="E733" t="str">
        <f t="shared" si="17"/>
        <v>02. Stands, Racks and Workbenches</v>
      </c>
      <c r="F733">
        <v>75</v>
      </c>
      <c r="H733" t="b">
        <v>1</v>
      </c>
      <c r="I733">
        <v>853</v>
      </c>
      <c r="K733" s="192" t="s">
        <v>54</v>
      </c>
      <c r="L733" s="188">
        <f>IFERROR(_xlfn.XLOOKUP(A733,[1]Fleet!A:A,[1]Fleet!E:E,""),"")</f>
        <v>15</v>
      </c>
      <c r="M733" s="188">
        <v>70.75</v>
      </c>
      <c r="N733" s="188" t="s">
        <v>1796</v>
      </c>
      <c r="O733" s="198" t="s">
        <v>1792</v>
      </c>
      <c r="P733">
        <v>744</v>
      </c>
      <c r="Q733">
        <f>_xlfn.XLOOKUP(A733,'[1]Classic Net to delete'!D:D,'[1]Classic Net to delete'!AA:AA,0)</f>
        <v>853</v>
      </c>
    </row>
    <row r="734" spans="1:17" x14ac:dyDescent="0.25">
      <c r="A734" t="s">
        <v>1797</v>
      </c>
      <c r="B734" t="s">
        <v>1798</v>
      </c>
      <c r="C734">
        <v>23.06</v>
      </c>
      <c r="D734" t="s">
        <v>1772</v>
      </c>
      <c r="E734" t="str">
        <f t="shared" si="17"/>
        <v>02. Stands, Racks and Workbenches</v>
      </c>
      <c r="F734">
        <v>75</v>
      </c>
      <c r="H734" t="b">
        <v>1</v>
      </c>
      <c r="I734">
        <v>854</v>
      </c>
      <c r="K734" s="192" t="s">
        <v>54</v>
      </c>
      <c r="L734" s="188">
        <f>IFERROR(_xlfn.XLOOKUP(A734,[1]Fleet!A:A,[1]Fleet!E:E,""),"")</f>
        <v>1</v>
      </c>
      <c r="M734" s="188">
        <v>21.55</v>
      </c>
      <c r="N734" s="188" t="s">
        <v>1799</v>
      </c>
      <c r="O734" s="198" t="s">
        <v>1792</v>
      </c>
      <c r="P734">
        <v>745</v>
      </c>
      <c r="Q734">
        <f>_xlfn.XLOOKUP(A734,'[1]Classic Net to delete'!D:D,'[1]Classic Net to delete'!AA:AA,0)</f>
        <v>854</v>
      </c>
    </row>
    <row r="735" spans="1:17" x14ac:dyDescent="0.25">
      <c r="A735" t="s">
        <v>1800</v>
      </c>
      <c r="B735" t="s">
        <v>1801</v>
      </c>
      <c r="C735">
        <v>56.76</v>
      </c>
      <c r="D735" t="s">
        <v>1772</v>
      </c>
      <c r="E735" t="str">
        <f t="shared" si="17"/>
        <v>02. Stands, Racks and Workbenches</v>
      </c>
      <c r="F735">
        <v>75</v>
      </c>
      <c r="H735" t="b">
        <v>1</v>
      </c>
      <c r="I735">
        <v>855</v>
      </c>
      <c r="K735" s="192" t="s">
        <v>54</v>
      </c>
      <c r="L735" s="188">
        <f>IFERROR(_xlfn.XLOOKUP(A735,[1]Fleet!A:A,[1]Fleet!E:E,""),"")</f>
        <v>4</v>
      </c>
      <c r="M735" s="188">
        <v>53.050000000000004</v>
      </c>
      <c r="N735" s="188" t="s">
        <v>1802</v>
      </c>
      <c r="O735" s="198" t="s">
        <v>1792</v>
      </c>
      <c r="P735">
        <v>734</v>
      </c>
      <c r="Q735">
        <f>_xlfn.XLOOKUP(A735,'[1]Classic Net to delete'!D:D,'[1]Classic Net to delete'!AA:AA,0)</f>
        <v>855</v>
      </c>
    </row>
    <row r="736" spans="1:17" x14ac:dyDescent="0.25">
      <c r="A736" t="s">
        <v>1803</v>
      </c>
      <c r="B736" t="s">
        <v>1804</v>
      </c>
      <c r="C736">
        <v>49.59</v>
      </c>
      <c r="D736" t="s">
        <v>1772</v>
      </c>
      <c r="E736" t="str">
        <f t="shared" si="17"/>
        <v>03. Bending, Fitting &amp; Cutting</v>
      </c>
      <c r="F736">
        <v>75</v>
      </c>
      <c r="H736" t="b">
        <v>1</v>
      </c>
      <c r="I736">
        <v>859</v>
      </c>
      <c r="K736" s="192" t="s">
        <v>85</v>
      </c>
      <c r="L736" s="188">
        <f>IFERROR(_xlfn.XLOOKUP(A736,[1]Fleet!A:A,[1]Fleet!E:E,""),"")</f>
        <v>1</v>
      </c>
      <c r="M736" s="188">
        <v>46.35</v>
      </c>
      <c r="N736" s="188" t="s">
        <v>1805</v>
      </c>
      <c r="O736" s="198" t="s">
        <v>1806</v>
      </c>
      <c r="P736">
        <v>741</v>
      </c>
      <c r="Q736">
        <f>_xlfn.XLOOKUP(A736,'[1]Classic Net to delete'!D:D,'[1]Classic Net to delete'!AA:AA,0)</f>
        <v>859</v>
      </c>
    </row>
    <row r="737" spans="1:17" x14ac:dyDescent="0.25">
      <c r="A737" t="s">
        <v>1807</v>
      </c>
      <c r="B737" t="s">
        <v>1808</v>
      </c>
      <c r="C737">
        <v>113.58</v>
      </c>
      <c r="D737" t="s">
        <v>1772</v>
      </c>
      <c r="E737" t="str">
        <f t="shared" si="17"/>
        <v>03. Bending, Fitting &amp; Cutting</v>
      </c>
      <c r="F737">
        <v>75</v>
      </c>
      <c r="H737" t="b">
        <v>1</v>
      </c>
      <c r="I737">
        <v>862</v>
      </c>
      <c r="K737" s="192" t="s">
        <v>85</v>
      </c>
      <c r="L737" s="188">
        <f>IFERROR(_xlfn.XLOOKUP(A737,[1]Fleet!A:A,[1]Fleet!E:E,""),"")</f>
        <v>2</v>
      </c>
      <c r="M737" s="188">
        <v>106.15</v>
      </c>
      <c r="N737" s="188" t="s">
        <v>1808</v>
      </c>
      <c r="O737" s="198" t="s">
        <v>1806</v>
      </c>
      <c r="P737">
        <v>748</v>
      </c>
      <c r="Q737">
        <f>_xlfn.XLOOKUP(A737,'[1]Classic Net to delete'!D:D,'[1]Classic Net to delete'!AA:AA,0)</f>
        <v>862</v>
      </c>
    </row>
    <row r="738" spans="1:17" x14ac:dyDescent="0.25">
      <c r="A738" t="s">
        <v>1809</v>
      </c>
      <c r="B738" t="s">
        <v>1810</v>
      </c>
      <c r="C738">
        <v>52.75</v>
      </c>
      <c r="D738" t="s">
        <v>1772</v>
      </c>
      <c r="E738" t="str">
        <f t="shared" si="17"/>
        <v>03. Bending, Fitting &amp; Cutting</v>
      </c>
      <c r="F738">
        <v>75</v>
      </c>
      <c r="H738" t="b">
        <v>1</v>
      </c>
      <c r="I738">
        <v>863</v>
      </c>
      <c r="K738" s="192" t="s">
        <v>85</v>
      </c>
      <c r="L738" s="188">
        <f>IFERROR(_xlfn.XLOOKUP(A738,[1]Fleet!A:A,[1]Fleet!E:E,""),"")</f>
        <v>1</v>
      </c>
      <c r="M738" s="188">
        <v>49.300000000000004</v>
      </c>
      <c r="N738" s="188" t="s">
        <v>1811</v>
      </c>
      <c r="O738" s="198" t="s">
        <v>1806</v>
      </c>
      <c r="P738">
        <v>749</v>
      </c>
      <c r="Q738">
        <f>_xlfn.XLOOKUP(A738,'[1]Classic Net to delete'!D:D,'[1]Classic Net to delete'!AA:AA,0)</f>
        <v>863</v>
      </c>
    </row>
    <row r="739" spans="1:17" x14ac:dyDescent="0.25">
      <c r="A739" t="s">
        <v>1812</v>
      </c>
      <c r="B739" t="s">
        <v>1813</v>
      </c>
      <c r="C739">
        <v>47.03</v>
      </c>
      <c r="D739" t="s">
        <v>1772</v>
      </c>
      <c r="E739" t="str">
        <f t="shared" si="17"/>
        <v>03. Bending, Fitting &amp; Cutting</v>
      </c>
      <c r="F739">
        <v>75</v>
      </c>
      <c r="H739" t="b">
        <v>1</v>
      </c>
      <c r="I739">
        <v>866</v>
      </c>
      <c r="K739" s="192" t="s">
        <v>85</v>
      </c>
      <c r="L739" s="188">
        <f>IFERROR(_xlfn.XLOOKUP(A739,[1]Fleet!A:A,[1]Fleet!E:E,""),"")</f>
        <v>1</v>
      </c>
      <c r="M739" s="188">
        <v>43.95</v>
      </c>
      <c r="N739" s="188" t="s">
        <v>1813</v>
      </c>
      <c r="O739" s="198" t="s">
        <v>1806</v>
      </c>
      <c r="P739">
        <v>740</v>
      </c>
      <c r="Q739">
        <f>_xlfn.XLOOKUP(A739,'[1]Classic Net to delete'!D:D,'[1]Classic Net to delete'!AA:AA,0)</f>
        <v>866</v>
      </c>
    </row>
    <row r="740" spans="1:17" x14ac:dyDescent="0.25">
      <c r="A740" t="s">
        <v>1814</v>
      </c>
      <c r="B740" t="s">
        <v>1815</v>
      </c>
      <c r="C740">
        <v>0</v>
      </c>
      <c r="D740" t="s">
        <v>1772</v>
      </c>
      <c r="E740" t="str">
        <f t="shared" si="17"/>
        <v>03. Bending, Fitting &amp; Cutting</v>
      </c>
      <c r="F740">
        <v>75</v>
      </c>
      <c r="H740" t="b">
        <v>0</v>
      </c>
      <c r="I740">
        <v>867</v>
      </c>
      <c r="K740" s="192" t="s">
        <v>85</v>
      </c>
      <c r="L740" s="188">
        <f>IFERROR(_xlfn.XLOOKUP(A740,[1]Fleet!A:A,[1]Fleet!E:E,""),"")</f>
        <v>0</v>
      </c>
      <c r="M740" s="188">
        <v>57.2</v>
      </c>
      <c r="N740" s="188" t="s">
        <v>1815</v>
      </c>
      <c r="O740" s="198" t="s">
        <v>1806</v>
      </c>
      <c r="P740">
        <v>743</v>
      </c>
      <c r="Q740">
        <f>_xlfn.XLOOKUP(A740,'[1]Classic Net to delete'!D:D,'[1]Classic Net to delete'!AA:AA,0)</f>
        <v>867</v>
      </c>
    </row>
    <row r="741" spans="1:17" x14ac:dyDescent="0.25">
      <c r="A741" t="s">
        <v>1816</v>
      </c>
      <c r="B741" t="s">
        <v>1817</v>
      </c>
      <c r="C741">
        <v>49.59</v>
      </c>
      <c r="D741" t="s">
        <v>1772</v>
      </c>
      <c r="E741" t="str">
        <f t="shared" si="17"/>
        <v>03. Bending, Fitting, Cutting &amp; Wrenches</v>
      </c>
      <c r="F741">
        <v>75</v>
      </c>
      <c r="H741" t="b">
        <v>1</v>
      </c>
      <c r="I741">
        <v>858</v>
      </c>
      <c r="K741" s="192" t="s">
        <v>85</v>
      </c>
      <c r="L741" s="188">
        <f>IFERROR(_xlfn.XLOOKUP(A741,[1]Fleet!A:A,[1]Fleet!E:E,""),"")</f>
        <v>14</v>
      </c>
      <c r="M741" s="188">
        <v>46.35</v>
      </c>
      <c r="N741" s="188" t="s">
        <v>1818</v>
      </c>
      <c r="O741" s="198" t="s">
        <v>1819</v>
      </c>
      <c r="P741">
        <v>742</v>
      </c>
      <c r="Q741">
        <f>_xlfn.XLOOKUP(A741,'[1]Classic Net to delete'!D:D,'[1]Classic Net to delete'!AA:AA,0)</f>
        <v>858</v>
      </c>
    </row>
    <row r="742" spans="1:17" x14ac:dyDescent="0.25">
      <c r="A742" t="s">
        <v>1820</v>
      </c>
      <c r="B742" t="s">
        <v>1821</v>
      </c>
      <c r="C742">
        <v>23.97</v>
      </c>
      <c r="D742" t="s">
        <v>1772</v>
      </c>
      <c r="E742" t="str">
        <f t="shared" si="17"/>
        <v>03. Bending, Fitting, Cutting &amp; Wrenches</v>
      </c>
      <c r="F742">
        <v>75</v>
      </c>
      <c r="H742" t="b">
        <v>1</v>
      </c>
      <c r="I742">
        <v>868</v>
      </c>
      <c r="K742" s="192" t="s">
        <v>85</v>
      </c>
      <c r="L742" s="188" t="str">
        <f>IFERROR(_xlfn.XLOOKUP(A742,[1]Fleet!A:A,[1]Fleet!E:E,""),"")</f>
        <v/>
      </c>
      <c r="M742" s="188">
        <v>22.400000000000002</v>
      </c>
      <c r="N742" s="188" t="s">
        <v>1821</v>
      </c>
      <c r="O742" s="198" t="s">
        <v>1819</v>
      </c>
      <c r="P742">
        <v>729</v>
      </c>
      <c r="Q742">
        <f>_xlfn.XLOOKUP(A742,'[1]Classic Net to delete'!D:D,'[1]Classic Net to delete'!AA:AA,0)</f>
        <v>868</v>
      </c>
    </row>
    <row r="743" spans="1:17" x14ac:dyDescent="0.25">
      <c r="A743" t="s">
        <v>1822</v>
      </c>
      <c r="B743" t="s">
        <v>1823</v>
      </c>
      <c r="C743">
        <v>29.05</v>
      </c>
      <c r="D743" t="s">
        <v>1772</v>
      </c>
      <c r="E743" t="str">
        <f t="shared" si="17"/>
        <v>03. Bending, Fitting, Cutting &amp; Wrenches</v>
      </c>
      <c r="F743">
        <v>75</v>
      </c>
      <c r="H743" t="b">
        <v>1</v>
      </c>
      <c r="I743">
        <v>869</v>
      </c>
      <c r="K743" s="192" t="s">
        <v>85</v>
      </c>
      <c r="L743" s="188" t="str">
        <f>IFERROR(_xlfn.XLOOKUP(A743,[1]Fleet!A:A,[1]Fleet!E:E,""),"")</f>
        <v/>
      </c>
      <c r="M743" s="188">
        <v>27.150000000000002</v>
      </c>
      <c r="N743" s="188" t="s">
        <v>1823</v>
      </c>
      <c r="O743" s="198" t="s">
        <v>1819</v>
      </c>
      <c r="P743">
        <v>728</v>
      </c>
      <c r="Q743">
        <f>_xlfn.XLOOKUP(A743,'[1]Classic Net to delete'!D:D,'[1]Classic Net to delete'!AA:AA,0)</f>
        <v>869</v>
      </c>
    </row>
    <row r="744" spans="1:17" x14ac:dyDescent="0.25">
      <c r="A744" t="s">
        <v>1824</v>
      </c>
      <c r="B744" t="s">
        <v>1825</v>
      </c>
      <c r="C744">
        <v>38.200000000000003</v>
      </c>
      <c r="D744" t="s">
        <v>1772</v>
      </c>
      <c r="E744" t="str">
        <f t="shared" si="17"/>
        <v>03. Bending, Fitting, Cutting &amp; Wrenches</v>
      </c>
      <c r="F744">
        <v>75</v>
      </c>
      <c r="H744" t="b">
        <v>1</v>
      </c>
      <c r="I744">
        <v>870</v>
      </c>
      <c r="K744" s="192" t="s">
        <v>85</v>
      </c>
      <c r="L744" s="188" t="str">
        <f>IFERROR(_xlfn.XLOOKUP(A744,[1]Fleet!A:A,[1]Fleet!E:E,""),"")</f>
        <v/>
      </c>
      <c r="M744" s="188">
        <v>35.700000000000003</v>
      </c>
      <c r="N744" s="188" t="s">
        <v>1825</v>
      </c>
      <c r="O744" s="198" t="s">
        <v>1819</v>
      </c>
      <c r="P744">
        <v>727</v>
      </c>
      <c r="Q744">
        <f>_xlfn.XLOOKUP(A744,'[1]Classic Net to delete'!D:D,'[1]Classic Net to delete'!AA:AA,0)</f>
        <v>870</v>
      </c>
    </row>
    <row r="745" spans="1:17" x14ac:dyDescent="0.25">
      <c r="A745" t="s">
        <v>1826</v>
      </c>
      <c r="B745" t="s">
        <v>1827</v>
      </c>
      <c r="C745">
        <v>19.900000000000002</v>
      </c>
      <c r="D745" t="s">
        <v>1772</v>
      </c>
      <c r="E745" t="str">
        <f t="shared" si="17"/>
        <v>03. Bending, Fitting, Cutting &amp; Wrenches</v>
      </c>
      <c r="F745">
        <v>75</v>
      </c>
      <c r="H745" t="b">
        <v>1</v>
      </c>
      <c r="I745">
        <v>873</v>
      </c>
      <c r="K745" s="192" t="s">
        <v>85</v>
      </c>
      <c r="L745" s="188">
        <f>IFERROR(_xlfn.XLOOKUP(A745,[1]Fleet!A:A,[1]Fleet!E:E,""),"")</f>
        <v>2</v>
      </c>
      <c r="M745" s="188">
        <v>18.600000000000001</v>
      </c>
      <c r="N745" s="188" t="s">
        <v>1827</v>
      </c>
      <c r="O745" s="198" t="s">
        <v>1819</v>
      </c>
      <c r="P745">
        <v>732</v>
      </c>
      <c r="Q745">
        <f>_xlfn.XLOOKUP(A745,'[1]Classic Net to delete'!D:D,'[1]Classic Net to delete'!AA:AA,0)</f>
        <v>873</v>
      </c>
    </row>
    <row r="746" spans="1:17" x14ac:dyDescent="0.25">
      <c r="A746" t="s">
        <v>1828</v>
      </c>
      <c r="B746" t="s">
        <v>1829</v>
      </c>
      <c r="C746">
        <v>25.57</v>
      </c>
      <c r="D746" t="s">
        <v>1772</v>
      </c>
      <c r="E746" t="str">
        <f t="shared" si="17"/>
        <v>03. Bending, Fitting, Cutting &amp; Wrenches</v>
      </c>
      <c r="F746">
        <v>75</v>
      </c>
      <c r="H746" t="b">
        <v>1</v>
      </c>
      <c r="I746">
        <v>874</v>
      </c>
      <c r="K746" s="192" t="s">
        <v>85</v>
      </c>
      <c r="L746" s="188">
        <f>IFERROR(_xlfn.XLOOKUP(A746,[1]Fleet!A:A,[1]Fleet!E:E,""),"")</f>
        <v>2</v>
      </c>
      <c r="M746" s="188">
        <v>23.900000000000002</v>
      </c>
      <c r="N746" s="188" t="s">
        <v>1829</v>
      </c>
      <c r="O746" s="198" t="s">
        <v>1819</v>
      </c>
      <c r="P746">
        <v>733</v>
      </c>
      <c r="Q746">
        <f>_xlfn.XLOOKUP(A746,'[1]Classic Net to delete'!D:D,'[1]Classic Net to delete'!AA:AA,0)</f>
        <v>874</v>
      </c>
    </row>
    <row r="747" spans="1:17" x14ac:dyDescent="0.25">
      <c r="A747" t="s">
        <v>1830</v>
      </c>
      <c r="B747" t="s">
        <v>1831</v>
      </c>
      <c r="C747">
        <v>27.12</v>
      </c>
      <c r="D747" t="s">
        <v>1772</v>
      </c>
      <c r="E747" t="str">
        <f t="shared" si="17"/>
        <v>03. Bending, Fitting, Cutting &amp; Wrenches</v>
      </c>
      <c r="F747">
        <v>75</v>
      </c>
      <c r="H747" t="b">
        <v>1</v>
      </c>
      <c r="I747">
        <v>875</v>
      </c>
      <c r="K747" s="192" t="s">
        <v>85</v>
      </c>
      <c r="L747" s="188">
        <f>IFERROR(_xlfn.XLOOKUP(A747,[1]Fleet!A:A,[1]Fleet!E:E,""),"")</f>
        <v>1</v>
      </c>
      <c r="M747" s="188">
        <v>25.35</v>
      </c>
      <c r="N747" s="188" t="s">
        <v>1831</v>
      </c>
      <c r="O747" s="198" t="s">
        <v>1819</v>
      </c>
      <c r="P747">
        <v>747</v>
      </c>
      <c r="Q747">
        <f>_xlfn.XLOOKUP(A747,'[1]Classic Net to delete'!D:D,'[1]Classic Net to delete'!AA:AA,0)</f>
        <v>875</v>
      </c>
    </row>
    <row r="748" spans="1:17" x14ac:dyDescent="0.25">
      <c r="A748" t="s">
        <v>1832</v>
      </c>
      <c r="B748" t="s">
        <v>1833</v>
      </c>
      <c r="C748">
        <v>161.84</v>
      </c>
      <c r="D748" t="s">
        <v>1772</v>
      </c>
      <c r="E748" t="str">
        <f t="shared" si="17"/>
        <v>04. Freezing &amp; Testing</v>
      </c>
      <c r="F748">
        <v>75</v>
      </c>
      <c r="H748" t="b">
        <v>1</v>
      </c>
      <c r="I748">
        <v>878</v>
      </c>
      <c r="K748" s="192" t="s">
        <v>89</v>
      </c>
      <c r="L748" s="188">
        <f>IFERROR(_xlfn.XLOOKUP(A748,[1]Fleet!A:A,[1]Fleet!E:E,""),"")</f>
        <v>2</v>
      </c>
      <c r="M748" s="188">
        <v>151.25</v>
      </c>
      <c r="N748" s="188" t="s">
        <v>1834</v>
      </c>
      <c r="O748" s="198" t="s">
        <v>1835</v>
      </c>
      <c r="P748">
        <v>731</v>
      </c>
      <c r="Q748">
        <f>_xlfn.XLOOKUP(A748,'[1]Classic Net to delete'!D:D,'[1]Classic Net to delete'!AA:AA,0)</f>
        <v>878</v>
      </c>
    </row>
    <row r="749" spans="1:17" x14ac:dyDescent="0.25">
      <c r="A749" t="s">
        <v>1836</v>
      </c>
      <c r="B749" t="s">
        <v>1837</v>
      </c>
      <c r="C749">
        <v>48.26</v>
      </c>
      <c r="D749" t="s">
        <v>1772</v>
      </c>
      <c r="E749" t="str">
        <f t="shared" si="17"/>
        <v>04. Freezing &amp; Testing</v>
      </c>
      <c r="F749">
        <v>75</v>
      </c>
      <c r="H749" t="b">
        <v>1</v>
      </c>
      <c r="I749">
        <v>879</v>
      </c>
      <c r="K749" s="192" t="s">
        <v>89</v>
      </c>
      <c r="L749" s="188">
        <f>IFERROR(_xlfn.XLOOKUP(A749,[1]Fleet!A:A,[1]Fleet!E:E,""),"")</f>
        <v>1</v>
      </c>
      <c r="M749" s="188">
        <v>45.1</v>
      </c>
      <c r="N749" s="188" t="s">
        <v>1838</v>
      </c>
      <c r="O749" s="198" t="s">
        <v>1835</v>
      </c>
      <c r="P749">
        <v>730</v>
      </c>
      <c r="Q749">
        <f>_xlfn.XLOOKUP(A749,'[1]Classic Net to delete'!D:D,'[1]Classic Net to delete'!AA:AA,0)</f>
        <v>879</v>
      </c>
    </row>
    <row r="750" spans="1:17" x14ac:dyDescent="0.25">
      <c r="A750" t="s">
        <v>1839</v>
      </c>
      <c r="B750" t="s">
        <v>1840</v>
      </c>
      <c r="C750">
        <v>55.21</v>
      </c>
      <c r="D750" t="s">
        <v>1772</v>
      </c>
      <c r="E750" t="str">
        <f t="shared" si="17"/>
        <v>05. Drain Clearance &amp; Testing</v>
      </c>
      <c r="F750">
        <v>75</v>
      </c>
      <c r="H750" t="b">
        <v>1</v>
      </c>
      <c r="I750">
        <v>883</v>
      </c>
      <c r="K750" s="192" t="s">
        <v>32</v>
      </c>
      <c r="L750" s="188">
        <f>IFERROR(_xlfn.XLOOKUP(A750,[1]Fleet!A:A,[1]Fleet!E:E,""),"")</f>
        <v>2</v>
      </c>
      <c r="M750" s="188">
        <v>51.6</v>
      </c>
      <c r="N750" s="188" t="s">
        <v>1840</v>
      </c>
      <c r="O750" s="198" t="s">
        <v>1841</v>
      </c>
      <c r="P750">
        <v>726</v>
      </c>
      <c r="Q750">
        <f>_xlfn.XLOOKUP(A750,'[1]Classic Net to delete'!D:D,'[1]Classic Net to delete'!AA:AA,0)</f>
        <v>883</v>
      </c>
    </row>
    <row r="751" spans="1:17" x14ac:dyDescent="0.25">
      <c r="A751" t="s">
        <v>1842</v>
      </c>
      <c r="B751" t="s">
        <v>1843</v>
      </c>
      <c r="C751">
        <v>15.46</v>
      </c>
      <c r="D751" t="s">
        <v>1772</v>
      </c>
      <c r="E751" t="str">
        <f t="shared" si="17"/>
        <v>05. Drain Clearance &amp; Testing</v>
      </c>
      <c r="F751">
        <v>75</v>
      </c>
      <c r="H751" t="b">
        <v>1</v>
      </c>
      <c r="I751">
        <v>884</v>
      </c>
      <c r="K751" s="192" t="s">
        <v>32</v>
      </c>
      <c r="L751" s="188" t="str">
        <f>IFERROR(_xlfn.XLOOKUP(A751,[1]Fleet!A:A,[1]Fleet!E:E,""),"")</f>
        <v/>
      </c>
      <c r="M751" s="188">
        <v>14.450000000000001</v>
      </c>
      <c r="N751" s="188" t="s">
        <v>1844</v>
      </c>
      <c r="O751" s="198" t="s">
        <v>1841</v>
      </c>
      <c r="P751">
        <v>721</v>
      </c>
      <c r="Q751">
        <f>_xlfn.XLOOKUP(A751,'[1]Classic Net to delete'!D:D,'[1]Classic Net to delete'!AA:AA,0)</f>
        <v>884</v>
      </c>
    </row>
    <row r="752" spans="1:17" x14ac:dyDescent="0.25">
      <c r="A752" t="s">
        <v>1845</v>
      </c>
      <c r="B752" t="s">
        <v>1846</v>
      </c>
      <c r="C752">
        <v>14.870000000000001</v>
      </c>
      <c r="D752" t="s">
        <v>1772</v>
      </c>
      <c r="E752" t="str">
        <f t="shared" si="17"/>
        <v>05. Drain Clearance &amp; Testing</v>
      </c>
      <c r="F752">
        <v>75</v>
      </c>
      <c r="H752" t="b">
        <v>1</v>
      </c>
      <c r="I752">
        <v>885</v>
      </c>
      <c r="K752" s="192" t="s">
        <v>32</v>
      </c>
      <c r="L752" s="188" t="str">
        <f>IFERROR(_xlfn.XLOOKUP(A752,[1]Fleet!A:A,[1]Fleet!E:E,""),"")</f>
        <v/>
      </c>
      <c r="M752" s="188">
        <v>13.9</v>
      </c>
      <c r="N752" s="188" t="s">
        <v>1846</v>
      </c>
      <c r="O752" s="198" t="s">
        <v>1841</v>
      </c>
      <c r="P752">
        <v>718</v>
      </c>
      <c r="Q752">
        <f>_xlfn.XLOOKUP(A752,'[1]Classic Net to delete'!D:D,'[1]Classic Net to delete'!AA:AA,0)</f>
        <v>885</v>
      </c>
    </row>
    <row r="753" spans="1:17" x14ac:dyDescent="0.25">
      <c r="A753" t="s">
        <v>1847</v>
      </c>
      <c r="B753" t="s">
        <v>1848</v>
      </c>
      <c r="C753">
        <v>13.540000000000001</v>
      </c>
      <c r="D753" t="s">
        <v>1772</v>
      </c>
      <c r="E753" t="str">
        <f t="shared" si="17"/>
        <v>05. Drain Clearance &amp; Testing</v>
      </c>
      <c r="F753">
        <v>75</v>
      </c>
      <c r="H753" t="b">
        <v>1</v>
      </c>
      <c r="I753">
        <v>886</v>
      </c>
      <c r="K753" s="192" t="s">
        <v>32</v>
      </c>
      <c r="L753" s="188" t="str">
        <f>IFERROR(_xlfn.XLOOKUP(A753,[1]Fleet!A:A,[1]Fleet!E:E,""),"")</f>
        <v/>
      </c>
      <c r="M753" s="188">
        <v>12.65</v>
      </c>
      <c r="N753" s="188" t="s">
        <v>1849</v>
      </c>
      <c r="O753" s="198" t="s">
        <v>1841</v>
      </c>
      <c r="P753">
        <v>724</v>
      </c>
      <c r="Q753">
        <f>_xlfn.XLOOKUP(A753,'[1]Classic Net to delete'!D:D,'[1]Classic Net to delete'!AA:AA,0)</f>
        <v>886</v>
      </c>
    </row>
    <row r="754" spans="1:17" x14ac:dyDescent="0.25">
      <c r="A754" t="s">
        <v>1850</v>
      </c>
      <c r="B754" t="s">
        <v>1851</v>
      </c>
      <c r="C754">
        <v>13.540000000000001</v>
      </c>
      <c r="D754" t="s">
        <v>1772</v>
      </c>
      <c r="E754" t="str">
        <f t="shared" si="17"/>
        <v>05. Drain Clearance &amp; Testing</v>
      </c>
      <c r="F754">
        <v>75</v>
      </c>
      <c r="H754" t="b">
        <v>1</v>
      </c>
      <c r="I754">
        <v>887</v>
      </c>
      <c r="K754" s="192" t="s">
        <v>32</v>
      </c>
      <c r="L754" s="188" t="str">
        <f>IFERROR(_xlfn.XLOOKUP(A754,[1]Fleet!A:A,[1]Fleet!E:E,""),"")</f>
        <v/>
      </c>
      <c r="M754" s="188">
        <v>12.65</v>
      </c>
      <c r="N754" s="188" t="s">
        <v>1851</v>
      </c>
      <c r="O754" s="198" t="s">
        <v>1841</v>
      </c>
      <c r="P754">
        <v>725</v>
      </c>
      <c r="Q754">
        <f>_xlfn.XLOOKUP(A754,'[1]Classic Net to delete'!D:D,'[1]Classic Net to delete'!AA:AA,0)</f>
        <v>887</v>
      </c>
    </row>
    <row r="755" spans="1:17" x14ac:dyDescent="0.25">
      <c r="A755" t="s">
        <v>1852</v>
      </c>
      <c r="B755" t="s">
        <v>1853</v>
      </c>
      <c r="C755">
        <v>6.96</v>
      </c>
      <c r="D755" t="s">
        <v>1772</v>
      </c>
      <c r="E755" t="str">
        <f t="shared" si="17"/>
        <v>05. Drain Clearance &amp; Testing</v>
      </c>
      <c r="F755">
        <v>75</v>
      </c>
      <c r="H755" t="b">
        <v>1</v>
      </c>
      <c r="I755">
        <v>888</v>
      </c>
      <c r="K755" s="192" t="s">
        <v>32</v>
      </c>
      <c r="L755" s="188" t="str">
        <f>IFERROR(_xlfn.XLOOKUP(A755,[1]Fleet!A:A,[1]Fleet!E:E,""),"")</f>
        <v/>
      </c>
      <c r="M755" s="188">
        <v>6.5</v>
      </c>
      <c r="N755" s="188" t="s">
        <v>1853</v>
      </c>
      <c r="O755" s="198" t="s">
        <v>1841</v>
      </c>
      <c r="P755">
        <v>723</v>
      </c>
      <c r="Q755">
        <f>_xlfn.XLOOKUP(A755,'[1]Classic Net to delete'!D:D,'[1]Classic Net to delete'!AA:AA,0)</f>
        <v>888</v>
      </c>
    </row>
    <row r="756" spans="1:17" x14ac:dyDescent="0.25">
      <c r="A756" t="s">
        <v>1854</v>
      </c>
      <c r="B756" t="s">
        <v>1855</v>
      </c>
      <c r="C756">
        <v>4.4400000000000004</v>
      </c>
      <c r="D756" t="s">
        <v>1772</v>
      </c>
      <c r="E756" t="str">
        <f t="shared" si="17"/>
        <v>05. Drain Clearance &amp; Testing</v>
      </c>
      <c r="F756">
        <v>75</v>
      </c>
      <c r="H756" t="b">
        <v>1</v>
      </c>
      <c r="I756">
        <v>889</v>
      </c>
      <c r="K756" s="192" t="s">
        <v>32</v>
      </c>
      <c r="L756" s="188" t="str">
        <f>IFERROR(_xlfn.XLOOKUP(A756,[1]Fleet!A:A,[1]Fleet!E:E,""),"")</f>
        <v/>
      </c>
      <c r="M756" s="188">
        <v>4.1500000000000004</v>
      </c>
      <c r="N756" s="188" t="s">
        <v>1856</v>
      </c>
      <c r="O756" s="198" t="s">
        <v>1841</v>
      </c>
      <c r="P756">
        <v>722</v>
      </c>
      <c r="Q756">
        <f>_xlfn.XLOOKUP(A756,'[1]Classic Net to delete'!D:D,'[1]Classic Net to delete'!AA:AA,0)</f>
        <v>889</v>
      </c>
    </row>
    <row r="757" spans="1:17" x14ac:dyDescent="0.25">
      <c r="A757" t="s">
        <v>1857</v>
      </c>
      <c r="B757" t="s">
        <v>1858</v>
      </c>
      <c r="C757">
        <v>14.870000000000001</v>
      </c>
      <c r="D757" t="s">
        <v>1772</v>
      </c>
      <c r="E757" t="str">
        <f t="shared" si="17"/>
        <v>05. Drain Clearance &amp; Testing</v>
      </c>
      <c r="F757">
        <v>75</v>
      </c>
      <c r="H757" t="b">
        <v>1</v>
      </c>
      <c r="I757">
        <v>890</v>
      </c>
      <c r="K757" s="192" t="s">
        <v>32</v>
      </c>
      <c r="L757" s="188" t="str">
        <f>IFERROR(_xlfn.XLOOKUP(A757,[1]Fleet!A:A,[1]Fleet!E:E,""),"")</f>
        <v/>
      </c>
      <c r="M757" s="188">
        <v>13.9</v>
      </c>
      <c r="N757" s="188" t="s">
        <v>1859</v>
      </c>
      <c r="O757" s="198" t="s">
        <v>1841</v>
      </c>
      <c r="P757">
        <v>720</v>
      </c>
      <c r="Q757">
        <f>_xlfn.XLOOKUP(A757,'[1]Classic Net to delete'!D:D,'[1]Classic Net to delete'!AA:AA,0)</f>
        <v>890</v>
      </c>
    </row>
    <row r="758" spans="1:17" x14ac:dyDescent="0.25">
      <c r="A758" t="s">
        <v>1860</v>
      </c>
      <c r="B758" t="s">
        <v>1861</v>
      </c>
      <c r="C758">
        <v>19.900000000000002</v>
      </c>
      <c r="D758" t="s">
        <v>1772</v>
      </c>
      <c r="E758" t="str">
        <f t="shared" si="17"/>
        <v>05. Drain Clearance &amp; Testing</v>
      </c>
      <c r="F758">
        <v>75</v>
      </c>
      <c r="H758" t="b">
        <v>1</v>
      </c>
      <c r="I758">
        <v>891</v>
      </c>
      <c r="K758" s="192" t="s">
        <v>32</v>
      </c>
      <c r="L758" s="188" t="str">
        <f>IFERROR(_xlfn.XLOOKUP(A758,[1]Fleet!A:A,[1]Fleet!E:E,""),"")</f>
        <v/>
      </c>
      <c r="M758" s="188">
        <v>18.600000000000001</v>
      </c>
      <c r="N758" s="188" t="s">
        <v>1862</v>
      </c>
      <c r="O758" s="198" t="s">
        <v>1841</v>
      </c>
      <c r="P758">
        <v>719</v>
      </c>
      <c r="Q758">
        <f>_xlfn.XLOOKUP(A758,'[1]Classic Net to delete'!D:D,'[1]Classic Net to delete'!AA:AA,0)</f>
        <v>891</v>
      </c>
    </row>
    <row r="759" spans="1:17" x14ac:dyDescent="0.25">
      <c r="A759" t="s">
        <v>1863</v>
      </c>
      <c r="B759" t="s">
        <v>1864</v>
      </c>
      <c r="C759">
        <v>0</v>
      </c>
      <c r="D759" t="s">
        <v>1772</v>
      </c>
      <c r="E759" t="str">
        <f t="shared" si="17"/>
        <v>06. Blow Torches</v>
      </c>
      <c r="F759">
        <v>75</v>
      </c>
      <c r="H759" t="b">
        <v>0</v>
      </c>
      <c r="I759">
        <v>543</v>
      </c>
      <c r="K759" s="192" t="s">
        <v>36</v>
      </c>
      <c r="L759" s="188">
        <f>IFERROR(_xlfn.XLOOKUP(A759,[1]Fleet!A:A,[1]Fleet!E:E,""),"")</f>
        <v>0</v>
      </c>
      <c r="M759" s="188">
        <v>18.600000000000001</v>
      </c>
      <c r="N759" s="188" t="s">
        <v>1864</v>
      </c>
      <c r="O759" s="198" t="s">
        <v>1865</v>
      </c>
      <c r="P759">
        <v>814</v>
      </c>
      <c r="Q759">
        <f>_xlfn.XLOOKUP(A759,'[1]Classic Net to delete'!D:D,'[1]Classic Net to delete'!AA:AA,0)</f>
        <v>543</v>
      </c>
    </row>
    <row r="760" spans="1:17" x14ac:dyDescent="0.25">
      <c r="A760" t="s">
        <v>1866</v>
      </c>
      <c r="B760" t="s">
        <v>1867</v>
      </c>
      <c r="C760">
        <v>22.740000000000002</v>
      </c>
      <c r="D760" t="s">
        <v>1772</v>
      </c>
      <c r="E760" t="str">
        <f t="shared" si="17"/>
        <v>06. Blow Torches</v>
      </c>
      <c r="F760">
        <v>75</v>
      </c>
      <c r="H760" t="b">
        <v>1</v>
      </c>
      <c r="I760">
        <v>894</v>
      </c>
      <c r="K760" s="192" t="s">
        <v>36</v>
      </c>
      <c r="L760" s="188">
        <f>IFERROR(_xlfn.XLOOKUP(A760,[1]Fleet!A:A,[1]Fleet!E:E,""),"")</f>
        <v>13</v>
      </c>
      <c r="M760" s="188">
        <v>21.25</v>
      </c>
      <c r="N760" s="188" t="s">
        <v>1867</v>
      </c>
      <c r="O760" s="198" t="s">
        <v>1865</v>
      </c>
      <c r="P760">
        <v>815</v>
      </c>
      <c r="Q760">
        <f>_xlfn.XLOOKUP(A760,'[1]Classic Net to delete'!D:D,'[1]Classic Net to delete'!AA:AA,0)</f>
        <v>894</v>
      </c>
    </row>
    <row r="761" spans="1:17" x14ac:dyDescent="0.25">
      <c r="A761" t="s">
        <v>1868</v>
      </c>
      <c r="B761" t="s">
        <v>1869</v>
      </c>
      <c r="C761">
        <v>36.97</v>
      </c>
      <c r="D761" t="s">
        <v>1772</v>
      </c>
      <c r="E761" t="str">
        <f t="shared" si="17"/>
        <v>06. Blow Torches</v>
      </c>
      <c r="F761">
        <v>75</v>
      </c>
      <c r="H761" t="b">
        <v>1</v>
      </c>
      <c r="I761">
        <v>895</v>
      </c>
      <c r="K761" s="192" t="s">
        <v>36</v>
      </c>
      <c r="L761" s="188">
        <f>IFERROR(_xlfn.XLOOKUP(A761,[1]Fleet!A:A,[1]Fleet!E:E,""),"")</f>
        <v>11</v>
      </c>
      <c r="M761" s="188">
        <v>34.550000000000004</v>
      </c>
      <c r="N761" s="188" t="s">
        <v>1869</v>
      </c>
      <c r="O761" s="198" t="s">
        <v>1865</v>
      </c>
      <c r="P761">
        <v>816</v>
      </c>
      <c r="Q761">
        <f>_xlfn.XLOOKUP(A761,'[1]Classic Net to delete'!D:D,'[1]Classic Net to delete'!AA:AA,0)</f>
        <v>895</v>
      </c>
    </row>
    <row r="762" spans="1:17" x14ac:dyDescent="0.25">
      <c r="A762" t="s">
        <v>1870</v>
      </c>
      <c r="B762" t="s">
        <v>1871</v>
      </c>
      <c r="C762">
        <v>14.870000000000001</v>
      </c>
      <c r="D762" t="s">
        <v>1872</v>
      </c>
      <c r="E762" t="str">
        <f t="shared" si="17"/>
        <v>. Extensions and Distribution</v>
      </c>
      <c r="F762">
        <v>75</v>
      </c>
      <c r="H762" t="b">
        <v>0</v>
      </c>
      <c r="I762">
        <v>0</v>
      </c>
      <c r="L762" s="188">
        <f>IFERROR(_xlfn.XLOOKUP(A762,[1]Fleet!A:A,[1]Fleet!E:E,""),"")</f>
        <v>5</v>
      </c>
      <c r="M762" s="188" t="s">
        <v>22</v>
      </c>
      <c r="N762" s="188" t="s">
        <v>22</v>
      </c>
      <c r="O762" s="198" t="s">
        <v>1873</v>
      </c>
      <c r="P762">
        <v>760</v>
      </c>
      <c r="Q762">
        <f>_xlfn.XLOOKUP(A762,'[1]Classic Net to delete'!D:D,'[1]Classic Net to delete'!AA:AA,0)</f>
        <v>0</v>
      </c>
    </row>
    <row r="763" spans="1:17" x14ac:dyDescent="0.25">
      <c r="A763" t="s">
        <v>1874</v>
      </c>
      <c r="B763" t="s">
        <v>1875</v>
      </c>
      <c r="C763">
        <v>14.870000000000001</v>
      </c>
      <c r="D763" t="s">
        <v>1872</v>
      </c>
      <c r="E763" t="str">
        <f t="shared" si="17"/>
        <v>. Extensions and Distribution</v>
      </c>
      <c r="F763">
        <v>75</v>
      </c>
      <c r="H763" t="b">
        <v>0</v>
      </c>
      <c r="I763">
        <v>0</v>
      </c>
      <c r="L763" s="188">
        <f>IFERROR(_xlfn.XLOOKUP(A763,[1]Fleet!A:A,[1]Fleet!E:E,""),"")</f>
        <v>1</v>
      </c>
      <c r="M763" s="188" t="s">
        <v>22</v>
      </c>
      <c r="N763" s="188" t="s">
        <v>22</v>
      </c>
      <c r="O763" s="198" t="s">
        <v>1873</v>
      </c>
      <c r="P763">
        <v>763</v>
      </c>
      <c r="Q763">
        <f>_xlfn.XLOOKUP(A763,'[1]Classic Net to delete'!D:D,'[1]Classic Net to delete'!AA:AA,0)</f>
        <v>0</v>
      </c>
    </row>
    <row r="764" spans="1:17" x14ac:dyDescent="0.25">
      <c r="A764" t="s">
        <v>1876</v>
      </c>
      <c r="B764" t="s">
        <v>1877</v>
      </c>
      <c r="C764">
        <v>0</v>
      </c>
      <c r="D764" t="s">
        <v>1872</v>
      </c>
      <c r="E764" t="str">
        <f t="shared" si="17"/>
        <v>. Generators</v>
      </c>
      <c r="F764">
        <v>75</v>
      </c>
      <c r="H764" t="b">
        <v>0</v>
      </c>
      <c r="I764">
        <v>0</v>
      </c>
      <c r="L764" s="188" t="str">
        <f>IFERROR(_xlfn.XLOOKUP(A764,[1]Fleet!A:A,[1]Fleet!E:E,""),"")</f>
        <v/>
      </c>
      <c r="M764" s="188" t="s">
        <v>22</v>
      </c>
      <c r="N764" s="188" t="s">
        <v>22</v>
      </c>
      <c r="O764" s="198" t="s">
        <v>1878</v>
      </c>
      <c r="P764">
        <v>777</v>
      </c>
      <c r="Q764">
        <f>_xlfn.XLOOKUP(A764,'[1]Classic Net to delete'!D:D,'[1]Classic Net to delete'!AA:AA,0)</f>
        <v>0</v>
      </c>
    </row>
    <row r="765" spans="1:17" x14ac:dyDescent="0.25">
      <c r="A765" t="s">
        <v>1879</v>
      </c>
      <c r="B765" t="s">
        <v>1880</v>
      </c>
      <c r="C765">
        <v>148.62</v>
      </c>
      <c r="D765" t="s">
        <v>1872</v>
      </c>
      <c r="E765" t="str">
        <f t="shared" si="17"/>
        <v>. Generators</v>
      </c>
      <c r="F765">
        <v>75</v>
      </c>
      <c r="H765" t="b">
        <v>0</v>
      </c>
      <c r="I765">
        <v>0</v>
      </c>
      <c r="L765" s="188">
        <f>IFERROR(_xlfn.XLOOKUP(A765,[1]Fleet!A:A,[1]Fleet!E:E,""),"")</f>
        <v>1</v>
      </c>
      <c r="M765" s="188" t="s">
        <v>22</v>
      </c>
      <c r="N765" s="188" t="s">
        <v>22</v>
      </c>
      <c r="O765" s="198" t="s">
        <v>1878</v>
      </c>
      <c r="P765">
        <v>769</v>
      </c>
      <c r="Q765">
        <f>_xlfn.XLOOKUP(A765,'[1]Classic Net to delete'!D:D,'[1]Classic Net to delete'!AA:AA,0)</f>
        <v>0</v>
      </c>
    </row>
    <row r="766" spans="1:17" x14ac:dyDescent="0.25">
      <c r="A766" t="s">
        <v>1881</v>
      </c>
      <c r="B766" t="s">
        <v>1882</v>
      </c>
      <c r="C766">
        <v>101.65</v>
      </c>
      <c r="D766" t="s">
        <v>1872</v>
      </c>
      <c r="E766" t="str">
        <f t="shared" si="17"/>
        <v>. Generators</v>
      </c>
      <c r="F766">
        <v>75</v>
      </c>
      <c r="H766" t="b">
        <v>0</v>
      </c>
      <c r="I766">
        <v>0</v>
      </c>
      <c r="L766" s="188">
        <f>IFERROR(_xlfn.XLOOKUP(A766,[1]Fleet!A:A,[1]Fleet!E:E,""),"")</f>
        <v>10</v>
      </c>
      <c r="M766" s="188" t="s">
        <v>22</v>
      </c>
      <c r="N766" s="188" t="s">
        <v>22</v>
      </c>
      <c r="O766" s="198" t="s">
        <v>1878</v>
      </c>
      <c r="P766">
        <v>778</v>
      </c>
      <c r="Q766">
        <f>_xlfn.XLOOKUP(A766,'[1]Classic Net to delete'!D:D,'[1]Classic Net to delete'!AA:AA,0)</f>
        <v>0</v>
      </c>
    </row>
    <row r="767" spans="1:17" x14ac:dyDescent="0.25">
      <c r="A767" t="s">
        <v>1883</v>
      </c>
      <c r="B767" t="s">
        <v>1884</v>
      </c>
      <c r="C767">
        <v>0</v>
      </c>
      <c r="D767" t="s">
        <v>1872</v>
      </c>
      <c r="E767" t="str">
        <f t="shared" si="17"/>
        <v>. TBC</v>
      </c>
      <c r="F767">
        <v>75</v>
      </c>
      <c r="H767" t="b">
        <v>0</v>
      </c>
      <c r="I767">
        <v>0</v>
      </c>
      <c r="L767" s="188">
        <f>IFERROR(_xlfn.XLOOKUP(A767,[1]Fleet!A:A,[1]Fleet!E:E,""),"")</f>
        <v>12</v>
      </c>
      <c r="M767" s="188" t="s">
        <v>22</v>
      </c>
      <c r="N767" s="188" t="s">
        <v>22</v>
      </c>
      <c r="O767" s="198" t="s">
        <v>1417</v>
      </c>
      <c r="P767">
        <v>779</v>
      </c>
      <c r="Q767">
        <f>_xlfn.XLOOKUP(A767,'[1]Classic Net to delete'!D:D,'[1]Classic Net to delete'!AA:AA,0)</f>
        <v>0</v>
      </c>
    </row>
    <row r="768" spans="1:17" x14ac:dyDescent="0.25">
      <c r="A768" t="s">
        <v>1883</v>
      </c>
      <c r="B768" t="s">
        <v>1885</v>
      </c>
      <c r="C768">
        <v>0</v>
      </c>
      <c r="D768" t="s">
        <v>1872</v>
      </c>
      <c r="E768" t="str">
        <f t="shared" si="17"/>
        <v>. TBC</v>
      </c>
      <c r="F768">
        <v>75</v>
      </c>
      <c r="H768" t="b">
        <v>0</v>
      </c>
      <c r="I768">
        <v>0</v>
      </c>
      <c r="L768" s="188">
        <f>IFERROR(_xlfn.XLOOKUP(A768,[1]Fleet!A:A,[1]Fleet!E:E,""),"")</f>
        <v>12</v>
      </c>
      <c r="M768" s="188" t="s">
        <v>22</v>
      </c>
      <c r="N768" s="188" t="s">
        <v>22</v>
      </c>
      <c r="O768" s="198" t="s">
        <v>1417</v>
      </c>
      <c r="P768">
        <v>780</v>
      </c>
      <c r="Q768">
        <f>_xlfn.XLOOKUP(A768,'[1]Classic Net to delete'!D:D,'[1]Classic Net to delete'!AA:AA,0)</f>
        <v>0</v>
      </c>
    </row>
    <row r="769" spans="1:17" x14ac:dyDescent="0.25">
      <c r="A769" t="s">
        <v>1883</v>
      </c>
      <c r="B769" t="s">
        <v>1886</v>
      </c>
      <c r="C769">
        <v>0</v>
      </c>
      <c r="D769" t="s">
        <v>1872</v>
      </c>
      <c r="E769" t="str">
        <f t="shared" si="17"/>
        <v>. TBC</v>
      </c>
      <c r="F769">
        <v>75</v>
      </c>
      <c r="H769" t="b">
        <v>0</v>
      </c>
      <c r="I769">
        <v>0</v>
      </c>
      <c r="L769" s="188">
        <f>IFERROR(_xlfn.XLOOKUP(A769,[1]Fleet!A:A,[1]Fleet!E:E,""),"")</f>
        <v>12</v>
      </c>
      <c r="M769" s="188" t="s">
        <v>22</v>
      </c>
      <c r="N769" s="188" t="s">
        <v>22</v>
      </c>
      <c r="O769" s="198" t="s">
        <v>1417</v>
      </c>
      <c r="P769">
        <v>781</v>
      </c>
      <c r="Q769">
        <f>_xlfn.XLOOKUP(A769,'[1]Classic Net to delete'!D:D,'[1]Classic Net to delete'!AA:AA,0)</f>
        <v>0</v>
      </c>
    </row>
    <row r="770" spans="1:17" x14ac:dyDescent="0.25">
      <c r="A770" t="s">
        <v>1883</v>
      </c>
      <c r="B770" t="s">
        <v>1887</v>
      </c>
      <c r="C770">
        <v>0</v>
      </c>
      <c r="D770" t="s">
        <v>1872</v>
      </c>
      <c r="E770" t="str">
        <f t="shared" si="17"/>
        <v>. TBC</v>
      </c>
      <c r="F770">
        <v>75</v>
      </c>
      <c r="H770" t="b">
        <v>0</v>
      </c>
      <c r="I770">
        <v>0</v>
      </c>
      <c r="L770" s="188">
        <f>IFERROR(_xlfn.XLOOKUP(A770,[1]Fleet!A:A,[1]Fleet!E:E,""),"")</f>
        <v>12</v>
      </c>
      <c r="M770" s="188" t="s">
        <v>22</v>
      </c>
      <c r="N770" s="188" t="s">
        <v>22</v>
      </c>
      <c r="O770" s="198" t="s">
        <v>1417</v>
      </c>
      <c r="P770">
        <v>782</v>
      </c>
      <c r="Q770">
        <f>_xlfn.XLOOKUP(A770,'[1]Classic Net to delete'!D:D,'[1]Classic Net to delete'!AA:AA,0)</f>
        <v>0</v>
      </c>
    </row>
    <row r="771" spans="1:17" x14ac:dyDescent="0.25">
      <c r="A771" t="s">
        <v>1883</v>
      </c>
      <c r="B771" t="s">
        <v>1888</v>
      </c>
      <c r="C771">
        <v>0</v>
      </c>
      <c r="D771" t="s">
        <v>1872</v>
      </c>
      <c r="E771" t="str">
        <f t="shared" si="17"/>
        <v>. TBC</v>
      </c>
      <c r="F771">
        <v>75</v>
      </c>
      <c r="H771" t="b">
        <v>0</v>
      </c>
      <c r="I771">
        <v>0</v>
      </c>
      <c r="L771" s="188">
        <f>IFERROR(_xlfn.XLOOKUP(A771,[1]Fleet!A:A,[1]Fleet!E:E,""),"")</f>
        <v>12</v>
      </c>
      <c r="M771" s="188" t="s">
        <v>22</v>
      </c>
      <c r="N771" s="188" t="s">
        <v>22</v>
      </c>
      <c r="O771" s="198" t="s">
        <v>1417</v>
      </c>
      <c r="P771">
        <v>783</v>
      </c>
      <c r="Q771">
        <f>_xlfn.XLOOKUP(A771,'[1]Classic Net to delete'!D:D,'[1]Classic Net to delete'!AA:AA,0)</f>
        <v>0</v>
      </c>
    </row>
    <row r="772" spans="1:17" x14ac:dyDescent="0.25">
      <c r="A772" t="s">
        <v>1883</v>
      </c>
      <c r="B772" t="s">
        <v>1889</v>
      </c>
      <c r="C772">
        <v>0</v>
      </c>
      <c r="D772" t="s">
        <v>1872</v>
      </c>
      <c r="E772" t="str">
        <f t="shared" si="17"/>
        <v>. TBC</v>
      </c>
      <c r="F772">
        <v>75</v>
      </c>
      <c r="H772" t="b">
        <v>0</v>
      </c>
      <c r="I772">
        <v>0</v>
      </c>
      <c r="L772" s="188">
        <f>IFERROR(_xlfn.XLOOKUP(A772,[1]Fleet!A:A,[1]Fleet!E:E,""),"")</f>
        <v>12</v>
      </c>
      <c r="M772" s="188" t="s">
        <v>22</v>
      </c>
      <c r="N772" s="188" t="s">
        <v>22</v>
      </c>
      <c r="O772" s="198" t="s">
        <v>1417</v>
      </c>
      <c r="P772">
        <v>784</v>
      </c>
      <c r="Q772">
        <f>_xlfn.XLOOKUP(A772,'[1]Classic Net to delete'!D:D,'[1]Classic Net to delete'!AA:AA,0)</f>
        <v>0</v>
      </c>
    </row>
    <row r="773" spans="1:17" x14ac:dyDescent="0.25">
      <c r="A773" t="s">
        <v>1883</v>
      </c>
      <c r="B773" t="s">
        <v>1890</v>
      </c>
      <c r="C773">
        <v>0</v>
      </c>
      <c r="D773" t="s">
        <v>1872</v>
      </c>
      <c r="E773" t="str">
        <f t="shared" ref="E773:E836" si="18">CONCATENATE(K773,". ",O773)</f>
        <v>. TBC</v>
      </c>
      <c r="F773">
        <v>75</v>
      </c>
      <c r="H773" t="b">
        <v>0</v>
      </c>
      <c r="I773">
        <v>0</v>
      </c>
      <c r="L773" s="188">
        <f>IFERROR(_xlfn.XLOOKUP(A773,[1]Fleet!A:A,[1]Fleet!E:E,""),"")</f>
        <v>12</v>
      </c>
      <c r="M773" s="188" t="s">
        <v>22</v>
      </c>
      <c r="N773" s="188" t="s">
        <v>22</v>
      </c>
      <c r="O773" s="198" t="s">
        <v>1417</v>
      </c>
      <c r="P773">
        <v>785</v>
      </c>
      <c r="Q773">
        <f>_xlfn.XLOOKUP(A773,'[1]Classic Net to delete'!D:D,'[1]Classic Net to delete'!AA:AA,0)</f>
        <v>0</v>
      </c>
    </row>
    <row r="774" spans="1:17" x14ac:dyDescent="0.25">
      <c r="A774" t="s">
        <v>1883</v>
      </c>
      <c r="B774" t="s">
        <v>1891</v>
      </c>
      <c r="C774">
        <v>0</v>
      </c>
      <c r="D774" t="s">
        <v>1872</v>
      </c>
      <c r="E774" t="str">
        <f t="shared" si="18"/>
        <v>. TBC</v>
      </c>
      <c r="F774">
        <v>75</v>
      </c>
      <c r="H774" t="b">
        <v>0</v>
      </c>
      <c r="I774">
        <v>0</v>
      </c>
      <c r="L774" s="188">
        <f>IFERROR(_xlfn.XLOOKUP(A774,[1]Fleet!A:A,[1]Fleet!E:E,""),"")</f>
        <v>12</v>
      </c>
      <c r="M774" s="188" t="s">
        <v>22</v>
      </c>
      <c r="N774" s="188" t="s">
        <v>22</v>
      </c>
      <c r="O774" s="198" t="s">
        <v>1417</v>
      </c>
      <c r="P774">
        <v>786</v>
      </c>
      <c r="Q774">
        <f>_xlfn.XLOOKUP(A774,'[1]Classic Net to delete'!D:D,'[1]Classic Net to delete'!AA:AA,0)</f>
        <v>0</v>
      </c>
    </row>
    <row r="775" spans="1:17" x14ac:dyDescent="0.25">
      <c r="A775" t="s">
        <v>1883</v>
      </c>
      <c r="B775" t="s">
        <v>1892</v>
      </c>
      <c r="C775">
        <v>0</v>
      </c>
      <c r="D775" t="s">
        <v>1872</v>
      </c>
      <c r="E775" t="str">
        <f t="shared" si="18"/>
        <v>. TBC</v>
      </c>
      <c r="F775">
        <v>75</v>
      </c>
      <c r="H775" t="b">
        <v>0</v>
      </c>
      <c r="I775">
        <v>0</v>
      </c>
      <c r="L775" s="188">
        <f>IFERROR(_xlfn.XLOOKUP(A775,[1]Fleet!A:A,[1]Fleet!E:E,""),"")</f>
        <v>12</v>
      </c>
      <c r="M775" s="188" t="s">
        <v>22</v>
      </c>
      <c r="N775" s="188" t="s">
        <v>22</v>
      </c>
      <c r="O775" s="198" t="s">
        <v>1417</v>
      </c>
      <c r="P775">
        <v>787</v>
      </c>
      <c r="Q775">
        <f>_xlfn.XLOOKUP(A775,'[1]Classic Net to delete'!D:D,'[1]Classic Net to delete'!AA:AA,0)</f>
        <v>0</v>
      </c>
    </row>
    <row r="776" spans="1:17" x14ac:dyDescent="0.25">
      <c r="A776" t="s">
        <v>1883</v>
      </c>
      <c r="B776" t="s">
        <v>1893</v>
      </c>
      <c r="C776">
        <v>0</v>
      </c>
      <c r="D776" t="s">
        <v>1872</v>
      </c>
      <c r="E776" t="str">
        <f t="shared" si="18"/>
        <v>. TBC</v>
      </c>
      <c r="F776">
        <v>75</v>
      </c>
      <c r="H776" t="b">
        <v>0</v>
      </c>
      <c r="I776">
        <v>0</v>
      </c>
      <c r="L776" s="188">
        <f>IFERROR(_xlfn.XLOOKUP(A776,[1]Fleet!A:A,[1]Fleet!E:E,""),"")</f>
        <v>12</v>
      </c>
      <c r="M776" s="188" t="s">
        <v>22</v>
      </c>
      <c r="N776" s="188" t="s">
        <v>22</v>
      </c>
      <c r="O776" s="198" t="s">
        <v>1417</v>
      </c>
      <c r="P776">
        <v>788</v>
      </c>
      <c r="Q776">
        <f>_xlfn.XLOOKUP(A776,'[1]Classic Net to delete'!D:D,'[1]Classic Net to delete'!AA:AA,0)</f>
        <v>0</v>
      </c>
    </row>
    <row r="777" spans="1:17" x14ac:dyDescent="0.25">
      <c r="A777" t="s">
        <v>1883</v>
      </c>
      <c r="B777" t="s">
        <v>1894</v>
      </c>
      <c r="C777">
        <v>0</v>
      </c>
      <c r="D777" t="s">
        <v>1872</v>
      </c>
      <c r="E777" t="str">
        <f t="shared" si="18"/>
        <v>. TBC</v>
      </c>
      <c r="F777">
        <v>75</v>
      </c>
      <c r="H777" t="b">
        <v>0</v>
      </c>
      <c r="I777">
        <v>0</v>
      </c>
      <c r="L777" s="188">
        <f>IFERROR(_xlfn.XLOOKUP(A777,[1]Fleet!A:A,[1]Fleet!E:E,""),"")</f>
        <v>12</v>
      </c>
      <c r="M777" s="188" t="s">
        <v>22</v>
      </c>
      <c r="N777" s="188" t="s">
        <v>22</v>
      </c>
      <c r="O777" s="198" t="s">
        <v>1417</v>
      </c>
      <c r="P777">
        <v>789</v>
      </c>
      <c r="Q777">
        <f>_xlfn.XLOOKUP(A777,'[1]Classic Net to delete'!D:D,'[1]Classic Net to delete'!AA:AA,0)</f>
        <v>0</v>
      </c>
    </row>
    <row r="778" spans="1:17" x14ac:dyDescent="0.25">
      <c r="A778" t="s">
        <v>1883</v>
      </c>
      <c r="B778" t="s">
        <v>1895</v>
      </c>
      <c r="C778">
        <v>0</v>
      </c>
      <c r="D778" t="s">
        <v>1872</v>
      </c>
      <c r="E778" t="str">
        <f t="shared" si="18"/>
        <v>. TBC</v>
      </c>
      <c r="F778">
        <v>75</v>
      </c>
      <c r="H778" t="b">
        <v>0</v>
      </c>
      <c r="I778">
        <v>0</v>
      </c>
      <c r="L778" s="188">
        <f>IFERROR(_xlfn.XLOOKUP(A778,[1]Fleet!A:A,[1]Fleet!E:E,""),"")</f>
        <v>12</v>
      </c>
      <c r="M778" s="188" t="s">
        <v>22</v>
      </c>
      <c r="N778" s="188" t="s">
        <v>22</v>
      </c>
      <c r="O778" s="198" t="s">
        <v>1417</v>
      </c>
      <c r="P778">
        <v>790</v>
      </c>
      <c r="Q778">
        <f>_xlfn.XLOOKUP(A778,'[1]Classic Net to delete'!D:D,'[1]Classic Net to delete'!AA:AA,0)</f>
        <v>0</v>
      </c>
    </row>
    <row r="779" spans="1:17" x14ac:dyDescent="0.25">
      <c r="A779" t="s">
        <v>1896</v>
      </c>
      <c r="B779" t="s">
        <v>1897</v>
      </c>
      <c r="C779">
        <v>21.88</v>
      </c>
      <c r="D779" t="s">
        <v>1872</v>
      </c>
      <c r="E779" t="str">
        <f t="shared" si="18"/>
        <v>. Transformers</v>
      </c>
      <c r="F779">
        <v>75</v>
      </c>
      <c r="H779" t="b">
        <v>0</v>
      </c>
      <c r="I779">
        <v>0</v>
      </c>
      <c r="L779" s="188">
        <f>IFERROR(_xlfn.XLOOKUP(A779,[1]Fleet!A:A,[1]Fleet!E:E,""),"")</f>
        <v>2</v>
      </c>
      <c r="M779" s="188" t="s">
        <v>22</v>
      </c>
      <c r="N779" s="188" t="s">
        <v>22</v>
      </c>
      <c r="O779" s="198" t="s">
        <v>1898</v>
      </c>
      <c r="P779">
        <v>797</v>
      </c>
      <c r="Q779">
        <f>_xlfn.XLOOKUP(A779,'[1]Classic Net to delete'!D:D,'[1]Classic Net to delete'!AA:AA,0)</f>
        <v>0</v>
      </c>
    </row>
    <row r="780" spans="1:17" x14ac:dyDescent="0.25">
      <c r="A780" t="s">
        <v>1899</v>
      </c>
      <c r="B780" t="s">
        <v>1900</v>
      </c>
      <c r="C780">
        <v>0</v>
      </c>
      <c r="D780" t="s">
        <v>1872</v>
      </c>
      <c r="E780" t="str">
        <f t="shared" si="18"/>
        <v>. Welding</v>
      </c>
      <c r="F780">
        <v>75</v>
      </c>
      <c r="H780" t="b">
        <v>0</v>
      </c>
      <c r="I780">
        <v>0</v>
      </c>
      <c r="L780" s="188">
        <f>IFERROR(_xlfn.XLOOKUP(A780,[1]Fleet!A:A,[1]Fleet!E:E,""),"")</f>
        <v>2</v>
      </c>
      <c r="M780" s="188" t="s">
        <v>22</v>
      </c>
      <c r="N780" s="188" t="s">
        <v>22</v>
      </c>
      <c r="O780" s="198" t="s">
        <v>1901</v>
      </c>
      <c r="P780">
        <v>799</v>
      </c>
      <c r="Q780">
        <f>_xlfn.XLOOKUP(A780,'[1]Classic Net to delete'!D:D,'[1]Classic Net to delete'!AA:AA,0)</f>
        <v>0</v>
      </c>
    </row>
    <row r="781" spans="1:17" x14ac:dyDescent="0.25">
      <c r="A781" t="s">
        <v>1899</v>
      </c>
      <c r="B781" t="s">
        <v>1902</v>
      </c>
      <c r="C781">
        <v>0</v>
      </c>
      <c r="D781" t="s">
        <v>1872</v>
      </c>
      <c r="E781" t="str">
        <f t="shared" si="18"/>
        <v>. Welding</v>
      </c>
      <c r="F781">
        <v>75</v>
      </c>
      <c r="H781" t="b">
        <v>0</v>
      </c>
      <c r="I781">
        <v>0</v>
      </c>
      <c r="L781" s="188">
        <f>IFERROR(_xlfn.XLOOKUP(A781,[1]Fleet!A:A,[1]Fleet!E:E,""),"")</f>
        <v>2</v>
      </c>
      <c r="M781" s="188" t="s">
        <v>22</v>
      </c>
      <c r="N781" s="188" t="s">
        <v>22</v>
      </c>
      <c r="O781" s="198" t="s">
        <v>1901</v>
      </c>
      <c r="P781">
        <v>800</v>
      </c>
      <c r="Q781">
        <f>_xlfn.XLOOKUP(A781,'[1]Classic Net to delete'!D:D,'[1]Classic Net to delete'!AA:AA,0)</f>
        <v>0</v>
      </c>
    </row>
    <row r="782" spans="1:17" x14ac:dyDescent="0.25">
      <c r="A782" t="s">
        <v>1903</v>
      </c>
      <c r="B782" s="188" t="s">
        <v>1904</v>
      </c>
      <c r="C782">
        <v>75.38</v>
      </c>
      <c r="D782" t="s">
        <v>1872</v>
      </c>
      <c r="E782" t="str">
        <f t="shared" si="18"/>
        <v>01. Generators</v>
      </c>
      <c r="F782">
        <v>75</v>
      </c>
      <c r="H782" t="b">
        <v>1</v>
      </c>
      <c r="I782">
        <v>664</v>
      </c>
      <c r="K782" s="192" t="s">
        <v>21</v>
      </c>
      <c r="L782" s="188">
        <f>IFERROR(_xlfn.XLOOKUP(A782,[1]Fleet!A:A,[1]Fleet!E:E,""),"")</f>
        <v>37</v>
      </c>
      <c r="M782" s="188">
        <v>70.45</v>
      </c>
      <c r="N782" s="188" t="s">
        <v>1904</v>
      </c>
      <c r="O782" s="198" t="s">
        <v>1878</v>
      </c>
      <c r="P782">
        <v>766</v>
      </c>
      <c r="Q782">
        <f>_xlfn.XLOOKUP(A782,'[1]Classic Net to delete'!D:D,'[1]Classic Net to delete'!AA:AA,0)</f>
        <v>664</v>
      </c>
    </row>
    <row r="783" spans="1:17" x14ac:dyDescent="0.25">
      <c r="A783" t="s">
        <v>1905</v>
      </c>
      <c r="B783" s="188" t="s">
        <v>1906</v>
      </c>
      <c r="C783">
        <v>151.41</v>
      </c>
      <c r="D783" t="s">
        <v>1872</v>
      </c>
      <c r="E783" t="str">
        <f t="shared" si="18"/>
        <v>01. Generators</v>
      </c>
      <c r="F783">
        <v>75</v>
      </c>
      <c r="H783" t="b">
        <v>1</v>
      </c>
      <c r="I783">
        <v>665</v>
      </c>
      <c r="K783" s="192" t="s">
        <v>21</v>
      </c>
      <c r="L783" s="188">
        <f>IFERROR(_xlfn.XLOOKUP(A783,[1]Fleet!A:A,[1]Fleet!E:E,""),"")</f>
        <v>3</v>
      </c>
      <c r="M783" s="188">
        <v>141.5</v>
      </c>
      <c r="N783" s="188" t="s">
        <v>1906</v>
      </c>
      <c r="O783" s="198" t="s">
        <v>1878</v>
      </c>
      <c r="P783">
        <v>774</v>
      </c>
      <c r="Q783">
        <f>_xlfn.XLOOKUP(A783,'[1]Classic Net to delete'!D:D,'[1]Classic Net to delete'!AA:AA,0)</f>
        <v>665</v>
      </c>
    </row>
    <row r="784" spans="1:17" x14ac:dyDescent="0.25">
      <c r="A784" t="s">
        <v>1907</v>
      </c>
      <c r="B784" s="188" t="s">
        <v>1908</v>
      </c>
      <c r="C784">
        <v>139.18</v>
      </c>
      <c r="D784" t="s">
        <v>1872</v>
      </c>
      <c r="E784" t="str">
        <f t="shared" si="18"/>
        <v>01. Generators</v>
      </c>
      <c r="F784">
        <v>75</v>
      </c>
      <c r="H784" t="b">
        <v>1</v>
      </c>
      <c r="I784">
        <v>666</v>
      </c>
      <c r="K784" s="192" t="s">
        <v>21</v>
      </c>
      <c r="L784" s="188">
        <f>IFERROR(_xlfn.XLOOKUP(A784,[1]Fleet!A:A,[1]Fleet!E:E,""),"")</f>
        <v>20</v>
      </c>
      <c r="M784" s="188">
        <v>117.95</v>
      </c>
      <c r="N784" s="188" t="s">
        <v>1908</v>
      </c>
      <c r="O784" s="198" t="s">
        <v>1878</v>
      </c>
      <c r="P784">
        <v>770</v>
      </c>
      <c r="Q784">
        <f>_xlfn.XLOOKUP(A784,'[1]Classic Net to delete'!D:D,'[1]Classic Net to delete'!AA:AA,0)</f>
        <v>666</v>
      </c>
    </row>
    <row r="785" spans="1:17" x14ac:dyDescent="0.25">
      <c r="A785" t="s">
        <v>1909</v>
      </c>
      <c r="B785" s="188" t="s">
        <v>1910</v>
      </c>
      <c r="C785">
        <v>236.1</v>
      </c>
      <c r="D785" t="s">
        <v>1872</v>
      </c>
      <c r="E785" t="str">
        <f t="shared" si="18"/>
        <v>01. Generators</v>
      </c>
      <c r="F785">
        <v>75</v>
      </c>
      <c r="H785" t="b">
        <v>1</v>
      </c>
      <c r="I785">
        <v>667</v>
      </c>
      <c r="K785" s="192" t="s">
        <v>21</v>
      </c>
      <c r="L785" s="188">
        <f>IFERROR(_xlfn.XLOOKUP(A785,[1]Fleet!A:A,[1]Fleet!E:E,""),"")</f>
        <v>46</v>
      </c>
      <c r="M785" s="188">
        <v>210.8</v>
      </c>
      <c r="N785" s="188" t="s">
        <v>1910</v>
      </c>
      <c r="O785" s="198" t="s">
        <v>1878</v>
      </c>
      <c r="P785">
        <v>771</v>
      </c>
      <c r="Q785">
        <f>_xlfn.XLOOKUP(A785,'[1]Classic Net to delete'!D:D,'[1]Classic Net to delete'!AA:AA,0)</f>
        <v>667</v>
      </c>
    </row>
    <row r="786" spans="1:17" x14ac:dyDescent="0.25">
      <c r="A786" t="s">
        <v>1909</v>
      </c>
      <c r="B786" s="188" t="s">
        <v>1911</v>
      </c>
      <c r="C786">
        <v>236.1</v>
      </c>
      <c r="D786" t="s">
        <v>1872</v>
      </c>
      <c r="E786" t="str">
        <f t="shared" si="18"/>
        <v>01. Generators</v>
      </c>
      <c r="F786">
        <v>75</v>
      </c>
      <c r="H786" t="b">
        <v>1</v>
      </c>
      <c r="I786">
        <v>667</v>
      </c>
      <c r="K786" s="192" t="s">
        <v>21</v>
      </c>
      <c r="L786" s="188">
        <f>IFERROR(_xlfn.XLOOKUP(A786,[1]Fleet!A:A,[1]Fleet!E:E,""),"")</f>
        <v>46</v>
      </c>
      <c r="M786" s="188">
        <v>210.8</v>
      </c>
      <c r="N786" s="188" t="s">
        <v>1910</v>
      </c>
      <c r="O786" s="198" t="s">
        <v>1878</v>
      </c>
      <c r="P786">
        <v>775</v>
      </c>
      <c r="Q786">
        <f>_xlfn.XLOOKUP(A786,'[1]Classic Net to delete'!D:D,'[1]Classic Net to delete'!AA:AA,0)</f>
        <v>667</v>
      </c>
    </row>
    <row r="787" spans="1:17" x14ac:dyDescent="0.25">
      <c r="A787" t="s">
        <v>1912</v>
      </c>
      <c r="B787" s="188" t="s">
        <v>1913</v>
      </c>
      <c r="C787">
        <v>280.70999999999998</v>
      </c>
      <c r="D787" t="s">
        <v>1872</v>
      </c>
      <c r="E787" t="str">
        <f t="shared" si="18"/>
        <v>01. Generators</v>
      </c>
      <c r="F787">
        <v>75</v>
      </c>
      <c r="H787" t="b">
        <v>1</v>
      </c>
      <c r="I787">
        <v>668</v>
      </c>
      <c r="K787" s="192" t="s">
        <v>21</v>
      </c>
      <c r="L787" s="188">
        <f>IFERROR(_xlfn.XLOOKUP(A787,[1]Fleet!A:A,[1]Fleet!E:E,""),"")</f>
        <v>16</v>
      </c>
      <c r="M787" s="188">
        <v>262.35000000000002</v>
      </c>
      <c r="N787" s="188" t="s">
        <v>1913</v>
      </c>
      <c r="O787" s="198" t="s">
        <v>1878</v>
      </c>
      <c r="P787">
        <v>767</v>
      </c>
      <c r="Q787">
        <f>_xlfn.XLOOKUP(A787,'[1]Classic Net to delete'!D:D,'[1]Classic Net to delete'!AA:AA,0)</f>
        <v>668</v>
      </c>
    </row>
    <row r="788" spans="1:17" x14ac:dyDescent="0.25">
      <c r="A788" t="s">
        <v>1914</v>
      </c>
      <c r="B788" s="188" t="s">
        <v>1915</v>
      </c>
      <c r="C788">
        <v>314.79000000000002</v>
      </c>
      <c r="D788" t="s">
        <v>1872</v>
      </c>
      <c r="E788" t="str">
        <f t="shared" si="18"/>
        <v>01. Generators</v>
      </c>
      <c r="F788">
        <v>75</v>
      </c>
      <c r="H788" t="b">
        <v>1</v>
      </c>
      <c r="I788">
        <v>669</v>
      </c>
      <c r="K788" s="192" t="s">
        <v>21</v>
      </c>
      <c r="L788" s="188">
        <f>IFERROR(_xlfn.XLOOKUP(A788,[1]Fleet!A:A,[1]Fleet!E:E,""),"")</f>
        <v>3</v>
      </c>
      <c r="M788" s="188">
        <v>294.2</v>
      </c>
      <c r="N788" s="188" t="s">
        <v>1915</v>
      </c>
      <c r="O788" s="198" t="s">
        <v>1878</v>
      </c>
      <c r="P788">
        <v>772</v>
      </c>
      <c r="Q788">
        <f>_xlfn.XLOOKUP(A788,'[1]Classic Net to delete'!D:D,'[1]Classic Net to delete'!AA:AA,0)</f>
        <v>669</v>
      </c>
    </row>
    <row r="789" spans="1:17" x14ac:dyDescent="0.25">
      <c r="A789" t="s">
        <v>1916</v>
      </c>
      <c r="B789" t="s">
        <v>1917</v>
      </c>
      <c r="C789">
        <v>333.25</v>
      </c>
      <c r="D789" t="s">
        <v>1872</v>
      </c>
      <c r="E789" t="str">
        <f t="shared" si="18"/>
        <v>01. Generators</v>
      </c>
      <c r="F789">
        <v>75</v>
      </c>
      <c r="H789" t="b">
        <v>1</v>
      </c>
      <c r="I789">
        <v>669.1</v>
      </c>
      <c r="K789" s="192" t="s">
        <v>21</v>
      </c>
      <c r="L789" s="188">
        <f>IFERROR(_xlfn.XLOOKUP(A789,[1]Fleet!A:A,[1]Fleet!E:E,""),"")</f>
        <v>18</v>
      </c>
      <c r="M789" s="188" t="s">
        <v>22</v>
      </c>
      <c r="N789" s="188" t="s">
        <v>22</v>
      </c>
      <c r="O789" s="198" t="s">
        <v>1878</v>
      </c>
      <c r="P789">
        <v>773</v>
      </c>
      <c r="Q789">
        <f>_xlfn.XLOOKUP(A789,'[1]Classic Net to delete'!D:D,'[1]Classic Net to delete'!AA:AA,0)</f>
        <v>0</v>
      </c>
    </row>
    <row r="790" spans="1:17" x14ac:dyDescent="0.25">
      <c r="A790" t="s">
        <v>1918</v>
      </c>
      <c r="B790" s="188" t="s">
        <v>1919</v>
      </c>
      <c r="C790">
        <v>334.32</v>
      </c>
      <c r="D790" t="s">
        <v>1872</v>
      </c>
      <c r="E790" t="str">
        <f t="shared" si="18"/>
        <v>01. Generators</v>
      </c>
      <c r="F790">
        <v>75</v>
      </c>
      <c r="H790" t="b">
        <v>1</v>
      </c>
      <c r="I790">
        <v>670</v>
      </c>
      <c r="K790" s="192" t="s">
        <v>21</v>
      </c>
      <c r="L790" s="188">
        <f>IFERROR(_xlfn.XLOOKUP(A790,[1]Fleet!A:A,[1]Fleet!E:E,""),"")</f>
        <v>9</v>
      </c>
      <c r="M790" s="188">
        <v>312.45000000000005</v>
      </c>
      <c r="N790" s="188" t="s">
        <v>1919</v>
      </c>
      <c r="O790" s="198" t="s">
        <v>1878</v>
      </c>
      <c r="P790">
        <v>768</v>
      </c>
      <c r="Q790">
        <f>_xlfn.XLOOKUP(A790,'[1]Classic Net to delete'!D:D,'[1]Classic Net to delete'!AA:AA,0)</f>
        <v>670</v>
      </c>
    </row>
    <row r="791" spans="1:17" x14ac:dyDescent="0.25">
      <c r="A791" t="s">
        <v>1920</v>
      </c>
      <c r="B791" s="188" t="s">
        <v>1921</v>
      </c>
      <c r="C791">
        <v>500.64</v>
      </c>
      <c r="D791" t="s">
        <v>1872</v>
      </c>
      <c r="E791" t="str">
        <f t="shared" si="18"/>
        <v>01. Generators</v>
      </c>
      <c r="F791">
        <v>75</v>
      </c>
      <c r="H791" t="b">
        <v>1</v>
      </c>
      <c r="I791">
        <v>671</v>
      </c>
      <c r="K791" s="192" t="s">
        <v>21</v>
      </c>
      <c r="L791" s="188">
        <f>IFERROR(_xlfn.XLOOKUP(A791,[1]Fleet!A:A,[1]Fleet!E:E,""),"")</f>
        <v>3</v>
      </c>
      <c r="M791" s="188">
        <v>447</v>
      </c>
      <c r="N791" s="188" t="s">
        <v>1921</v>
      </c>
      <c r="O791" s="198" t="s">
        <v>1878</v>
      </c>
      <c r="P791">
        <v>776</v>
      </c>
      <c r="Q791">
        <f>_xlfn.XLOOKUP(A791,'[1]Classic Net to delete'!D:D,'[1]Classic Net to delete'!AA:AA,0)</f>
        <v>671</v>
      </c>
    </row>
    <row r="792" spans="1:17" x14ac:dyDescent="0.25">
      <c r="A792" t="s">
        <v>1922</v>
      </c>
      <c r="B792" t="s">
        <v>1923</v>
      </c>
      <c r="C792">
        <v>230.22</v>
      </c>
      <c r="D792" t="s">
        <v>1872</v>
      </c>
      <c r="E792" t="str">
        <f t="shared" si="18"/>
        <v>02. Welding</v>
      </c>
      <c r="F792">
        <v>75</v>
      </c>
      <c r="H792" t="b">
        <v>1</v>
      </c>
      <c r="I792">
        <v>674</v>
      </c>
      <c r="K792" s="192" t="s">
        <v>54</v>
      </c>
      <c r="L792" s="188">
        <f>IFERROR(_xlfn.XLOOKUP(A792,[1]Fleet!A:A,[1]Fleet!E:E,""),"")</f>
        <v>3</v>
      </c>
      <c r="M792" s="188">
        <v>205.55</v>
      </c>
      <c r="N792" s="188" t="s">
        <v>1924</v>
      </c>
      <c r="O792" s="198" t="s">
        <v>1901</v>
      </c>
      <c r="P792">
        <v>798</v>
      </c>
      <c r="Q792">
        <f>_xlfn.XLOOKUP(A792,'[1]Classic Net to delete'!D:D,'[1]Classic Net to delete'!AA:AA,0)</f>
        <v>674</v>
      </c>
    </row>
    <row r="793" spans="1:17" x14ac:dyDescent="0.25">
      <c r="A793" t="s">
        <v>1925</v>
      </c>
      <c r="B793" t="s">
        <v>1926</v>
      </c>
      <c r="C793">
        <v>33.76</v>
      </c>
      <c r="D793" t="s">
        <v>1872</v>
      </c>
      <c r="E793" t="str">
        <f t="shared" si="18"/>
        <v>02. Welding</v>
      </c>
      <c r="F793">
        <v>75</v>
      </c>
      <c r="H793" t="b">
        <v>1</v>
      </c>
      <c r="I793">
        <v>675</v>
      </c>
      <c r="K793" s="192" t="s">
        <v>54</v>
      </c>
      <c r="L793" s="188" t="str">
        <f>IFERROR(_xlfn.XLOOKUP(A793,[1]Fleet!A:A,[1]Fleet!E:E,""),"")</f>
        <v/>
      </c>
      <c r="M793" s="188">
        <v>31.55</v>
      </c>
      <c r="N793" s="188" t="s">
        <v>1927</v>
      </c>
      <c r="O793" s="198" t="s">
        <v>1901</v>
      </c>
      <c r="P793">
        <v>764</v>
      </c>
      <c r="Q793">
        <f>_xlfn.XLOOKUP(A793,'[1]Classic Net to delete'!D:D,'[1]Classic Net to delete'!AA:AA,0)</f>
        <v>675</v>
      </c>
    </row>
    <row r="794" spans="1:17" x14ac:dyDescent="0.25">
      <c r="A794" t="s">
        <v>1928</v>
      </c>
      <c r="B794" t="s">
        <v>1929</v>
      </c>
      <c r="C794">
        <v>47.03</v>
      </c>
      <c r="D794" t="s">
        <v>1872</v>
      </c>
      <c r="E794" t="str">
        <f t="shared" si="18"/>
        <v>02. Welding</v>
      </c>
      <c r="F794">
        <v>75</v>
      </c>
      <c r="H794" t="b">
        <v>1</v>
      </c>
      <c r="I794">
        <v>676</v>
      </c>
      <c r="K794" s="192" t="s">
        <v>54</v>
      </c>
      <c r="L794" s="188" t="str">
        <f>IFERROR(_xlfn.XLOOKUP(A794,[1]Fleet!A:A,[1]Fleet!E:E,""),"")</f>
        <v/>
      </c>
      <c r="M794" s="188">
        <v>43.95</v>
      </c>
      <c r="N794" s="188" t="s">
        <v>1929</v>
      </c>
      <c r="O794" s="198" t="s">
        <v>1901</v>
      </c>
      <c r="P794">
        <v>765</v>
      </c>
      <c r="Q794">
        <f>_xlfn.XLOOKUP(A794,'[1]Classic Net to delete'!D:D,'[1]Classic Net to delete'!AA:AA,0)</f>
        <v>676</v>
      </c>
    </row>
    <row r="795" spans="1:17" x14ac:dyDescent="0.25">
      <c r="A795" t="s">
        <v>1930</v>
      </c>
      <c r="B795" t="s">
        <v>1931</v>
      </c>
      <c r="C795">
        <v>41.410000000000004</v>
      </c>
      <c r="D795" t="s">
        <v>1872</v>
      </c>
      <c r="E795" t="str">
        <f t="shared" si="18"/>
        <v>03. Transformers</v>
      </c>
      <c r="F795">
        <v>75</v>
      </c>
      <c r="H795" t="b">
        <v>1</v>
      </c>
      <c r="I795">
        <v>680</v>
      </c>
      <c r="K795" s="192" t="s">
        <v>85</v>
      </c>
      <c r="L795" s="188">
        <f>IFERROR(_xlfn.XLOOKUP(A795,[1]Fleet!A:A,[1]Fleet!E:E,""),"")</f>
        <v>18</v>
      </c>
      <c r="M795" s="188">
        <v>38.700000000000003</v>
      </c>
      <c r="N795" s="188" t="s">
        <v>1931</v>
      </c>
      <c r="O795" s="198" t="s">
        <v>1898</v>
      </c>
      <c r="P795">
        <v>792</v>
      </c>
      <c r="Q795">
        <f>_xlfn.XLOOKUP(A795,'[1]Classic Net to delete'!D:D,'[1]Classic Net to delete'!AA:AA,0)</f>
        <v>680</v>
      </c>
    </row>
    <row r="796" spans="1:17" x14ac:dyDescent="0.25">
      <c r="A796" t="s">
        <v>1932</v>
      </c>
      <c r="B796" t="s">
        <v>1933</v>
      </c>
      <c r="C796">
        <v>15.46</v>
      </c>
      <c r="D796" t="s">
        <v>1872</v>
      </c>
      <c r="E796" t="str">
        <f t="shared" si="18"/>
        <v>03. Transformers</v>
      </c>
      <c r="F796">
        <v>75</v>
      </c>
      <c r="H796" t="b">
        <v>1</v>
      </c>
      <c r="I796">
        <v>681</v>
      </c>
      <c r="K796" s="192" t="s">
        <v>85</v>
      </c>
      <c r="L796" s="188">
        <f>IFERROR(_xlfn.XLOOKUP(A796,[1]Fleet!A:A,[1]Fleet!E:E,""),"")</f>
        <v>188</v>
      </c>
      <c r="M796" s="188">
        <v>14.450000000000001</v>
      </c>
      <c r="N796" s="188" t="s">
        <v>1933</v>
      </c>
      <c r="O796" s="198" t="s">
        <v>1898</v>
      </c>
      <c r="P796">
        <v>793</v>
      </c>
      <c r="Q796">
        <f>_xlfn.XLOOKUP(A796,'[1]Classic Net to delete'!D:D,'[1]Classic Net to delete'!AA:AA,0)</f>
        <v>681</v>
      </c>
    </row>
    <row r="797" spans="1:17" x14ac:dyDescent="0.25">
      <c r="A797" t="s">
        <v>1934</v>
      </c>
      <c r="B797" t="s">
        <v>1935</v>
      </c>
      <c r="C797">
        <v>15.46</v>
      </c>
      <c r="D797" t="s">
        <v>1872</v>
      </c>
      <c r="E797" t="str">
        <f t="shared" si="18"/>
        <v>03. Transformers</v>
      </c>
      <c r="F797">
        <v>75</v>
      </c>
      <c r="H797" t="b">
        <v>1</v>
      </c>
      <c r="I797">
        <v>682</v>
      </c>
      <c r="K797" s="192" t="s">
        <v>85</v>
      </c>
      <c r="L797" s="188">
        <f>IFERROR(_xlfn.XLOOKUP(A797,[1]Fleet!A:A,[1]Fleet!E:E,""),"")</f>
        <v>14</v>
      </c>
      <c r="M797" s="188">
        <v>14.450000000000001</v>
      </c>
      <c r="N797" s="188" t="s">
        <v>1935</v>
      </c>
      <c r="O797" s="198" t="s">
        <v>1898</v>
      </c>
      <c r="P797">
        <v>796</v>
      </c>
      <c r="Q797">
        <f>_xlfn.XLOOKUP(A797,'[1]Classic Net to delete'!D:D,'[1]Classic Net to delete'!AA:AA,0)</f>
        <v>682</v>
      </c>
    </row>
    <row r="798" spans="1:17" x14ac:dyDescent="0.25">
      <c r="A798" t="s">
        <v>1936</v>
      </c>
      <c r="B798" t="s">
        <v>1937</v>
      </c>
      <c r="C798">
        <v>29.69</v>
      </c>
      <c r="D798" t="s">
        <v>1872</v>
      </c>
      <c r="E798" t="str">
        <f t="shared" si="18"/>
        <v>03. Transformers</v>
      </c>
      <c r="F798">
        <v>75</v>
      </c>
      <c r="H798" t="b">
        <v>1</v>
      </c>
      <c r="I798">
        <v>683</v>
      </c>
      <c r="K798" s="192" t="s">
        <v>85</v>
      </c>
      <c r="L798" s="188">
        <f>IFERROR(_xlfn.XLOOKUP(A798,[1]Fleet!A:A,[1]Fleet!E:E,""),"")</f>
        <v>145</v>
      </c>
      <c r="M798" s="188">
        <v>27.75</v>
      </c>
      <c r="N798" s="188" t="s">
        <v>1938</v>
      </c>
      <c r="O798" s="198" t="s">
        <v>1898</v>
      </c>
      <c r="P798">
        <v>794</v>
      </c>
      <c r="Q798">
        <f>_xlfn.XLOOKUP(A798,'[1]Classic Net to delete'!D:D,'[1]Classic Net to delete'!AA:AA,0)</f>
        <v>683</v>
      </c>
    </row>
    <row r="799" spans="1:17" x14ac:dyDescent="0.25">
      <c r="A799" t="s">
        <v>1939</v>
      </c>
      <c r="B799" t="s">
        <v>1940</v>
      </c>
      <c r="C799">
        <v>58.1</v>
      </c>
      <c r="D799" t="s">
        <v>1872</v>
      </c>
      <c r="E799" t="str">
        <f t="shared" si="18"/>
        <v>03. Transformers</v>
      </c>
      <c r="F799">
        <v>75</v>
      </c>
      <c r="H799" t="b">
        <v>1</v>
      </c>
      <c r="I799">
        <v>684</v>
      </c>
      <c r="K799" s="192" t="s">
        <v>85</v>
      </c>
      <c r="L799" s="188">
        <f>IFERROR(_xlfn.XLOOKUP(A799,[1]Fleet!A:A,[1]Fleet!E:E,""),"")</f>
        <v>111</v>
      </c>
      <c r="M799" s="188">
        <v>54.300000000000004</v>
      </c>
      <c r="N799" s="188" t="s">
        <v>1941</v>
      </c>
      <c r="O799" s="198" t="s">
        <v>1898</v>
      </c>
      <c r="P799">
        <v>795</v>
      </c>
      <c r="Q799">
        <f>_xlfn.XLOOKUP(A799,'[1]Classic Net to delete'!D:D,'[1]Classic Net to delete'!AA:AA,0)</f>
        <v>684</v>
      </c>
    </row>
    <row r="800" spans="1:17" x14ac:dyDescent="0.25">
      <c r="A800" t="s">
        <v>1942</v>
      </c>
      <c r="B800" t="s">
        <v>1943</v>
      </c>
      <c r="C800">
        <v>70.989999999999995</v>
      </c>
      <c r="D800" t="s">
        <v>1872</v>
      </c>
      <c r="E800" t="str">
        <f t="shared" si="18"/>
        <v>03. Transformers</v>
      </c>
      <c r="F800">
        <v>75</v>
      </c>
      <c r="H800" t="b">
        <v>1</v>
      </c>
      <c r="I800">
        <v>685</v>
      </c>
      <c r="K800" s="192" t="s">
        <v>85</v>
      </c>
      <c r="L800" s="188">
        <f>IFERROR(_xlfn.XLOOKUP(A800,[1]Fleet!A:A,[1]Fleet!E:E,""),"")</f>
        <v>10</v>
      </c>
      <c r="M800" s="188">
        <v>66.350000000000009</v>
      </c>
      <c r="N800" s="188" t="s">
        <v>1944</v>
      </c>
      <c r="O800" s="198" t="s">
        <v>1898</v>
      </c>
      <c r="P800">
        <v>791</v>
      </c>
      <c r="Q800">
        <f>_xlfn.XLOOKUP(A800,'[1]Classic Net to delete'!D:D,'[1]Classic Net to delete'!AA:AA,0)</f>
        <v>685</v>
      </c>
    </row>
    <row r="801" spans="1:17" x14ac:dyDescent="0.25">
      <c r="A801" t="s">
        <v>1945</v>
      </c>
      <c r="B801" t="s">
        <v>1946</v>
      </c>
      <c r="C801">
        <v>5.99</v>
      </c>
      <c r="D801" t="s">
        <v>1872</v>
      </c>
      <c r="E801" t="str">
        <f t="shared" si="18"/>
        <v>04. Extensions and Distribution</v>
      </c>
      <c r="F801">
        <v>75</v>
      </c>
      <c r="H801" t="b">
        <v>1</v>
      </c>
      <c r="I801">
        <v>688</v>
      </c>
      <c r="K801" s="192" t="s">
        <v>89</v>
      </c>
      <c r="L801" s="188" t="str">
        <f>IFERROR(_xlfn.XLOOKUP(A801,[1]Fleet!A:A,[1]Fleet!E:E,""),"")</f>
        <v/>
      </c>
      <c r="M801" s="188">
        <v>5.6000000000000005</v>
      </c>
      <c r="N801" s="188" t="s">
        <v>1947</v>
      </c>
      <c r="O801" s="198" t="s">
        <v>1873</v>
      </c>
      <c r="P801">
        <v>753</v>
      </c>
      <c r="Q801">
        <f>_xlfn.XLOOKUP(A801,'[1]Classic Net to delete'!D:D,'[1]Classic Net to delete'!AA:AA,0)</f>
        <v>688</v>
      </c>
    </row>
    <row r="802" spans="1:17" x14ac:dyDescent="0.25">
      <c r="A802" t="s">
        <v>1948</v>
      </c>
      <c r="B802" t="s">
        <v>1949</v>
      </c>
      <c r="C802">
        <v>14.98</v>
      </c>
      <c r="D802" t="s">
        <v>1872</v>
      </c>
      <c r="E802" t="str">
        <f t="shared" si="18"/>
        <v>04. Extensions and Distribution</v>
      </c>
      <c r="F802">
        <v>75</v>
      </c>
      <c r="H802" t="b">
        <v>1</v>
      </c>
      <c r="I802">
        <v>689</v>
      </c>
      <c r="K802" s="192" t="s">
        <v>89</v>
      </c>
      <c r="L802" s="188" t="str">
        <f>IFERROR(_xlfn.XLOOKUP(A802,[1]Fleet!A:A,[1]Fleet!E:E,""),"")</f>
        <v/>
      </c>
      <c r="M802" s="188">
        <v>14</v>
      </c>
      <c r="N802" s="188" t="s">
        <v>1950</v>
      </c>
      <c r="O802" s="198" t="s">
        <v>1873</v>
      </c>
      <c r="P802">
        <v>752</v>
      </c>
      <c r="Q802">
        <f>_xlfn.XLOOKUP(A802,'[1]Classic Net to delete'!D:D,'[1]Classic Net to delete'!AA:AA,0)</f>
        <v>689</v>
      </c>
    </row>
    <row r="803" spans="1:17" x14ac:dyDescent="0.25">
      <c r="A803" t="s">
        <v>1951</v>
      </c>
      <c r="B803" t="s">
        <v>1952</v>
      </c>
      <c r="C803">
        <v>5.72</v>
      </c>
      <c r="D803" t="s">
        <v>1872</v>
      </c>
      <c r="E803" t="str">
        <f t="shared" si="18"/>
        <v>04. Extensions and Distribution</v>
      </c>
      <c r="F803">
        <v>75</v>
      </c>
      <c r="H803" t="b">
        <v>1</v>
      </c>
      <c r="I803">
        <v>690</v>
      </c>
      <c r="K803" s="192" t="s">
        <v>89</v>
      </c>
      <c r="L803" s="188" t="str">
        <f>IFERROR(_xlfn.XLOOKUP(A803,[1]Fleet!A:A,[1]Fleet!E:E,""),"")</f>
        <v/>
      </c>
      <c r="M803" s="188">
        <v>5.3500000000000005</v>
      </c>
      <c r="N803" s="188" t="s">
        <v>1952</v>
      </c>
      <c r="O803" s="198" t="s">
        <v>1873</v>
      </c>
      <c r="P803">
        <v>754</v>
      </c>
      <c r="Q803">
        <f>_xlfn.XLOOKUP(A803,'[1]Classic Net to delete'!D:D,'[1]Classic Net to delete'!AA:AA,0)</f>
        <v>690</v>
      </c>
    </row>
    <row r="804" spans="1:17" x14ac:dyDescent="0.25">
      <c r="A804" t="s">
        <v>1953</v>
      </c>
      <c r="B804" t="s">
        <v>1954</v>
      </c>
      <c r="C804">
        <v>25.57</v>
      </c>
      <c r="D804" t="s">
        <v>1872</v>
      </c>
      <c r="E804" t="str">
        <f t="shared" si="18"/>
        <v>04. Extensions and Distribution</v>
      </c>
      <c r="F804">
        <v>75</v>
      </c>
      <c r="H804" t="b">
        <v>1</v>
      </c>
      <c r="I804">
        <v>691</v>
      </c>
      <c r="K804" s="192" t="s">
        <v>89</v>
      </c>
      <c r="L804" s="188" t="str">
        <f>IFERROR(_xlfn.XLOOKUP(A804,[1]Fleet!A:A,[1]Fleet!E:E,""),"")</f>
        <v/>
      </c>
      <c r="M804" s="188">
        <v>23.900000000000002</v>
      </c>
      <c r="N804" s="188" t="s">
        <v>1955</v>
      </c>
      <c r="O804" s="198" t="s">
        <v>1873</v>
      </c>
      <c r="P804">
        <v>751</v>
      </c>
      <c r="Q804">
        <f>_xlfn.XLOOKUP(A804,'[1]Classic Net to delete'!D:D,'[1]Classic Net to delete'!AA:AA,0)</f>
        <v>691</v>
      </c>
    </row>
    <row r="805" spans="1:17" x14ac:dyDescent="0.25">
      <c r="A805" t="s">
        <v>1956</v>
      </c>
      <c r="B805" t="s">
        <v>1957</v>
      </c>
      <c r="C805">
        <v>14.870000000000001</v>
      </c>
      <c r="D805" t="s">
        <v>1872</v>
      </c>
      <c r="E805" t="str">
        <f t="shared" si="18"/>
        <v>04. Extensions and Distribution</v>
      </c>
      <c r="F805">
        <v>75</v>
      </c>
      <c r="H805" t="b">
        <v>1</v>
      </c>
      <c r="I805">
        <v>692</v>
      </c>
      <c r="K805" s="192" t="s">
        <v>89</v>
      </c>
      <c r="L805" s="188">
        <f>IFERROR(_xlfn.XLOOKUP(A805,[1]Fleet!A:A,[1]Fleet!E:E,""),"")</f>
        <v>13</v>
      </c>
      <c r="M805" s="188">
        <v>13.9</v>
      </c>
      <c r="N805" s="188" t="s">
        <v>1958</v>
      </c>
      <c r="O805" s="198" t="s">
        <v>1873</v>
      </c>
      <c r="P805">
        <v>761</v>
      </c>
      <c r="Q805">
        <f>_xlfn.XLOOKUP(A805,'[1]Classic Net to delete'!D:D,'[1]Classic Net to delete'!AA:AA,0)</f>
        <v>692</v>
      </c>
    </row>
    <row r="806" spans="1:17" x14ac:dyDescent="0.25">
      <c r="A806" t="s">
        <v>1959</v>
      </c>
      <c r="B806" t="s">
        <v>1960</v>
      </c>
      <c r="C806">
        <v>2.89</v>
      </c>
      <c r="D806" t="s">
        <v>1872</v>
      </c>
      <c r="E806" t="str">
        <f t="shared" si="18"/>
        <v>04. Extensions and Distribution</v>
      </c>
      <c r="F806">
        <v>75</v>
      </c>
      <c r="H806" t="b">
        <v>1</v>
      </c>
      <c r="I806">
        <v>693</v>
      </c>
      <c r="K806" s="192" t="s">
        <v>89</v>
      </c>
      <c r="L806" s="188">
        <f>IFERROR(_xlfn.XLOOKUP(A806,[1]Fleet!A:A,[1]Fleet!E:E,""),"")</f>
        <v>18</v>
      </c>
      <c r="M806" s="188">
        <v>2.7</v>
      </c>
      <c r="N806" s="188" t="s">
        <v>1960</v>
      </c>
      <c r="O806" s="198" t="s">
        <v>1873</v>
      </c>
      <c r="P806">
        <v>762</v>
      </c>
      <c r="Q806">
        <f>_xlfn.XLOOKUP(A806,'[1]Classic Net to delete'!D:D,'[1]Classic Net to delete'!AA:AA,0)</f>
        <v>693</v>
      </c>
    </row>
    <row r="807" spans="1:17" x14ac:dyDescent="0.25">
      <c r="A807" t="s">
        <v>1961</v>
      </c>
      <c r="B807" t="s">
        <v>1962</v>
      </c>
      <c r="C807">
        <v>15.46</v>
      </c>
      <c r="D807" t="s">
        <v>1872</v>
      </c>
      <c r="E807" t="str">
        <f t="shared" si="18"/>
        <v>04. Extensions and Distribution</v>
      </c>
      <c r="F807">
        <v>75</v>
      </c>
      <c r="H807" t="b">
        <v>1</v>
      </c>
      <c r="I807">
        <v>696</v>
      </c>
      <c r="K807" s="192" t="s">
        <v>89</v>
      </c>
      <c r="L807" s="188">
        <f>IFERROR(_xlfn.XLOOKUP(A807,[1]Fleet!A:A,[1]Fleet!E:E,""),"")</f>
        <v>32</v>
      </c>
      <c r="M807" s="188">
        <v>14.450000000000001</v>
      </c>
      <c r="N807" s="188" t="s">
        <v>1963</v>
      </c>
      <c r="O807" s="198" t="s">
        <v>1873</v>
      </c>
      <c r="P807">
        <v>756</v>
      </c>
      <c r="Q807">
        <f>_xlfn.XLOOKUP(A807,'[1]Classic Net to delete'!D:D,'[1]Classic Net to delete'!AA:AA,0)</f>
        <v>696</v>
      </c>
    </row>
    <row r="808" spans="1:17" x14ac:dyDescent="0.25">
      <c r="A808" t="s">
        <v>1964</v>
      </c>
      <c r="B808" t="s">
        <v>1965</v>
      </c>
      <c r="C808">
        <v>35.36</v>
      </c>
      <c r="D808" t="s">
        <v>1872</v>
      </c>
      <c r="E808" t="str">
        <f t="shared" si="18"/>
        <v>04. Extensions and Distribution</v>
      </c>
      <c r="F808">
        <v>75</v>
      </c>
      <c r="H808" t="b">
        <v>1</v>
      </c>
      <c r="I808">
        <v>697</v>
      </c>
      <c r="K808" s="192" t="s">
        <v>89</v>
      </c>
      <c r="L808" s="188">
        <f>IFERROR(_xlfn.XLOOKUP(A808,[1]Fleet!A:A,[1]Fleet!E:E,""),"")</f>
        <v>16</v>
      </c>
      <c r="M808" s="188">
        <v>33.050000000000004</v>
      </c>
      <c r="N808" s="188" t="s">
        <v>1966</v>
      </c>
      <c r="O808" s="198" t="s">
        <v>1873</v>
      </c>
      <c r="P808">
        <v>757</v>
      </c>
      <c r="Q808">
        <f>_xlfn.XLOOKUP(A808,'[1]Classic Net to delete'!D:D,'[1]Classic Net to delete'!AA:AA,0)</f>
        <v>697</v>
      </c>
    </row>
    <row r="809" spans="1:17" x14ac:dyDescent="0.25">
      <c r="A809" t="s">
        <v>1967</v>
      </c>
      <c r="B809" t="s">
        <v>1968</v>
      </c>
      <c r="C809">
        <v>35.36</v>
      </c>
      <c r="D809" t="s">
        <v>1872</v>
      </c>
      <c r="E809" t="str">
        <f t="shared" si="18"/>
        <v>04. Extensions and Distribution</v>
      </c>
      <c r="F809">
        <v>75</v>
      </c>
      <c r="H809" t="b">
        <v>1</v>
      </c>
      <c r="I809">
        <v>698</v>
      </c>
      <c r="K809" s="192" t="s">
        <v>89</v>
      </c>
      <c r="L809" s="188">
        <f>IFERROR(_xlfn.XLOOKUP(A809,[1]Fleet!A:A,[1]Fleet!E:E,""),"")</f>
        <v>11</v>
      </c>
      <c r="M809" s="188">
        <v>33.050000000000004</v>
      </c>
      <c r="N809" s="188" t="s">
        <v>1969</v>
      </c>
      <c r="O809" s="198" t="s">
        <v>1873</v>
      </c>
      <c r="P809">
        <v>758</v>
      </c>
      <c r="Q809">
        <f>_xlfn.XLOOKUP(A809,'[1]Classic Net to delete'!D:D,'[1]Classic Net to delete'!AA:AA,0)</f>
        <v>698</v>
      </c>
    </row>
    <row r="810" spans="1:17" x14ac:dyDescent="0.25">
      <c r="A810" t="s">
        <v>1970</v>
      </c>
      <c r="B810" t="s">
        <v>1971</v>
      </c>
      <c r="C810">
        <v>38.200000000000003</v>
      </c>
      <c r="D810" t="s">
        <v>1872</v>
      </c>
      <c r="E810" t="str">
        <f t="shared" si="18"/>
        <v>04. Extensions and Distribution</v>
      </c>
      <c r="F810">
        <v>75</v>
      </c>
      <c r="H810" t="b">
        <v>1</v>
      </c>
      <c r="I810">
        <v>699</v>
      </c>
      <c r="K810" s="192" t="s">
        <v>89</v>
      </c>
      <c r="L810" s="188">
        <f>IFERROR(_xlfn.XLOOKUP(A810,[1]Fleet!A:A,[1]Fleet!E:E,""),"")</f>
        <v>10</v>
      </c>
      <c r="M810" s="188">
        <v>35.700000000000003</v>
      </c>
      <c r="N810" s="188" t="s">
        <v>1972</v>
      </c>
      <c r="O810" s="198" t="s">
        <v>1873</v>
      </c>
      <c r="P810">
        <v>759</v>
      </c>
      <c r="Q810">
        <f>_xlfn.XLOOKUP(A810,'[1]Classic Net to delete'!D:D,'[1]Classic Net to delete'!AA:AA,0)</f>
        <v>699</v>
      </c>
    </row>
    <row r="811" spans="1:17" x14ac:dyDescent="0.25">
      <c r="A811" t="s">
        <v>1973</v>
      </c>
      <c r="B811" t="s">
        <v>1974</v>
      </c>
      <c r="C811">
        <v>0</v>
      </c>
      <c r="D811" t="s">
        <v>1872</v>
      </c>
      <c r="E811" t="str">
        <f t="shared" si="18"/>
        <v>04. Extensions and Distribution</v>
      </c>
      <c r="F811">
        <v>75</v>
      </c>
      <c r="H811" t="b">
        <v>0</v>
      </c>
      <c r="I811">
        <v>700</v>
      </c>
      <c r="K811" s="192" t="s">
        <v>89</v>
      </c>
      <c r="L811" s="188">
        <f>IFERROR(_xlfn.XLOOKUP(A811,[1]Fleet!A:A,[1]Fleet!E:E,""),"")</f>
        <v>0</v>
      </c>
      <c r="M811" s="188">
        <v>33.050000000000004</v>
      </c>
      <c r="N811" s="188" t="s">
        <v>1975</v>
      </c>
      <c r="O811" s="198" t="s">
        <v>1873</v>
      </c>
      <c r="P811">
        <v>755</v>
      </c>
      <c r="Q811">
        <f>_xlfn.XLOOKUP(A811,'[1]Classic Net to delete'!D:D,'[1]Classic Net to delete'!AA:AA,0)</f>
        <v>700</v>
      </c>
    </row>
    <row r="812" spans="1:17" x14ac:dyDescent="0.25">
      <c r="A812" t="s">
        <v>1976</v>
      </c>
      <c r="B812" t="s">
        <v>1977</v>
      </c>
      <c r="C812">
        <v>87.63</v>
      </c>
      <c r="D812" t="s">
        <v>1978</v>
      </c>
      <c r="E812" t="str">
        <f t="shared" si="18"/>
        <v>. Pumping</v>
      </c>
      <c r="F812">
        <v>75</v>
      </c>
      <c r="H812" t="b">
        <v>0</v>
      </c>
      <c r="I812">
        <v>0</v>
      </c>
      <c r="L812" s="188">
        <f>IFERROR(_xlfn.XLOOKUP(A812,[1]Fleet!A:A,[1]Fleet!E:E,""),"")</f>
        <v>17</v>
      </c>
      <c r="M812" s="188" t="s">
        <v>22</v>
      </c>
      <c r="N812" s="188" t="s">
        <v>22</v>
      </c>
      <c r="O812" s="198" t="s">
        <v>1979</v>
      </c>
      <c r="P812">
        <v>810</v>
      </c>
      <c r="Q812">
        <f>_xlfn.XLOOKUP(A812,'[1]Classic Net to delete'!D:D,'[1]Classic Net to delete'!AA:AA,0)</f>
        <v>0</v>
      </c>
    </row>
    <row r="813" spans="1:17" x14ac:dyDescent="0.25">
      <c r="A813" t="s">
        <v>1980</v>
      </c>
      <c r="B813" t="s">
        <v>1981</v>
      </c>
      <c r="C813">
        <v>103.47</v>
      </c>
      <c r="D813" t="s">
        <v>1978</v>
      </c>
      <c r="E813" t="str">
        <f t="shared" si="18"/>
        <v>. Pumping</v>
      </c>
      <c r="F813">
        <v>75</v>
      </c>
      <c r="H813" t="b">
        <v>0</v>
      </c>
      <c r="I813">
        <v>0</v>
      </c>
      <c r="L813" s="188">
        <f>IFERROR(_xlfn.XLOOKUP(A813,[1]Fleet!A:A,[1]Fleet!E:E,""),"")</f>
        <v>1</v>
      </c>
      <c r="M813" s="188" t="s">
        <v>22</v>
      </c>
      <c r="N813" s="188" t="s">
        <v>22</v>
      </c>
      <c r="O813" s="198" t="s">
        <v>1979</v>
      </c>
      <c r="P813">
        <v>805</v>
      </c>
      <c r="Q813">
        <f>_xlfn.XLOOKUP(A813,'[1]Classic Net to delete'!D:D,'[1]Classic Net to delete'!AA:AA,0)</f>
        <v>0</v>
      </c>
    </row>
    <row r="814" spans="1:17" x14ac:dyDescent="0.25">
      <c r="A814" t="s">
        <v>1982</v>
      </c>
      <c r="B814" t="s">
        <v>1983</v>
      </c>
      <c r="C814">
        <v>56.76</v>
      </c>
      <c r="D814" t="s">
        <v>1978</v>
      </c>
      <c r="E814" t="str">
        <f t="shared" si="18"/>
        <v>. Pumping</v>
      </c>
      <c r="F814">
        <v>75</v>
      </c>
      <c r="H814" t="b">
        <v>0</v>
      </c>
      <c r="I814">
        <v>0</v>
      </c>
      <c r="L814" s="188">
        <f>IFERROR(_xlfn.XLOOKUP(A814,[1]Fleet!A:A,[1]Fleet!E:E,""),"")</f>
        <v>1</v>
      </c>
      <c r="M814" s="188" t="s">
        <v>22</v>
      </c>
      <c r="N814" s="188" t="s">
        <v>22</v>
      </c>
      <c r="O814" s="198" t="s">
        <v>1979</v>
      </c>
      <c r="P814">
        <v>809</v>
      </c>
      <c r="Q814">
        <f>_xlfn.XLOOKUP(A814,'[1]Classic Net to delete'!D:D,'[1]Classic Net to delete'!AA:AA,0)</f>
        <v>0</v>
      </c>
    </row>
    <row r="815" spans="1:17" x14ac:dyDescent="0.25">
      <c r="A815" t="s">
        <v>1984</v>
      </c>
      <c r="B815" t="s">
        <v>1985</v>
      </c>
      <c r="C815">
        <v>69.39</v>
      </c>
      <c r="D815" t="s">
        <v>1978</v>
      </c>
      <c r="E815" t="str">
        <f t="shared" si="18"/>
        <v>01. Pumping</v>
      </c>
      <c r="F815">
        <v>75</v>
      </c>
      <c r="H815" t="b">
        <v>1</v>
      </c>
      <c r="I815">
        <v>647</v>
      </c>
      <c r="K815" s="192" t="s">
        <v>21</v>
      </c>
      <c r="L815" s="188">
        <f>IFERROR(_xlfn.XLOOKUP(A815,[1]Fleet!A:A,[1]Fleet!E:E,""),"")</f>
        <v>2</v>
      </c>
      <c r="M815" s="188">
        <v>64.850000000000009</v>
      </c>
      <c r="N815" s="188" t="s">
        <v>1986</v>
      </c>
      <c r="O815" s="198" t="s">
        <v>1979</v>
      </c>
      <c r="P815">
        <v>807</v>
      </c>
      <c r="Q815">
        <f>_xlfn.XLOOKUP(A815,'[1]Classic Net to delete'!D:D,'[1]Classic Net to delete'!AA:AA,0)</f>
        <v>647</v>
      </c>
    </row>
    <row r="816" spans="1:17" x14ac:dyDescent="0.25">
      <c r="A816" t="s">
        <v>1987</v>
      </c>
      <c r="B816" t="s">
        <v>1988</v>
      </c>
      <c r="C816">
        <v>69.39</v>
      </c>
      <c r="D816" t="s">
        <v>1978</v>
      </c>
      <c r="E816" t="str">
        <f t="shared" si="18"/>
        <v>01. Pumping</v>
      </c>
      <c r="F816">
        <v>75</v>
      </c>
      <c r="H816" t="b">
        <v>1</v>
      </c>
      <c r="I816">
        <v>648</v>
      </c>
      <c r="K816" s="192" t="s">
        <v>21</v>
      </c>
      <c r="L816" s="188">
        <f>IFERROR(_xlfn.XLOOKUP(A816,[1]Fleet!A:A,[1]Fleet!E:E,""),"")</f>
        <v>93</v>
      </c>
      <c r="M816" s="188">
        <v>64.850000000000009</v>
      </c>
      <c r="N816" s="188" t="s">
        <v>1989</v>
      </c>
      <c r="O816" s="198" t="s">
        <v>1979</v>
      </c>
      <c r="P816">
        <v>803</v>
      </c>
      <c r="Q816">
        <f>_xlfn.XLOOKUP(A816,'[1]Classic Net to delete'!D:D,'[1]Classic Net to delete'!AA:AA,0)</f>
        <v>648</v>
      </c>
    </row>
    <row r="817" spans="1:17" x14ac:dyDescent="0.25">
      <c r="A817" t="s">
        <v>1990</v>
      </c>
      <c r="B817" t="s">
        <v>1991</v>
      </c>
      <c r="C817">
        <v>79.180000000000007</v>
      </c>
      <c r="D817" t="s">
        <v>1978</v>
      </c>
      <c r="E817" t="str">
        <f t="shared" si="18"/>
        <v>01. Pumping</v>
      </c>
      <c r="F817">
        <v>75</v>
      </c>
      <c r="H817" t="b">
        <v>1</v>
      </c>
      <c r="I817">
        <v>650</v>
      </c>
      <c r="K817" s="192" t="s">
        <v>21</v>
      </c>
      <c r="L817" s="188">
        <f>IFERROR(_xlfn.XLOOKUP(A817,[1]Fleet!A:A,[1]Fleet!E:E,""),"")</f>
        <v>63</v>
      </c>
      <c r="M817" s="188">
        <v>74</v>
      </c>
      <c r="N817" s="188" t="s">
        <v>1992</v>
      </c>
      <c r="O817" s="198" t="s">
        <v>1979</v>
      </c>
      <c r="P817">
        <v>804</v>
      </c>
      <c r="Q817">
        <f>_xlfn.XLOOKUP(A817,'[1]Classic Net to delete'!D:D,'[1]Classic Net to delete'!AA:AA,0)</f>
        <v>650</v>
      </c>
    </row>
    <row r="818" spans="1:17" x14ac:dyDescent="0.25">
      <c r="A818" t="s">
        <v>1993</v>
      </c>
      <c r="B818" t="s">
        <v>1994</v>
      </c>
      <c r="C818">
        <v>66.61</v>
      </c>
      <c r="D818" t="s">
        <v>1978</v>
      </c>
      <c r="E818" t="str">
        <f t="shared" si="18"/>
        <v>01. Pumping</v>
      </c>
      <c r="F818">
        <v>75</v>
      </c>
      <c r="H818" t="b">
        <v>1</v>
      </c>
      <c r="I818">
        <v>653</v>
      </c>
      <c r="K818" s="192" t="s">
        <v>21</v>
      </c>
      <c r="L818" s="188">
        <f>IFERROR(_xlfn.XLOOKUP(A818,[1]Fleet!A:A,[1]Fleet!E:E,""),"")</f>
        <v>4</v>
      </c>
      <c r="M818" s="188">
        <v>62.25</v>
      </c>
      <c r="N818" s="188" t="s">
        <v>1995</v>
      </c>
      <c r="O818" s="198" t="s">
        <v>1979</v>
      </c>
      <c r="P818">
        <v>802</v>
      </c>
      <c r="Q818">
        <f>_xlfn.XLOOKUP(A818,'[1]Classic Net to delete'!D:D,'[1]Classic Net to delete'!AA:AA,0)</f>
        <v>653</v>
      </c>
    </row>
    <row r="819" spans="1:17" x14ac:dyDescent="0.25">
      <c r="A819" t="s">
        <v>1996</v>
      </c>
      <c r="B819" t="s">
        <v>1997</v>
      </c>
      <c r="C819">
        <v>152.54</v>
      </c>
      <c r="D819" t="s">
        <v>1978</v>
      </c>
      <c r="E819" t="str">
        <f t="shared" si="18"/>
        <v>01. Pumping</v>
      </c>
      <c r="F819">
        <v>75</v>
      </c>
      <c r="H819" t="b">
        <v>1</v>
      </c>
      <c r="I819">
        <v>654</v>
      </c>
      <c r="K819" s="192" t="s">
        <v>21</v>
      </c>
      <c r="L819" s="188">
        <f>IFERROR(_xlfn.XLOOKUP(A819,[1]Fleet!A:A,[1]Fleet!E:E,""),"")</f>
        <v>4</v>
      </c>
      <c r="M819" s="188">
        <v>136.20000000000002</v>
      </c>
      <c r="N819" s="188" t="s">
        <v>1998</v>
      </c>
      <c r="O819" s="198" t="s">
        <v>1979</v>
      </c>
      <c r="P819">
        <v>808</v>
      </c>
      <c r="Q819">
        <f>_xlfn.XLOOKUP(A819,'[1]Classic Net to delete'!D:D,'[1]Classic Net to delete'!AA:AA,0)</f>
        <v>654</v>
      </c>
    </row>
    <row r="820" spans="1:17" x14ac:dyDescent="0.25">
      <c r="A820" t="s">
        <v>1999</v>
      </c>
      <c r="B820" t="s">
        <v>2000</v>
      </c>
      <c r="C820">
        <v>160.44</v>
      </c>
      <c r="D820" t="s">
        <v>1978</v>
      </c>
      <c r="E820" t="str">
        <f t="shared" si="18"/>
        <v>01. Pumping</v>
      </c>
      <c r="F820">
        <v>75</v>
      </c>
      <c r="H820" t="b">
        <v>1</v>
      </c>
      <c r="I820">
        <v>657</v>
      </c>
      <c r="K820" s="192" t="s">
        <v>21</v>
      </c>
      <c r="L820" s="188">
        <f>IFERROR(_xlfn.XLOOKUP(A820,[1]Fleet!A:A,[1]Fleet!E:E,""),"")</f>
        <v>6</v>
      </c>
      <c r="M820" s="188">
        <v>143.25</v>
      </c>
      <c r="N820" s="188" t="s">
        <v>2001</v>
      </c>
      <c r="O820" s="198" t="s">
        <v>1979</v>
      </c>
      <c r="P820">
        <v>806</v>
      </c>
      <c r="Q820">
        <f>_xlfn.XLOOKUP(A820,'[1]Classic Net to delete'!D:D,'[1]Classic Net to delete'!AA:AA,0)</f>
        <v>657</v>
      </c>
    </row>
    <row r="821" spans="1:17" x14ac:dyDescent="0.25">
      <c r="A821" t="s">
        <v>2002</v>
      </c>
      <c r="B821" t="s">
        <v>2003</v>
      </c>
      <c r="C821">
        <v>18.62</v>
      </c>
      <c r="D821" t="s">
        <v>1978</v>
      </c>
      <c r="E821" t="str">
        <f t="shared" si="18"/>
        <v>01. Pumping</v>
      </c>
      <c r="F821">
        <v>75</v>
      </c>
      <c r="H821" t="b">
        <v>1</v>
      </c>
      <c r="I821">
        <v>660</v>
      </c>
      <c r="K821" s="192" t="s">
        <v>21</v>
      </c>
      <c r="L821" s="188" t="str">
        <f>IFERROR(_xlfn.XLOOKUP(A821,[1]Fleet!A:A,[1]Fleet!E:E,""),"")</f>
        <v/>
      </c>
      <c r="M821" s="188">
        <v>17.400000000000002</v>
      </c>
      <c r="N821" s="188" t="s">
        <v>2004</v>
      </c>
      <c r="O821" s="198" t="s">
        <v>1979</v>
      </c>
      <c r="P821">
        <v>801</v>
      </c>
      <c r="Q821">
        <f>_xlfn.XLOOKUP(A821,'[1]Classic Net to delete'!D:D,'[1]Classic Net to delete'!AA:AA,0)</f>
        <v>660</v>
      </c>
    </row>
    <row r="822" spans="1:17" x14ac:dyDescent="0.25">
      <c r="A822" t="s">
        <v>2005</v>
      </c>
      <c r="B822" t="s">
        <v>2006</v>
      </c>
      <c r="C822">
        <v>8.61</v>
      </c>
      <c r="D822" t="s">
        <v>2007</v>
      </c>
      <c r="E822" t="str">
        <f t="shared" si="18"/>
        <v>01. Road Cones, Lamps and Signs</v>
      </c>
      <c r="F822">
        <v>75</v>
      </c>
      <c r="H822" t="b">
        <v>1</v>
      </c>
      <c r="I822">
        <v>901</v>
      </c>
      <c r="K822" s="192" t="s">
        <v>21</v>
      </c>
      <c r="L822" s="188" t="str">
        <f>IFERROR(_xlfn.XLOOKUP(A822,[1]Fleet!A:A,[1]Fleet!E:E,""),"")</f>
        <v/>
      </c>
      <c r="M822" s="188">
        <v>8.0500000000000007</v>
      </c>
      <c r="N822" s="188" t="s">
        <v>2006</v>
      </c>
      <c r="O822" s="198" t="s">
        <v>2008</v>
      </c>
      <c r="P822">
        <v>827</v>
      </c>
      <c r="Q822">
        <f>_xlfn.XLOOKUP(A822,'[1]Classic Net to delete'!D:D,'[1]Classic Net to delete'!AA:AA,0)</f>
        <v>901</v>
      </c>
    </row>
    <row r="823" spans="1:17" x14ac:dyDescent="0.25">
      <c r="A823" t="s">
        <v>2009</v>
      </c>
      <c r="B823" t="s">
        <v>2010</v>
      </c>
      <c r="C823">
        <v>3.8000000000000003</v>
      </c>
      <c r="D823" t="s">
        <v>2007</v>
      </c>
      <c r="E823" t="str">
        <f t="shared" si="18"/>
        <v>01. Road Cones, Lamps and Signs</v>
      </c>
      <c r="F823">
        <v>75</v>
      </c>
      <c r="H823" t="b">
        <v>1</v>
      </c>
      <c r="I823">
        <v>903</v>
      </c>
      <c r="K823" s="192" t="s">
        <v>21</v>
      </c>
      <c r="L823" s="188" t="str">
        <f>IFERROR(_xlfn.XLOOKUP(A823,[1]Fleet!A:A,[1]Fleet!E:E,""),"")</f>
        <v/>
      </c>
      <c r="M823" s="188">
        <v>3.5500000000000003</v>
      </c>
      <c r="N823" s="188" t="s">
        <v>2010</v>
      </c>
      <c r="O823" s="198" t="s">
        <v>2008</v>
      </c>
      <c r="P823">
        <v>826</v>
      </c>
      <c r="Q823">
        <f>_xlfn.XLOOKUP(A823,'[1]Classic Net to delete'!D:D,'[1]Classic Net to delete'!AA:AA,0)</f>
        <v>903</v>
      </c>
    </row>
    <row r="824" spans="1:17" x14ac:dyDescent="0.25">
      <c r="A824" t="s">
        <v>2011</v>
      </c>
      <c r="B824" t="s">
        <v>2012</v>
      </c>
      <c r="C824">
        <v>4.4400000000000004</v>
      </c>
      <c r="D824" t="s">
        <v>2007</v>
      </c>
      <c r="E824" t="str">
        <f t="shared" si="18"/>
        <v>01. Road Cones, Lamps and Signs</v>
      </c>
      <c r="F824">
        <v>75</v>
      </c>
      <c r="H824" t="b">
        <v>1</v>
      </c>
      <c r="I824">
        <v>904</v>
      </c>
      <c r="K824" s="192" t="s">
        <v>21</v>
      </c>
      <c r="L824" s="188" t="str">
        <f>IFERROR(_xlfn.XLOOKUP(A824,[1]Fleet!A:A,[1]Fleet!E:E,""),"")</f>
        <v/>
      </c>
      <c r="M824" s="188">
        <v>4.1500000000000004</v>
      </c>
      <c r="N824" s="188" t="s">
        <v>2012</v>
      </c>
      <c r="O824" s="198" t="s">
        <v>2008</v>
      </c>
      <c r="P824">
        <v>825</v>
      </c>
      <c r="Q824">
        <f>_xlfn.XLOOKUP(A824,'[1]Classic Net to delete'!D:D,'[1]Classic Net to delete'!AA:AA,0)</f>
        <v>904</v>
      </c>
    </row>
    <row r="825" spans="1:17" x14ac:dyDescent="0.25">
      <c r="A825" t="s">
        <v>2013</v>
      </c>
      <c r="B825" t="s">
        <v>2014</v>
      </c>
      <c r="C825">
        <v>4.4400000000000004</v>
      </c>
      <c r="D825" t="s">
        <v>2007</v>
      </c>
      <c r="E825" t="str">
        <f t="shared" si="18"/>
        <v>01. Road Cones, Lamps and Signs</v>
      </c>
      <c r="F825">
        <v>75</v>
      </c>
      <c r="H825" t="b">
        <v>1</v>
      </c>
      <c r="I825">
        <v>905</v>
      </c>
      <c r="K825" s="192" t="s">
        <v>21</v>
      </c>
      <c r="L825" s="188" t="str">
        <f>IFERROR(_xlfn.XLOOKUP(A825,[1]Fleet!A:A,[1]Fleet!E:E,""),"")</f>
        <v/>
      </c>
      <c r="M825" s="188">
        <v>4.1500000000000004</v>
      </c>
      <c r="N825" s="188" t="s">
        <v>2014</v>
      </c>
      <c r="O825" s="198" t="s">
        <v>2008</v>
      </c>
      <c r="P825">
        <v>822</v>
      </c>
      <c r="Q825">
        <f>_xlfn.XLOOKUP(A825,'[1]Classic Net to delete'!D:D,'[1]Classic Net to delete'!AA:AA,0)</f>
        <v>905</v>
      </c>
    </row>
    <row r="826" spans="1:17" x14ac:dyDescent="0.25">
      <c r="A826" t="s">
        <v>2015</v>
      </c>
      <c r="B826" t="s">
        <v>2016</v>
      </c>
      <c r="C826">
        <v>8.61</v>
      </c>
      <c r="D826" t="s">
        <v>2007</v>
      </c>
      <c r="E826" t="str">
        <f t="shared" si="18"/>
        <v>01. Road Cones, Lamps and Signs</v>
      </c>
      <c r="F826">
        <v>75</v>
      </c>
      <c r="H826" t="b">
        <v>1</v>
      </c>
      <c r="I826">
        <v>906</v>
      </c>
      <c r="K826" s="192" t="s">
        <v>21</v>
      </c>
      <c r="L826" s="188" t="str">
        <f>IFERROR(_xlfn.XLOOKUP(A826,[1]Fleet!A:A,[1]Fleet!E:E,""),"")</f>
        <v/>
      </c>
      <c r="M826" s="188">
        <v>8.0500000000000007</v>
      </c>
      <c r="N826" s="188" t="s">
        <v>2016</v>
      </c>
      <c r="O826" s="198" t="s">
        <v>2008</v>
      </c>
      <c r="P826">
        <v>823</v>
      </c>
      <c r="Q826">
        <f>_xlfn.XLOOKUP(A826,'[1]Classic Net to delete'!D:D,'[1]Classic Net to delete'!AA:AA,0)</f>
        <v>906</v>
      </c>
    </row>
    <row r="827" spans="1:17" x14ac:dyDescent="0.25">
      <c r="A827" t="s">
        <v>2017</v>
      </c>
      <c r="B827" t="s">
        <v>2018</v>
      </c>
      <c r="C827">
        <v>2.89</v>
      </c>
      <c r="D827" t="s">
        <v>2007</v>
      </c>
      <c r="E827" t="str">
        <f t="shared" si="18"/>
        <v>01. Road Cones, Lamps and Signs</v>
      </c>
      <c r="F827">
        <v>75</v>
      </c>
      <c r="H827" t="b">
        <v>1</v>
      </c>
      <c r="I827">
        <v>907</v>
      </c>
      <c r="K827" s="192" t="s">
        <v>21</v>
      </c>
      <c r="L827" s="188" t="str">
        <f>IFERROR(_xlfn.XLOOKUP(A827,[1]Fleet!A:A,[1]Fleet!E:E,""),"")</f>
        <v/>
      </c>
      <c r="M827" s="188">
        <v>2.7</v>
      </c>
      <c r="N827" s="188" t="s">
        <v>2018</v>
      </c>
      <c r="O827" s="198" t="s">
        <v>2008</v>
      </c>
      <c r="P827">
        <v>824</v>
      </c>
      <c r="Q827">
        <f>_xlfn.XLOOKUP(A827,'[1]Classic Net to delete'!D:D,'[1]Classic Net to delete'!AA:AA,0)</f>
        <v>907</v>
      </c>
    </row>
    <row r="828" spans="1:17" x14ac:dyDescent="0.25">
      <c r="A828" t="s">
        <v>2019</v>
      </c>
      <c r="B828" t="s">
        <v>2020</v>
      </c>
      <c r="C828">
        <v>5.72</v>
      </c>
      <c r="D828" t="s">
        <v>2007</v>
      </c>
      <c r="E828" t="str">
        <f t="shared" si="18"/>
        <v>01. Road Cones, Lamps and Signs</v>
      </c>
      <c r="F828">
        <v>75</v>
      </c>
      <c r="H828" t="b">
        <v>1</v>
      </c>
      <c r="I828">
        <v>923</v>
      </c>
      <c r="K828" s="192" t="s">
        <v>21</v>
      </c>
      <c r="L828" s="188" t="str">
        <f>IFERROR(_xlfn.XLOOKUP(A828,[1]Fleet!A:A,[1]Fleet!E:E,""),"")</f>
        <v/>
      </c>
      <c r="M828" s="188">
        <v>5.3500000000000005</v>
      </c>
      <c r="N828" s="188" t="s">
        <v>2021</v>
      </c>
      <c r="O828" s="198" t="s">
        <v>2008</v>
      </c>
      <c r="P828">
        <v>821</v>
      </c>
      <c r="Q828">
        <f>_xlfn.XLOOKUP(A828,'[1]Classic Net to delete'!D:D,'[1]Classic Net to delete'!AA:AA,0)</f>
        <v>923</v>
      </c>
    </row>
    <row r="829" spans="1:17" x14ac:dyDescent="0.25">
      <c r="A829" t="s">
        <v>2022</v>
      </c>
      <c r="B829" t="s">
        <v>2023</v>
      </c>
      <c r="C829">
        <v>6.96</v>
      </c>
      <c r="D829" t="s">
        <v>2007</v>
      </c>
      <c r="E829" t="str">
        <f t="shared" si="18"/>
        <v>01. Road Cones, Lamps and Signs</v>
      </c>
      <c r="F829">
        <v>75</v>
      </c>
      <c r="H829" t="b">
        <v>1</v>
      </c>
      <c r="I829">
        <v>924</v>
      </c>
      <c r="K829" s="192" t="s">
        <v>21</v>
      </c>
      <c r="L829" s="188" t="str">
        <f>IFERROR(_xlfn.XLOOKUP(A829,[1]Fleet!A:A,[1]Fleet!E:E,""),"")</f>
        <v/>
      </c>
      <c r="M829" s="188">
        <v>6.5</v>
      </c>
      <c r="N829" s="188" t="s">
        <v>2024</v>
      </c>
      <c r="O829" s="198" t="s">
        <v>2008</v>
      </c>
      <c r="P829">
        <v>820</v>
      </c>
      <c r="Q829">
        <f>_xlfn.XLOOKUP(A829,'[1]Classic Net to delete'!D:D,'[1]Classic Net to delete'!AA:AA,0)</f>
        <v>924</v>
      </c>
    </row>
    <row r="830" spans="1:17" x14ac:dyDescent="0.25">
      <c r="A830" t="s">
        <v>2025</v>
      </c>
      <c r="B830" t="s">
        <v>2026</v>
      </c>
      <c r="C830">
        <v>8.61</v>
      </c>
      <c r="D830" t="s">
        <v>2007</v>
      </c>
      <c r="E830" t="str">
        <f t="shared" si="18"/>
        <v>01. Road Cones, Lamps and Signs</v>
      </c>
      <c r="F830">
        <v>75</v>
      </c>
      <c r="H830" t="b">
        <v>1</v>
      </c>
      <c r="I830">
        <v>925</v>
      </c>
      <c r="K830" s="192" t="s">
        <v>21</v>
      </c>
      <c r="L830" s="188" t="str">
        <f>IFERROR(_xlfn.XLOOKUP(A830,[1]Fleet!A:A,[1]Fleet!E:E,""),"")</f>
        <v/>
      </c>
      <c r="M830" s="188">
        <v>8.0500000000000007</v>
      </c>
      <c r="N830" s="188" t="s">
        <v>2027</v>
      </c>
      <c r="O830" s="198" t="s">
        <v>2008</v>
      </c>
      <c r="P830">
        <v>819</v>
      </c>
      <c r="Q830">
        <f>_xlfn.XLOOKUP(A830,'[1]Classic Net to delete'!D:D,'[1]Classic Net to delete'!AA:AA,0)</f>
        <v>925</v>
      </c>
    </row>
    <row r="831" spans="1:17" x14ac:dyDescent="0.25">
      <c r="A831" t="s">
        <v>2028</v>
      </c>
      <c r="B831" t="s">
        <v>2029</v>
      </c>
      <c r="C831">
        <v>14.23</v>
      </c>
      <c r="D831" t="s">
        <v>2007</v>
      </c>
      <c r="E831" t="str">
        <f t="shared" si="18"/>
        <v>01. Road Cones, Lamps and Signs</v>
      </c>
      <c r="F831">
        <v>75</v>
      </c>
      <c r="H831" t="b">
        <v>1</v>
      </c>
      <c r="I831">
        <v>926</v>
      </c>
      <c r="K831" s="192" t="s">
        <v>21</v>
      </c>
      <c r="L831" s="188" t="str">
        <f>IFERROR(_xlfn.XLOOKUP(A831,[1]Fleet!A:A,[1]Fleet!E:E,""),"")</f>
        <v/>
      </c>
      <c r="M831" s="188">
        <v>13.3</v>
      </c>
      <c r="N831" s="188" t="s">
        <v>2030</v>
      </c>
      <c r="O831" s="198" t="s">
        <v>2008</v>
      </c>
      <c r="P831">
        <v>818</v>
      </c>
      <c r="Q831">
        <f>_xlfn.XLOOKUP(A831,'[1]Classic Net to delete'!D:D,'[1]Classic Net to delete'!AA:AA,0)</f>
        <v>926</v>
      </c>
    </row>
    <row r="832" spans="1:17" x14ac:dyDescent="0.25">
      <c r="A832" t="s">
        <v>2031</v>
      </c>
      <c r="B832" t="s">
        <v>2032</v>
      </c>
      <c r="C832">
        <v>14.23</v>
      </c>
      <c r="D832" t="s">
        <v>2007</v>
      </c>
      <c r="E832" t="str">
        <f t="shared" si="18"/>
        <v>01. Road Cones, Lamps and Signs</v>
      </c>
      <c r="F832">
        <v>75</v>
      </c>
      <c r="H832" t="b">
        <v>1</v>
      </c>
      <c r="I832">
        <v>927</v>
      </c>
      <c r="K832" s="192" t="s">
        <v>21</v>
      </c>
      <c r="L832" s="188" t="str">
        <f>IFERROR(_xlfn.XLOOKUP(A832,[1]Fleet!A:A,[1]Fleet!E:E,""),"")</f>
        <v/>
      </c>
      <c r="M832" s="188">
        <v>13.3</v>
      </c>
      <c r="N832" s="188" t="s">
        <v>2033</v>
      </c>
      <c r="O832" s="198" t="s">
        <v>2008</v>
      </c>
      <c r="P832">
        <v>817</v>
      </c>
      <c r="Q832">
        <f>_xlfn.XLOOKUP(A832,'[1]Classic Net to delete'!D:D,'[1]Classic Net to delete'!AA:AA,0)</f>
        <v>927</v>
      </c>
    </row>
    <row r="833" spans="1:17" x14ac:dyDescent="0.25">
      <c r="A833" t="s">
        <v>2034</v>
      </c>
      <c r="B833" t="s">
        <v>2035</v>
      </c>
      <c r="C833">
        <v>14.23</v>
      </c>
      <c r="D833" t="s">
        <v>2007</v>
      </c>
      <c r="E833" t="str">
        <f t="shared" si="18"/>
        <v>02. Safety Barriers and Trench Covers</v>
      </c>
      <c r="F833">
        <v>75</v>
      </c>
      <c r="H833" t="b">
        <v>1</v>
      </c>
      <c r="I833">
        <v>910</v>
      </c>
      <c r="K833" s="192" t="s">
        <v>54</v>
      </c>
      <c r="L833" s="188" t="str">
        <f>IFERROR(_xlfn.XLOOKUP(A833,[1]Fleet!A:A,[1]Fleet!E:E,""),"")</f>
        <v/>
      </c>
      <c r="M833" s="188">
        <v>13.3</v>
      </c>
      <c r="N833" s="188" t="s">
        <v>2036</v>
      </c>
      <c r="O833" s="198" t="s">
        <v>2037</v>
      </c>
      <c r="P833">
        <v>834</v>
      </c>
      <c r="Q833">
        <f>_xlfn.XLOOKUP(A833,'[1]Classic Net to delete'!D:D,'[1]Classic Net to delete'!AA:AA,0)</f>
        <v>910</v>
      </c>
    </row>
    <row r="834" spans="1:17" x14ac:dyDescent="0.25">
      <c r="A834" t="s">
        <v>2038</v>
      </c>
      <c r="B834" t="s">
        <v>2039</v>
      </c>
      <c r="C834">
        <v>30.330000000000002</v>
      </c>
      <c r="D834" t="s">
        <v>2007</v>
      </c>
      <c r="E834" t="str">
        <f t="shared" si="18"/>
        <v>02. Safety Barriers and Trench Covers</v>
      </c>
      <c r="F834">
        <v>75</v>
      </c>
      <c r="H834" t="b">
        <v>1</v>
      </c>
      <c r="I834">
        <v>911</v>
      </c>
      <c r="K834" s="192" t="s">
        <v>54</v>
      </c>
      <c r="L834" s="188" t="str">
        <f>IFERROR(_xlfn.XLOOKUP(A834,[1]Fleet!A:A,[1]Fleet!E:E,""),"")</f>
        <v/>
      </c>
      <c r="M834" s="188">
        <v>28.35</v>
      </c>
      <c r="N834" s="188" t="s">
        <v>2039</v>
      </c>
      <c r="O834" s="198" t="s">
        <v>2037</v>
      </c>
      <c r="P834">
        <v>828</v>
      </c>
      <c r="Q834">
        <f>_xlfn.XLOOKUP(A834,'[1]Classic Net to delete'!D:D,'[1]Classic Net to delete'!AA:AA,0)</f>
        <v>911</v>
      </c>
    </row>
    <row r="835" spans="1:17" x14ac:dyDescent="0.25">
      <c r="A835" t="s">
        <v>2040</v>
      </c>
      <c r="B835" t="s">
        <v>2041</v>
      </c>
      <c r="C835">
        <v>10.75</v>
      </c>
      <c r="D835" t="s">
        <v>2007</v>
      </c>
      <c r="E835" t="str">
        <f t="shared" si="18"/>
        <v>02. Safety Barriers and Trench Covers</v>
      </c>
      <c r="F835">
        <v>75</v>
      </c>
      <c r="H835" t="b">
        <v>1</v>
      </c>
      <c r="I835">
        <v>912</v>
      </c>
      <c r="K835" s="192" t="s">
        <v>54</v>
      </c>
      <c r="L835" s="188" t="str">
        <f>IFERROR(_xlfn.XLOOKUP(A835,[1]Fleet!A:A,[1]Fleet!E:E,""),"")</f>
        <v/>
      </c>
      <c r="M835" s="188">
        <v>10.050000000000001</v>
      </c>
      <c r="N835" s="188" t="s">
        <v>2042</v>
      </c>
      <c r="O835" s="198" t="s">
        <v>2037</v>
      </c>
      <c r="P835">
        <v>833</v>
      </c>
      <c r="Q835">
        <f>_xlfn.XLOOKUP(A835,'[1]Classic Net to delete'!D:D,'[1]Classic Net to delete'!AA:AA,0)</f>
        <v>912</v>
      </c>
    </row>
    <row r="836" spans="1:17" x14ac:dyDescent="0.25">
      <c r="A836" t="s">
        <v>2043</v>
      </c>
      <c r="B836" t="s">
        <v>2044</v>
      </c>
      <c r="C836">
        <v>2.89</v>
      </c>
      <c r="D836" t="s">
        <v>2007</v>
      </c>
      <c r="E836" t="str">
        <f t="shared" si="18"/>
        <v>02. Safety Barriers and Trench Covers</v>
      </c>
      <c r="F836">
        <v>75</v>
      </c>
      <c r="H836" t="b">
        <v>1</v>
      </c>
      <c r="I836">
        <v>913</v>
      </c>
      <c r="K836" s="192" t="s">
        <v>54</v>
      </c>
      <c r="L836" s="188" t="str">
        <f>IFERROR(_xlfn.XLOOKUP(A836,[1]Fleet!A:A,[1]Fleet!E:E,""),"")</f>
        <v/>
      </c>
      <c r="M836" s="188">
        <v>2.7</v>
      </c>
      <c r="N836" s="188" t="s">
        <v>2044</v>
      </c>
      <c r="O836" s="198" t="s">
        <v>2037</v>
      </c>
      <c r="P836">
        <v>831</v>
      </c>
      <c r="Q836">
        <f>_xlfn.XLOOKUP(A836,'[1]Classic Net to delete'!D:D,'[1]Classic Net to delete'!AA:AA,0)</f>
        <v>913</v>
      </c>
    </row>
    <row r="837" spans="1:17" x14ac:dyDescent="0.25">
      <c r="A837" t="s">
        <v>2045</v>
      </c>
      <c r="B837" t="s">
        <v>2046</v>
      </c>
      <c r="C837">
        <v>2.89</v>
      </c>
      <c r="D837" t="s">
        <v>2007</v>
      </c>
      <c r="E837" t="str">
        <f t="shared" ref="E837:E900" si="19">CONCATENATE(K837,". ",O837)</f>
        <v>02. Safety Barriers and Trench Covers</v>
      </c>
      <c r="F837">
        <v>75</v>
      </c>
      <c r="H837" t="b">
        <v>1</v>
      </c>
      <c r="I837">
        <v>914</v>
      </c>
      <c r="K837" s="192" t="s">
        <v>54</v>
      </c>
      <c r="L837" s="188" t="str">
        <f>IFERROR(_xlfn.XLOOKUP(A837,[1]Fleet!A:A,[1]Fleet!E:E,""),"")</f>
        <v/>
      </c>
      <c r="M837" s="188">
        <v>2.7</v>
      </c>
      <c r="N837" s="188" t="s">
        <v>2046</v>
      </c>
      <c r="O837" s="198" t="s">
        <v>2037</v>
      </c>
      <c r="P837">
        <v>832</v>
      </c>
      <c r="Q837">
        <f>_xlfn.XLOOKUP(A837,'[1]Classic Net to delete'!D:D,'[1]Classic Net to delete'!AA:AA,0)</f>
        <v>914</v>
      </c>
    </row>
    <row r="838" spans="1:17" x14ac:dyDescent="0.25">
      <c r="A838" t="s">
        <v>2047</v>
      </c>
      <c r="B838" t="s">
        <v>2048</v>
      </c>
      <c r="C838">
        <v>15.46</v>
      </c>
      <c r="D838" t="s">
        <v>2007</v>
      </c>
      <c r="E838" t="str">
        <f t="shared" si="19"/>
        <v>02. Safety Barriers and Trench Covers</v>
      </c>
      <c r="F838">
        <v>75</v>
      </c>
      <c r="H838" t="b">
        <v>1</v>
      </c>
      <c r="I838">
        <v>919</v>
      </c>
      <c r="K838" s="192" t="s">
        <v>54</v>
      </c>
      <c r="L838" s="188" t="str">
        <f>IFERROR(_xlfn.XLOOKUP(A838,[1]Fleet!A:A,[1]Fleet!E:E,""),"")</f>
        <v/>
      </c>
      <c r="M838" s="188">
        <v>14.450000000000001</v>
      </c>
      <c r="N838" s="188" t="s">
        <v>2049</v>
      </c>
      <c r="O838" s="198" t="s">
        <v>2037</v>
      </c>
      <c r="P838">
        <v>830</v>
      </c>
      <c r="Q838">
        <f>_xlfn.XLOOKUP(A838,'[1]Classic Net to delete'!D:D,'[1]Classic Net to delete'!AA:AA,0)</f>
        <v>919</v>
      </c>
    </row>
    <row r="839" spans="1:17" x14ac:dyDescent="0.25">
      <c r="A839" t="s">
        <v>2050</v>
      </c>
      <c r="B839" t="s">
        <v>2051</v>
      </c>
      <c r="C839">
        <v>15.46</v>
      </c>
      <c r="D839" t="s">
        <v>2007</v>
      </c>
      <c r="E839" t="str">
        <f t="shared" si="19"/>
        <v>02. Safety Barriers and Trench Covers</v>
      </c>
      <c r="F839">
        <v>75</v>
      </c>
      <c r="H839" t="b">
        <v>1</v>
      </c>
      <c r="I839">
        <v>920</v>
      </c>
      <c r="K839" s="192" t="s">
        <v>54</v>
      </c>
      <c r="L839" s="188" t="str">
        <f>IFERROR(_xlfn.XLOOKUP(A839,[1]Fleet!A:A,[1]Fleet!E:E,""),"")</f>
        <v/>
      </c>
      <c r="M839" s="188">
        <v>14.450000000000001</v>
      </c>
      <c r="N839" s="188" t="s">
        <v>2052</v>
      </c>
      <c r="O839" s="198" t="s">
        <v>2037</v>
      </c>
      <c r="P839">
        <v>829</v>
      </c>
      <c r="Q839">
        <f>_xlfn.XLOOKUP(A839,'[1]Classic Net to delete'!D:D,'[1]Classic Net to delete'!AA:AA,0)</f>
        <v>920</v>
      </c>
    </row>
    <row r="840" spans="1:17" x14ac:dyDescent="0.25">
      <c r="A840" t="s">
        <v>2053</v>
      </c>
      <c r="B840" t="s">
        <v>2054</v>
      </c>
      <c r="C840">
        <v>12.950000000000001</v>
      </c>
      <c r="D840" t="s">
        <v>2007</v>
      </c>
      <c r="E840" t="str">
        <f t="shared" si="19"/>
        <v>03. General Tools</v>
      </c>
      <c r="F840">
        <v>75</v>
      </c>
      <c r="H840" t="b">
        <v>1</v>
      </c>
      <c r="I840">
        <v>936</v>
      </c>
      <c r="K840" s="192" t="s">
        <v>85</v>
      </c>
      <c r="L840" s="188" t="str">
        <f>IFERROR(_xlfn.XLOOKUP(A840,[1]Fleet!A:A,[1]Fleet!E:E,""),"")</f>
        <v/>
      </c>
      <c r="M840" s="188">
        <v>12.100000000000001</v>
      </c>
      <c r="N840" s="188" t="s">
        <v>2055</v>
      </c>
      <c r="O840" s="198" t="s">
        <v>2056</v>
      </c>
      <c r="P840">
        <v>812</v>
      </c>
      <c r="Q840">
        <f>_xlfn.XLOOKUP(A840,'[1]Classic Net to delete'!D:D,'[1]Classic Net to delete'!AA:AA,0)</f>
        <v>936</v>
      </c>
    </row>
    <row r="841" spans="1:17" x14ac:dyDescent="0.25">
      <c r="A841" t="s">
        <v>2057</v>
      </c>
      <c r="B841" t="s">
        <v>2058</v>
      </c>
      <c r="C841">
        <v>10.75</v>
      </c>
      <c r="D841" t="s">
        <v>2007</v>
      </c>
      <c r="E841" t="str">
        <f t="shared" si="19"/>
        <v>03. General Tools</v>
      </c>
      <c r="F841">
        <v>75</v>
      </c>
      <c r="H841" t="b">
        <v>1</v>
      </c>
      <c r="I841">
        <v>937</v>
      </c>
      <c r="K841" s="192" t="s">
        <v>85</v>
      </c>
      <c r="L841" s="188" t="str">
        <f>IFERROR(_xlfn.XLOOKUP(A841,[1]Fleet!A:A,[1]Fleet!E:E,""),"")</f>
        <v/>
      </c>
      <c r="M841" s="188">
        <v>10.050000000000001</v>
      </c>
      <c r="N841" s="188" t="s">
        <v>2059</v>
      </c>
      <c r="O841" s="198" t="s">
        <v>2056</v>
      </c>
      <c r="P841">
        <v>813</v>
      </c>
      <c r="Q841">
        <f>_xlfn.XLOOKUP(A841,'[1]Classic Net to delete'!D:D,'[1]Classic Net to delete'!AA:AA,0)</f>
        <v>937</v>
      </c>
    </row>
    <row r="842" spans="1:17" x14ac:dyDescent="0.25">
      <c r="A842" t="s">
        <v>2060</v>
      </c>
      <c r="B842" t="s">
        <v>2061</v>
      </c>
      <c r="C842">
        <v>22.1</v>
      </c>
      <c r="D842" t="s">
        <v>2007</v>
      </c>
      <c r="E842" t="str">
        <f t="shared" si="19"/>
        <v>03. General Tools</v>
      </c>
      <c r="F842">
        <v>75</v>
      </c>
      <c r="H842" t="b">
        <v>1</v>
      </c>
      <c r="I842">
        <v>940</v>
      </c>
      <c r="K842" s="192" t="s">
        <v>85</v>
      </c>
      <c r="L842" s="188" t="str">
        <f>IFERROR(_xlfn.XLOOKUP(A842,[1]Fleet!A:A,[1]Fleet!E:E,""),"")</f>
        <v/>
      </c>
      <c r="M842" s="188">
        <v>20.650000000000002</v>
      </c>
      <c r="N842" s="188" t="s">
        <v>2061</v>
      </c>
      <c r="O842" s="198" t="s">
        <v>2056</v>
      </c>
      <c r="P842">
        <v>811</v>
      </c>
      <c r="Q842">
        <f>_xlfn.XLOOKUP(A842,'[1]Classic Net to delete'!D:D,'[1]Classic Net to delete'!AA:AA,0)</f>
        <v>940</v>
      </c>
    </row>
    <row r="843" spans="1:17" x14ac:dyDescent="0.25">
      <c r="A843" t="s">
        <v>2062</v>
      </c>
      <c r="B843" t="s">
        <v>2063</v>
      </c>
      <c r="C843">
        <v>72.92</v>
      </c>
      <c r="D843" t="s">
        <v>2064</v>
      </c>
      <c r="E843" t="str">
        <f t="shared" si="19"/>
        <v>. Fire</v>
      </c>
      <c r="F843">
        <v>75</v>
      </c>
      <c r="H843" t="b">
        <v>0</v>
      </c>
      <c r="I843">
        <v>0</v>
      </c>
      <c r="L843" s="188">
        <f>IFERROR(_xlfn.XLOOKUP(A843,[1]Fleet!A:A,[1]Fleet!E:E,""),"")</f>
        <v>16</v>
      </c>
      <c r="M843" s="188" t="s">
        <v>22</v>
      </c>
      <c r="N843" s="188" t="s">
        <v>22</v>
      </c>
      <c r="O843" s="198" t="s">
        <v>2065</v>
      </c>
      <c r="P843">
        <v>840</v>
      </c>
      <c r="Q843">
        <f>_xlfn.XLOOKUP(A843,'[1]Classic Net to delete'!D:D,'[1]Classic Net to delete'!AA:AA,0)</f>
        <v>0</v>
      </c>
    </row>
    <row r="844" spans="1:17" x14ac:dyDescent="0.25">
      <c r="A844" t="s">
        <v>2066</v>
      </c>
      <c r="B844" t="s">
        <v>2067</v>
      </c>
      <c r="C844">
        <v>22.580000000000002</v>
      </c>
      <c r="D844" t="s">
        <v>2064</v>
      </c>
      <c r="E844" t="str">
        <f t="shared" si="19"/>
        <v>. Fire</v>
      </c>
      <c r="F844">
        <v>75</v>
      </c>
      <c r="H844" t="b">
        <v>0</v>
      </c>
      <c r="I844">
        <v>0</v>
      </c>
      <c r="L844" s="188">
        <f>IFERROR(_xlfn.XLOOKUP(A844,[1]Fleet!A:A,[1]Fleet!E:E,""),"")</f>
        <v>2</v>
      </c>
      <c r="M844" s="188" t="s">
        <v>22</v>
      </c>
      <c r="N844" s="188" t="s">
        <v>22</v>
      </c>
      <c r="O844" s="198" t="s">
        <v>2065</v>
      </c>
      <c r="P844">
        <v>839</v>
      </c>
      <c r="Q844">
        <f>_xlfn.XLOOKUP(A844,'[1]Classic Net to delete'!D:D,'[1]Classic Net to delete'!AA:AA,0)</f>
        <v>0</v>
      </c>
    </row>
    <row r="845" spans="1:17" x14ac:dyDescent="0.25">
      <c r="A845" t="s">
        <v>2068</v>
      </c>
      <c r="B845" t="s">
        <v>2069</v>
      </c>
      <c r="C845">
        <v>45.15</v>
      </c>
      <c r="D845" t="s">
        <v>2064</v>
      </c>
      <c r="E845" t="str">
        <f t="shared" si="19"/>
        <v>. Site Storage</v>
      </c>
      <c r="F845">
        <v>75</v>
      </c>
      <c r="H845" t="b">
        <v>0</v>
      </c>
      <c r="I845">
        <v>0</v>
      </c>
      <c r="L845" s="188">
        <f>IFERROR(_xlfn.XLOOKUP(A845,[1]Fleet!A:A,[1]Fleet!E:E,""),"")</f>
        <v>6</v>
      </c>
      <c r="M845" s="188" t="s">
        <v>22</v>
      </c>
      <c r="N845" s="188" t="s">
        <v>22</v>
      </c>
      <c r="O845" s="198" t="s">
        <v>2070</v>
      </c>
      <c r="P845">
        <v>861</v>
      </c>
      <c r="Q845">
        <f>_xlfn.XLOOKUP(A845,'[1]Classic Net to delete'!D:D,'[1]Classic Net to delete'!AA:AA,0)</f>
        <v>0</v>
      </c>
    </row>
    <row r="846" spans="1:17" x14ac:dyDescent="0.25">
      <c r="A846" t="s">
        <v>2071</v>
      </c>
      <c r="B846" t="s">
        <v>2072</v>
      </c>
      <c r="C846">
        <v>83.62</v>
      </c>
      <c r="D846" t="s">
        <v>2064</v>
      </c>
      <c r="E846" t="str">
        <f t="shared" si="19"/>
        <v>. Site Storage</v>
      </c>
      <c r="F846">
        <v>75</v>
      </c>
      <c r="H846" t="b">
        <v>0</v>
      </c>
      <c r="I846">
        <v>0</v>
      </c>
      <c r="L846" s="188">
        <f>IFERROR(_xlfn.XLOOKUP(A846,[1]Fleet!A:A,[1]Fleet!E:E,""),"")</f>
        <v>18</v>
      </c>
      <c r="M846" s="188" t="s">
        <v>22</v>
      </c>
      <c r="N846" s="188" t="s">
        <v>22</v>
      </c>
      <c r="O846" s="198" t="s">
        <v>2070</v>
      </c>
      <c r="P846">
        <v>860</v>
      </c>
      <c r="Q846">
        <f>_xlfn.XLOOKUP(A846,'[1]Classic Net to delete'!D:D,'[1]Classic Net to delete'!AA:AA,0)</f>
        <v>0</v>
      </c>
    </row>
    <row r="847" spans="1:17" x14ac:dyDescent="0.25">
      <c r="A847" t="s">
        <v>2073</v>
      </c>
      <c r="B847" t="s">
        <v>2074</v>
      </c>
      <c r="C847">
        <v>128.4</v>
      </c>
      <c r="D847" t="s">
        <v>2064</v>
      </c>
      <c r="E847" t="str">
        <f t="shared" si="19"/>
        <v>. Site Storage</v>
      </c>
      <c r="F847">
        <v>75</v>
      </c>
      <c r="H847" t="b">
        <v>0</v>
      </c>
      <c r="I847">
        <v>0</v>
      </c>
      <c r="L847" s="188">
        <f>IFERROR(_xlfn.XLOOKUP(A847,[1]Fleet!A:A,[1]Fleet!E:E,""),"")</f>
        <v>6</v>
      </c>
      <c r="M847" s="188" t="s">
        <v>22</v>
      </c>
      <c r="N847" s="188" t="s">
        <v>22</v>
      </c>
      <c r="O847" s="198" t="s">
        <v>2070</v>
      </c>
      <c r="P847">
        <v>862</v>
      </c>
      <c r="Q847">
        <f>_xlfn.XLOOKUP(A847,'[1]Classic Net to delete'!D:D,'[1]Classic Net to delete'!AA:AA,0)</f>
        <v>0</v>
      </c>
    </row>
    <row r="848" spans="1:17" x14ac:dyDescent="0.25">
      <c r="A848" t="s">
        <v>2075</v>
      </c>
      <c r="B848" t="s">
        <v>2076</v>
      </c>
      <c r="C848">
        <v>11.34</v>
      </c>
      <c r="D848" t="s">
        <v>2064</v>
      </c>
      <c r="E848" t="str">
        <f t="shared" si="19"/>
        <v xml:space="preserve">. Specialty </v>
      </c>
      <c r="F848">
        <v>75</v>
      </c>
      <c r="H848" t="b">
        <v>0</v>
      </c>
      <c r="I848">
        <v>0</v>
      </c>
      <c r="L848" s="188">
        <f>IFERROR(_xlfn.XLOOKUP(A848,[1]Fleet!A:A,[1]Fleet!E:E,""),"")</f>
        <v>3</v>
      </c>
      <c r="M848" s="188" t="s">
        <v>22</v>
      </c>
      <c r="N848" s="188" t="s">
        <v>22</v>
      </c>
      <c r="O848" s="198" t="s">
        <v>538</v>
      </c>
      <c r="P848">
        <v>868</v>
      </c>
      <c r="Q848">
        <f>_xlfn.XLOOKUP(A848,'[1]Classic Net to delete'!D:D,'[1]Classic Net to delete'!AA:AA,0)</f>
        <v>0</v>
      </c>
    </row>
    <row r="849" spans="1:17" x14ac:dyDescent="0.25">
      <c r="A849" t="s">
        <v>2077</v>
      </c>
      <c r="B849" t="s">
        <v>2078</v>
      </c>
      <c r="C849">
        <v>5.99</v>
      </c>
      <c r="D849" t="s">
        <v>2064</v>
      </c>
      <c r="E849" t="str">
        <f t="shared" si="19"/>
        <v>01. Support Safety</v>
      </c>
      <c r="F849">
        <v>75</v>
      </c>
      <c r="H849" t="b">
        <v>1</v>
      </c>
      <c r="I849">
        <v>946</v>
      </c>
      <c r="K849" s="192" t="s">
        <v>21</v>
      </c>
      <c r="L849" s="188" t="str">
        <f>IFERROR(_xlfn.XLOOKUP(A849,[1]Fleet!A:A,[1]Fleet!E:E,""),"")</f>
        <v/>
      </c>
      <c r="M849" s="188">
        <v>5.6000000000000005</v>
      </c>
      <c r="N849" s="188" t="s">
        <v>2079</v>
      </c>
      <c r="O849" s="198" t="s">
        <v>2080</v>
      </c>
      <c r="P849">
        <v>881</v>
      </c>
      <c r="Q849">
        <f>_xlfn.XLOOKUP(A849,'[1]Classic Net to delete'!D:D,'[1]Classic Net to delete'!AA:AA,0)</f>
        <v>946</v>
      </c>
    </row>
    <row r="850" spans="1:17" x14ac:dyDescent="0.25">
      <c r="A850" t="s">
        <v>2081</v>
      </c>
      <c r="B850" t="s">
        <v>2082</v>
      </c>
      <c r="C850">
        <v>5.99</v>
      </c>
      <c r="D850" t="s">
        <v>2064</v>
      </c>
      <c r="E850" t="str">
        <f t="shared" si="19"/>
        <v>01. Support Safety</v>
      </c>
      <c r="F850">
        <v>75</v>
      </c>
      <c r="H850" t="b">
        <v>1</v>
      </c>
      <c r="I850">
        <v>947</v>
      </c>
      <c r="K850" s="192" t="s">
        <v>21</v>
      </c>
      <c r="L850" s="188" t="str">
        <f>IFERROR(_xlfn.XLOOKUP(A850,[1]Fleet!A:A,[1]Fleet!E:E,""),"")</f>
        <v/>
      </c>
      <c r="M850" s="188">
        <v>5.6000000000000005</v>
      </c>
      <c r="N850" s="188" t="s">
        <v>2083</v>
      </c>
      <c r="O850" s="198" t="s">
        <v>2080</v>
      </c>
      <c r="P850">
        <v>880</v>
      </c>
      <c r="Q850">
        <f>_xlfn.XLOOKUP(A850,'[1]Classic Net to delete'!D:D,'[1]Classic Net to delete'!AA:AA,0)</f>
        <v>947</v>
      </c>
    </row>
    <row r="851" spans="1:17" x14ac:dyDescent="0.25">
      <c r="A851" t="s">
        <v>2084</v>
      </c>
      <c r="B851" t="s">
        <v>2085</v>
      </c>
      <c r="C851">
        <v>5.99</v>
      </c>
      <c r="D851" t="s">
        <v>2064</v>
      </c>
      <c r="E851" t="str">
        <f t="shared" si="19"/>
        <v>01. Support Safety</v>
      </c>
      <c r="F851">
        <v>75</v>
      </c>
      <c r="H851" t="b">
        <v>1</v>
      </c>
      <c r="I851">
        <v>948</v>
      </c>
      <c r="K851" s="192" t="s">
        <v>21</v>
      </c>
      <c r="L851" s="188" t="str">
        <f>IFERROR(_xlfn.XLOOKUP(A851,[1]Fleet!A:A,[1]Fleet!E:E,""),"")</f>
        <v/>
      </c>
      <c r="M851" s="188">
        <v>5.6000000000000005</v>
      </c>
      <c r="N851" s="188" t="s">
        <v>2086</v>
      </c>
      <c r="O851" s="198" t="s">
        <v>2080</v>
      </c>
      <c r="P851">
        <v>879</v>
      </c>
      <c r="Q851">
        <f>_xlfn.XLOOKUP(A851,'[1]Classic Net to delete'!D:D,'[1]Classic Net to delete'!AA:AA,0)</f>
        <v>948</v>
      </c>
    </row>
    <row r="852" spans="1:17" x14ac:dyDescent="0.25">
      <c r="A852" t="s">
        <v>2087</v>
      </c>
      <c r="B852" t="s">
        <v>2088</v>
      </c>
      <c r="C852">
        <v>5.99</v>
      </c>
      <c r="D852" t="s">
        <v>2064</v>
      </c>
      <c r="E852" t="str">
        <f t="shared" si="19"/>
        <v>01. Support Safety</v>
      </c>
      <c r="F852">
        <v>75</v>
      </c>
      <c r="H852" t="b">
        <v>1</v>
      </c>
      <c r="I852">
        <v>949</v>
      </c>
      <c r="K852" s="192" t="s">
        <v>21</v>
      </c>
      <c r="L852" s="188" t="str">
        <f>IFERROR(_xlfn.XLOOKUP(A852,[1]Fleet!A:A,[1]Fleet!E:E,""),"")</f>
        <v/>
      </c>
      <c r="M852" s="188">
        <v>5.6000000000000005</v>
      </c>
      <c r="N852" s="188" t="s">
        <v>2089</v>
      </c>
      <c r="O852" s="198" t="s">
        <v>2080</v>
      </c>
      <c r="P852">
        <v>878</v>
      </c>
      <c r="Q852">
        <f>_xlfn.XLOOKUP(A852,'[1]Classic Net to delete'!D:D,'[1]Classic Net to delete'!AA:AA,0)</f>
        <v>949</v>
      </c>
    </row>
    <row r="853" spans="1:17" x14ac:dyDescent="0.25">
      <c r="A853" t="s">
        <v>2090</v>
      </c>
      <c r="B853" t="s">
        <v>2091</v>
      </c>
      <c r="C853">
        <v>5.99</v>
      </c>
      <c r="D853" t="s">
        <v>2064</v>
      </c>
      <c r="E853" t="str">
        <f t="shared" si="19"/>
        <v>01. Support Safety</v>
      </c>
      <c r="F853">
        <v>75</v>
      </c>
      <c r="H853" t="b">
        <v>1</v>
      </c>
      <c r="I853">
        <v>950</v>
      </c>
      <c r="K853" s="192" t="s">
        <v>21</v>
      </c>
      <c r="L853" s="188" t="str">
        <f>IFERROR(_xlfn.XLOOKUP(A853,[1]Fleet!A:A,[1]Fleet!E:E,""),"")</f>
        <v/>
      </c>
      <c r="M853" s="188">
        <v>5.6000000000000005</v>
      </c>
      <c r="N853" s="188" t="s">
        <v>2092</v>
      </c>
      <c r="O853" s="198" t="s">
        <v>2080</v>
      </c>
      <c r="P853">
        <v>877</v>
      </c>
      <c r="Q853">
        <f>_xlfn.XLOOKUP(A853,'[1]Classic Net to delete'!D:D,'[1]Classic Net to delete'!AA:AA,0)</f>
        <v>950</v>
      </c>
    </row>
    <row r="854" spans="1:17" x14ac:dyDescent="0.25">
      <c r="A854" t="s">
        <v>2093</v>
      </c>
      <c r="B854" t="s">
        <v>2094</v>
      </c>
      <c r="C854">
        <v>6.96</v>
      </c>
      <c r="D854" t="s">
        <v>2064</v>
      </c>
      <c r="E854" t="str">
        <f t="shared" si="19"/>
        <v>01. Support Safety</v>
      </c>
      <c r="F854">
        <v>75</v>
      </c>
      <c r="H854" t="b">
        <v>1</v>
      </c>
      <c r="I854">
        <v>951</v>
      </c>
      <c r="K854" s="192" t="s">
        <v>21</v>
      </c>
      <c r="L854" s="188" t="str">
        <f>IFERROR(_xlfn.XLOOKUP(A854,[1]Fleet!A:A,[1]Fleet!E:E,""),"")</f>
        <v/>
      </c>
      <c r="M854" s="188">
        <v>6.5</v>
      </c>
      <c r="N854" s="188" t="s">
        <v>2095</v>
      </c>
      <c r="O854" s="198" t="s">
        <v>2080</v>
      </c>
      <c r="P854">
        <v>876</v>
      </c>
      <c r="Q854">
        <f>_xlfn.XLOOKUP(A854,'[1]Classic Net to delete'!D:D,'[1]Classic Net to delete'!AA:AA,0)</f>
        <v>951</v>
      </c>
    </row>
    <row r="855" spans="1:17" x14ac:dyDescent="0.25">
      <c r="A855" t="s">
        <v>2096</v>
      </c>
      <c r="B855" t="s">
        <v>2097</v>
      </c>
      <c r="C855">
        <v>15.46</v>
      </c>
      <c r="D855" t="s">
        <v>2064</v>
      </c>
      <c r="E855" t="str">
        <f t="shared" si="19"/>
        <v>01. Support Safety</v>
      </c>
      <c r="F855">
        <v>75</v>
      </c>
      <c r="H855" t="b">
        <v>1</v>
      </c>
      <c r="I855">
        <v>952</v>
      </c>
      <c r="K855" s="192" t="s">
        <v>21</v>
      </c>
      <c r="L855" s="188" t="str">
        <f>IFERROR(_xlfn.XLOOKUP(A855,[1]Fleet!A:A,[1]Fleet!E:E,""),"")</f>
        <v/>
      </c>
      <c r="M855" s="188">
        <v>14.450000000000001</v>
      </c>
      <c r="N855" s="188" t="s">
        <v>2098</v>
      </c>
      <c r="O855" s="198" t="s">
        <v>2080</v>
      </c>
      <c r="P855">
        <v>875</v>
      </c>
      <c r="Q855">
        <f>_xlfn.XLOOKUP(A855,'[1]Classic Net to delete'!D:D,'[1]Classic Net to delete'!AA:AA,0)</f>
        <v>952</v>
      </c>
    </row>
    <row r="856" spans="1:17" x14ac:dyDescent="0.25">
      <c r="A856" t="s">
        <v>2099</v>
      </c>
      <c r="B856" t="s">
        <v>2100</v>
      </c>
      <c r="C856">
        <v>20.38</v>
      </c>
      <c r="D856" t="s">
        <v>2064</v>
      </c>
      <c r="E856" t="str">
        <f t="shared" si="19"/>
        <v>01. Support Safety</v>
      </c>
      <c r="F856">
        <v>75</v>
      </c>
      <c r="H856" t="b">
        <v>1</v>
      </c>
      <c r="I856">
        <v>953</v>
      </c>
      <c r="K856" s="192" t="s">
        <v>21</v>
      </c>
      <c r="L856" s="188" t="str">
        <f>IFERROR(_xlfn.XLOOKUP(A856,[1]Fleet!A:A,[1]Fleet!E:E,""),"")</f>
        <v/>
      </c>
      <c r="M856" s="188">
        <v>19.05</v>
      </c>
      <c r="N856" s="188" t="s">
        <v>2101</v>
      </c>
      <c r="O856" s="198" t="s">
        <v>2080</v>
      </c>
      <c r="P856">
        <v>870</v>
      </c>
      <c r="Q856">
        <f>_xlfn.XLOOKUP(A856,'[1]Classic Net to delete'!D:D,'[1]Classic Net to delete'!AA:AA,0)</f>
        <v>953</v>
      </c>
    </row>
    <row r="857" spans="1:17" x14ac:dyDescent="0.25">
      <c r="A857" t="s">
        <v>2102</v>
      </c>
      <c r="B857" t="s">
        <v>2103</v>
      </c>
      <c r="C857">
        <v>38.57</v>
      </c>
      <c r="D857" t="s">
        <v>2064</v>
      </c>
      <c r="E857" t="str">
        <f t="shared" si="19"/>
        <v>01. Support Safety</v>
      </c>
      <c r="F857">
        <v>75</v>
      </c>
      <c r="H857" t="b">
        <v>1</v>
      </c>
      <c r="I857">
        <v>954</v>
      </c>
      <c r="K857" s="192" t="s">
        <v>21</v>
      </c>
      <c r="L857" s="188" t="str">
        <f>IFERROR(_xlfn.XLOOKUP(A857,[1]Fleet!A:A,[1]Fleet!E:E,""),"")</f>
        <v/>
      </c>
      <c r="M857" s="188">
        <v>36.050000000000004</v>
      </c>
      <c r="N857" s="188" t="s">
        <v>2103</v>
      </c>
      <c r="O857" s="198" t="s">
        <v>2080</v>
      </c>
      <c r="P857">
        <v>869</v>
      </c>
      <c r="Q857">
        <f>_xlfn.XLOOKUP(A857,'[1]Classic Net to delete'!D:D,'[1]Classic Net to delete'!AA:AA,0)</f>
        <v>954</v>
      </c>
    </row>
    <row r="858" spans="1:17" x14ac:dyDescent="0.25">
      <c r="A858" t="s">
        <v>2104</v>
      </c>
      <c r="B858" t="s">
        <v>2105</v>
      </c>
      <c r="C858">
        <v>5.08</v>
      </c>
      <c r="D858" t="s">
        <v>2064</v>
      </c>
      <c r="E858" t="str">
        <f t="shared" si="19"/>
        <v>01. Support Safety</v>
      </c>
      <c r="F858">
        <v>75</v>
      </c>
      <c r="H858" t="b">
        <v>1</v>
      </c>
      <c r="I858">
        <v>955</v>
      </c>
      <c r="K858" s="192" t="s">
        <v>21</v>
      </c>
      <c r="L858" s="188" t="str">
        <f>IFERROR(_xlfn.XLOOKUP(A858,[1]Fleet!A:A,[1]Fleet!E:E,""),"")</f>
        <v/>
      </c>
      <c r="M858" s="188">
        <v>4.75</v>
      </c>
      <c r="N858" s="188" t="s">
        <v>2106</v>
      </c>
      <c r="O858" s="198" t="s">
        <v>2080</v>
      </c>
      <c r="P858">
        <v>874</v>
      </c>
      <c r="Q858">
        <f>_xlfn.XLOOKUP(A858,'[1]Classic Net to delete'!D:D,'[1]Classic Net to delete'!AA:AA,0)</f>
        <v>955</v>
      </c>
    </row>
    <row r="859" spans="1:17" x14ac:dyDescent="0.25">
      <c r="A859" t="s">
        <v>2107</v>
      </c>
      <c r="B859" t="s">
        <v>2108</v>
      </c>
      <c r="C859">
        <v>5.08</v>
      </c>
      <c r="D859" t="s">
        <v>2064</v>
      </c>
      <c r="E859" t="str">
        <f t="shared" si="19"/>
        <v>01. Support Safety</v>
      </c>
      <c r="F859">
        <v>75</v>
      </c>
      <c r="H859" t="b">
        <v>1</v>
      </c>
      <c r="I859">
        <v>956</v>
      </c>
      <c r="K859" s="192" t="s">
        <v>21</v>
      </c>
      <c r="L859" s="188" t="str">
        <f>IFERROR(_xlfn.XLOOKUP(A859,[1]Fleet!A:A,[1]Fleet!E:E,""),"")</f>
        <v/>
      </c>
      <c r="M859" s="188">
        <v>4.75</v>
      </c>
      <c r="N859" s="188" t="s">
        <v>2109</v>
      </c>
      <c r="O859" s="198" t="s">
        <v>2080</v>
      </c>
      <c r="P859">
        <v>873</v>
      </c>
      <c r="Q859">
        <f>_xlfn.XLOOKUP(A859,'[1]Classic Net to delete'!D:D,'[1]Classic Net to delete'!AA:AA,0)</f>
        <v>956</v>
      </c>
    </row>
    <row r="860" spans="1:17" x14ac:dyDescent="0.25">
      <c r="A860" t="s">
        <v>2110</v>
      </c>
      <c r="B860" t="s">
        <v>2111</v>
      </c>
      <c r="C860">
        <v>5.08</v>
      </c>
      <c r="D860" t="s">
        <v>2064</v>
      </c>
      <c r="E860" t="str">
        <f t="shared" si="19"/>
        <v>01. Support Safety</v>
      </c>
      <c r="F860">
        <v>75</v>
      </c>
      <c r="H860" t="b">
        <v>1</v>
      </c>
      <c r="I860">
        <v>957</v>
      </c>
      <c r="K860" s="192" t="s">
        <v>21</v>
      </c>
      <c r="L860" s="188" t="str">
        <f>IFERROR(_xlfn.XLOOKUP(A860,[1]Fleet!A:A,[1]Fleet!E:E,""),"")</f>
        <v/>
      </c>
      <c r="M860" s="188">
        <v>4.75</v>
      </c>
      <c r="N860" s="188" t="s">
        <v>2112</v>
      </c>
      <c r="O860" s="198" t="s">
        <v>2080</v>
      </c>
      <c r="P860">
        <v>872</v>
      </c>
      <c r="Q860">
        <f>_xlfn.XLOOKUP(A860,'[1]Classic Net to delete'!D:D,'[1]Classic Net to delete'!AA:AA,0)</f>
        <v>957</v>
      </c>
    </row>
    <row r="861" spans="1:17" x14ac:dyDescent="0.25">
      <c r="A861" t="s">
        <v>2113</v>
      </c>
      <c r="B861" t="s">
        <v>2114</v>
      </c>
      <c r="C861">
        <v>5.08</v>
      </c>
      <c r="D861" t="s">
        <v>2064</v>
      </c>
      <c r="E861" t="str">
        <f t="shared" si="19"/>
        <v>01. Support Safety</v>
      </c>
      <c r="F861">
        <v>75</v>
      </c>
      <c r="H861" t="b">
        <v>1</v>
      </c>
      <c r="I861">
        <v>958</v>
      </c>
      <c r="K861" s="192" t="s">
        <v>21</v>
      </c>
      <c r="L861" s="188" t="str">
        <f>IFERROR(_xlfn.XLOOKUP(A861,[1]Fleet!A:A,[1]Fleet!E:E,""),"")</f>
        <v/>
      </c>
      <c r="M861" s="188">
        <v>4.75</v>
      </c>
      <c r="N861" s="188" t="s">
        <v>2115</v>
      </c>
      <c r="O861" s="198" t="s">
        <v>2080</v>
      </c>
      <c r="P861">
        <v>871</v>
      </c>
      <c r="Q861">
        <f>_xlfn.XLOOKUP(A861,'[1]Classic Net to delete'!D:D,'[1]Classic Net to delete'!AA:AA,0)</f>
        <v>958</v>
      </c>
    </row>
    <row r="862" spans="1:17" x14ac:dyDescent="0.25">
      <c r="A862" t="s">
        <v>2116</v>
      </c>
      <c r="B862" t="s">
        <v>2117</v>
      </c>
      <c r="C862">
        <v>54.57</v>
      </c>
      <c r="D862" t="s">
        <v>2064</v>
      </c>
      <c r="E862" t="str">
        <f t="shared" si="19"/>
        <v>02. Working at Height</v>
      </c>
      <c r="F862">
        <v>75</v>
      </c>
      <c r="H862" t="b">
        <v>1</v>
      </c>
      <c r="I862">
        <v>961</v>
      </c>
      <c r="K862" s="192" t="s">
        <v>54</v>
      </c>
      <c r="L862" s="188">
        <f>IFERROR(_xlfn.XLOOKUP(A862,[1]Fleet!A:A,[1]Fleet!E:E,""),"")</f>
        <v>43</v>
      </c>
      <c r="M862" s="188">
        <v>51</v>
      </c>
      <c r="N862" s="188" t="s">
        <v>2118</v>
      </c>
      <c r="O862" s="198" t="s">
        <v>2119</v>
      </c>
      <c r="P862">
        <v>882</v>
      </c>
      <c r="Q862">
        <f>_xlfn.XLOOKUP(A862,'[1]Classic Net to delete'!D:D,'[1]Classic Net to delete'!AA:AA,0)</f>
        <v>961</v>
      </c>
    </row>
    <row r="863" spans="1:17" x14ac:dyDescent="0.25">
      <c r="A863" t="s">
        <v>2120</v>
      </c>
      <c r="B863" t="s">
        <v>2121</v>
      </c>
      <c r="C863">
        <v>61.85</v>
      </c>
      <c r="D863" t="s">
        <v>2064</v>
      </c>
      <c r="E863" t="str">
        <f t="shared" si="19"/>
        <v>02. Working at Height</v>
      </c>
      <c r="F863">
        <v>75</v>
      </c>
      <c r="H863" t="b">
        <v>1</v>
      </c>
      <c r="I863">
        <v>963</v>
      </c>
      <c r="K863" s="192" t="s">
        <v>54</v>
      </c>
      <c r="L863" s="188">
        <f>IFERROR(_xlfn.XLOOKUP(A863,[1]Fleet!A:A,[1]Fleet!E:E,""),"")</f>
        <v>8</v>
      </c>
      <c r="M863" s="188">
        <v>57.800000000000004</v>
      </c>
      <c r="N863" s="188" t="s">
        <v>2122</v>
      </c>
      <c r="O863" s="198" t="s">
        <v>2119</v>
      </c>
      <c r="P863">
        <v>885</v>
      </c>
      <c r="Q863">
        <f>_xlfn.XLOOKUP(A863,'[1]Classic Net to delete'!D:D,'[1]Classic Net to delete'!AA:AA,0)</f>
        <v>963</v>
      </c>
    </row>
    <row r="864" spans="1:17" x14ac:dyDescent="0.25">
      <c r="A864" t="s">
        <v>2123</v>
      </c>
      <c r="B864" t="s">
        <v>2124</v>
      </c>
      <c r="C864">
        <v>67.570000000000007</v>
      </c>
      <c r="D864" t="s">
        <v>2064</v>
      </c>
      <c r="E864" t="str">
        <f t="shared" si="19"/>
        <v>02. Working at Height</v>
      </c>
      <c r="F864">
        <v>75</v>
      </c>
      <c r="H864" t="b">
        <v>1</v>
      </c>
      <c r="I864">
        <v>964</v>
      </c>
      <c r="K864" s="192" t="s">
        <v>54</v>
      </c>
      <c r="L864" s="188">
        <f>IFERROR(_xlfn.XLOOKUP(A864,[1]Fleet!A:A,[1]Fleet!E:E,""),"")</f>
        <v>5</v>
      </c>
      <c r="M864" s="188">
        <v>63.150000000000006</v>
      </c>
      <c r="N864" s="188" t="s">
        <v>2125</v>
      </c>
      <c r="O864" s="198" t="s">
        <v>2119</v>
      </c>
      <c r="P864">
        <v>883</v>
      </c>
      <c r="Q864">
        <f>_xlfn.XLOOKUP(A864,'[1]Classic Net to delete'!D:D,'[1]Classic Net to delete'!AA:AA,0)</f>
        <v>964</v>
      </c>
    </row>
    <row r="865" spans="1:17" x14ac:dyDescent="0.25">
      <c r="A865" t="s">
        <v>2126</v>
      </c>
      <c r="B865" t="s">
        <v>2127</v>
      </c>
      <c r="C865">
        <v>70.350000000000009</v>
      </c>
      <c r="D865" t="s">
        <v>2064</v>
      </c>
      <c r="E865" t="str">
        <f t="shared" si="19"/>
        <v>02. Working at Height</v>
      </c>
      <c r="F865">
        <v>75</v>
      </c>
      <c r="H865" t="b">
        <v>1</v>
      </c>
      <c r="I865">
        <v>965</v>
      </c>
      <c r="K865" s="192" t="s">
        <v>54</v>
      </c>
      <c r="L865" s="188">
        <f>IFERROR(_xlfn.XLOOKUP(A865,[1]Fleet!A:A,[1]Fleet!E:E,""),"")</f>
        <v>3</v>
      </c>
      <c r="M865" s="188">
        <v>65.75</v>
      </c>
      <c r="N865" s="188" t="s">
        <v>2128</v>
      </c>
      <c r="O865" s="198" t="s">
        <v>2119</v>
      </c>
      <c r="P865">
        <v>884</v>
      </c>
      <c r="Q865">
        <f>_xlfn.XLOOKUP(A865,'[1]Classic Net to delete'!D:D,'[1]Classic Net to delete'!AA:AA,0)</f>
        <v>965</v>
      </c>
    </row>
    <row r="866" spans="1:17" x14ac:dyDescent="0.25">
      <c r="A866" t="s">
        <v>2129</v>
      </c>
      <c r="B866" t="s">
        <v>2130</v>
      </c>
      <c r="C866">
        <v>114.86</v>
      </c>
      <c r="D866" t="s">
        <v>2064</v>
      </c>
      <c r="E866" t="str">
        <f t="shared" si="19"/>
        <v>02. Working at Height</v>
      </c>
      <c r="F866">
        <v>75</v>
      </c>
      <c r="H866" t="b">
        <v>1</v>
      </c>
      <c r="I866">
        <v>966</v>
      </c>
      <c r="K866" s="192" t="s">
        <v>54</v>
      </c>
      <c r="L866" s="188">
        <f>IFERROR(_xlfn.XLOOKUP(A866,[1]Fleet!A:A,[1]Fleet!E:E,""),"")</f>
        <v>2</v>
      </c>
      <c r="M866" s="188">
        <v>107.35000000000001</v>
      </c>
      <c r="N866" s="188" t="s">
        <v>2131</v>
      </c>
      <c r="O866" s="198" t="s">
        <v>2119</v>
      </c>
      <c r="P866">
        <v>888</v>
      </c>
      <c r="Q866">
        <f>_xlfn.XLOOKUP(A866,'[1]Classic Net to delete'!D:D,'[1]Classic Net to delete'!AA:AA,0)</f>
        <v>966</v>
      </c>
    </row>
    <row r="867" spans="1:17" x14ac:dyDescent="0.25">
      <c r="A867" t="s">
        <v>2132</v>
      </c>
      <c r="B867" t="s">
        <v>2133</v>
      </c>
      <c r="C867">
        <v>151.08000000000001</v>
      </c>
      <c r="D867" t="s">
        <v>2064</v>
      </c>
      <c r="E867" t="str">
        <f t="shared" si="19"/>
        <v>02. Working at Height</v>
      </c>
      <c r="F867">
        <v>75</v>
      </c>
      <c r="H867" t="b">
        <v>1</v>
      </c>
      <c r="I867">
        <v>967</v>
      </c>
      <c r="K867" s="192" t="s">
        <v>54</v>
      </c>
      <c r="L867" s="188">
        <f>IFERROR(_xlfn.XLOOKUP(A867,[1]Fleet!A:A,[1]Fleet!E:E,""),"")</f>
        <v>3</v>
      </c>
      <c r="M867" s="188">
        <v>141.20000000000002</v>
      </c>
      <c r="N867" s="188" t="s">
        <v>2133</v>
      </c>
      <c r="O867" s="198" t="s">
        <v>2119</v>
      </c>
      <c r="P867">
        <v>887</v>
      </c>
      <c r="Q867">
        <f>_xlfn.XLOOKUP(A867,'[1]Classic Net to delete'!D:D,'[1]Classic Net to delete'!AA:AA,0)</f>
        <v>967</v>
      </c>
    </row>
    <row r="868" spans="1:17" x14ac:dyDescent="0.25">
      <c r="A868" t="s">
        <v>2134</v>
      </c>
      <c r="B868" t="s">
        <v>2135</v>
      </c>
      <c r="C868">
        <v>186.5</v>
      </c>
      <c r="D868" t="s">
        <v>2064</v>
      </c>
      <c r="E868" t="str">
        <f t="shared" si="19"/>
        <v>02. Working at Height</v>
      </c>
      <c r="F868">
        <v>75</v>
      </c>
      <c r="H868" t="b">
        <v>1</v>
      </c>
      <c r="I868">
        <v>968</v>
      </c>
      <c r="K868" s="192" t="s">
        <v>54</v>
      </c>
      <c r="L868" s="188">
        <f>IFERROR(_xlfn.XLOOKUP(A868,[1]Fleet!A:A,[1]Fleet!E:E,""),"")</f>
        <v>10</v>
      </c>
      <c r="M868" s="188">
        <v>174.3</v>
      </c>
      <c r="N868" s="188" t="s">
        <v>2135</v>
      </c>
      <c r="O868" s="198" t="s">
        <v>2119</v>
      </c>
      <c r="P868">
        <v>886</v>
      </c>
      <c r="Q868">
        <f>_xlfn.XLOOKUP(A868,'[1]Classic Net to delete'!D:D,'[1]Classic Net to delete'!AA:AA,0)</f>
        <v>968</v>
      </c>
    </row>
    <row r="869" spans="1:17" x14ac:dyDescent="0.25">
      <c r="A869" t="s">
        <v>2136</v>
      </c>
      <c r="B869" t="s">
        <v>2137</v>
      </c>
      <c r="C869">
        <v>194.31</v>
      </c>
      <c r="D869" t="s">
        <v>2064</v>
      </c>
      <c r="E869" t="str">
        <f t="shared" si="19"/>
        <v>02. Working at Height</v>
      </c>
      <c r="F869">
        <v>75</v>
      </c>
      <c r="H869" t="b">
        <v>1</v>
      </c>
      <c r="I869">
        <v>969</v>
      </c>
      <c r="K869" s="192" t="s">
        <v>54</v>
      </c>
      <c r="L869" s="188">
        <f>IFERROR(_xlfn.XLOOKUP(A869,[1]Fleet!A:A,[1]Fleet!E:E,""),"")</f>
        <v>12</v>
      </c>
      <c r="M869" s="188">
        <v>181.60000000000002</v>
      </c>
      <c r="N869" s="188" t="s">
        <v>2138</v>
      </c>
      <c r="O869" s="198" t="s">
        <v>2119</v>
      </c>
      <c r="P869">
        <v>889</v>
      </c>
      <c r="Q869">
        <f>_xlfn.XLOOKUP(A869,'[1]Classic Net to delete'!D:D,'[1]Classic Net to delete'!AA:AA,0)</f>
        <v>969</v>
      </c>
    </row>
    <row r="870" spans="1:17" x14ac:dyDescent="0.25">
      <c r="A870" t="s">
        <v>2139</v>
      </c>
      <c r="B870" t="s">
        <v>2140</v>
      </c>
      <c r="C870">
        <v>76.13</v>
      </c>
      <c r="D870" t="s">
        <v>2064</v>
      </c>
      <c r="E870" t="str">
        <f t="shared" si="19"/>
        <v>02. Working at Height</v>
      </c>
      <c r="F870">
        <v>75</v>
      </c>
      <c r="H870" t="b">
        <v>1</v>
      </c>
      <c r="I870">
        <v>970</v>
      </c>
      <c r="K870" s="192" t="s">
        <v>54</v>
      </c>
      <c r="L870" s="188">
        <f>IFERROR(_xlfn.XLOOKUP(A870,[1]Fleet!A:A,[1]Fleet!E:E,""),"")</f>
        <v>13</v>
      </c>
      <c r="M870" s="188">
        <v>71.150000000000006</v>
      </c>
      <c r="N870" s="188" t="s">
        <v>2141</v>
      </c>
      <c r="O870" s="198" t="s">
        <v>2119</v>
      </c>
      <c r="P870">
        <v>890</v>
      </c>
      <c r="Q870">
        <f>_xlfn.XLOOKUP(A870,'[1]Classic Net to delete'!D:D,'[1]Classic Net to delete'!AA:AA,0)</f>
        <v>970</v>
      </c>
    </row>
    <row r="871" spans="1:17" x14ac:dyDescent="0.25">
      <c r="A871" t="s">
        <v>2142</v>
      </c>
      <c r="B871" t="s">
        <v>2143</v>
      </c>
      <c r="C871">
        <v>17.07</v>
      </c>
      <c r="D871" t="s">
        <v>2064</v>
      </c>
      <c r="E871" t="str">
        <f t="shared" si="19"/>
        <v>03. Fire Safety</v>
      </c>
      <c r="F871">
        <v>75</v>
      </c>
      <c r="H871" t="b">
        <v>1</v>
      </c>
      <c r="I871">
        <v>973</v>
      </c>
      <c r="K871" s="192" t="s">
        <v>85</v>
      </c>
      <c r="L871" s="188" t="str">
        <f>IFERROR(_xlfn.XLOOKUP(A871,[1]Fleet!A:A,[1]Fleet!E:E,""),"")</f>
        <v/>
      </c>
      <c r="M871" s="188">
        <v>15.950000000000001</v>
      </c>
      <c r="N871" s="188" t="s">
        <v>2143</v>
      </c>
      <c r="O871" s="198" t="s">
        <v>2144</v>
      </c>
      <c r="P871">
        <v>846</v>
      </c>
      <c r="Q871">
        <f>_xlfn.XLOOKUP(A871,'[1]Classic Net to delete'!D:D,'[1]Classic Net to delete'!AA:AA,0)</f>
        <v>973</v>
      </c>
    </row>
    <row r="872" spans="1:17" x14ac:dyDescent="0.25">
      <c r="A872" t="s">
        <v>2145</v>
      </c>
      <c r="B872" t="s">
        <v>2146</v>
      </c>
      <c r="C872">
        <v>17.07</v>
      </c>
      <c r="D872" t="s">
        <v>2064</v>
      </c>
      <c r="E872" t="str">
        <f t="shared" si="19"/>
        <v>03. Fire Safety</v>
      </c>
      <c r="F872">
        <v>75</v>
      </c>
      <c r="H872" t="b">
        <v>1</v>
      </c>
      <c r="I872">
        <v>974</v>
      </c>
      <c r="K872" s="192" t="s">
        <v>85</v>
      </c>
      <c r="L872" s="188" t="str">
        <f>IFERROR(_xlfn.XLOOKUP(A872,[1]Fleet!A:A,[1]Fleet!E:E,""),"")</f>
        <v/>
      </c>
      <c r="M872" s="188">
        <v>15.950000000000001</v>
      </c>
      <c r="N872" s="188" t="s">
        <v>2147</v>
      </c>
      <c r="O872" s="198" t="s">
        <v>2144</v>
      </c>
      <c r="P872">
        <v>845</v>
      </c>
      <c r="Q872">
        <f>_xlfn.XLOOKUP(A872,'[1]Classic Net to delete'!D:D,'[1]Classic Net to delete'!AA:AA,0)</f>
        <v>974</v>
      </c>
    </row>
    <row r="873" spans="1:17" x14ac:dyDescent="0.25">
      <c r="A873" t="s">
        <v>2148</v>
      </c>
      <c r="B873" t="s">
        <v>2149</v>
      </c>
      <c r="C873">
        <v>17.07</v>
      </c>
      <c r="D873" t="s">
        <v>2064</v>
      </c>
      <c r="E873" t="str">
        <f t="shared" si="19"/>
        <v>03. Fire Safety</v>
      </c>
      <c r="F873">
        <v>75</v>
      </c>
      <c r="H873" t="b">
        <v>1</v>
      </c>
      <c r="I873">
        <v>975</v>
      </c>
      <c r="K873" s="192" t="s">
        <v>85</v>
      </c>
      <c r="L873" s="188" t="str">
        <f>IFERROR(_xlfn.XLOOKUP(A873,[1]Fleet!A:A,[1]Fleet!E:E,""),"")</f>
        <v/>
      </c>
      <c r="M873" s="188">
        <v>15.950000000000001</v>
      </c>
      <c r="N873" s="188" t="s">
        <v>2150</v>
      </c>
      <c r="O873" s="198" t="s">
        <v>2144</v>
      </c>
      <c r="P873">
        <v>842</v>
      </c>
      <c r="Q873">
        <f>_xlfn.XLOOKUP(A873,'[1]Classic Net to delete'!D:D,'[1]Classic Net to delete'!AA:AA,0)</f>
        <v>975</v>
      </c>
    </row>
    <row r="874" spans="1:17" x14ac:dyDescent="0.25">
      <c r="A874" t="s">
        <v>2151</v>
      </c>
      <c r="B874" t="s">
        <v>2152</v>
      </c>
      <c r="C874">
        <v>17.07</v>
      </c>
      <c r="D874" t="s">
        <v>2064</v>
      </c>
      <c r="E874" t="str">
        <f t="shared" si="19"/>
        <v>03. Fire Safety</v>
      </c>
      <c r="F874">
        <v>75</v>
      </c>
      <c r="H874" t="b">
        <v>1</v>
      </c>
      <c r="I874">
        <v>976</v>
      </c>
      <c r="K874" s="192" t="s">
        <v>85</v>
      </c>
      <c r="L874" s="188" t="str">
        <f>IFERROR(_xlfn.XLOOKUP(A874,[1]Fleet!A:A,[1]Fleet!E:E,""),"")</f>
        <v/>
      </c>
      <c r="M874" s="188">
        <v>15.950000000000001</v>
      </c>
      <c r="N874" s="188" t="s">
        <v>2152</v>
      </c>
      <c r="O874" s="198" t="s">
        <v>2144</v>
      </c>
      <c r="P874">
        <v>844</v>
      </c>
      <c r="Q874">
        <f>_xlfn.XLOOKUP(A874,'[1]Classic Net to delete'!D:D,'[1]Classic Net to delete'!AA:AA,0)</f>
        <v>976</v>
      </c>
    </row>
    <row r="875" spans="1:17" x14ac:dyDescent="0.25">
      <c r="A875" t="s">
        <v>2153</v>
      </c>
      <c r="B875" t="s">
        <v>2154</v>
      </c>
      <c r="C875">
        <v>21.19</v>
      </c>
      <c r="D875" t="s">
        <v>2064</v>
      </c>
      <c r="E875" t="str">
        <f t="shared" si="19"/>
        <v>03. Fire Safety</v>
      </c>
      <c r="F875">
        <v>75</v>
      </c>
      <c r="H875" t="b">
        <v>1</v>
      </c>
      <c r="I875">
        <v>977</v>
      </c>
      <c r="K875" s="192" t="s">
        <v>85</v>
      </c>
      <c r="L875" s="188" t="str">
        <f>IFERROR(_xlfn.XLOOKUP(A875,[1]Fleet!A:A,[1]Fleet!E:E,""),"")</f>
        <v/>
      </c>
      <c r="M875" s="188">
        <v>19.8</v>
      </c>
      <c r="N875" s="188" t="s">
        <v>2154</v>
      </c>
      <c r="O875" s="198" t="s">
        <v>2144</v>
      </c>
      <c r="P875">
        <v>843</v>
      </c>
      <c r="Q875">
        <f>_xlfn.XLOOKUP(A875,'[1]Classic Net to delete'!D:D,'[1]Classic Net to delete'!AA:AA,0)</f>
        <v>977</v>
      </c>
    </row>
    <row r="876" spans="1:17" x14ac:dyDescent="0.25">
      <c r="A876" t="s">
        <v>2155</v>
      </c>
      <c r="B876" t="s">
        <v>2156</v>
      </c>
      <c r="C876">
        <v>43.28</v>
      </c>
      <c r="D876" t="s">
        <v>2064</v>
      </c>
      <c r="E876" t="str">
        <f t="shared" si="19"/>
        <v>03. Fire Safety</v>
      </c>
      <c r="F876">
        <v>75</v>
      </c>
      <c r="H876" t="b">
        <v>1</v>
      </c>
      <c r="I876">
        <v>978</v>
      </c>
      <c r="K876" s="192" t="s">
        <v>85</v>
      </c>
      <c r="L876" s="188" t="str">
        <f>IFERROR(_xlfn.XLOOKUP(A876,[1]Fleet!A:A,[1]Fleet!E:E,""),"")</f>
        <v/>
      </c>
      <c r="M876" s="188">
        <v>40.450000000000003</v>
      </c>
      <c r="N876" s="188" t="s">
        <v>2157</v>
      </c>
      <c r="O876" s="198" t="s">
        <v>2144</v>
      </c>
      <c r="P876">
        <v>841</v>
      </c>
      <c r="Q876">
        <f>_xlfn.XLOOKUP(A876,'[1]Classic Net to delete'!D:D,'[1]Classic Net to delete'!AA:AA,0)</f>
        <v>978</v>
      </c>
    </row>
    <row r="877" spans="1:17" x14ac:dyDescent="0.25">
      <c r="A877" t="s">
        <v>2158</v>
      </c>
      <c r="B877" t="s">
        <v>2159</v>
      </c>
      <c r="C877">
        <v>56.76</v>
      </c>
      <c r="D877" t="s">
        <v>2064</v>
      </c>
      <c r="E877" t="str">
        <f t="shared" si="19"/>
        <v>03. Fire Safety</v>
      </c>
      <c r="F877">
        <v>75</v>
      </c>
      <c r="H877" t="b">
        <v>1</v>
      </c>
      <c r="I877">
        <v>979</v>
      </c>
      <c r="K877" s="192" t="s">
        <v>85</v>
      </c>
      <c r="L877" s="188">
        <f>IFERROR(_xlfn.XLOOKUP(A877,[1]Fleet!A:A,[1]Fleet!E:E,""),"")</f>
        <v>63</v>
      </c>
      <c r="M877" s="188">
        <v>53.050000000000004</v>
      </c>
      <c r="N877" s="188" t="s">
        <v>2160</v>
      </c>
      <c r="O877" s="198" t="s">
        <v>2144</v>
      </c>
      <c r="P877">
        <v>838</v>
      </c>
      <c r="Q877">
        <f>_xlfn.XLOOKUP(A877,'[1]Classic Net to delete'!D:D,'[1]Classic Net to delete'!AA:AA,0)</f>
        <v>979</v>
      </c>
    </row>
    <row r="878" spans="1:17" x14ac:dyDescent="0.25">
      <c r="A878" t="s">
        <v>2161</v>
      </c>
      <c r="B878" t="s">
        <v>2162</v>
      </c>
      <c r="C878">
        <v>34.130000000000003</v>
      </c>
      <c r="D878" t="s">
        <v>2064</v>
      </c>
      <c r="E878" t="str">
        <f t="shared" si="19"/>
        <v>04. Environmental Safety</v>
      </c>
      <c r="F878">
        <v>75</v>
      </c>
      <c r="H878" t="b">
        <v>1</v>
      </c>
      <c r="I878">
        <v>983</v>
      </c>
      <c r="K878" s="192" t="s">
        <v>89</v>
      </c>
      <c r="L878" s="188">
        <f>IFERROR(_xlfn.XLOOKUP(A878,[1]Fleet!A:A,[1]Fleet!E:E,""),"")</f>
        <v>12</v>
      </c>
      <c r="M878" s="188">
        <v>31.900000000000002</v>
      </c>
      <c r="N878" s="188" t="s">
        <v>2163</v>
      </c>
      <c r="O878" s="198" t="s">
        <v>2164</v>
      </c>
      <c r="P878">
        <v>863</v>
      </c>
      <c r="Q878">
        <f>_xlfn.XLOOKUP(A878,'[1]Classic Net to delete'!D:D,'[1]Classic Net to delete'!AA:AA,0)</f>
        <v>983</v>
      </c>
    </row>
    <row r="879" spans="1:17" x14ac:dyDescent="0.25">
      <c r="A879" t="s">
        <v>2165</v>
      </c>
      <c r="B879" t="s">
        <v>2166</v>
      </c>
      <c r="C879">
        <v>19.96</v>
      </c>
      <c r="D879" t="s">
        <v>2064</v>
      </c>
      <c r="E879" t="str">
        <f t="shared" si="19"/>
        <v>04. Environmental Safety</v>
      </c>
      <c r="F879">
        <v>75</v>
      </c>
      <c r="H879" t="b">
        <v>1</v>
      </c>
      <c r="I879">
        <v>984</v>
      </c>
      <c r="K879" s="192" t="s">
        <v>89</v>
      </c>
      <c r="L879" s="188" t="str">
        <f>IFERROR(_xlfn.XLOOKUP(A879,[1]Fleet!A:A,[1]Fleet!E:E,""),"")</f>
        <v/>
      </c>
      <c r="M879" s="188">
        <v>18.650000000000002</v>
      </c>
      <c r="N879" s="188" t="s">
        <v>2166</v>
      </c>
      <c r="O879" s="198" t="s">
        <v>2164</v>
      </c>
      <c r="P879">
        <v>837</v>
      </c>
      <c r="Q879">
        <f>_xlfn.XLOOKUP(A879,'[1]Classic Net to delete'!D:D,'[1]Classic Net to delete'!AA:AA,0)</f>
        <v>984</v>
      </c>
    </row>
    <row r="880" spans="1:17" x14ac:dyDescent="0.25">
      <c r="A880" t="s">
        <v>2167</v>
      </c>
      <c r="B880" t="s">
        <v>2168</v>
      </c>
      <c r="C880">
        <v>27.12</v>
      </c>
      <c r="D880" t="s">
        <v>2064</v>
      </c>
      <c r="E880" t="str">
        <f t="shared" si="19"/>
        <v>04. Environmental Safety</v>
      </c>
      <c r="F880">
        <v>75</v>
      </c>
      <c r="H880" t="b">
        <v>1</v>
      </c>
      <c r="I880">
        <v>985</v>
      </c>
      <c r="K880" s="192" t="s">
        <v>89</v>
      </c>
      <c r="L880" s="188" t="str">
        <f>IFERROR(_xlfn.XLOOKUP(A880,[1]Fleet!A:A,[1]Fleet!E:E,""),"")</f>
        <v/>
      </c>
      <c r="M880" s="188">
        <v>25.35</v>
      </c>
      <c r="N880" s="188" t="s">
        <v>2168</v>
      </c>
      <c r="O880" s="198" t="s">
        <v>2164</v>
      </c>
      <c r="P880">
        <v>836</v>
      </c>
      <c r="Q880">
        <f>_xlfn.XLOOKUP(A880,'[1]Classic Net to delete'!D:D,'[1]Classic Net to delete'!AA:AA,0)</f>
        <v>985</v>
      </c>
    </row>
    <row r="881" spans="1:17" x14ac:dyDescent="0.25">
      <c r="A881" t="s">
        <v>2169</v>
      </c>
      <c r="B881" t="s">
        <v>2170</v>
      </c>
      <c r="C881">
        <v>34.130000000000003</v>
      </c>
      <c r="D881" t="s">
        <v>2064</v>
      </c>
      <c r="E881" t="str">
        <f t="shared" si="19"/>
        <v>04. Environmental Safety</v>
      </c>
      <c r="F881">
        <v>75</v>
      </c>
      <c r="H881" t="b">
        <v>1</v>
      </c>
      <c r="I881">
        <v>987</v>
      </c>
      <c r="K881" s="192" t="s">
        <v>89</v>
      </c>
      <c r="L881" s="188">
        <f>IFERROR(_xlfn.XLOOKUP(A881,[1]Fleet!A:A,[1]Fleet!E:E,""),"")</f>
        <v>1</v>
      </c>
      <c r="M881" s="188">
        <v>31.900000000000002</v>
      </c>
      <c r="N881" s="188" t="s">
        <v>2170</v>
      </c>
      <c r="O881" s="198" t="s">
        <v>2164</v>
      </c>
      <c r="P881">
        <v>864</v>
      </c>
      <c r="Q881">
        <f>_xlfn.XLOOKUP(A881,'[1]Classic Net to delete'!D:D,'[1]Classic Net to delete'!AA:AA,0)</f>
        <v>987</v>
      </c>
    </row>
    <row r="882" spans="1:17" x14ac:dyDescent="0.25">
      <c r="A882" t="s">
        <v>2171</v>
      </c>
      <c r="B882" t="s">
        <v>2172</v>
      </c>
      <c r="C882">
        <v>10.75</v>
      </c>
      <c r="D882" t="s">
        <v>2064</v>
      </c>
      <c r="E882" t="str">
        <f t="shared" si="19"/>
        <v>04. Environmental Safety</v>
      </c>
      <c r="F882">
        <v>75</v>
      </c>
      <c r="H882" t="b">
        <v>1</v>
      </c>
      <c r="I882">
        <v>988</v>
      </c>
      <c r="K882" s="192" t="s">
        <v>89</v>
      </c>
      <c r="L882" s="188" t="str">
        <f>IFERROR(_xlfn.XLOOKUP(A882,[1]Fleet!A:A,[1]Fleet!E:E,""),"")</f>
        <v/>
      </c>
      <c r="M882" s="188">
        <v>10.050000000000001</v>
      </c>
      <c r="N882" s="188" t="s">
        <v>2172</v>
      </c>
      <c r="O882" s="198" t="s">
        <v>2164</v>
      </c>
      <c r="P882">
        <v>835</v>
      </c>
      <c r="Q882">
        <f>_xlfn.XLOOKUP(A882,'[1]Classic Net to delete'!D:D,'[1]Classic Net to delete'!AA:AA,0)</f>
        <v>988</v>
      </c>
    </row>
    <row r="883" spans="1:17" x14ac:dyDescent="0.25">
      <c r="A883" t="s">
        <v>2173</v>
      </c>
      <c r="B883" t="s">
        <v>2174</v>
      </c>
      <c r="C883">
        <v>1.61</v>
      </c>
      <c r="D883" t="s">
        <v>2064</v>
      </c>
      <c r="E883" t="str">
        <f t="shared" si="19"/>
        <v>05. Security Barriers &amp; Fencing</v>
      </c>
      <c r="F883">
        <v>75</v>
      </c>
      <c r="H883" t="b">
        <v>1</v>
      </c>
      <c r="I883">
        <v>915</v>
      </c>
      <c r="K883" s="192" t="s">
        <v>32</v>
      </c>
      <c r="L883" s="188" t="str">
        <f>IFERROR(_xlfn.XLOOKUP(A883,[1]Fleet!A:A,[1]Fleet!E:E,""),"")</f>
        <v/>
      </c>
      <c r="M883" s="188">
        <v>1.5</v>
      </c>
      <c r="N883" s="188" t="s">
        <v>2174</v>
      </c>
      <c r="O883" s="198" t="s">
        <v>2175</v>
      </c>
      <c r="P883">
        <v>853</v>
      </c>
      <c r="Q883">
        <f>_xlfn.XLOOKUP(A883,'[1]Classic Net to delete'!D:D,'[1]Classic Net to delete'!AA:AA,0)</f>
        <v>915</v>
      </c>
    </row>
    <row r="884" spans="1:17" x14ac:dyDescent="0.25">
      <c r="A884" t="s">
        <v>2176</v>
      </c>
      <c r="B884" t="s">
        <v>2177</v>
      </c>
      <c r="C884">
        <v>5.99</v>
      </c>
      <c r="D884" t="s">
        <v>2064</v>
      </c>
      <c r="E884" t="str">
        <f t="shared" si="19"/>
        <v>05. Security Barriers &amp; Fencing</v>
      </c>
      <c r="F884">
        <v>75</v>
      </c>
      <c r="H884" t="b">
        <v>1</v>
      </c>
      <c r="I884">
        <v>991</v>
      </c>
      <c r="K884" s="192" t="s">
        <v>32</v>
      </c>
      <c r="L884" s="188" t="str">
        <f>IFERROR(_xlfn.XLOOKUP(A884,[1]Fleet!A:A,[1]Fleet!E:E,""),"")</f>
        <v/>
      </c>
      <c r="M884" s="188">
        <v>5.6000000000000005</v>
      </c>
      <c r="N884" s="188" t="s">
        <v>2177</v>
      </c>
      <c r="O884" s="198" t="s">
        <v>2175</v>
      </c>
      <c r="P884">
        <v>852</v>
      </c>
      <c r="Q884">
        <f>_xlfn.XLOOKUP(A884,'[1]Classic Net to delete'!D:D,'[1]Classic Net to delete'!AA:AA,0)</f>
        <v>991</v>
      </c>
    </row>
    <row r="885" spans="1:17" x14ac:dyDescent="0.25">
      <c r="A885" t="s">
        <v>2178</v>
      </c>
      <c r="B885" t="s">
        <v>2179</v>
      </c>
      <c r="C885">
        <v>4.01</v>
      </c>
      <c r="D885" t="s">
        <v>2064</v>
      </c>
      <c r="E885" t="str">
        <f t="shared" si="19"/>
        <v>05. Security Barriers &amp; Fencing</v>
      </c>
      <c r="F885">
        <v>75</v>
      </c>
      <c r="H885" t="b">
        <v>1</v>
      </c>
      <c r="I885">
        <v>992</v>
      </c>
      <c r="K885" s="192" t="s">
        <v>32</v>
      </c>
      <c r="L885" s="188" t="str">
        <f>IFERROR(_xlfn.XLOOKUP(A885,[1]Fleet!A:A,[1]Fleet!E:E,""),"")</f>
        <v/>
      </c>
      <c r="M885" s="188">
        <v>3.75</v>
      </c>
      <c r="N885" s="188" t="s">
        <v>2180</v>
      </c>
      <c r="O885" s="198" t="s">
        <v>2175</v>
      </c>
      <c r="P885">
        <v>850</v>
      </c>
      <c r="Q885">
        <f>_xlfn.XLOOKUP(A885,'[1]Classic Net to delete'!D:D,'[1]Classic Net to delete'!AA:AA,0)</f>
        <v>992</v>
      </c>
    </row>
    <row r="886" spans="1:17" x14ac:dyDescent="0.25">
      <c r="A886" t="s">
        <v>2181</v>
      </c>
      <c r="B886" t="s">
        <v>2182</v>
      </c>
      <c r="C886">
        <v>9.7900000000000009</v>
      </c>
      <c r="D886" t="s">
        <v>2064</v>
      </c>
      <c r="E886" t="str">
        <f t="shared" si="19"/>
        <v>05. Security Barriers &amp; Fencing</v>
      </c>
      <c r="F886">
        <v>75</v>
      </c>
      <c r="H886" t="b">
        <v>1</v>
      </c>
      <c r="I886">
        <v>993</v>
      </c>
      <c r="K886" s="192" t="s">
        <v>32</v>
      </c>
      <c r="L886" s="188" t="str">
        <f>IFERROR(_xlfn.XLOOKUP(A886,[1]Fleet!A:A,[1]Fleet!E:E,""),"")</f>
        <v/>
      </c>
      <c r="M886" s="188">
        <v>9.15</v>
      </c>
      <c r="N886" s="188" t="s">
        <v>2182</v>
      </c>
      <c r="O886" s="198" t="s">
        <v>2175</v>
      </c>
      <c r="P886">
        <v>849</v>
      </c>
      <c r="Q886">
        <f>_xlfn.XLOOKUP(A886,'[1]Classic Net to delete'!D:D,'[1]Classic Net to delete'!AA:AA,0)</f>
        <v>993</v>
      </c>
    </row>
    <row r="887" spans="1:17" x14ac:dyDescent="0.25">
      <c r="A887" t="s">
        <v>2183</v>
      </c>
      <c r="B887" t="s">
        <v>2184</v>
      </c>
      <c r="C887">
        <v>10.38</v>
      </c>
      <c r="D887" t="s">
        <v>2064</v>
      </c>
      <c r="E887" t="str">
        <f t="shared" si="19"/>
        <v>05. Security Barriers &amp; Fencing</v>
      </c>
      <c r="F887">
        <v>75</v>
      </c>
      <c r="H887" t="b">
        <v>1</v>
      </c>
      <c r="I887">
        <v>994</v>
      </c>
      <c r="K887" s="192" t="s">
        <v>32</v>
      </c>
      <c r="L887" s="188" t="str">
        <f>IFERROR(_xlfn.XLOOKUP(A887,[1]Fleet!A:A,[1]Fleet!E:E,""),"")</f>
        <v/>
      </c>
      <c r="M887" s="188">
        <v>9.7000000000000011</v>
      </c>
      <c r="N887" s="188" t="s">
        <v>2185</v>
      </c>
      <c r="O887" s="198" t="s">
        <v>2175</v>
      </c>
      <c r="P887">
        <v>848</v>
      </c>
      <c r="Q887">
        <f>_xlfn.XLOOKUP(A887,'[1]Classic Net to delete'!D:D,'[1]Classic Net to delete'!AA:AA,0)</f>
        <v>994</v>
      </c>
    </row>
    <row r="888" spans="1:17" x14ac:dyDescent="0.25">
      <c r="A888" t="s">
        <v>2186</v>
      </c>
      <c r="B888" t="s">
        <v>2187</v>
      </c>
      <c r="C888">
        <v>17.07</v>
      </c>
      <c r="D888" t="s">
        <v>2064</v>
      </c>
      <c r="E888" t="str">
        <f t="shared" si="19"/>
        <v>05. Security Barriers &amp; Fencing</v>
      </c>
      <c r="F888">
        <v>75</v>
      </c>
      <c r="H888" t="b">
        <v>1</v>
      </c>
      <c r="I888">
        <v>995</v>
      </c>
      <c r="K888" s="192" t="s">
        <v>32</v>
      </c>
      <c r="L888" s="188" t="str">
        <f>IFERROR(_xlfn.XLOOKUP(A888,[1]Fleet!A:A,[1]Fleet!E:E,""),"")</f>
        <v/>
      </c>
      <c r="M888" s="188">
        <v>15.950000000000001</v>
      </c>
      <c r="N888" s="188" t="s">
        <v>2188</v>
      </c>
      <c r="O888" s="198" t="s">
        <v>2175</v>
      </c>
      <c r="P888">
        <v>851</v>
      </c>
      <c r="Q888">
        <f>_xlfn.XLOOKUP(A888,'[1]Classic Net to delete'!D:D,'[1]Classic Net to delete'!AA:AA,0)</f>
        <v>995</v>
      </c>
    </row>
    <row r="889" spans="1:17" x14ac:dyDescent="0.25">
      <c r="A889" t="s">
        <v>2189</v>
      </c>
      <c r="B889" t="s">
        <v>2190</v>
      </c>
      <c r="C889">
        <v>35.36</v>
      </c>
      <c r="D889" t="s">
        <v>2064</v>
      </c>
      <c r="E889" t="str">
        <f t="shared" si="19"/>
        <v>06. Site Storage</v>
      </c>
      <c r="F889">
        <v>75</v>
      </c>
      <c r="H889" t="b">
        <v>1</v>
      </c>
      <c r="I889">
        <v>1000</v>
      </c>
      <c r="K889" s="192" t="s">
        <v>36</v>
      </c>
      <c r="L889" s="188">
        <f>IFERROR(_xlfn.XLOOKUP(A889,[1]Fleet!A:A,[1]Fleet!E:E,""),"")</f>
        <v>247</v>
      </c>
      <c r="M889" s="188">
        <v>33.050000000000004</v>
      </c>
      <c r="N889" s="188" t="s">
        <v>2191</v>
      </c>
      <c r="O889" s="198" t="s">
        <v>2070</v>
      </c>
      <c r="P889">
        <v>854</v>
      </c>
      <c r="Q889">
        <f>_xlfn.XLOOKUP(A889,'[1]Classic Net to delete'!D:D,'[1]Classic Net to delete'!AA:AA,0)</f>
        <v>1000</v>
      </c>
    </row>
    <row r="890" spans="1:17" x14ac:dyDescent="0.25">
      <c r="A890" t="s">
        <v>2192</v>
      </c>
      <c r="B890" t="s">
        <v>2193</v>
      </c>
      <c r="C890">
        <v>45.15</v>
      </c>
      <c r="D890" t="s">
        <v>2064</v>
      </c>
      <c r="E890" t="str">
        <f t="shared" si="19"/>
        <v>06. Site Storage</v>
      </c>
      <c r="F890">
        <v>75</v>
      </c>
      <c r="H890" t="b">
        <v>1</v>
      </c>
      <c r="I890">
        <v>1001</v>
      </c>
      <c r="K890" s="192" t="s">
        <v>36</v>
      </c>
      <c r="L890" s="188">
        <f>IFERROR(_xlfn.XLOOKUP(A890,[1]Fleet!A:A,[1]Fleet!E:E,""),"")</f>
        <v>151</v>
      </c>
      <c r="M890" s="188">
        <v>42.2</v>
      </c>
      <c r="N890" s="188" t="s">
        <v>2194</v>
      </c>
      <c r="O890" s="198" t="s">
        <v>2070</v>
      </c>
      <c r="P890">
        <v>855</v>
      </c>
      <c r="Q890">
        <f>_xlfn.XLOOKUP(A890,'[1]Classic Net to delete'!D:D,'[1]Classic Net to delete'!AA:AA,0)</f>
        <v>1001</v>
      </c>
    </row>
    <row r="891" spans="1:17" x14ac:dyDescent="0.25">
      <c r="A891" t="s">
        <v>2195</v>
      </c>
      <c r="B891" t="s">
        <v>2196</v>
      </c>
      <c r="C891">
        <v>83.62</v>
      </c>
      <c r="D891" t="s">
        <v>2064</v>
      </c>
      <c r="E891" t="str">
        <f t="shared" si="19"/>
        <v>06. Site Storage</v>
      </c>
      <c r="F891">
        <v>75</v>
      </c>
      <c r="H891" t="b">
        <v>1</v>
      </c>
      <c r="I891">
        <v>1002</v>
      </c>
      <c r="K891" s="192" t="s">
        <v>36</v>
      </c>
      <c r="L891" s="188">
        <f>IFERROR(_xlfn.XLOOKUP(A891,[1]Fleet!A:A,[1]Fleet!E:E,""),"")</f>
        <v>69</v>
      </c>
      <c r="M891" s="188">
        <v>78.150000000000006</v>
      </c>
      <c r="N891" s="188" t="s">
        <v>2197</v>
      </c>
      <c r="O891" s="198" t="s">
        <v>2070</v>
      </c>
      <c r="P891">
        <v>857</v>
      </c>
      <c r="Q891">
        <f>_xlfn.XLOOKUP(A891,'[1]Classic Net to delete'!D:D,'[1]Classic Net to delete'!AA:AA,0)</f>
        <v>1002</v>
      </c>
    </row>
    <row r="892" spans="1:17" x14ac:dyDescent="0.25">
      <c r="A892" t="s">
        <v>2198</v>
      </c>
      <c r="B892" t="s">
        <v>2199</v>
      </c>
      <c r="C892">
        <v>35.36</v>
      </c>
      <c r="D892" t="s">
        <v>2064</v>
      </c>
      <c r="E892" t="str">
        <f t="shared" si="19"/>
        <v>06. Site Storage</v>
      </c>
      <c r="F892">
        <v>75</v>
      </c>
      <c r="H892" t="b">
        <v>1</v>
      </c>
      <c r="I892">
        <v>1003</v>
      </c>
      <c r="K892" s="192" t="s">
        <v>36</v>
      </c>
      <c r="L892" s="188">
        <f>IFERROR(_xlfn.XLOOKUP(A892,[1]Fleet!A:A,[1]Fleet!E:E,""),"")</f>
        <v>9</v>
      </c>
      <c r="M892" s="188">
        <v>33.050000000000004</v>
      </c>
      <c r="N892" s="188" t="s">
        <v>2199</v>
      </c>
      <c r="O892" s="198" t="s">
        <v>2070</v>
      </c>
      <c r="P892">
        <v>856</v>
      </c>
      <c r="Q892">
        <f>_xlfn.XLOOKUP(A892,'[1]Classic Net to delete'!D:D,'[1]Classic Net to delete'!AA:AA,0)</f>
        <v>1003</v>
      </c>
    </row>
    <row r="893" spans="1:17" x14ac:dyDescent="0.25">
      <c r="A893" t="s">
        <v>2200</v>
      </c>
      <c r="B893" t="s">
        <v>2201</v>
      </c>
      <c r="C893">
        <v>49.59</v>
      </c>
      <c r="D893" t="s">
        <v>2064</v>
      </c>
      <c r="E893" t="str">
        <f t="shared" si="19"/>
        <v>06. Site Storage</v>
      </c>
      <c r="F893">
        <v>75</v>
      </c>
      <c r="H893" t="b">
        <v>1</v>
      </c>
      <c r="I893">
        <v>1004</v>
      </c>
      <c r="K893" s="192" t="s">
        <v>36</v>
      </c>
      <c r="L893" s="188">
        <f>IFERROR(_xlfn.XLOOKUP(A893,[1]Fleet!A:A,[1]Fleet!E:E,""),"")</f>
        <v>20</v>
      </c>
      <c r="M893" s="188">
        <v>46.35</v>
      </c>
      <c r="N893" s="188" t="s">
        <v>2202</v>
      </c>
      <c r="O893" s="198" t="s">
        <v>2070</v>
      </c>
      <c r="P893">
        <v>866</v>
      </c>
      <c r="Q893">
        <f>_xlfn.XLOOKUP(A893,'[1]Classic Net to delete'!D:D,'[1]Classic Net to delete'!AA:AA,0)</f>
        <v>1004</v>
      </c>
    </row>
    <row r="894" spans="1:17" x14ac:dyDescent="0.25">
      <c r="A894" t="s">
        <v>2203</v>
      </c>
      <c r="B894" t="s">
        <v>2204</v>
      </c>
      <c r="C894">
        <v>49.86</v>
      </c>
      <c r="D894" t="s">
        <v>2064</v>
      </c>
      <c r="E894" t="str">
        <f t="shared" si="19"/>
        <v>06. Site Storage</v>
      </c>
      <c r="F894">
        <v>75</v>
      </c>
      <c r="H894" t="b">
        <v>1</v>
      </c>
      <c r="I894">
        <v>1005</v>
      </c>
      <c r="K894" s="192" t="s">
        <v>36</v>
      </c>
      <c r="L894" s="188">
        <f>IFERROR(_xlfn.XLOOKUP(A894,[1]Fleet!A:A,[1]Fleet!E:E,""),"")</f>
        <v>23</v>
      </c>
      <c r="M894" s="188">
        <v>46.6</v>
      </c>
      <c r="N894" s="188" t="s">
        <v>2205</v>
      </c>
      <c r="O894" s="198" t="s">
        <v>2070</v>
      </c>
      <c r="P894">
        <v>867</v>
      </c>
      <c r="Q894">
        <f>_xlfn.XLOOKUP(A894,'[1]Classic Net to delete'!D:D,'[1]Classic Net to delete'!AA:AA,0)</f>
        <v>1005</v>
      </c>
    </row>
    <row r="895" spans="1:17" x14ac:dyDescent="0.25">
      <c r="A895" t="s">
        <v>2206</v>
      </c>
      <c r="B895" t="s">
        <v>2207</v>
      </c>
      <c r="C895">
        <v>88.33</v>
      </c>
      <c r="D895" t="s">
        <v>2064</v>
      </c>
      <c r="E895" t="str">
        <f t="shared" si="19"/>
        <v>06. Site Storage</v>
      </c>
      <c r="F895">
        <v>75</v>
      </c>
      <c r="H895" t="b">
        <v>1</v>
      </c>
      <c r="I895">
        <v>1006</v>
      </c>
      <c r="K895" s="192" t="s">
        <v>36</v>
      </c>
      <c r="L895" s="188">
        <f>IFERROR(_xlfn.XLOOKUP(A895,[1]Fleet!A:A,[1]Fleet!E:E,""),"")</f>
        <v>36</v>
      </c>
      <c r="M895" s="188">
        <v>82.550000000000011</v>
      </c>
      <c r="N895" s="188" t="s">
        <v>2208</v>
      </c>
      <c r="O895" s="198" t="s">
        <v>2070</v>
      </c>
      <c r="P895">
        <v>859</v>
      </c>
      <c r="Q895">
        <f>_xlfn.XLOOKUP(A895,'[1]Classic Net to delete'!D:D,'[1]Classic Net to delete'!AA:AA,0)</f>
        <v>1006</v>
      </c>
    </row>
    <row r="896" spans="1:17" x14ac:dyDescent="0.25">
      <c r="A896" t="s">
        <v>2209</v>
      </c>
      <c r="B896" t="s">
        <v>2210</v>
      </c>
      <c r="C896">
        <v>68.05</v>
      </c>
      <c r="D896" t="s">
        <v>2064</v>
      </c>
      <c r="E896" t="str">
        <f t="shared" si="19"/>
        <v>06. Site Storage</v>
      </c>
      <c r="F896">
        <v>75</v>
      </c>
      <c r="H896" t="b">
        <v>1</v>
      </c>
      <c r="I896">
        <v>1007</v>
      </c>
      <c r="K896" s="192" t="s">
        <v>36</v>
      </c>
      <c r="L896" s="188">
        <f>IFERROR(_xlfn.XLOOKUP(A896,[1]Fleet!A:A,[1]Fleet!E:E,""),"")</f>
        <v>23</v>
      </c>
      <c r="M896" s="188">
        <v>63.6</v>
      </c>
      <c r="N896" s="188" t="s">
        <v>2211</v>
      </c>
      <c r="O896" s="198" t="s">
        <v>2070</v>
      </c>
      <c r="P896">
        <v>858</v>
      </c>
      <c r="Q896">
        <f>_xlfn.XLOOKUP(A896,'[1]Classic Net to delete'!D:D,'[1]Classic Net to delete'!AA:AA,0)</f>
        <v>1007</v>
      </c>
    </row>
    <row r="897" spans="1:17" x14ac:dyDescent="0.25">
      <c r="A897" t="s">
        <v>2212</v>
      </c>
      <c r="B897" t="s">
        <v>2213</v>
      </c>
      <c r="C897">
        <v>55.620000000000005</v>
      </c>
      <c r="D897" t="s">
        <v>2064</v>
      </c>
      <c r="E897" t="str">
        <f t="shared" si="19"/>
        <v>06. Site Storage</v>
      </c>
      <c r="F897">
        <v>75</v>
      </c>
      <c r="H897" t="b">
        <v>1</v>
      </c>
      <c r="I897">
        <v>1008</v>
      </c>
      <c r="K897" s="192" t="s">
        <v>36</v>
      </c>
      <c r="L897" s="188">
        <f>IFERROR(_xlfn.XLOOKUP(A897,[1]Fleet!A:A,[1]Fleet!E:E,""),"")</f>
        <v>32</v>
      </c>
      <c r="M897" s="188">
        <v>46.35</v>
      </c>
      <c r="N897" s="188" t="s">
        <v>2214</v>
      </c>
      <c r="O897" s="198" t="s">
        <v>2070</v>
      </c>
      <c r="P897">
        <v>865</v>
      </c>
      <c r="Q897">
        <f>_xlfn.XLOOKUP(A897,'[1]Classic Net to delete'!D:D,'[1]Classic Net to delete'!AA:AA,0)</f>
        <v>1008</v>
      </c>
    </row>
    <row r="898" spans="1:17" x14ac:dyDescent="0.25">
      <c r="A898" t="s">
        <v>2215</v>
      </c>
      <c r="B898" t="s">
        <v>2216</v>
      </c>
      <c r="C898">
        <v>44.51</v>
      </c>
      <c r="D898" t="s">
        <v>2064</v>
      </c>
      <c r="E898" t="str">
        <f t="shared" si="19"/>
        <v>07. Packaging Security</v>
      </c>
      <c r="F898">
        <v>75</v>
      </c>
      <c r="H898" t="b">
        <v>1</v>
      </c>
      <c r="I898">
        <v>1011</v>
      </c>
      <c r="K898" s="192" t="s">
        <v>40</v>
      </c>
      <c r="L898" s="188" t="str">
        <f>IFERROR(_xlfn.XLOOKUP(A898,[1]Fleet!A:A,[1]Fleet!E:E,""),"")</f>
        <v/>
      </c>
      <c r="M898" s="188">
        <v>41.6</v>
      </c>
      <c r="N898" s="188" t="s">
        <v>2216</v>
      </c>
      <c r="O898" s="198" t="s">
        <v>2217</v>
      </c>
      <c r="P898">
        <v>847</v>
      </c>
      <c r="Q898">
        <f>_xlfn.XLOOKUP(A898,'[1]Classic Net to delete'!D:D,'[1]Classic Net to delete'!AA:AA,0)</f>
        <v>1011</v>
      </c>
    </row>
    <row r="899" spans="1:17" x14ac:dyDescent="0.25">
      <c r="A899" t="s">
        <v>2218</v>
      </c>
      <c r="B899" t="s">
        <v>2219</v>
      </c>
      <c r="C899">
        <v>0</v>
      </c>
      <c r="D899" t="s">
        <v>2220</v>
      </c>
      <c r="E899" t="str">
        <f t="shared" si="19"/>
        <v>. TBC</v>
      </c>
      <c r="F899">
        <v>75</v>
      </c>
      <c r="H899" t="b">
        <v>0</v>
      </c>
      <c r="I899">
        <v>0</v>
      </c>
      <c r="L899" s="188">
        <f>IFERROR(_xlfn.XLOOKUP(A899,[1]Fleet!A:A,[1]Fleet!E:E,""),"")</f>
        <v>2</v>
      </c>
      <c r="M899" s="188" t="s">
        <v>22</v>
      </c>
      <c r="N899" s="188" t="s">
        <v>22</v>
      </c>
      <c r="O899" s="198" t="s">
        <v>1417</v>
      </c>
      <c r="P899">
        <v>917</v>
      </c>
      <c r="Q899">
        <f>_xlfn.XLOOKUP(A899,'[1]Classic Net to delete'!D:D,'[1]Classic Net to delete'!AA:AA,0)</f>
        <v>0</v>
      </c>
    </row>
    <row r="900" spans="1:17" x14ac:dyDescent="0.25">
      <c r="A900" t="s">
        <v>2218</v>
      </c>
      <c r="B900" t="s">
        <v>2221</v>
      </c>
      <c r="C900">
        <v>0</v>
      </c>
      <c r="D900" t="s">
        <v>2220</v>
      </c>
      <c r="E900" t="str">
        <f t="shared" si="19"/>
        <v>. TBC</v>
      </c>
      <c r="F900">
        <v>75</v>
      </c>
      <c r="H900" t="b">
        <v>0</v>
      </c>
      <c r="I900">
        <v>0</v>
      </c>
      <c r="L900" s="188">
        <f>IFERROR(_xlfn.XLOOKUP(A900,[1]Fleet!A:A,[1]Fleet!E:E,""),"")</f>
        <v>2</v>
      </c>
      <c r="M900" s="188" t="s">
        <v>22</v>
      </c>
      <c r="N900" s="188" t="s">
        <v>22</v>
      </c>
      <c r="O900" s="198" t="s">
        <v>1417</v>
      </c>
      <c r="P900">
        <v>918</v>
      </c>
      <c r="Q900">
        <f>_xlfn.XLOOKUP(A900,'[1]Classic Net to delete'!D:D,'[1]Classic Net to delete'!AA:AA,0)</f>
        <v>0</v>
      </c>
    </row>
    <row r="901" spans="1:17" x14ac:dyDescent="0.25">
      <c r="A901" t="s">
        <v>1752</v>
      </c>
      <c r="B901" t="s">
        <v>2219</v>
      </c>
      <c r="C901">
        <v>0</v>
      </c>
      <c r="D901" t="s">
        <v>2220</v>
      </c>
      <c r="E901" t="str">
        <f t="shared" ref="E901:E964" si="20">CONCATENATE(K901,". ",O901)</f>
        <v>. TBC</v>
      </c>
      <c r="F901">
        <v>75</v>
      </c>
      <c r="H901" t="b">
        <v>0</v>
      </c>
      <c r="I901">
        <v>0</v>
      </c>
      <c r="L901" s="188" t="str">
        <f>IFERROR(_xlfn.XLOOKUP(A901,[1]Fleet!A:A,[1]Fleet!E:E,""),"")</f>
        <v/>
      </c>
      <c r="M901" s="188" t="s">
        <v>22</v>
      </c>
      <c r="N901" s="188" t="s">
        <v>22</v>
      </c>
      <c r="O901" s="198" t="s">
        <v>1417</v>
      </c>
      <c r="P901">
        <v>915</v>
      </c>
      <c r="Q901">
        <f>_xlfn.XLOOKUP(A901,'[1]Classic Net to delete'!D:D,'[1]Classic Net to delete'!AA:AA,0)</f>
        <v>0</v>
      </c>
    </row>
    <row r="902" spans="1:17" x14ac:dyDescent="0.25">
      <c r="A902" t="s">
        <v>1752</v>
      </c>
      <c r="B902" t="s">
        <v>2221</v>
      </c>
      <c r="C902">
        <v>0</v>
      </c>
      <c r="D902" t="s">
        <v>2220</v>
      </c>
      <c r="E902" t="str">
        <f t="shared" si="20"/>
        <v>. TBC</v>
      </c>
      <c r="F902">
        <v>75</v>
      </c>
      <c r="H902" t="b">
        <v>0</v>
      </c>
      <c r="I902">
        <v>0</v>
      </c>
      <c r="L902" s="188" t="str">
        <f>IFERROR(_xlfn.XLOOKUP(A902,[1]Fleet!A:A,[1]Fleet!E:E,""),"")</f>
        <v/>
      </c>
      <c r="M902" s="188" t="s">
        <v>22</v>
      </c>
      <c r="N902" s="188" t="s">
        <v>22</v>
      </c>
      <c r="O902" s="198" t="s">
        <v>1417</v>
      </c>
      <c r="P902">
        <v>916</v>
      </c>
      <c r="Q902">
        <f>_xlfn.XLOOKUP(A902,'[1]Classic Net to delete'!D:D,'[1]Classic Net to delete'!AA:AA,0)</f>
        <v>0</v>
      </c>
    </row>
    <row r="903" spans="1:17" x14ac:dyDescent="0.25">
      <c r="A903" t="s">
        <v>2222</v>
      </c>
      <c r="B903" t="s">
        <v>2223</v>
      </c>
      <c r="C903">
        <v>3.8000000000000003</v>
      </c>
      <c r="D903" t="s">
        <v>2220</v>
      </c>
      <c r="E903" t="str">
        <f t="shared" si="20"/>
        <v>01. Event, Canteen &amp; Catering Equipment</v>
      </c>
      <c r="F903">
        <v>75</v>
      </c>
      <c r="H903" t="b">
        <v>1</v>
      </c>
      <c r="I903">
        <v>1018</v>
      </c>
      <c r="K903" s="192" t="s">
        <v>21</v>
      </c>
      <c r="L903" s="188" t="str">
        <f>IFERROR(_xlfn.XLOOKUP(A903,[1]Fleet!A:A,[1]Fleet!E:E,""),"")</f>
        <v/>
      </c>
      <c r="M903" s="188">
        <v>3.5500000000000003</v>
      </c>
      <c r="N903" s="188" t="s">
        <v>2224</v>
      </c>
      <c r="O903" s="198" t="s">
        <v>2225</v>
      </c>
      <c r="P903">
        <v>897</v>
      </c>
      <c r="Q903">
        <f>_xlfn.XLOOKUP(A903,'[1]Classic Net to delete'!D:D,'[1]Classic Net to delete'!AA:AA,0)</f>
        <v>1018</v>
      </c>
    </row>
    <row r="904" spans="1:17" x14ac:dyDescent="0.25">
      <c r="A904" t="s">
        <v>2226</v>
      </c>
      <c r="B904" t="s">
        <v>2227</v>
      </c>
      <c r="C904">
        <v>14.23</v>
      </c>
      <c r="D904" t="s">
        <v>2220</v>
      </c>
      <c r="E904" t="str">
        <f t="shared" si="20"/>
        <v>01. Event, Canteen &amp; Catering Equipment</v>
      </c>
      <c r="F904">
        <v>75</v>
      </c>
      <c r="H904" t="b">
        <v>1</v>
      </c>
      <c r="I904">
        <v>1039</v>
      </c>
      <c r="K904" s="192" t="s">
        <v>21</v>
      </c>
      <c r="L904" s="188" t="str">
        <f>IFERROR(_xlfn.XLOOKUP(A904,[1]Fleet!A:A,[1]Fleet!E:E,""),"")</f>
        <v/>
      </c>
      <c r="M904" s="188">
        <v>13.3</v>
      </c>
      <c r="N904" s="188" t="s">
        <v>2228</v>
      </c>
      <c r="O904" s="198" t="s">
        <v>2225</v>
      </c>
      <c r="P904">
        <v>895</v>
      </c>
      <c r="Q904">
        <f>_xlfn.XLOOKUP(A904,'[1]Classic Net to delete'!D:D,'[1]Classic Net to delete'!AA:AA,0)</f>
        <v>1039</v>
      </c>
    </row>
    <row r="905" spans="1:17" x14ac:dyDescent="0.25">
      <c r="A905" t="s">
        <v>2229</v>
      </c>
      <c r="B905" t="s">
        <v>2230</v>
      </c>
      <c r="C905">
        <v>6.26</v>
      </c>
      <c r="D905" t="s">
        <v>2220</v>
      </c>
      <c r="E905" t="str">
        <f t="shared" si="20"/>
        <v>01. Event, Canteen &amp; Catering Equipment</v>
      </c>
      <c r="F905">
        <v>75</v>
      </c>
      <c r="H905" t="b">
        <v>1</v>
      </c>
      <c r="I905">
        <v>1040</v>
      </c>
      <c r="K905" s="192" t="s">
        <v>21</v>
      </c>
      <c r="L905" s="188" t="str">
        <f>IFERROR(_xlfn.XLOOKUP(A905,[1]Fleet!A:A,[1]Fleet!E:E,""),"")</f>
        <v/>
      </c>
      <c r="M905" s="188">
        <v>5.8500000000000005</v>
      </c>
      <c r="N905" s="188" t="s">
        <v>2230</v>
      </c>
      <c r="O905" s="198" t="s">
        <v>2225</v>
      </c>
      <c r="P905">
        <v>896</v>
      </c>
      <c r="Q905">
        <f>_xlfn.XLOOKUP(A905,'[1]Classic Net to delete'!D:D,'[1]Classic Net to delete'!AA:AA,0)</f>
        <v>1040</v>
      </c>
    </row>
    <row r="906" spans="1:17" x14ac:dyDescent="0.25">
      <c r="A906" t="s">
        <v>2231</v>
      </c>
      <c r="B906" t="s">
        <v>2232</v>
      </c>
      <c r="C906">
        <v>45.15</v>
      </c>
      <c r="D906" t="s">
        <v>2220</v>
      </c>
      <c r="E906" t="str">
        <f t="shared" si="20"/>
        <v>01. Event, Canteen &amp; Catering Equipment</v>
      </c>
      <c r="F906">
        <v>75</v>
      </c>
      <c r="H906" t="b">
        <v>1</v>
      </c>
      <c r="I906">
        <v>1045</v>
      </c>
      <c r="K906" s="192" t="s">
        <v>21</v>
      </c>
      <c r="L906" s="188">
        <f>IFERROR(_xlfn.XLOOKUP(A906,[1]Fleet!A:A,[1]Fleet!E:E,""),"")</f>
        <v>1</v>
      </c>
      <c r="M906" s="188">
        <v>42.2</v>
      </c>
      <c r="N906" s="188" t="s">
        <v>2232</v>
      </c>
      <c r="O906" s="198" t="s">
        <v>2225</v>
      </c>
      <c r="P906">
        <v>899</v>
      </c>
      <c r="Q906">
        <f>_xlfn.XLOOKUP(A906,'[1]Classic Net to delete'!D:D,'[1]Classic Net to delete'!AA:AA,0)</f>
        <v>1045</v>
      </c>
    </row>
    <row r="907" spans="1:17" x14ac:dyDescent="0.25">
      <c r="A907" t="s">
        <v>2233</v>
      </c>
      <c r="B907" t="s">
        <v>2234</v>
      </c>
      <c r="C907">
        <v>0</v>
      </c>
      <c r="D907" t="s">
        <v>2220</v>
      </c>
      <c r="E907" t="str">
        <f t="shared" si="20"/>
        <v>01. Event, Canteen &amp; Catering Equipment</v>
      </c>
      <c r="F907">
        <v>75</v>
      </c>
      <c r="H907" t="b">
        <v>0</v>
      </c>
      <c r="I907">
        <v>1046</v>
      </c>
      <c r="K907" s="192" t="s">
        <v>21</v>
      </c>
      <c r="L907" s="188" t="str">
        <f>IFERROR(_xlfn.XLOOKUP(A907,[1]Fleet!A:A,[1]Fleet!E:E,""),"")</f>
        <v/>
      </c>
      <c r="M907" s="188">
        <v>42.5</v>
      </c>
      <c r="N907" s="188" t="s">
        <v>2235</v>
      </c>
      <c r="O907" s="198" t="s">
        <v>2225</v>
      </c>
      <c r="P907">
        <v>898</v>
      </c>
      <c r="Q907">
        <f>_xlfn.XLOOKUP(A907,'[1]Classic Net to delete'!D:D,'[1]Classic Net to delete'!AA:AA,0)</f>
        <v>1046</v>
      </c>
    </row>
    <row r="908" spans="1:17" x14ac:dyDescent="0.25">
      <c r="A908" t="s">
        <v>2236</v>
      </c>
      <c r="B908" t="s">
        <v>2237</v>
      </c>
      <c r="C908">
        <v>12.950000000000001</v>
      </c>
      <c r="D908" t="s">
        <v>2220</v>
      </c>
      <c r="E908" t="str">
        <f t="shared" si="20"/>
        <v>01. Event, Canteen &amp; Catering Equipment</v>
      </c>
      <c r="F908">
        <v>75</v>
      </c>
      <c r="H908" t="b">
        <v>1</v>
      </c>
      <c r="I908">
        <v>1047</v>
      </c>
      <c r="K908" s="192" t="s">
        <v>21</v>
      </c>
      <c r="L908" s="188" t="str">
        <f>IFERROR(_xlfn.XLOOKUP(A908,[1]Fleet!A:A,[1]Fleet!E:E,""),"")</f>
        <v/>
      </c>
      <c r="M908" s="188">
        <v>12.100000000000001</v>
      </c>
      <c r="N908" s="188" t="s">
        <v>2237</v>
      </c>
      <c r="O908" s="198" t="s">
        <v>2225</v>
      </c>
      <c r="P908">
        <v>893</v>
      </c>
      <c r="Q908">
        <f>_xlfn.XLOOKUP(A908,'[1]Classic Net to delete'!D:D,'[1]Classic Net to delete'!AA:AA,0)</f>
        <v>1047</v>
      </c>
    </row>
    <row r="909" spans="1:17" x14ac:dyDescent="0.25">
      <c r="A909" t="s">
        <v>2238</v>
      </c>
      <c r="B909" t="s">
        <v>2239</v>
      </c>
      <c r="C909">
        <v>28.36</v>
      </c>
      <c r="D909" t="s">
        <v>2220</v>
      </c>
      <c r="E909" t="str">
        <f t="shared" si="20"/>
        <v>01. Event, Canteen &amp; Catering Equipment</v>
      </c>
      <c r="F909">
        <v>75</v>
      </c>
      <c r="H909" t="b">
        <v>1</v>
      </c>
      <c r="I909">
        <v>1048</v>
      </c>
      <c r="K909" s="192" t="s">
        <v>21</v>
      </c>
      <c r="L909" s="188" t="str">
        <f>IFERROR(_xlfn.XLOOKUP(A909,[1]Fleet!A:A,[1]Fleet!E:E,""),"")</f>
        <v/>
      </c>
      <c r="M909" s="188">
        <v>26.5</v>
      </c>
      <c r="N909" s="188" t="s">
        <v>2239</v>
      </c>
      <c r="O909" s="198" t="s">
        <v>2225</v>
      </c>
      <c r="P909">
        <v>894</v>
      </c>
      <c r="Q909">
        <f>_xlfn.XLOOKUP(A909,'[1]Classic Net to delete'!D:D,'[1]Classic Net to delete'!AA:AA,0)</f>
        <v>1048</v>
      </c>
    </row>
    <row r="910" spans="1:17" x14ac:dyDescent="0.25">
      <c r="A910" t="s">
        <v>2240</v>
      </c>
      <c r="B910" t="s">
        <v>2241</v>
      </c>
      <c r="C910">
        <v>0</v>
      </c>
      <c r="D910" t="s">
        <v>2220</v>
      </c>
      <c r="E910" t="str">
        <f t="shared" si="20"/>
        <v>01. Event, Canteen &amp; Catering Equipment</v>
      </c>
      <c r="F910">
        <v>75</v>
      </c>
      <c r="H910" t="b">
        <v>0</v>
      </c>
      <c r="I910">
        <v>1049</v>
      </c>
      <c r="K910" s="192" t="s">
        <v>21</v>
      </c>
      <c r="L910" s="188">
        <f>IFERROR(_xlfn.XLOOKUP(A910,[1]Fleet!A:A,[1]Fleet!E:E,""),"")</f>
        <v>0</v>
      </c>
      <c r="M910" s="188">
        <v>97.600000000000009</v>
      </c>
      <c r="N910" s="188" t="s">
        <v>2242</v>
      </c>
      <c r="O910" s="198" t="s">
        <v>2225</v>
      </c>
      <c r="P910">
        <v>900</v>
      </c>
      <c r="Q910">
        <f>_xlfn.XLOOKUP(A910,'[1]Classic Net to delete'!D:D,'[1]Classic Net to delete'!AA:AA,0)</f>
        <v>1049</v>
      </c>
    </row>
    <row r="911" spans="1:17" x14ac:dyDescent="0.25">
      <c r="A911" t="s">
        <v>2243</v>
      </c>
      <c r="B911" t="s">
        <v>2244</v>
      </c>
      <c r="C911">
        <v>202.5</v>
      </c>
      <c r="D911" t="s">
        <v>2220</v>
      </c>
      <c r="E911" t="str">
        <f t="shared" si="20"/>
        <v>01. Event, Canteen &amp; Catering Equipment</v>
      </c>
      <c r="F911">
        <v>75</v>
      </c>
      <c r="H911" t="b">
        <v>1</v>
      </c>
      <c r="I911">
        <v>1050</v>
      </c>
      <c r="K911" s="192" t="s">
        <v>21</v>
      </c>
      <c r="L911" s="188" t="str">
        <f>IFERROR(_xlfn.XLOOKUP(A911,[1]Fleet!A:A,[1]Fleet!E:E,""),"")</f>
        <v/>
      </c>
      <c r="M911" s="188">
        <v>189.25</v>
      </c>
      <c r="N911" s="188" t="s">
        <v>2245</v>
      </c>
      <c r="O911" s="198" t="s">
        <v>2225</v>
      </c>
      <c r="P911">
        <v>892</v>
      </c>
      <c r="Q911">
        <f>_xlfn.XLOOKUP(A911,'[1]Classic Net to delete'!D:D,'[1]Classic Net to delete'!AA:AA,0)</f>
        <v>1050</v>
      </c>
    </row>
    <row r="912" spans="1:17" x14ac:dyDescent="0.25">
      <c r="A912" t="s">
        <v>2246</v>
      </c>
      <c r="B912" t="s">
        <v>2247</v>
      </c>
      <c r="C912">
        <v>135.09</v>
      </c>
      <c r="D912" t="s">
        <v>2220</v>
      </c>
      <c r="E912" t="str">
        <f t="shared" si="20"/>
        <v>01. Event, Canteen &amp; Catering Equipment</v>
      </c>
      <c r="F912">
        <v>75</v>
      </c>
      <c r="H912" t="b">
        <v>1</v>
      </c>
      <c r="I912">
        <v>1051</v>
      </c>
      <c r="K912" s="192" t="s">
        <v>21</v>
      </c>
      <c r="L912" s="188" t="str">
        <f>IFERROR(_xlfn.XLOOKUP(A912,[1]Fleet!A:A,[1]Fleet!E:E,""),"")</f>
        <v/>
      </c>
      <c r="M912" s="188">
        <v>126.25</v>
      </c>
      <c r="N912" s="188" t="s">
        <v>2248</v>
      </c>
      <c r="O912" s="198" t="s">
        <v>2225</v>
      </c>
      <c r="P912">
        <v>891</v>
      </c>
      <c r="Q912">
        <f>_xlfn.XLOOKUP(A912,'[1]Classic Net to delete'!D:D,'[1]Classic Net to delete'!AA:AA,0)</f>
        <v>1051</v>
      </c>
    </row>
    <row r="913" spans="1:17" x14ac:dyDescent="0.25">
      <c r="A913" t="s">
        <v>2249</v>
      </c>
      <c r="B913" t="s">
        <v>2250</v>
      </c>
      <c r="C913">
        <v>19.900000000000002</v>
      </c>
      <c r="D913" t="s">
        <v>2220</v>
      </c>
      <c r="E913" t="str">
        <f t="shared" si="20"/>
        <v>02. Office Storage</v>
      </c>
      <c r="F913">
        <v>75</v>
      </c>
      <c r="H913" t="b">
        <v>1</v>
      </c>
      <c r="I913">
        <v>1017</v>
      </c>
      <c r="K913" s="192" t="s">
        <v>54</v>
      </c>
      <c r="L913" s="188" t="str">
        <f>IFERROR(_xlfn.XLOOKUP(A913,[1]Fleet!A:A,[1]Fleet!E:E,""),"")</f>
        <v/>
      </c>
      <c r="M913" s="188">
        <v>18.600000000000001</v>
      </c>
      <c r="N913" s="188" t="s">
        <v>2251</v>
      </c>
      <c r="O913" s="198" t="s">
        <v>2252</v>
      </c>
      <c r="P913">
        <v>913</v>
      </c>
      <c r="Q913">
        <f>_xlfn.XLOOKUP(A913,'[1]Classic Net to delete'!D:D,'[1]Classic Net to delete'!AA:AA,0)</f>
        <v>1017</v>
      </c>
    </row>
    <row r="914" spans="1:17" x14ac:dyDescent="0.25">
      <c r="A914" t="s">
        <v>2253</v>
      </c>
      <c r="B914" t="s">
        <v>2254</v>
      </c>
      <c r="C914">
        <v>6.96</v>
      </c>
      <c r="D914" t="s">
        <v>2220</v>
      </c>
      <c r="E914" t="str">
        <f t="shared" si="20"/>
        <v>02. Office Storage</v>
      </c>
      <c r="F914">
        <v>75</v>
      </c>
      <c r="H914" t="b">
        <v>1</v>
      </c>
      <c r="I914">
        <v>1019</v>
      </c>
      <c r="K914" s="192" t="s">
        <v>54</v>
      </c>
      <c r="L914" s="188" t="str">
        <f>IFERROR(_xlfn.XLOOKUP(A914,[1]Fleet!A:A,[1]Fleet!E:E,""),"")</f>
        <v/>
      </c>
      <c r="M914" s="188">
        <v>6.5</v>
      </c>
      <c r="N914" s="188" t="s">
        <v>2254</v>
      </c>
      <c r="O914" s="198" t="s">
        <v>2252</v>
      </c>
      <c r="P914">
        <v>912</v>
      </c>
      <c r="Q914">
        <f>_xlfn.XLOOKUP(A914,'[1]Classic Net to delete'!D:D,'[1]Classic Net to delete'!AA:AA,0)</f>
        <v>1019</v>
      </c>
    </row>
    <row r="915" spans="1:17" x14ac:dyDescent="0.25">
      <c r="A915" t="s">
        <v>2255</v>
      </c>
      <c r="B915" t="s">
        <v>2256</v>
      </c>
      <c r="C915">
        <v>19.900000000000002</v>
      </c>
      <c r="D915" t="s">
        <v>2220</v>
      </c>
      <c r="E915" t="str">
        <f t="shared" si="20"/>
        <v>02. Office Storage</v>
      </c>
      <c r="F915">
        <v>75</v>
      </c>
      <c r="H915" t="b">
        <v>1</v>
      </c>
      <c r="I915">
        <v>1020</v>
      </c>
      <c r="K915" s="192" t="s">
        <v>54</v>
      </c>
      <c r="L915" s="188" t="str">
        <f>IFERROR(_xlfn.XLOOKUP(A915,[1]Fleet!A:A,[1]Fleet!E:E,""),"")</f>
        <v/>
      </c>
      <c r="M915" s="188">
        <v>18.600000000000001</v>
      </c>
      <c r="N915" s="188" t="s">
        <v>2257</v>
      </c>
      <c r="O915" s="198" t="s">
        <v>2252</v>
      </c>
      <c r="P915">
        <v>911</v>
      </c>
      <c r="Q915">
        <f>_xlfn.XLOOKUP(A915,'[1]Classic Net to delete'!D:D,'[1]Classic Net to delete'!AA:AA,0)</f>
        <v>1020</v>
      </c>
    </row>
    <row r="916" spans="1:17" x14ac:dyDescent="0.25">
      <c r="A916" t="s">
        <v>2258</v>
      </c>
      <c r="B916" t="s">
        <v>2259</v>
      </c>
      <c r="C916">
        <v>23.97</v>
      </c>
      <c r="D916" t="s">
        <v>2220</v>
      </c>
      <c r="E916" t="str">
        <f t="shared" si="20"/>
        <v>02. Office Storage</v>
      </c>
      <c r="F916">
        <v>75</v>
      </c>
      <c r="H916" t="b">
        <v>1</v>
      </c>
      <c r="I916">
        <v>1021</v>
      </c>
      <c r="K916" s="192" t="s">
        <v>54</v>
      </c>
      <c r="L916" s="188" t="str">
        <f>IFERROR(_xlfn.XLOOKUP(A916,[1]Fleet!A:A,[1]Fleet!E:E,""),"")</f>
        <v/>
      </c>
      <c r="M916" s="188">
        <v>22.400000000000002</v>
      </c>
      <c r="N916" s="188" t="s">
        <v>2260</v>
      </c>
      <c r="O916" s="198" t="s">
        <v>2252</v>
      </c>
      <c r="P916">
        <v>914</v>
      </c>
      <c r="Q916">
        <f>_xlfn.XLOOKUP(A916,'[1]Classic Net to delete'!D:D,'[1]Classic Net to delete'!AA:AA,0)</f>
        <v>1021</v>
      </c>
    </row>
    <row r="917" spans="1:17" x14ac:dyDescent="0.25">
      <c r="A917" t="s">
        <v>2261</v>
      </c>
      <c r="B917" t="s">
        <v>2262</v>
      </c>
      <c r="C917">
        <v>42.59</v>
      </c>
      <c r="D917" t="s">
        <v>2220</v>
      </c>
      <c r="E917" t="str">
        <f t="shared" si="20"/>
        <v>02. Office Storage</v>
      </c>
      <c r="F917">
        <v>75</v>
      </c>
      <c r="H917" t="b">
        <v>1</v>
      </c>
      <c r="I917">
        <v>1024</v>
      </c>
      <c r="K917" s="192" t="s">
        <v>54</v>
      </c>
      <c r="L917" s="188" t="str">
        <f>IFERROR(_xlfn.XLOOKUP(A917,[1]Fleet!A:A,[1]Fleet!E:E,""),"")</f>
        <v/>
      </c>
      <c r="M917" s="188">
        <v>39.800000000000004</v>
      </c>
      <c r="N917" s="188" t="s">
        <v>2263</v>
      </c>
      <c r="O917" s="198" t="s">
        <v>2252</v>
      </c>
      <c r="P917">
        <v>909</v>
      </c>
      <c r="Q917">
        <f>_xlfn.XLOOKUP(A917,'[1]Classic Net to delete'!D:D,'[1]Classic Net to delete'!AA:AA,0)</f>
        <v>1024</v>
      </c>
    </row>
    <row r="918" spans="1:17" x14ac:dyDescent="0.25">
      <c r="A918" t="s">
        <v>2264</v>
      </c>
      <c r="B918" t="s">
        <v>2265</v>
      </c>
      <c r="C918">
        <v>39.75</v>
      </c>
      <c r="D918" t="s">
        <v>2220</v>
      </c>
      <c r="E918" t="str">
        <f t="shared" si="20"/>
        <v>02. Office Storage</v>
      </c>
      <c r="F918">
        <v>75</v>
      </c>
      <c r="H918" t="b">
        <v>1</v>
      </c>
      <c r="I918">
        <v>1025</v>
      </c>
      <c r="K918" s="192" t="s">
        <v>54</v>
      </c>
      <c r="L918" s="188" t="str">
        <f>IFERROR(_xlfn.XLOOKUP(A918,[1]Fleet!A:A,[1]Fleet!E:E,""),"")</f>
        <v/>
      </c>
      <c r="M918" s="188">
        <v>37.15</v>
      </c>
      <c r="N918" s="188" t="s">
        <v>2266</v>
      </c>
      <c r="O918" s="198" t="s">
        <v>2252</v>
      </c>
      <c r="P918">
        <v>910</v>
      </c>
      <c r="Q918">
        <f>_xlfn.XLOOKUP(A918,'[1]Classic Net to delete'!D:D,'[1]Classic Net to delete'!AA:AA,0)</f>
        <v>1025</v>
      </c>
    </row>
    <row r="919" spans="1:17" x14ac:dyDescent="0.25">
      <c r="A919" t="s">
        <v>2267</v>
      </c>
      <c r="B919" t="s">
        <v>2268</v>
      </c>
      <c r="C919">
        <v>34.130000000000003</v>
      </c>
      <c r="D919" t="s">
        <v>2220</v>
      </c>
      <c r="E919" t="str">
        <f t="shared" si="20"/>
        <v>02. Office Storage</v>
      </c>
      <c r="F919">
        <v>75</v>
      </c>
      <c r="H919" t="b">
        <v>1</v>
      </c>
      <c r="I919">
        <v>1026</v>
      </c>
      <c r="K919" s="192" t="s">
        <v>54</v>
      </c>
      <c r="L919" s="188" t="str">
        <f>IFERROR(_xlfn.XLOOKUP(A919,[1]Fleet!A:A,[1]Fleet!E:E,""),"")</f>
        <v/>
      </c>
      <c r="M919" s="188">
        <v>31.900000000000002</v>
      </c>
      <c r="N919" s="188" t="s">
        <v>2269</v>
      </c>
      <c r="O919" s="198" t="s">
        <v>2252</v>
      </c>
      <c r="P919">
        <v>906</v>
      </c>
      <c r="Q919">
        <f>_xlfn.XLOOKUP(A919,'[1]Classic Net to delete'!D:D,'[1]Classic Net to delete'!AA:AA,0)</f>
        <v>1026</v>
      </c>
    </row>
    <row r="920" spans="1:17" x14ac:dyDescent="0.25">
      <c r="A920" t="s">
        <v>2270</v>
      </c>
      <c r="B920" t="s">
        <v>2271</v>
      </c>
      <c r="C920">
        <v>28.36</v>
      </c>
      <c r="D920" t="s">
        <v>2220</v>
      </c>
      <c r="E920" t="str">
        <f t="shared" si="20"/>
        <v>02. Office Storage</v>
      </c>
      <c r="F920">
        <v>75</v>
      </c>
      <c r="H920" t="b">
        <v>1</v>
      </c>
      <c r="I920">
        <v>1027</v>
      </c>
      <c r="K920" s="192" t="s">
        <v>54</v>
      </c>
      <c r="L920" s="188" t="str">
        <f>IFERROR(_xlfn.XLOOKUP(A920,[1]Fleet!A:A,[1]Fleet!E:E,""),"")</f>
        <v/>
      </c>
      <c r="M920" s="188">
        <v>26.5</v>
      </c>
      <c r="N920" s="188" t="s">
        <v>2272</v>
      </c>
      <c r="O920" s="198" t="s">
        <v>2252</v>
      </c>
      <c r="P920">
        <v>907</v>
      </c>
      <c r="Q920">
        <f>_xlfn.XLOOKUP(A920,'[1]Classic Net to delete'!D:D,'[1]Classic Net to delete'!AA:AA,0)</f>
        <v>1027</v>
      </c>
    </row>
    <row r="921" spans="1:17" x14ac:dyDescent="0.25">
      <c r="A921" t="s">
        <v>2273</v>
      </c>
      <c r="B921" t="s">
        <v>2274</v>
      </c>
      <c r="C921">
        <v>22.740000000000002</v>
      </c>
      <c r="D921" t="s">
        <v>2220</v>
      </c>
      <c r="E921" t="str">
        <f t="shared" si="20"/>
        <v>02. Office Storage</v>
      </c>
      <c r="F921">
        <v>75</v>
      </c>
      <c r="H921" t="b">
        <v>1</v>
      </c>
      <c r="I921">
        <v>1028</v>
      </c>
      <c r="K921" s="192" t="s">
        <v>54</v>
      </c>
      <c r="L921" s="188" t="str">
        <f>IFERROR(_xlfn.XLOOKUP(A921,[1]Fleet!A:A,[1]Fleet!E:E,""),"")</f>
        <v/>
      </c>
      <c r="M921" s="188">
        <v>21.25</v>
      </c>
      <c r="N921" s="188" t="s">
        <v>2275</v>
      </c>
      <c r="O921" s="198" t="s">
        <v>2252</v>
      </c>
      <c r="P921">
        <v>908</v>
      </c>
      <c r="Q921">
        <f>_xlfn.XLOOKUP(A921,'[1]Classic Net to delete'!D:D,'[1]Classic Net to delete'!AA:AA,0)</f>
        <v>1028</v>
      </c>
    </row>
    <row r="922" spans="1:17" x14ac:dyDescent="0.25">
      <c r="A922" t="s">
        <v>2276</v>
      </c>
      <c r="B922" t="s">
        <v>2277</v>
      </c>
      <c r="C922">
        <v>63.77</v>
      </c>
      <c r="D922" t="s">
        <v>2220</v>
      </c>
      <c r="E922" t="str">
        <f t="shared" si="20"/>
        <v>02. Office Storage</v>
      </c>
      <c r="F922">
        <v>75</v>
      </c>
      <c r="H922" t="b">
        <v>1</v>
      </c>
      <c r="I922">
        <v>1029</v>
      </c>
      <c r="K922" s="192" t="s">
        <v>54</v>
      </c>
      <c r="L922" s="188" t="str">
        <f>IFERROR(_xlfn.XLOOKUP(A922,[1]Fleet!A:A,[1]Fleet!E:E,""),"")</f>
        <v/>
      </c>
      <c r="M922" s="188">
        <v>59.6</v>
      </c>
      <c r="N922" s="188" t="s">
        <v>2278</v>
      </c>
      <c r="O922" s="198" t="s">
        <v>2252</v>
      </c>
      <c r="P922">
        <v>905</v>
      </c>
      <c r="Q922">
        <f>_xlfn.XLOOKUP(A922,'[1]Classic Net to delete'!D:D,'[1]Classic Net to delete'!AA:AA,0)</f>
        <v>1029</v>
      </c>
    </row>
    <row r="923" spans="1:17" x14ac:dyDescent="0.25">
      <c r="A923" t="s">
        <v>2279</v>
      </c>
      <c r="B923" t="s">
        <v>2280</v>
      </c>
      <c r="C923">
        <v>7.92</v>
      </c>
      <c r="D923" t="s">
        <v>2220</v>
      </c>
      <c r="E923" t="str">
        <f t="shared" si="20"/>
        <v>02. Office Storage</v>
      </c>
      <c r="F923">
        <v>75</v>
      </c>
      <c r="H923" t="b">
        <v>1</v>
      </c>
      <c r="I923">
        <v>1030</v>
      </c>
      <c r="K923" s="192" t="s">
        <v>54</v>
      </c>
      <c r="L923" s="188" t="str">
        <f>IFERROR(_xlfn.XLOOKUP(A923,[1]Fleet!A:A,[1]Fleet!E:E,""),"")</f>
        <v/>
      </c>
      <c r="M923" s="188">
        <v>7.4</v>
      </c>
      <c r="N923" s="188" t="s">
        <v>2281</v>
      </c>
      <c r="O923" s="198" t="s">
        <v>2252</v>
      </c>
      <c r="P923">
        <v>904</v>
      </c>
      <c r="Q923">
        <f>_xlfn.XLOOKUP(A923,'[1]Classic Net to delete'!D:D,'[1]Classic Net to delete'!AA:AA,0)</f>
        <v>1030</v>
      </c>
    </row>
    <row r="924" spans="1:17" x14ac:dyDescent="0.25">
      <c r="A924" t="s">
        <v>2282</v>
      </c>
      <c r="B924" t="s">
        <v>2283</v>
      </c>
      <c r="C924">
        <v>17.07</v>
      </c>
      <c r="D924" t="s">
        <v>2220</v>
      </c>
      <c r="E924" t="str">
        <f t="shared" si="20"/>
        <v>03. Lockers</v>
      </c>
      <c r="F924">
        <v>75</v>
      </c>
      <c r="H924" t="b">
        <v>1</v>
      </c>
      <c r="I924">
        <v>1034</v>
      </c>
      <c r="K924" s="192" t="s">
        <v>85</v>
      </c>
      <c r="L924" s="188" t="str">
        <f>IFERROR(_xlfn.XLOOKUP(A924,[1]Fleet!A:A,[1]Fleet!E:E,""),"")</f>
        <v/>
      </c>
      <c r="M924" s="188">
        <v>15.950000000000001</v>
      </c>
      <c r="N924" s="188" t="s">
        <v>2283</v>
      </c>
      <c r="O924" s="198" t="s">
        <v>2284</v>
      </c>
      <c r="P924">
        <v>903</v>
      </c>
      <c r="Q924">
        <f>_xlfn.XLOOKUP(A924,'[1]Classic Net to delete'!D:D,'[1]Classic Net to delete'!AA:AA,0)</f>
        <v>1034</v>
      </c>
    </row>
    <row r="925" spans="1:17" x14ac:dyDescent="0.25">
      <c r="A925" t="s">
        <v>2285</v>
      </c>
      <c r="B925" t="s">
        <v>2286</v>
      </c>
      <c r="C925">
        <v>23.97</v>
      </c>
      <c r="D925" t="s">
        <v>2220</v>
      </c>
      <c r="E925" t="str">
        <f t="shared" si="20"/>
        <v>03. Lockers</v>
      </c>
      <c r="F925">
        <v>75</v>
      </c>
      <c r="H925" t="b">
        <v>1</v>
      </c>
      <c r="I925">
        <v>1035</v>
      </c>
      <c r="K925" s="192" t="s">
        <v>85</v>
      </c>
      <c r="L925" s="188" t="str">
        <f>IFERROR(_xlfn.XLOOKUP(A925,[1]Fleet!A:A,[1]Fleet!E:E,""),"")</f>
        <v/>
      </c>
      <c r="M925" s="188">
        <v>22.400000000000002</v>
      </c>
      <c r="N925" s="188" t="s">
        <v>2286</v>
      </c>
      <c r="O925" s="198" t="s">
        <v>2284</v>
      </c>
      <c r="P925">
        <v>902</v>
      </c>
      <c r="Q925">
        <f>_xlfn.XLOOKUP(A925,'[1]Classic Net to delete'!D:D,'[1]Classic Net to delete'!AA:AA,0)</f>
        <v>1035</v>
      </c>
    </row>
    <row r="926" spans="1:17" x14ac:dyDescent="0.25">
      <c r="A926" t="s">
        <v>2287</v>
      </c>
      <c r="B926" t="s">
        <v>2288</v>
      </c>
      <c r="C926">
        <v>23.97</v>
      </c>
      <c r="D926" t="s">
        <v>2220</v>
      </c>
      <c r="E926" t="str">
        <f t="shared" si="20"/>
        <v>03. Lockers</v>
      </c>
      <c r="F926">
        <v>75</v>
      </c>
      <c r="H926" t="b">
        <v>1</v>
      </c>
      <c r="I926">
        <v>1036</v>
      </c>
      <c r="K926" s="192" t="s">
        <v>85</v>
      </c>
      <c r="L926" s="188" t="str">
        <f>IFERROR(_xlfn.XLOOKUP(A926,[1]Fleet!A:A,[1]Fleet!E:E,""),"")</f>
        <v/>
      </c>
      <c r="M926" s="188">
        <v>22.400000000000002</v>
      </c>
      <c r="N926" s="188" t="s">
        <v>2288</v>
      </c>
      <c r="O926" s="198" t="s">
        <v>2284</v>
      </c>
      <c r="P926">
        <v>901</v>
      </c>
      <c r="Q926">
        <f>_xlfn.XLOOKUP(A926,'[1]Classic Net to delete'!D:D,'[1]Classic Net to delete'!AA:AA,0)</f>
        <v>1036</v>
      </c>
    </row>
    <row r="927" spans="1:17" x14ac:dyDescent="0.25">
      <c r="A927" t="s">
        <v>2289</v>
      </c>
      <c r="B927" t="s">
        <v>2290</v>
      </c>
      <c r="C927">
        <v>194.04</v>
      </c>
      <c r="D927" t="s">
        <v>2291</v>
      </c>
      <c r="E927" t="str">
        <f t="shared" si="20"/>
        <v>. Floor Machines</v>
      </c>
      <c r="F927">
        <v>75</v>
      </c>
      <c r="H927" t="b">
        <v>0</v>
      </c>
      <c r="I927">
        <v>0</v>
      </c>
      <c r="L927" s="188">
        <f>IFERROR(_xlfn.XLOOKUP(A927,[1]Fleet!A:A,[1]Fleet!E:E,""),"")</f>
        <v>8</v>
      </c>
      <c r="M927" s="188" t="s">
        <v>22</v>
      </c>
      <c r="N927" s="188" t="s">
        <v>22</v>
      </c>
      <c r="O927" s="198" t="s">
        <v>2292</v>
      </c>
      <c r="P927">
        <v>920</v>
      </c>
      <c r="Q927">
        <f>_xlfn.XLOOKUP(A927,'[1]Classic Net to delete'!D:D,'[1]Classic Net to delete'!AA:AA,0)</f>
        <v>0</v>
      </c>
    </row>
    <row r="928" spans="1:17" x14ac:dyDescent="0.25">
      <c r="A928" t="s">
        <v>2293</v>
      </c>
      <c r="B928" t="s">
        <v>2294</v>
      </c>
      <c r="C928">
        <v>80.790000000000006</v>
      </c>
      <c r="D928" t="s">
        <v>2291</v>
      </c>
      <c r="E928" t="str">
        <f t="shared" si="20"/>
        <v>01. Grinders</v>
      </c>
      <c r="F928">
        <v>75</v>
      </c>
      <c r="H928" t="b">
        <v>1</v>
      </c>
      <c r="I928">
        <v>708</v>
      </c>
      <c r="K928" s="192" t="s">
        <v>21</v>
      </c>
      <c r="L928" s="188">
        <f>IFERROR(_xlfn.XLOOKUP(A928,[1]Fleet!A:A,[1]Fleet!E:E,""),"")</f>
        <v>9</v>
      </c>
      <c r="M928" s="188">
        <v>75.5</v>
      </c>
      <c r="N928" s="188" t="s">
        <v>2294</v>
      </c>
      <c r="O928" s="198" t="s">
        <v>2295</v>
      </c>
      <c r="P928">
        <v>926</v>
      </c>
      <c r="Q928">
        <f>_xlfn.XLOOKUP(A928,'[1]Classic Net to delete'!D:D,'[1]Classic Net to delete'!AA:AA,0)</f>
        <v>708</v>
      </c>
    </row>
    <row r="929" spans="1:17" x14ac:dyDescent="0.25">
      <c r="A929" t="s">
        <v>2296</v>
      </c>
      <c r="B929" t="s">
        <v>2297</v>
      </c>
      <c r="C929">
        <v>198.1</v>
      </c>
      <c r="D929" t="s">
        <v>2291</v>
      </c>
      <c r="E929" t="str">
        <f t="shared" si="20"/>
        <v>01. Grinders</v>
      </c>
      <c r="F929">
        <v>75</v>
      </c>
      <c r="H929" t="b">
        <v>1</v>
      </c>
      <c r="I929">
        <v>711</v>
      </c>
      <c r="K929" s="192" t="s">
        <v>21</v>
      </c>
      <c r="L929" s="188">
        <f>IFERROR(_xlfn.XLOOKUP(A929,[1]Fleet!A:A,[1]Fleet!E:E,""),"")</f>
        <v>10</v>
      </c>
      <c r="M929" s="188">
        <v>141.5</v>
      </c>
      <c r="N929" s="188" t="s">
        <v>2298</v>
      </c>
      <c r="O929" s="198" t="s">
        <v>2295</v>
      </c>
      <c r="P929">
        <v>928</v>
      </c>
      <c r="Q929">
        <f>_xlfn.XLOOKUP(A929,'[1]Classic Net to delete'!D:D,'[1]Classic Net to delete'!AA:AA,0)</f>
        <v>711</v>
      </c>
    </row>
    <row r="930" spans="1:17" x14ac:dyDescent="0.25">
      <c r="A930" t="s">
        <v>2299</v>
      </c>
      <c r="B930" t="s">
        <v>2300</v>
      </c>
      <c r="C930">
        <v>167.1</v>
      </c>
      <c r="D930" t="s">
        <v>2291</v>
      </c>
      <c r="E930" t="str">
        <f t="shared" si="20"/>
        <v>01. Grinders</v>
      </c>
      <c r="F930">
        <v>75</v>
      </c>
      <c r="H930" t="b">
        <v>1</v>
      </c>
      <c r="I930">
        <v>712</v>
      </c>
      <c r="K930" s="192" t="s">
        <v>21</v>
      </c>
      <c r="L930" s="188">
        <f>IFERROR(_xlfn.XLOOKUP(A930,[1]Fleet!A:A,[1]Fleet!E:E,""),"")</f>
        <v>10</v>
      </c>
      <c r="M930" s="188">
        <v>149.20000000000002</v>
      </c>
      <c r="N930" s="188" t="s">
        <v>2301</v>
      </c>
      <c r="O930" s="198" t="s">
        <v>2295</v>
      </c>
      <c r="P930">
        <v>922</v>
      </c>
      <c r="Q930">
        <f>_xlfn.XLOOKUP(A930,'[1]Classic Net to delete'!D:D,'[1]Classic Net to delete'!AA:AA,0)</f>
        <v>712</v>
      </c>
    </row>
    <row r="931" spans="1:17" x14ac:dyDescent="0.25">
      <c r="A931" t="s">
        <v>2302</v>
      </c>
      <c r="B931" t="s">
        <v>2303</v>
      </c>
      <c r="C931">
        <v>12.36</v>
      </c>
      <c r="D931" t="s">
        <v>2291</v>
      </c>
      <c r="E931" t="str">
        <f t="shared" si="20"/>
        <v>01. Grinders</v>
      </c>
      <c r="F931">
        <v>75</v>
      </c>
      <c r="H931" t="b">
        <v>1</v>
      </c>
      <c r="I931">
        <v>713</v>
      </c>
      <c r="K931" s="192" t="s">
        <v>21</v>
      </c>
      <c r="L931" s="188" t="str">
        <f>IFERROR(_xlfn.XLOOKUP(A931,[1]Fleet!A:A,[1]Fleet!E:E,""),"")</f>
        <v/>
      </c>
      <c r="M931" s="188">
        <v>11.55</v>
      </c>
      <c r="N931" s="188" t="s">
        <v>2304</v>
      </c>
      <c r="O931" s="198" t="s">
        <v>2295</v>
      </c>
      <c r="P931">
        <v>925</v>
      </c>
      <c r="Q931">
        <f>_xlfn.XLOOKUP(A931,'[1]Classic Net to delete'!D:D,'[1]Classic Net to delete'!AA:AA,0)</f>
        <v>713</v>
      </c>
    </row>
    <row r="932" spans="1:17" x14ac:dyDescent="0.25">
      <c r="A932" t="s">
        <v>2305</v>
      </c>
      <c r="B932" t="s">
        <v>2306</v>
      </c>
      <c r="C932">
        <v>35.36</v>
      </c>
      <c r="D932" t="s">
        <v>2291</v>
      </c>
      <c r="E932" t="str">
        <f t="shared" si="20"/>
        <v>01. Grinders</v>
      </c>
      <c r="F932">
        <v>75</v>
      </c>
      <c r="H932" t="b">
        <v>1</v>
      </c>
      <c r="I932">
        <v>714</v>
      </c>
      <c r="K932" s="192" t="s">
        <v>21</v>
      </c>
      <c r="L932" s="188">
        <f>IFERROR(_xlfn.XLOOKUP(A932,[1]Fleet!A:A,[1]Fleet!E:E,""),"")</f>
        <v>8</v>
      </c>
      <c r="M932" s="188">
        <v>33.050000000000004</v>
      </c>
      <c r="N932" s="188" t="s">
        <v>2307</v>
      </c>
      <c r="O932" s="198" t="s">
        <v>2295</v>
      </c>
      <c r="P932">
        <v>279</v>
      </c>
      <c r="Q932">
        <f>_xlfn.XLOOKUP(A932,'[1]Classic Net to delete'!D:D,'[1]Classic Net to delete'!AA:AA,0)</f>
        <v>714</v>
      </c>
    </row>
    <row r="933" spans="1:17" x14ac:dyDescent="0.25">
      <c r="A933" t="s">
        <v>2308</v>
      </c>
      <c r="B933" t="s">
        <v>2309</v>
      </c>
      <c r="C933">
        <v>167.19</v>
      </c>
      <c r="D933" t="s">
        <v>2291</v>
      </c>
      <c r="E933" t="str">
        <f t="shared" si="20"/>
        <v>01. Grinders</v>
      </c>
      <c r="F933">
        <v>75</v>
      </c>
      <c r="H933" t="b">
        <v>1</v>
      </c>
      <c r="I933">
        <v>715</v>
      </c>
      <c r="K933" s="192" t="s">
        <v>21</v>
      </c>
      <c r="L933" s="188">
        <f>IFERROR(_xlfn.XLOOKUP(A933,[1]Fleet!A:A,[1]Fleet!E:E,""),"")</f>
        <v>23</v>
      </c>
      <c r="M933" s="188">
        <v>156.25</v>
      </c>
      <c r="N933" s="188" t="s">
        <v>2310</v>
      </c>
      <c r="O933" s="198" t="s">
        <v>2295</v>
      </c>
      <c r="P933">
        <v>923</v>
      </c>
      <c r="Q933">
        <f>_xlfn.XLOOKUP(A933,'[1]Classic Net to delete'!D:D,'[1]Classic Net to delete'!AA:AA,0)</f>
        <v>715</v>
      </c>
    </row>
    <row r="934" spans="1:17" x14ac:dyDescent="0.25">
      <c r="A934" t="s">
        <v>2311</v>
      </c>
      <c r="B934" t="s">
        <v>2312</v>
      </c>
      <c r="C934">
        <v>72.23</v>
      </c>
      <c r="D934" t="s">
        <v>2291</v>
      </c>
      <c r="E934" t="str">
        <f t="shared" si="20"/>
        <v>02. Scarifiers, Planer &amp; Strippers</v>
      </c>
      <c r="F934">
        <v>75</v>
      </c>
      <c r="H934" t="b">
        <v>1</v>
      </c>
      <c r="I934">
        <v>719</v>
      </c>
      <c r="K934" s="192" t="s">
        <v>54</v>
      </c>
      <c r="L934" s="188">
        <f>IFERROR(_xlfn.XLOOKUP(A934,[1]Fleet!A:A,[1]Fleet!E:E,""),"")</f>
        <v>3</v>
      </c>
      <c r="M934" s="188">
        <v>67.5</v>
      </c>
      <c r="N934" s="188" t="s">
        <v>2312</v>
      </c>
      <c r="O934" s="198" t="s">
        <v>2313</v>
      </c>
      <c r="P934">
        <v>927</v>
      </c>
      <c r="Q934">
        <f>_xlfn.XLOOKUP(A934,'[1]Classic Net to delete'!D:D,'[1]Classic Net to delete'!AA:AA,0)</f>
        <v>719</v>
      </c>
    </row>
    <row r="935" spans="1:17" x14ac:dyDescent="0.25">
      <c r="A935" t="s">
        <v>2314</v>
      </c>
      <c r="B935" t="s">
        <v>2315</v>
      </c>
      <c r="C935">
        <v>194.04</v>
      </c>
      <c r="D935" t="s">
        <v>2291</v>
      </c>
      <c r="E935" t="str">
        <f t="shared" si="20"/>
        <v>02. Scarifiers, Planer &amp; Strippers</v>
      </c>
      <c r="F935">
        <v>75</v>
      </c>
      <c r="H935" t="b">
        <v>1</v>
      </c>
      <c r="I935">
        <v>720</v>
      </c>
      <c r="K935" s="192" t="s">
        <v>54</v>
      </c>
      <c r="L935" s="188">
        <f>IFERROR(_xlfn.XLOOKUP(A935,[1]Fleet!A:A,[1]Fleet!E:E,""),"")</f>
        <v>13</v>
      </c>
      <c r="M935" s="188">
        <v>181.35000000000002</v>
      </c>
      <c r="N935" s="188" t="s">
        <v>2316</v>
      </c>
      <c r="O935" s="198" t="s">
        <v>2313</v>
      </c>
      <c r="P935">
        <v>919</v>
      </c>
      <c r="Q935">
        <f>_xlfn.XLOOKUP(A935,'[1]Classic Net to delete'!D:D,'[1]Classic Net to delete'!AA:AA,0)</f>
        <v>720</v>
      </c>
    </row>
    <row r="936" spans="1:17" x14ac:dyDescent="0.25">
      <c r="A936" t="s">
        <v>2317</v>
      </c>
      <c r="B936" t="s">
        <v>2318</v>
      </c>
      <c r="C936">
        <v>126.21000000000001</v>
      </c>
      <c r="D936" t="s">
        <v>2291</v>
      </c>
      <c r="E936" t="str">
        <f t="shared" si="20"/>
        <v>02. Scarifiers, Planer &amp; Strippers</v>
      </c>
      <c r="F936">
        <v>75</v>
      </c>
      <c r="H936" t="b">
        <v>1</v>
      </c>
      <c r="I936">
        <v>721</v>
      </c>
      <c r="K936" s="192" t="s">
        <v>54</v>
      </c>
      <c r="L936" s="188">
        <f>IFERROR(_xlfn.XLOOKUP(A936,[1]Fleet!A:A,[1]Fleet!E:E,""),"")</f>
        <v>6</v>
      </c>
      <c r="M936" s="188">
        <v>117.95</v>
      </c>
      <c r="N936" s="188" t="s">
        <v>2318</v>
      </c>
      <c r="O936" s="198" t="s">
        <v>2313</v>
      </c>
      <c r="P936">
        <v>921</v>
      </c>
      <c r="Q936">
        <f>_xlfn.XLOOKUP(A936,'[1]Classic Net to delete'!D:D,'[1]Classic Net to delete'!AA:AA,0)</f>
        <v>721</v>
      </c>
    </row>
    <row r="937" spans="1:17" x14ac:dyDescent="0.25">
      <c r="A937" t="s">
        <v>2319</v>
      </c>
      <c r="B937" t="s">
        <v>2320</v>
      </c>
      <c r="C937">
        <v>160.55000000000001</v>
      </c>
      <c r="D937" t="s">
        <v>2291</v>
      </c>
      <c r="E937" t="str">
        <f t="shared" si="20"/>
        <v>03. Floor Saws</v>
      </c>
      <c r="F937">
        <v>75</v>
      </c>
      <c r="H937" t="b">
        <v>1</v>
      </c>
      <c r="I937">
        <v>736</v>
      </c>
      <c r="K937" s="192" t="s">
        <v>85</v>
      </c>
      <c r="L937" s="188">
        <f>IFERROR(_xlfn.XLOOKUP(A937,[1]Fleet!A:A,[1]Fleet!E:E,""),"")</f>
        <v>22</v>
      </c>
      <c r="M937" s="188">
        <v>150.05000000000001</v>
      </c>
      <c r="N937" s="188" t="s">
        <v>2320</v>
      </c>
      <c r="O937" s="198" t="s">
        <v>2321</v>
      </c>
      <c r="P937">
        <v>924</v>
      </c>
      <c r="Q937">
        <f>_xlfn.XLOOKUP(A937,'[1]Classic Net to delete'!D:D,'[1]Classic Net to delete'!AA:AA,0)</f>
        <v>736</v>
      </c>
    </row>
    <row r="938" spans="1:17" x14ac:dyDescent="0.25">
      <c r="A938" t="s">
        <v>2322</v>
      </c>
      <c r="B938" t="s">
        <v>2323</v>
      </c>
      <c r="C938">
        <v>191.18</v>
      </c>
      <c r="D938" t="s">
        <v>2324</v>
      </c>
      <c r="E938" t="str">
        <f t="shared" si="20"/>
        <v>. Devices</v>
      </c>
      <c r="F938">
        <v>75</v>
      </c>
      <c r="H938" t="b">
        <v>0</v>
      </c>
      <c r="I938">
        <v>0</v>
      </c>
      <c r="L938" s="188">
        <f>IFERROR(_xlfn.XLOOKUP(A938,[1]Fleet!A:A,[1]Fleet!E:E,""),"")</f>
        <v>4</v>
      </c>
      <c r="M938" s="188" t="s">
        <v>22</v>
      </c>
      <c r="N938" s="188" t="s">
        <v>22</v>
      </c>
      <c r="O938" s="198" t="s">
        <v>2325</v>
      </c>
      <c r="P938">
        <v>953</v>
      </c>
      <c r="Q938">
        <f>_xlfn.XLOOKUP(A938,'[1]Classic Net to delete'!D:D,'[1]Classic Net to delete'!AA:AA,0)</f>
        <v>0</v>
      </c>
    </row>
    <row r="939" spans="1:17" x14ac:dyDescent="0.25">
      <c r="A939" t="s">
        <v>2322</v>
      </c>
      <c r="B939" t="s">
        <v>2326</v>
      </c>
      <c r="C939">
        <v>191.18</v>
      </c>
      <c r="D939" t="s">
        <v>2324</v>
      </c>
      <c r="E939" t="str">
        <f t="shared" si="20"/>
        <v>. Devices</v>
      </c>
      <c r="F939">
        <v>75</v>
      </c>
      <c r="H939" t="b">
        <v>0</v>
      </c>
      <c r="I939">
        <v>0</v>
      </c>
      <c r="L939" s="188">
        <f>IFERROR(_xlfn.XLOOKUP(A939,[1]Fleet!A:A,[1]Fleet!E:E,""),"")</f>
        <v>4</v>
      </c>
      <c r="M939" s="188" t="s">
        <v>22</v>
      </c>
      <c r="N939" s="188" t="s">
        <v>22</v>
      </c>
      <c r="O939" s="198" t="s">
        <v>2325</v>
      </c>
      <c r="P939">
        <v>954</v>
      </c>
      <c r="Q939">
        <f>_xlfn.XLOOKUP(A939,'[1]Classic Net to delete'!D:D,'[1]Classic Net to delete'!AA:AA,0)</f>
        <v>0</v>
      </c>
    </row>
    <row r="940" spans="1:17" x14ac:dyDescent="0.25">
      <c r="A940" t="s">
        <v>2327</v>
      </c>
      <c r="B940" t="s">
        <v>2328</v>
      </c>
      <c r="C940">
        <v>101.65</v>
      </c>
      <c r="D940" t="s">
        <v>2324</v>
      </c>
      <c r="E940" t="str">
        <f t="shared" si="20"/>
        <v>. Devices</v>
      </c>
      <c r="F940">
        <v>75</v>
      </c>
      <c r="H940" t="b">
        <v>0</v>
      </c>
      <c r="I940">
        <v>0</v>
      </c>
      <c r="L940" s="188">
        <f>IFERROR(_xlfn.XLOOKUP(A940,[1]Fleet!A:A,[1]Fleet!E:E,""),"")</f>
        <v>2</v>
      </c>
      <c r="M940" s="188" t="s">
        <v>22</v>
      </c>
      <c r="N940" s="188" t="s">
        <v>22</v>
      </c>
      <c r="O940" s="198" t="s">
        <v>2325</v>
      </c>
      <c r="P940">
        <v>952</v>
      </c>
      <c r="Q940">
        <f>_xlfn.XLOOKUP(A940,'[1]Classic Net to delete'!D:D,'[1]Classic Net to delete'!AA:AA,0)</f>
        <v>0</v>
      </c>
    </row>
    <row r="941" spans="1:17" x14ac:dyDescent="0.25">
      <c r="A941" t="s">
        <v>2329</v>
      </c>
      <c r="B941" t="s">
        <v>2330</v>
      </c>
      <c r="C941">
        <v>27.12</v>
      </c>
      <c r="D941" t="s">
        <v>2324</v>
      </c>
      <c r="E941" t="str">
        <f t="shared" si="20"/>
        <v>. Devices</v>
      </c>
      <c r="F941">
        <v>75</v>
      </c>
      <c r="H941" t="b">
        <v>0</v>
      </c>
      <c r="I941">
        <v>0</v>
      </c>
      <c r="L941" s="188">
        <f>IFERROR(_xlfn.XLOOKUP(A941,[1]Fleet!A:A,[1]Fleet!E:E,""),"")</f>
        <v>1</v>
      </c>
      <c r="M941" s="188" t="s">
        <v>22</v>
      </c>
      <c r="N941" s="188" t="s">
        <v>22</v>
      </c>
      <c r="O941" s="198" t="s">
        <v>2325</v>
      </c>
      <c r="P941">
        <v>945</v>
      </c>
      <c r="Q941">
        <f>_xlfn.XLOOKUP(A941,'[1]Classic Net to delete'!D:D,'[1]Classic Net to delete'!AA:AA,0)</f>
        <v>0</v>
      </c>
    </row>
    <row r="942" spans="1:17" x14ac:dyDescent="0.25">
      <c r="A942" t="s">
        <v>2331</v>
      </c>
      <c r="B942" t="s">
        <v>2332</v>
      </c>
      <c r="C942">
        <v>0</v>
      </c>
      <c r="D942" t="s">
        <v>2324</v>
      </c>
      <c r="E942" t="str">
        <f t="shared" si="20"/>
        <v>. Devices</v>
      </c>
      <c r="F942">
        <v>75</v>
      </c>
      <c r="H942" t="b">
        <v>0</v>
      </c>
      <c r="I942">
        <v>0</v>
      </c>
      <c r="L942" s="188" t="str">
        <f>IFERROR(_xlfn.XLOOKUP(A942,[1]Fleet!A:A,[1]Fleet!E:E,""),"")</f>
        <v/>
      </c>
      <c r="M942" s="188" t="s">
        <v>22</v>
      </c>
      <c r="N942" s="188" t="s">
        <v>22</v>
      </c>
      <c r="O942" s="198" t="s">
        <v>2325</v>
      </c>
      <c r="P942">
        <v>938</v>
      </c>
      <c r="Q942">
        <f>_xlfn.XLOOKUP(A942,'[1]Classic Net to delete'!D:D,'[1]Classic Net to delete'!AA:AA,0)</f>
        <v>0</v>
      </c>
    </row>
    <row r="943" spans="1:17" x14ac:dyDescent="0.25">
      <c r="A943" t="s">
        <v>2333</v>
      </c>
      <c r="B943" t="s">
        <v>2334</v>
      </c>
      <c r="C943">
        <v>0</v>
      </c>
      <c r="D943" t="s">
        <v>2324</v>
      </c>
      <c r="E943" t="str">
        <f t="shared" si="20"/>
        <v>. Devices</v>
      </c>
      <c r="F943">
        <v>75</v>
      </c>
      <c r="H943" t="b">
        <v>0</v>
      </c>
      <c r="I943">
        <v>0</v>
      </c>
      <c r="L943" s="188">
        <f>IFERROR(_xlfn.XLOOKUP(A943,[1]Fleet!A:A,[1]Fleet!E:E,""),"")</f>
        <v>2</v>
      </c>
      <c r="M943" s="188" t="s">
        <v>22</v>
      </c>
      <c r="N943" s="188" t="s">
        <v>22</v>
      </c>
      <c r="O943" s="198" t="s">
        <v>2325</v>
      </c>
      <c r="P943">
        <v>950</v>
      </c>
      <c r="Q943">
        <f>_xlfn.XLOOKUP(A943,'[1]Classic Net to delete'!D:D,'[1]Classic Net to delete'!AA:AA,0)</f>
        <v>0</v>
      </c>
    </row>
    <row r="944" spans="1:17" x14ac:dyDescent="0.25">
      <c r="A944" t="s">
        <v>2333</v>
      </c>
      <c r="B944" t="s">
        <v>2335</v>
      </c>
      <c r="C944">
        <v>0</v>
      </c>
      <c r="D944" t="s">
        <v>2324</v>
      </c>
      <c r="E944" t="str">
        <f t="shared" si="20"/>
        <v>. Devices</v>
      </c>
      <c r="F944">
        <v>75</v>
      </c>
      <c r="H944" t="b">
        <v>0</v>
      </c>
      <c r="I944">
        <v>0</v>
      </c>
      <c r="L944" s="188">
        <f>IFERROR(_xlfn.XLOOKUP(A944,[1]Fleet!A:A,[1]Fleet!E:E,""),"")</f>
        <v>2</v>
      </c>
      <c r="M944" s="188" t="s">
        <v>22</v>
      </c>
      <c r="N944" s="188" t="s">
        <v>22</v>
      </c>
      <c r="O944" s="198" t="s">
        <v>2325</v>
      </c>
      <c r="P944">
        <v>951</v>
      </c>
      <c r="Q944">
        <f>_xlfn.XLOOKUP(A944,'[1]Classic Net to delete'!D:D,'[1]Classic Net to delete'!AA:AA,0)</f>
        <v>0</v>
      </c>
    </row>
    <row r="945" spans="1:17" x14ac:dyDescent="0.25">
      <c r="A945" t="s">
        <v>2336</v>
      </c>
      <c r="B945" t="s">
        <v>2337</v>
      </c>
      <c r="C945">
        <v>82.39</v>
      </c>
      <c r="D945" t="s">
        <v>2324</v>
      </c>
      <c r="E945" t="str">
        <f t="shared" si="20"/>
        <v>01. Cable &amp; Pipe Location</v>
      </c>
      <c r="F945">
        <v>75</v>
      </c>
      <c r="H945" t="b">
        <v>1</v>
      </c>
      <c r="I945">
        <v>740</v>
      </c>
      <c r="K945" s="192" t="s">
        <v>21</v>
      </c>
      <c r="L945" s="188">
        <f>IFERROR(_xlfn.XLOOKUP(A945,[1]Fleet!A:A,[1]Fleet!E:E,""),"")</f>
        <v>25</v>
      </c>
      <c r="M945" s="188">
        <v>77</v>
      </c>
      <c r="N945" s="188" t="s">
        <v>2338</v>
      </c>
      <c r="O945" s="198" t="s">
        <v>2339</v>
      </c>
      <c r="P945">
        <v>929</v>
      </c>
      <c r="Q945">
        <f>_xlfn.XLOOKUP(A945,'[1]Classic Net to delete'!D:D,'[1]Classic Net to delete'!AA:AA,0)</f>
        <v>740</v>
      </c>
    </row>
    <row r="946" spans="1:17" x14ac:dyDescent="0.25">
      <c r="A946" t="s">
        <v>2340</v>
      </c>
      <c r="B946" t="s">
        <v>2341</v>
      </c>
      <c r="C946">
        <v>77.95</v>
      </c>
      <c r="D946" t="s">
        <v>2324</v>
      </c>
      <c r="E946" t="str">
        <f t="shared" si="20"/>
        <v>01. Cable &amp; Pipe Location</v>
      </c>
      <c r="F946">
        <v>75</v>
      </c>
      <c r="H946" t="b">
        <v>1</v>
      </c>
      <c r="I946">
        <v>741</v>
      </c>
      <c r="K946" s="192" t="s">
        <v>21</v>
      </c>
      <c r="L946" s="188">
        <f>IFERROR(_xlfn.XLOOKUP(A946,[1]Fleet!A:A,[1]Fleet!E:E,""),"")</f>
        <v>15</v>
      </c>
      <c r="M946" s="188">
        <v>72.850000000000009</v>
      </c>
      <c r="N946" s="188" t="s">
        <v>2341</v>
      </c>
      <c r="O946" s="198" t="s">
        <v>2339</v>
      </c>
      <c r="P946">
        <v>930</v>
      </c>
      <c r="Q946">
        <f>_xlfn.XLOOKUP(A946,'[1]Classic Net to delete'!D:D,'[1]Classic Net to delete'!AA:AA,0)</f>
        <v>741</v>
      </c>
    </row>
    <row r="947" spans="1:17" x14ac:dyDescent="0.25">
      <c r="A947" t="s">
        <v>2342</v>
      </c>
      <c r="B947" t="s">
        <v>2343</v>
      </c>
      <c r="C947">
        <v>34.130000000000003</v>
      </c>
      <c r="D947" t="s">
        <v>2324</v>
      </c>
      <c r="E947" t="str">
        <f t="shared" si="20"/>
        <v>01. Cable &amp; Pipe Location</v>
      </c>
      <c r="F947">
        <v>75</v>
      </c>
      <c r="H947" t="b">
        <v>1</v>
      </c>
      <c r="I947">
        <v>742</v>
      </c>
      <c r="K947" s="192" t="s">
        <v>21</v>
      </c>
      <c r="L947" s="188">
        <f>IFERROR(_xlfn.XLOOKUP(A947,[1]Fleet!A:A,[1]Fleet!E:E,""),"")</f>
        <v>2</v>
      </c>
      <c r="M947" s="188">
        <v>31.900000000000002</v>
      </c>
      <c r="N947" s="188" t="s">
        <v>2344</v>
      </c>
      <c r="O947" s="198" t="s">
        <v>2339</v>
      </c>
      <c r="P947">
        <v>934</v>
      </c>
      <c r="Q947">
        <f>_xlfn.XLOOKUP(A947,'[1]Classic Net to delete'!D:D,'[1]Classic Net to delete'!AA:AA,0)</f>
        <v>742</v>
      </c>
    </row>
    <row r="948" spans="1:17" x14ac:dyDescent="0.25">
      <c r="A948" t="s">
        <v>2345</v>
      </c>
      <c r="B948" t="s">
        <v>2346</v>
      </c>
      <c r="C948">
        <v>229.68</v>
      </c>
      <c r="D948" t="s">
        <v>2324</v>
      </c>
      <c r="E948" t="str">
        <f t="shared" si="20"/>
        <v>01. Cable &amp; Pipe Location</v>
      </c>
      <c r="F948">
        <v>75</v>
      </c>
      <c r="H948" t="b">
        <v>1</v>
      </c>
      <c r="I948">
        <v>743</v>
      </c>
      <c r="K948" s="192" t="s">
        <v>21</v>
      </c>
      <c r="L948" s="188">
        <f>IFERROR(_xlfn.XLOOKUP(A948,[1]Fleet!A:A,[1]Fleet!E:E,""),"")</f>
        <v>3</v>
      </c>
      <c r="M948" s="188">
        <v>214.65</v>
      </c>
      <c r="N948" s="188" t="s">
        <v>2347</v>
      </c>
      <c r="O948" s="198" t="s">
        <v>2339</v>
      </c>
      <c r="P948">
        <v>941</v>
      </c>
      <c r="Q948">
        <f>_xlfn.XLOOKUP(A948,'[1]Classic Net to delete'!D:D,'[1]Classic Net to delete'!AA:AA,0)</f>
        <v>743</v>
      </c>
    </row>
    <row r="949" spans="1:17" x14ac:dyDescent="0.25">
      <c r="A949" t="s">
        <v>2348</v>
      </c>
      <c r="B949" t="s">
        <v>2349</v>
      </c>
      <c r="C949">
        <v>83.62</v>
      </c>
      <c r="D949" t="s">
        <v>2324</v>
      </c>
      <c r="E949" t="str">
        <f t="shared" si="20"/>
        <v>01. Cable &amp; Pipe Location</v>
      </c>
      <c r="F949">
        <v>75</v>
      </c>
      <c r="H949" t="b">
        <v>1</v>
      </c>
      <c r="I949">
        <v>744</v>
      </c>
      <c r="K949" s="192" t="s">
        <v>21</v>
      </c>
      <c r="L949" s="188">
        <f>IFERROR(_xlfn.XLOOKUP(A949,[1]Fleet!A:A,[1]Fleet!E:E,""),"")</f>
        <v>5</v>
      </c>
      <c r="M949" s="188">
        <v>78.150000000000006</v>
      </c>
      <c r="N949" s="188" t="s">
        <v>2349</v>
      </c>
      <c r="O949" s="198" t="s">
        <v>2339</v>
      </c>
      <c r="P949">
        <v>935</v>
      </c>
      <c r="Q949">
        <f>_xlfn.XLOOKUP(A949,'[1]Classic Net to delete'!D:D,'[1]Classic Net to delete'!AA:AA,0)</f>
        <v>744</v>
      </c>
    </row>
    <row r="950" spans="1:17" x14ac:dyDescent="0.25">
      <c r="A950" t="s">
        <v>2350</v>
      </c>
      <c r="B950" t="s">
        <v>2351</v>
      </c>
      <c r="C950">
        <v>121.45</v>
      </c>
      <c r="D950" t="s">
        <v>2324</v>
      </c>
      <c r="E950" t="str">
        <f t="shared" si="20"/>
        <v>01. Cable &amp; Pipe Location</v>
      </c>
      <c r="F950">
        <v>75</v>
      </c>
      <c r="H950" t="b">
        <v>1</v>
      </c>
      <c r="I950">
        <v>745</v>
      </c>
      <c r="K950" s="192" t="s">
        <v>21</v>
      </c>
      <c r="L950" s="188">
        <f>IFERROR(_xlfn.XLOOKUP(A950,[1]Fleet!A:A,[1]Fleet!E:E,""),"")</f>
        <v>14</v>
      </c>
      <c r="M950" s="188">
        <v>113.5</v>
      </c>
      <c r="N950" s="188" t="s">
        <v>2352</v>
      </c>
      <c r="O950" s="198" t="s">
        <v>2339</v>
      </c>
      <c r="P950">
        <v>942</v>
      </c>
      <c r="Q950">
        <f>_xlfn.XLOOKUP(A950,'[1]Classic Net to delete'!D:D,'[1]Classic Net to delete'!AA:AA,0)</f>
        <v>745</v>
      </c>
    </row>
    <row r="951" spans="1:17" x14ac:dyDescent="0.25">
      <c r="A951" t="s">
        <v>2353</v>
      </c>
      <c r="B951" t="s">
        <v>2354</v>
      </c>
      <c r="C951">
        <v>35.68</v>
      </c>
      <c r="D951" t="s">
        <v>2324</v>
      </c>
      <c r="E951" t="str">
        <f t="shared" si="20"/>
        <v>01. Cable &amp; Pipe Location</v>
      </c>
      <c r="F951">
        <v>75</v>
      </c>
      <c r="H951" t="b">
        <v>1</v>
      </c>
      <c r="I951">
        <v>746</v>
      </c>
      <c r="K951" s="192" t="s">
        <v>21</v>
      </c>
      <c r="L951" s="188">
        <f>IFERROR(_xlfn.XLOOKUP(A951,[1]Fleet!A:A,[1]Fleet!E:E,""),"")</f>
        <v>2</v>
      </c>
      <c r="M951" s="188">
        <v>33.35</v>
      </c>
      <c r="N951" s="188" t="s">
        <v>2354</v>
      </c>
      <c r="O951" s="198" t="s">
        <v>2339</v>
      </c>
      <c r="P951">
        <v>948</v>
      </c>
      <c r="Q951">
        <f>_xlfn.XLOOKUP(A951,'[1]Classic Net to delete'!D:D,'[1]Classic Net to delete'!AA:AA,0)</f>
        <v>746</v>
      </c>
    </row>
    <row r="952" spans="1:17" x14ac:dyDescent="0.25">
      <c r="A952" t="s">
        <v>2355</v>
      </c>
      <c r="B952" t="s">
        <v>2356</v>
      </c>
      <c r="C952">
        <v>124.33</v>
      </c>
      <c r="D952" t="s">
        <v>2324</v>
      </c>
      <c r="E952" t="str">
        <f t="shared" si="20"/>
        <v>01. Cable &amp; Pipe Location</v>
      </c>
      <c r="F952">
        <v>75</v>
      </c>
      <c r="H952" t="b">
        <v>1</v>
      </c>
      <c r="I952">
        <v>747</v>
      </c>
      <c r="K952" s="192" t="s">
        <v>21</v>
      </c>
      <c r="L952" s="188">
        <f>IFERROR(_xlfn.XLOOKUP(A952,[1]Fleet!A:A,[1]Fleet!E:E,""),"")</f>
        <v>3</v>
      </c>
      <c r="M952" s="188">
        <v>116.2</v>
      </c>
      <c r="N952" s="188" t="s">
        <v>2356</v>
      </c>
      <c r="O952" s="198" t="s">
        <v>2339</v>
      </c>
      <c r="P952">
        <v>947</v>
      </c>
      <c r="Q952">
        <f>_xlfn.XLOOKUP(A952,'[1]Classic Net to delete'!D:D,'[1]Classic Net to delete'!AA:AA,0)</f>
        <v>747</v>
      </c>
    </row>
    <row r="953" spans="1:17" x14ac:dyDescent="0.25">
      <c r="A953" t="s">
        <v>2357</v>
      </c>
      <c r="B953" t="s">
        <v>2358</v>
      </c>
      <c r="C953">
        <v>27.12</v>
      </c>
      <c r="D953" t="s">
        <v>2324</v>
      </c>
      <c r="E953" t="str">
        <f t="shared" si="20"/>
        <v>02. Meters, Detection &amp; Communication</v>
      </c>
      <c r="F953">
        <v>75</v>
      </c>
      <c r="H953" t="b">
        <v>1</v>
      </c>
      <c r="I953">
        <v>750</v>
      </c>
      <c r="K953" s="192" t="s">
        <v>54</v>
      </c>
      <c r="L953" s="188">
        <f>IFERROR(_xlfn.XLOOKUP(A953,[1]Fleet!A:A,[1]Fleet!E:E,""),"")</f>
        <v>4</v>
      </c>
      <c r="M953" s="188">
        <v>25.35</v>
      </c>
      <c r="N953" s="188" t="s">
        <v>2358</v>
      </c>
      <c r="O953" s="198" t="s">
        <v>2359</v>
      </c>
      <c r="P953">
        <v>931</v>
      </c>
      <c r="Q953">
        <f>_xlfn.XLOOKUP(A953,'[1]Classic Net to delete'!D:D,'[1]Classic Net to delete'!AA:AA,0)</f>
        <v>750</v>
      </c>
    </row>
    <row r="954" spans="1:17" x14ac:dyDescent="0.25">
      <c r="A954" t="s">
        <v>2360</v>
      </c>
      <c r="B954" t="s">
        <v>2361</v>
      </c>
      <c r="C954">
        <v>39.160000000000004</v>
      </c>
      <c r="D954" t="s">
        <v>2324</v>
      </c>
      <c r="E954" t="str">
        <f t="shared" si="20"/>
        <v>02. Meters, Detection &amp; Communication</v>
      </c>
      <c r="F954">
        <v>75</v>
      </c>
      <c r="H954" t="b">
        <v>1</v>
      </c>
      <c r="I954">
        <v>751</v>
      </c>
      <c r="K954" s="192" t="s">
        <v>54</v>
      </c>
      <c r="L954" s="188">
        <f>IFERROR(_xlfn.XLOOKUP(A954,[1]Fleet!A:A,[1]Fleet!E:E,""),"")</f>
        <v>1</v>
      </c>
      <c r="M954" s="188">
        <v>36.6</v>
      </c>
      <c r="N954" s="188" t="s">
        <v>2361</v>
      </c>
      <c r="O954" s="198" t="s">
        <v>2359</v>
      </c>
      <c r="P954">
        <v>936</v>
      </c>
      <c r="Q954">
        <f>_xlfn.XLOOKUP(A954,'[1]Classic Net to delete'!D:D,'[1]Classic Net to delete'!AA:AA,0)</f>
        <v>751</v>
      </c>
    </row>
    <row r="955" spans="1:17" x14ac:dyDescent="0.25">
      <c r="A955" t="s">
        <v>2362</v>
      </c>
      <c r="B955" t="s">
        <v>2363</v>
      </c>
      <c r="C955">
        <v>39.160000000000004</v>
      </c>
      <c r="D955" t="s">
        <v>2324</v>
      </c>
      <c r="E955" t="str">
        <f t="shared" si="20"/>
        <v>02. Meters, Detection &amp; Communication</v>
      </c>
      <c r="F955">
        <v>75</v>
      </c>
      <c r="H955" t="b">
        <v>1</v>
      </c>
      <c r="I955">
        <v>752</v>
      </c>
      <c r="K955" s="192" t="s">
        <v>54</v>
      </c>
      <c r="L955" s="188">
        <f>IFERROR(_xlfn.XLOOKUP(A955,[1]Fleet!A:A,[1]Fleet!E:E,""),"")</f>
        <v>4</v>
      </c>
      <c r="M955" s="188">
        <v>36.6</v>
      </c>
      <c r="N955" s="188" t="s">
        <v>2363</v>
      </c>
      <c r="O955" s="198" t="s">
        <v>2359</v>
      </c>
      <c r="P955">
        <v>943</v>
      </c>
      <c r="Q955">
        <f>_xlfn.XLOOKUP(A955,'[1]Classic Net to delete'!D:D,'[1]Classic Net to delete'!AA:AA,0)</f>
        <v>752</v>
      </c>
    </row>
    <row r="956" spans="1:17" x14ac:dyDescent="0.25">
      <c r="A956" t="s">
        <v>2364</v>
      </c>
      <c r="B956" t="s">
        <v>2365</v>
      </c>
      <c r="C956">
        <v>66.23</v>
      </c>
      <c r="D956" t="s">
        <v>2324</v>
      </c>
      <c r="E956" t="str">
        <f t="shared" si="20"/>
        <v>02. Meters, Detection &amp; Communication</v>
      </c>
      <c r="F956">
        <v>75</v>
      </c>
      <c r="H956" t="b">
        <v>1</v>
      </c>
      <c r="I956">
        <v>753</v>
      </c>
      <c r="K956" s="192" t="s">
        <v>54</v>
      </c>
      <c r="L956" s="188">
        <f>IFERROR(_xlfn.XLOOKUP(A956,[1]Fleet!A:A,[1]Fleet!E:E,""),"")</f>
        <v>1</v>
      </c>
      <c r="M956" s="188">
        <v>61.900000000000006</v>
      </c>
      <c r="N956" s="188" t="s">
        <v>2365</v>
      </c>
      <c r="O956" s="198" t="s">
        <v>2359</v>
      </c>
      <c r="P956">
        <v>949</v>
      </c>
      <c r="Q956">
        <f>_xlfn.XLOOKUP(A956,'[1]Classic Net to delete'!D:D,'[1]Classic Net to delete'!AA:AA,0)</f>
        <v>753</v>
      </c>
    </row>
    <row r="957" spans="1:17" x14ac:dyDescent="0.25">
      <c r="A957" t="s">
        <v>2366</v>
      </c>
      <c r="B957" t="s">
        <v>2367</v>
      </c>
      <c r="C957">
        <v>0</v>
      </c>
      <c r="D957" t="s">
        <v>2324</v>
      </c>
      <c r="E957" t="str">
        <f t="shared" si="20"/>
        <v>02. Meters, Detection &amp; Communication</v>
      </c>
      <c r="F957">
        <v>75</v>
      </c>
      <c r="H957" t="b">
        <v>0</v>
      </c>
      <c r="I957">
        <v>764</v>
      </c>
      <c r="K957" s="192" t="s">
        <v>54</v>
      </c>
      <c r="L957" s="188" t="str">
        <f>IFERROR(_xlfn.XLOOKUP(A957,[1]Fleet!A:A,[1]Fleet!E:E,""),"")</f>
        <v/>
      </c>
      <c r="M957" s="188">
        <v>30.400000000000002</v>
      </c>
      <c r="N957" s="188" t="s">
        <v>2368</v>
      </c>
      <c r="O957" s="198" t="s">
        <v>2359</v>
      </c>
      <c r="P957">
        <v>939</v>
      </c>
      <c r="Q957">
        <f>_xlfn.XLOOKUP(A957,'[1]Classic Net to delete'!D:D,'[1]Classic Net to delete'!AA:AA,0)</f>
        <v>764</v>
      </c>
    </row>
    <row r="958" spans="1:17" x14ac:dyDescent="0.25">
      <c r="A958" t="s">
        <v>2369</v>
      </c>
      <c r="B958" t="s">
        <v>2370</v>
      </c>
      <c r="C958">
        <v>0</v>
      </c>
      <c r="D958" t="s">
        <v>2324</v>
      </c>
      <c r="E958" t="str">
        <f t="shared" si="20"/>
        <v>02. Meters, Detection &amp; Communication</v>
      </c>
      <c r="F958">
        <v>75</v>
      </c>
      <c r="H958" t="b">
        <v>0</v>
      </c>
      <c r="I958">
        <v>765</v>
      </c>
      <c r="K958" s="192" t="s">
        <v>54</v>
      </c>
      <c r="L958" s="188" t="str">
        <f>IFERROR(_xlfn.XLOOKUP(A958,[1]Fleet!A:A,[1]Fleet!E:E,""),"")</f>
        <v/>
      </c>
      <c r="M958" s="188">
        <v>32.25</v>
      </c>
      <c r="N958" s="188" t="s">
        <v>2370</v>
      </c>
      <c r="O958" s="198" t="s">
        <v>2359</v>
      </c>
      <c r="P958">
        <v>940</v>
      </c>
      <c r="Q958">
        <f>_xlfn.XLOOKUP(A958,'[1]Classic Net to delete'!D:D,'[1]Classic Net to delete'!AA:AA,0)</f>
        <v>765</v>
      </c>
    </row>
    <row r="959" spans="1:17" x14ac:dyDescent="0.25">
      <c r="A959" t="s">
        <v>2371</v>
      </c>
      <c r="B959" t="s">
        <v>2372</v>
      </c>
      <c r="C959">
        <v>70.989999999999995</v>
      </c>
      <c r="D959" t="s">
        <v>2324</v>
      </c>
      <c r="E959" t="str">
        <f t="shared" si="20"/>
        <v>03. Lasers &amp; Levels</v>
      </c>
      <c r="F959">
        <v>75</v>
      </c>
      <c r="H959" t="b">
        <v>1</v>
      </c>
      <c r="I959">
        <v>757</v>
      </c>
      <c r="K959" s="192" t="s">
        <v>85</v>
      </c>
      <c r="L959" s="188">
        <f>IFERROR(_xlfn.XLOOKUP(A959,[1]Fleet!A:A,[1]Fleet!E:E,""),"")</f>
        <v>5</v>
      </c>
      <c r="M959" s="188">
        <v>66.350000000000009</v>
      </c>
      <c r="N959" s="188" t="s">
        <v>2373</v>
      </c>
      <c r="O959" s="198" t="s">
        <v>2374</v>
      </c>
      <c r="P959">
        <v>932</v>
      </c>
      <c r="Q959">
        <f>_xlfn.XLOOKUP(A959,'[1]Classic Net to delete'!D:D,'[1]Classic Net to delete'!AA:AA,0)</f>
        <v>757</v>
      </c>
    </row>
    <row r="960" spans="1:17" x14ac:dyDescent="0.25">
      <c r="A960" t="s">
        <v>2375</v>
      </c>
      <c r="B960" t="s">
        <v>2376</v>
      </c>
      <c r="C960">
        <v>52.75</v>
      </c>
      <c r="D960" t="s">
        <v>2324</v>
      </c>
      <c r="E960" t="str">
        <f t="shared" si="20"/>
        <v>03. Lasers &amp; Levels</v>
      </c>
      <c r="F960">
        <v>75</v>
      </c>
      <c r="H960" t="b">
        <v>1</v>
      </c>
      <c r="I960">
        <v>758</v>
      </c>
      <c r="K960" s="192" t="s">
        <v>85</v>
      </c>
      <c r="L960" s="188">
        <f>IFERROR(_xlfn.XLOOKUP(A960,[1]Fleet!A:A,[1]Fleet!E:E,""),"")</f>
        <v>4</v>
      </c>
      <c r="M960" s="188">
        <v>49.300000000000004</v>
      </c>
      <c r="N960" s="188" t="s">
        <v>2376</v>
      </c>
      <c r="O960" s="198" t="s">
        <v>2374</v>
      </c>
      <c r="P960">
        <v>937</v>
      </c>
      <c r="Q960">
        <f>_xlfn.XLOOKUP(A960,'[1]Classic Net to delete'!D:D,'[1]Classic Net to delete'!AA:AA,0)</f>
        <v>758</v>
      </c>
    </row>
    <row r="961" spans="1:17" x14ac:dyDescent="0.25">
      <c r="A961" t="s">
        <v>2377</v>
      </c>
      <c r="B961" t="s">
        <v>2326</v>
      </c>
      <c r="C961">
        <v>191.18</v>
      </c>
      <c r="D961" t="s">
        <v>2324</v>
      </c>
      <c r="E961" t="str">
        <f t="shared" si="20"/>
        <v>03. Lasers &amp; Levels</v>
      </c>
      <c r="F961">
        <v>75</v>
      </c>
      <c r="H961" t="b">
        <v>1</v>
      </c>
      <c r="I961">
        <v>759</v>
      </c>
      <c r="K961" s="192" t="s">
        <v>85</v>
      </c>
      <c r="L961" s="188">
        <f>IFERROR(_xlfn.XLOOKUP(A961,[1]Fleet!A:A,[1]Fleet!E:E,""),"")</f>
        <v>17</v>
      </c>
      <c r="M961" s="188">
        <v>170.70000000000002</v>
      </c>
      <c r="N961" s="188" t="s">
        <v>2378</v>
      </c>
      <c r="O961" s="198" t="s">
        <v>2374</v>
      </c>
      <c r="P961">
        <v>946</v>
      </c>
      <c r="Q961">
        <f>_xlfn.XLOOKUP(A961,'[1]Classic Net to delete'!D:D,'[1]Classic Net to delete'!AA:AA,0)</f>
        <v>759</v>
      </c>
    </row>
    <row r="962" spans="1:17" x14ac:dyDescent="0.25">
      <c r="A962" t="s">
        <v>2379</v>
      </c>
      <c r="B962" t="s">
        <v>2380</v>
      </c>
      <c r="C962">
        <v>0</v>
      </c>
      <c r="D962" t="s">
        <v>2324</v>
      </c>
      <c r="E962" t="str">
        <f t="shared" si="20"/>
        <v>03. Lasers &amp; Levels</v>
      </c>
      <c r="F962">
        <v>75</v>
      </c>
      <c r="H962" t="b">
        <v>0</v>
      </c>
      <c r="I962">
        <v>760</v>
      </c>
      <c r="K962" s="192" t="s">
        <v>85</v>
      </c>
      <c r="L962" s="188">
        <f>IFERROR(_xlfn.XLOOKUP(A962,[1]Fleet!A:A,[1]Fleet!E:E,""),"")</f>
        <v>2</v>
      </c>
      <c r="M962" s="188">
        <v>211.4</v>
      </c>
      <c r="N962" s="188" t="s">
        <v>2381</v>
      </c>
      <c r="O962" s="198" t="s">
        <v>2374</v>
      </c>
      <c r="P962">
        <v>944</v>
      </c>
      <c r="Q962">
        <f>_xlfn.XLOOKUP(A962,'[1]Classic Net to delete'!D:D,'[1]Classic Net to delete'!AA:AA,0)</f>
        <v>760</v>
      </c>
    </row>
    <row r="963" spans="1:17" x14ac:dyDescent="0.25">
      <c r="A963" t="s">
        <v>2382</v>
      </c>
      <c r="B963" t="s">
        <v>2383</v>
      </c>
      <c r="C963">
        <v>17.71</v>
      </c>
      <c r="D963" t="s">
        <v>2324</v>
      </c>
      <c r="E963" t="str">
        <f t="shared" si="20"/>
        <v>03. Lasers &amp; Levels</v>
      </c>
      <c r="F963">
        <v>75</v>
      </c>
      <c r="H963" t="b">
        <v>1</v>
      </c>
      <c r="I963">
        <v>761</v>
      </c>
      <c r="K963" s="192" t="s">
        <v>85</v>
      </c>
      <c r="L963" s="188">
        <f>IFERROR(_xlfn.XLOOKUP(A963,[1]Fleet!A:A,[1]Fleet!E:E,""),"")</f>
        <v>11</v>
      </c>
      <c r="M963" s="188">
        <v>16.55</v>
      </c>
      <c r="N963" s="188" t="s">
        <v>2384</v>
      </c>
      <c r="O963" s="198" t="s">
        <v>2374</v>
      </c>
      <c r="P963">
        <v>933</v>
      </c>
      <c r="Q963">
        <f>_xlfn.XLOOKUP(A963,'[1]Classic Net to delete'!D:D,'[1]Classic Net to delete'!AA:AA,0)</f>
        <v>761</v>
      </c>
    </row>
    <row r="964" spans="1:17" x14ac:dyDescent="0.25">
      <c r="A964" t="s">
        <v>2385</v>
      </c>
      <c r="B964" t="s">
        <v>2386</v>
      </c>
      <c r="C964">
        <v>45.26</v>
      </c>
      <c r="D964" t="s">
        <v>2387</v>
      </c>
      <c r="E964" t="str">
        <f t="shared" si="20"/>
        <v>. Sanding</v>
      </c>
      <c r="F964">
        <v>75</v>
      </c>
      <c r="H964" t="b">
        <v>0</v>
      </c>
      <c r="I964">
        <v>0</v>
      </c>
      <c r="L964" s="188">
        <f>IFERROR(_xlfn.XLOOKUP(A964,[1]Fleet!A:A,[1]Fleet!E:E,""),"")</f>
        <v>3</v>
      </c>
      <c r="M964" s="188" t="s">
        <v>22</v>
      </c>
      <c r="N964" s="188" t="s">
        <v>22</v>
      </c>
      <c r="O964" s="198" t="s">
        <v>2388</v>
      </c>
      <c r="P964">
        <v>977</v>
      </c>
      <c r="Q964">
        <f>_xlfn.XLOOKUP(A964,'[1]Classic Net to delete'!D:D,'[1]Classic Net to delete'!AA:AA,0)</f>
        <v>0</v>
      </c>
    </row>
    <row r="965" spans="1:17" x14ac:dyDescent="0.25">
      <c r="A965" t="s">
        <v>960</v>
      </c>
      <c r="B965" t="s">
        <v>2389</v>
      </c>
      <c r="C965">
        <v>79.23</v>
      </c>
      <c r="D965" t="s">
        <v>2387</v>
      </c>
      <c r="E965" t="str">
        <f t="shared" ref="E965:E1028" si="21">CONCATENATE(K965,". ",O965)</f>
        <v>. Sanding</v>
      </c>
      <c r="F965">
        <v>75</v>
      </c>
      <c r="H965" t="b">
        <v>0</v>
      </c>
      <c r="I965">
        <v>0</v>
      </c>
      <c r="L965" s="188">
        <f>IFERROR(_xlfn.XLOOKUP(A965,[1]Fleet!A:A,[1]Fleet!E:E,""),"")</f>
        <v>4</v>
      </c>
      <c r="M965" s="188" t="s">
        <v>22</v>
      </c>
      <c r="N965" s="188" t="s">
        <v>22</v>
      </c>
      <c r="O965" s="198" t="s">
        <v>2388</v>
      </c>
      <c r="P965">
        <v>974</v>
      </c>
      <c r="Q965">
        <f>_xlfn.XLOOKUP(A965,'[1]Classic Net to delete'!D:D,'[1]Classic Net to delete'!AA:AA,0)</f>
        <v>0</v>
      </c>
    </row>
    <row r="966" spans="1:17" x14ac:dyDescent="0.25">
      <c r="A966" t="s">
        <v>2390</v>
      </c>
      <c r="B966" t="s">
        <v>2391</v>
      </c>
      <c r="C966">
        <v>42.59</v>
      </c>
      <c r="D966" t="s">
        <v>2387</v>
      </c>
      <c r="E966" t="str">
        <f t="shared" si="21"/>
        <v>01. Routers and Planers</v>
      </c>
      <c r="F966">
        <v>75</v>
      </c>
      <c r="H966" t="b">
        <v>1</v>
      </c>
      <c r="I966">
        <v>769</v>
      </c>
      <c r="K966" s="192" t="s">
        <v>21</v>
      </c>
      <c r="L966" s="188">
        <f>IFERROR(_xlfn.XLOOKUP(A966,[1]Fleet!A:A,[1]Fleet!E:E,""),"")</f>
        <v>3</v>
      </c>
      <c r="M966" s="188">
        <v>39.800000000000004</v>
      </c>
      <c r="N966" s="188" t="s">
        <v>2391</v>
      </c>
      <c r="O966" s="198" t="s">
        <v>2392</v>
      </c>
      <c r="P966">
        <v>963</v>
      </c>
      <c r="Q966">
        <f>_xlfn.XLOOKUP(A966,'[1]Classic Net to delete'!D:D,'[1]Classic Net to delete'!AA:AA,0)</f>
        <v>769</v>
      </c>
    </row>
    <row r="967" spans="1:17" x14ac:dyDescent="0.25">
      <c r="A967" t="s">
        <v>2393</v>
      </c>
      <c r="B967" t="s">
        <v>2394</v>
      </c>
      <c r="C967">
        <v>42.59</v>
      </c>
      <c r="D967" t="s">
        <v>2387</v>
      </c>
      <c r="E967" t="str">
        <f t="shared" si="21"/>
        <v>01. Routers and Planers</v>
      </c>
      <c r="F967">
        <v>75</v>
      </c>
      <c r="H967" t="b">
        <v>1</v>
      </c>
      <c r="I967">
        <v>770</v>
      </c>
      <c r="K967" s="192" t="s">
        <v>21</v>
      </c>
      <c r="L967" s="188">
        <f>IFERROR(_xlfn.XLOOKUP(A967,[1]Fleet!A:A,[1]Fleet!E:E,""),"")</f>
        <v>6</v>
      </c>
      <c r="M967" s="188">
        <v>39.800000000000004</v>
      </c>
      <c r="N967" s="188" t="s">
        <v>2394</v>
      </c>
      <c r="O967" s="198" t="s">
        <v>2392</v>
      </c>
      <c r="P967">
        <v>962</v>
      </c>
      <c r="Q967">
        <f>_xlfn.XLOOKUP(A967,'[1]Classic Net to delete'!D:D,'[1]Classic Net to delete'!AA:AA,0)</f>
        <v>770</v>
      </c>
    </row>
    <row r="968" spans="1:17" x14ac:dyDescent="0.25">
      <c r="A968" t="s">
        <v>2395</v>
      </c>
      <c r="B968" t="s">
        <v>2396</v>
      </c>
      <c r="C968">
        <v>47.67</v>
      </c>
      <c r="D968" t="s">
        <v>2387</v>
      </c>
      <c r="E968" t="str">
        <f t="shared" si="21"/>
        <v>01. Routers and Planers</v>
      </c>
      <c r="F968">
        <v>75</v>
      </c>
      <c r="H968" t="b">
        <v>1</v>
      </c>
      <c r="I968">
        <v>773</v>
      </c>
      <c r="K968" s="192" t="s">
        <v>21</v>
      </c>
      <c r="L968" s="188">
        <f>IFERROR(_xlfn.XLOOKUP(A968,[1]Fleet!A:A,[1]Fleet!E:E,""),"")</f>
        <v>16</v>
      </c>
      <c r="M968" s="188">
        <v>44.550000000000004</v>
      </c>
      <c r="N968" s="188" t="s">
        <v>2397</v>
      </c>
      <c r="O968" s="198" t="s">
        <v>2392</v>
      </c>
      <c r="P968">
        <v>961</v>
      </c>
      <c r="Q968">
        <f>_xlfn.XLOOKUP(A968,'[1]Classic Net to delete'!D:D,'[1]Classic Net to delete'!AA:AA,0)</f>
        <v>773</v>
      </c>
    </row>
    <row r="969" spans="1:17" x14ac:dyDescent="0.25">
      <c r="A969" t="s">
        <v>2398</v>
      </c>
      <c r="B969" t="s">
        <v>2399</v>
      </c>
      <c r="C969">
        <v>69.39</v>
      </c>
      <c r="D969" t="s">
        <v>2387</v>
      </c>
      <c r="E969" t="str">
        <f t="shared" si="21"/>
        <v>01. Routers and Planers</v>
      </c>
      <c r="F969">
        <v>75</v>
      </c>
      <c r="H969" t="b">
        <v>1</v>
      </c>
      <c r="I969">
        <v>774</v>
      </c>
      <c r="K969" s="192" t="s">
        <v>21</v>
      </c>
      <c r="L969" s="188">
        <f>IFERROR(_xlfn.XLOOKUP(A969,[1]Fleet!A:A,[1]Fleet!E:E,""),"")</f>
        <v>4</v>
      </c>
      <c r="M969" s="188">
        <v>64.850000000000009</v>
      </c>
      <c r="N969" s="188" t="s">
        <v>2400</v>
      </c>
      <c r="O969" s="198" t="s">
        <v>2392</v>
      </c>
      <c r="P969">
        <v>964</v>
      </c>
      <c r="Q969">
        <f>_xlfn.XLOOKUP(A969,'[1]Classic Net to delete'!D:D,'[1]Classic Net to delete'!AA:AA,0)</f>
        <v>774</v>
      </c>
    </row>
    <row r="970" spans="1:17" x14ac:dyDescent="0.25">
      <c r="A970" t="s">
        <v>2401</v>
      </c>
      <c r="B970" t="s">
        <v>2402</v>
      </c>
      <c r="C970">
        <v>78.86</v>
      </c>
      <c r="D970" t="s">
        <v>2387</v>
      </c>
      <c r="E970" t="str">
        <f t="shared" si="21"/>
        <v>01. Routers and Planers</v>
      </c>
      <c r="F970">
        <v>75</v>
      </c>
      <c r="H970" t="b">
        <v>1</v>
      </c>
      <c r="I970">
        <v>813</v>
      </c>
      <c r="K970" s="192" t="s">
        <v>21</v>
      </c>
      <c r="L970" s="188">
        <f>IFERROR(_xlfn.XLOOKUP(A970,[1]Fleet!A:A,[1]Fleet!E:E,""),"")</f>
        <v>3</v>
      </c>
      <c r="M970" s="188">
        <v>73.7</v>
      </c>
      <c r="N970" s="188" t="s">
        <v>2402</v>
      </c>
      <c r="O970" s="198" t="s">
        <v>2392</v>
      </c>
      <c r="P970">
        <v>966</v>
      </c>
      <c r="Q970">
        <f>_xlfn.XLOOKUP(A970,'[1]Classic Net to delete'!D:D,'[1]Classic Net to delete'!AA:AA,0)</f>
        <v>813</v>
      </c>
    </row>
    <row r="971" spans="1:17" x14ac:dyDescent="0.25">
      <c r="A971" t="s">
        <v>2403</v>
      </c>
      <c r="B971" t="s">
        <v>2404</v>
      </c>
      <c r="C971">
        <v>7.6000000000000005</v>
      </c>
      <c r="D971" t="s">
        <v>2387</v>
      </c>
      <c r="E971" t="str">
        <f t="shared" si="21"/>
        <v>01. Routers and Planers</v>
      </c>
      <c r="F971">
        <v>75</v>
      </c>
      <c r="H971" t="b">
        <v>1</v>
      </c>
      <c r="I971">
        <v>814</v>
      </c>
      <c r="K971" s="192" t="s">
        <v>21</v>
      </c>
      <c r="L971" s="188">
        <f>IFERROR(_xlfn.XLOOKUP(A971,[1]Fleet!A:A,[1]Fleet!E:E,""),"")</f>
        <v>3</v>
      </c>
      <c r="M971" s="188">
        <v>7.1000000000000005</v>
      </c>
      <c r="N971" s="188" t="s">
        <v>2404</v>
      </c>
      <c r="O971" s="198" t="s">
        <v>2392</v>
      </c>
      <c r="P971">
        <v>965</v>
      </c>
      <c r="Q971">
        <f>_xlfn.XLOOKUP(A971,'[1]Classic Net to delete'!D:D,'[1]Classic Net to delete'!AA:AA,0)</f>
        <v>814</v>
      </c>
    </row>
    <row r="972" spans="1:17" x14ac:dyDescent="0.25">
      <c r="A972" t="s">
        <v>2405</v>
      </c>
      <c r="B972" t="s">
        <v>2406</v>
      </c>
      <c r="C972">
        <v>19.900000000000002</v>
      </c>
      <c r="D972" t="s">
        <v>2387</v>
      </c>
      <c r="E972" t="str">
        <f t="shared" si="21"/>
        <v>02. Cramps &amp; Clamps</v>
      </c>
      <c r="F972">
        <v>75</v>
      </c>
      <c r="H972" t="b">
        <v>1</v>
      </c>
      <c r="I972">
        <v>527</v>
      </c>
      <c r="K972" s="192" t="s">
        <v>54</v>
      </c>
      <c r="L972" s="188" t="str">
        <f>IFERROR(_xlfn.XLOOKUP(A972,[1]Fleet!A:A,[1]Fleet!E:E,""),"")</f>
        <v/>
      </c>
      <c r="M972" s="188">
        <v>18.600000000000001</v>
      </c>
      <c r="N972" s="188" t="s">
        <v>2407</v>
      </c>
      <c r="O972" s="198" t="s">
        <v>2408</v>
      </c>
      <c r="P972">
        <v>959</v>
      </c>
      <c r="Q972">
        <f>_xlfn.XLOOKUP(A972,'[1]Classic Net to delete'!D:D,'[1]Classic Net to delete'!AA:AA,0)</f>
        <v>527</v>
      </c>
    </row>
    <row r="973" spans="1:17" x14ac:dyDescent="0.25">
      <c r="A973" t="s">
        <v>2409</v>
      </c>
      <c r="B973" t="s">
        <v>2410</v>
      </c>
      <c r="C973">
        <v>17.07</v>
      </c>
      <c r="D973" t="s">
        <v>2387</v>
      </c>
      <c r="E973" t="str">
        <f t="shared" si="21"/>
        <v>02. Cramps &amp; Clamps</v>
      </c>
      <c r="F973">
        <v>75</v>
      </c>
      <c r="H973" t="b">
        <v>1</v>
      </c>
      <c r="I973">
        <v>818</v>
      </c>
      <c r="K973" s="192" t="s">
        <v>54</v>
      </c>
      <c r="L973" s="188" t="str">
        <f>IFERROR(_xlfn.XLOOKUP(A973,[1]Fleet!A:A,[1]Fleet!E:E,""),"")</f>
        <v/>
      </c>
      <c r="M973" s="188">
        <v>15.950000000000001</v>
      </c>
      <c r="N973" s="188" t="s">
        <v>2410</v>
      </c>
      <c r="O973" s="198" t="s">
        <v>2408</v>
      </c>
      <c r="P973">
        <v>958</v>
      </c>
      <c r="Q973">
        <f>_xlfn.XLOOKUP(A973,'[1]Classic Net to delete'!D:D,'[1]Classic Net to delete'!AA:AA,0)</f>
        <v>818</v>
      </c>
    </row>
    <row r="974" spans="1:17" x14ac:dyDescent="0.25">
      <c r="A974" t="s">
        <v>2411</v>
      </c>
      <c r="B974" t="s">
        <v>2412</v>
      </c>
      <c r="C974">
        <v>7.92</v>
      </c>
      <c r="D974" t="s">
        <v>2387</v>
      </c>
      <c r="E974" t="str">
        <f t="shared" si="21"/>
        <v>02. Cramps &amp; Clamps</v>
      </c>
      <c r="F974">
        <v>75</v>
      </c>
      <c r="H974" t="b">
        <v>1</v>
      </c>
      <c r="I974">
        <v>819</v>
      </c>
      <c r="K974" s="192" t="s">
        <v>54</v>
      </c>
      <c r="L974" s="188" t="str">
        <f>IFERROR(_xlfn.XLOOKUP(A974,[1]Fleet!A:A,[1]Fleet!E:E,""),"")</f>
        <v/>
      </c>
      <c r="M974" s="188">
        <v>7.4</v>
      </c>
      <c r="N974" s="188" t="s">
        <v>2413</v>
      </c>
      <c r="O974" s="198" t="s">
        <v>2408</v>
      </c>
      <c r="P974">
        <v>957</v>
      </c>
      <c r="Q974">
        <f>_xlfn.XLOOKUP(A974,'[1]Classic Net to delete'!D:D,'[1]Classic Net to delete'!AA:AA,0)</f>
        <v>819</v>
      </c>
    </row>
    <row r="975" spans="1:17" x14ac:dyDescent="0.25">
      <c r="A975" t="s">
        <v>2414</v>
      </c>
      <c r="B975" t="s">
        <v>2415</v>
      </c>
      <c r="C975">
        <v>13.540000000000001</v>
      </c>
      <c r="D975" t="s">
        <v>2387</v>
      </c>
      <c r="E975" t="str">
        <f t="shared" si="21"/>
        <v>02. Cramps &amp; Clamps</v>
      </c>
      <c r="F975">
        <v>75</v>
      </c>
      <c r="H975" t="b">
        <v>1</v>
      </c>
      <c r="I975">
        <v>820</v>
      </c>
      <c r="K975" s="192" t="s">
        <v>54</v>
      </c>
      <c r="L975" s="188" t="str">
        <f>IFERROR(_xlfn.XLOOKUP(A975,[1]Fleet!A:A,[1]Fleet!E:E,""),"")</f>
        <v/>
      </c>
      <c r="M975" s="188">
        <v>12.65</v>
      </c>
      <c r="N975" s="188" t="s">
        <v>2416</v>
      </c>
      <c r="O975" s="198" t="s">
        <v>2408</v>
      </c>
      <c r="P975">
        <v>956</v>
      </c>
      <c r="Q975">
        <f>_xlfn.XLOOKUP(A975,'[1]Classic Net to delete'!D:D,'[1]Classic Net to delete'!AA:AA,0)</f>
        <v>820</v>
      </c>
    </row>
    <row r="976" spans="1:17" x14ac:dyDescent="0.25">
      <c r="A976" t="s">
        <v>2417</v>
      </c>
      <c r="B976" t="s">
        <v>2418</v>
      </c>
      <c r="C976">
        <v>2.89</v>
      </c>
      <c r="D976" t="s">
        <v>2387</v>
      </c>
      <c r="E976" t="str">
        <f t="shared" si="21"/>
        <v>02. Cramps &amp; Clamps</v>
      </c>
      <c r="F976">
        <v>75</v>
      </c>
      <c r="H976" t="b">
        <v>1</v>
      </c>
      <c r="I976">
        <v>821</v>
      </c>
      <c r="K976" s="192" t="s">
        <v>54</v>
      </c>
      <c r="L976" s="188" t="str">
        <f>IFERROR(_xlfn.XLOOKUP(A976,[1]Fleet!A:A,[1]Fleet!E:E,""),"")</f>
        <v/>
      </c>
      <c r="M976" s="188">
        <v>2.7</v>
      </c>
      <c r="N976" s="188" t="s">
        <v>2418</v>
      </c>
      <c r="O976" s="198" t="s">
        <v>2408</v>
      </c>
      <c r="P976">
        <v>955</v>
      </c>
      <c r="Q976">
        <f>_xlfn.XLOOKUP(A976,'[1]Classic Net to delete'!D:D,'[1]Classic Net to delete'!AA:AA,0)</f>
        <v>821</v>
      </c>
    </row>
    <row r="977" spans="1:17" x14ac:dyDescent="0.25">
      <c r="A977" t="s">
        <v>2419</v>
      </c>
      <c r="B977" t="s">
        <v>2420</v>
      </c>
      <c r="C977">
        <v>12.950000000000001</v>
      </c>
      <c r="D977" t="s">
        <v>2387</v>
      </c>
      <c r="E977" t="str">
        <f t="shared" si="21"/>
        <v>03. Sanding</v>
      </c>
      <c r="F977">
        <v>75</v>
      </c>
      <c r="H977" t="b">
        <v>1</v>
      </c>
      <c r="I977">
        <v>824</v>
      </c>
      <c r="K977" s="192" t="s">
        <v>85</v>
      </c>
      <c r="L977" s="188">
        <f>IFERROR(_xlfn.XLOOKUP(A977,[1]Fleet!A:A,[1]Fleet!E:E,""),"")</f>
        <v>17</v>
      </c>
      <c r="M977" s="188">
        <v>12.100000000000001</v>
      </c>
      <c r="N977" s="188" t="s">
        <v>2421</v>
      </c>
      <c r="O977" s="198" t="s">
        <v>2388</v>
      </c>
      <c r="P977">
        <v>972</v>
      </c>
      <c r="Q977">
        <f>_xlfn.XLOOKUP(A977,'[1]Classic Net to delete'!D:D,'[1]Classic Net to delete'!AA:AA,0)</f>
        <v>824</v>
      </c>
    </row>
    <row r="978" spans="1:17" x14ac:dyDescent="0.25">
      <c r="A978" t="s">
        <v>2422</v>
      </c>
      <c r="B978" t="s">
        <v>2423</v>
      </c>
      <c r="C978">
        <v>30.98</v>
      </c>
      <c r="D978" t="s">
        <v>2387</v>
      </c>
      <c r="E978" t="str">
        <f t="shared" si="21"/>
        <v>03. Sanding</v>
      </c>
      <c r="F978">
        <v>75</v>
      </c>
      <c r="H978" t="b">
        <v>1</v>
      </c>
      <c r="I978">
        <v>825</v>
      </c>
      <c r="K978" s="192" t="s">
        <v>85</v>
      </c>
      <c r="L978" s="188">
        <f>IFERROR(_xlfn.XLOOKUP(A978,[1]Fleet!A:A,[1]Fleet!E:E,""),"")</f>
        <v>7</v>
      </c>
      <c r="M978" s="188">
        <v>28.950000000000003</v>
      </c>
      <c r="N978" s="188" t="s">
        <v>2424</v>
      </c>
      <c r="O978" s="198" t="s">
        <v>2388</v>
      </c>
      <c r="P978">
        <v>971</v>
      </c>
      <c r="Q978">
        <f>_xlfn.XLOOKUP(A978,'[1]Classic Net to delete'!D:D,'[1]Classic Net to delete'!AA:AA,0)</f>
        <v>825</v>
      </c>
    </row>
    <row r="979" spans="1:17" x14ac:dyDescent="0.25">
      <c r="A979" t="s">
        <v>2425</v>
      </c>
      <c r="B979" t="s">
        <v>2426</v>
      </c>
      <c r="C979">
        <v>40.39</v>
      </c>
      <c r="D979" t="s">
        <v>2387</v>
      </c>
      <c r="E979" t="str">
        <f t="shared" si="21"/>
        <v>03. Sanding</v>
      </c>
      <c r="F979">
        <v>75</v>
      </c>
      <c r="H979" t="b">
        <v>1</v>
      </c>
      <c r="I979">
        <v>826</v>
      </c>
      <c r="K979" s="192" t="s">
        <v>85</v>
      </c>
      <c r="L979" s="188">
        <f>IFERROR(_xlfn.XLOOKUP(A979,[1]Fleet!A:A,[1]Fleet!E:E,""),"")</f>
        <v>6</v>
      </c>
      <c r="M979" s="188">
        <v>37.75</v>
      </c>
      <c r="N979" s="188" t="s">
        <v>2427</v>
      </c>
      <c r="O979" s="198" t="s">
        <v>2388</v>
      </c>
      <c r="P979">
        <v>973</v>
      </c>
      <c r="Q979">
        <f>_xlfn.XLOOKUP(A979,'[1]Classic Net to delete'!D:D,'[1]Classic Net to delete'!AA:AA,0)</f>
        <v>826</v>
      </c>
    </row>
    <row r="980" spans="1:17" x14ac:dyDescent="0.25">
      <c r="A980" t="s">
        <v>2428</v>
      </c>
      <c r="B980" t="s">
        <v>2429</v>
      </c>
      <c r="C980">
        <v>36.97</v>
      </c>
      <c r="D980" t="s">
        <v>2387</v>
      </c>
      <c r="E980" t="str">
        <f t="shared" si="21"/>
        <v>03. Sanding</v>
      </c>
      <c r="F980">
        <v>75</v>
      </c>
      <c r="H980" t="b">
        <v>1</v>
      </c>
      <c r="I980">
        <v>827</v>
      </c>
      <c r="K980" s="192" t="s">
        <v>85</v>
      </c>
      <c r="L980" s="188">
        <f>IFERROR(_xlfn.XLOOKUP(A980,[1]Fleet!A:A,[1]Fleet!E:E,""),"")</f>
        <v>2</v>
      </c>
      <c r="M980" s="188">
        <v>34.550000000000004</v>
      </c>
      <c r="N980" s="188" t="s">
        <v>2429</v>
      </c>
      <c r="O980" s="198" t="s">
        <v>2388</v>
      </c>
      <c r="P980">
        <v>968</v>
      </c>
      <c r="Q980">
        <f>_xlfn.XLOOKUP(A980,'[1]Classic Net to delete'!D:D,'[1]Classic Net to delete'!AA:AA,0)</f>
        <v>827</v>
      </c>
    </row>
    <row r="981" spans="1:17" x14ac:dyDescent="0.25">
      <c r="A981" t="s">
        <v>2430</v>
      </c>
      <c r="B981" t="s">
        <v>2431</v>
      </c>
      <c r="C981">
        <v>43.87</v>
      </c>
      <c r="D981" t="s">
        <v>2387</v>
      </c>
      <c r="E981" t="str">
        <f t="shared" si="21"/>
        <v>03. Sanding</v>
      </c>
      <c r="F981">
        <v>75</v>
      </c>
      <c r="H981" t="b">
        <v>1</v>
      </c>
      <c r="I981">
        <v>828</v>
      </c>
      <c r="K981" s="192" t="s">
        <v>85</v>
      </c>
      <c r="L981" s="188">
        <f>IFERROR(_xlfn.XLOOKUP(A981,[1]Fleet!A:A,[1]Fleet!E:E,""),"")</f>
        <v>3</v>
      </c>
      <c r="M981" s="188">
        <v>41</v>
      </c>
      <c r="N981" s="188" t="s">
        <v>2432</v>
      </c>
      <c r="O981" s="198" t="s">
        <v>2388</v>
      </c>
      <c r="P981">
        <v>967</v>
      </c>
      <c r="Q981">
        <f>_xlfn.XLOOKUP(A981,'[1]Classic Net to delete'!D:D,'[1]Classic Net to delete'!AA:AA,0)</f>
        <v>828</v>
      </c>
    </row>
    <row r="982" spans="1:17" x14ac:dyDescent="0.25">
      <c r="A982" t="s">
        <v>2433</v>
      </c>
      <c r="B982" t="s">
        <v>2434</v>
      </c>
      <c r="C982">
        <v>118.76</v>
      </c>
      <c r="D982" t="s">
        <v>2387</v>
      </c>
      <c r="E982" t="str">
        <f t="shared" si="21"/>
        <v>03. Sanding</v>
      </c>
      <c r="F982">
        <v>75</v>
      </c>
      <c r="H982" t="b">
        <v>1</v>
      </c>
      <c r="I982">
        <v>829</v>
      </c>
      <c r="K982" s="192" t="s">
        <v>85</v>
      </c>
      <c r="L982" s="188">
        <f>IFERROR(_xlfn.XLOOKUP(A982,[1]Fleet!A:A,[1]Fleet!E:E,""),"")</f>
        <v>7</v>
      </c>
      <c r="M982" s="188">
        <v>91.350000000000009</v>
      </c>
      <c r="N982" s="188" t="s">
        <v>2435</v>
      </c>
      <c r="O982" s="198" t="s">
        <v>2388</v>
      </c>
      <c r="P982">
        <v>970</v>
      </c>
      <c r="Q982">
        <f>_xlfn.XLOOKUP(A982,'[1]Classic Net to delete'!D:D,'[1]Classic Net to delete'!AA:AA,0)</f>
        <v>829</v>
      </c>
    </row>
    <row r="983" spans="1:17" x14ac:dyDescent="0.25">
      <c r="A983" t="s">
        <v>2436</v>
      </c>
      <c r="B983" t="s">
        <v>2437</v>
      </c>
      <c r="C983">
        <v>74.36</v>
      </c>
      <c r="D983" t="s">
        <v>2387</v>
      </c>
      <c r="E983" t="str">
        <f t="shared" si="21"/>
        <v>03. Sanding</v>
      </c>
      <c r="F983">
        <v>75</v>
      </c>
      <c r="H983" t="b">
        <v>1</v>
      </c>
      <c r="I983">
        <v>830</v>
      </c>
      <c r="K983" s="192" t="s">
        <v>85</v>
      </c>
      <c r="L983" s="188">
        <f>IFERROR(_xlfn.XLOOKUP(A983,[1]Fleet!A:A,[1]Fleet!E:E,""),"")</f>
        <v>4</v>
      </c>
      <c r="M983" s="188">
        <v>57.2</v>
      </c>
      <c r="N983" s="188" t="s">
        <v>2438</v>
      </c>
      <c r="O983" s="198" t="s">
        <v>2388</v>
      </c>
      <c r="P983">
        <v>969</v>
      </c>
      <c r="Q983">
        <f>_xlfn.XLOOKUP(A983,'[1]Classic Net to delete'!D:D,'[1]Classic Net to delete'!AA:AA,0)</f>
        <v>830</v>
      </c>
    </row>
    <row r="984" spans="1:17" x14ac:dyDescent="0.25">
      <c r="A984" t="s">
        <v>2439</v>
      </c>
      <c r="B984" t="s">
        <v>2440</v>
      </c>
      <c r="C984">
        <v>50.34</v>
      </c>
      <c r="D984" t="s">
        <v>2387</v>
      </c>
      <c r="E984" t="str">
        <f t="shared" si="21"/>
        <v>03. Sanding</v>
      </c>
      <c r="F984">
        <v>75</v>
      </c>
      <c r="H984" t="b">
        <v>1</v>
      </c>
      <c r="I984">
        <v>831</v>
      </c>
      <c r="K984" s="192" t="s">
        <v>85</v>
      </c>
      <c r="L984" s="188">
        <f>IFERROR(_xlfn.XLOOKUP(A984,[1]Fleet!A:A,[1]Fleet!E:E,""),"")</f>
        <v>31</v>
      </c>
      <c r="M984" s="188">
        <v>47.050000000000004</v>
      </c>
      <c r="N984" s="188" t="s">
        <v>2440</v>
      </c>
      <c r="O984" s="198" t="s">
        <v>2388</v>
      </c>
      <c r="P984">
        <v>975</v>
      </c>
      <c r="Q984">
        <f>_xlfn.XLOOKUP(A984,'[1]Classic Net to delete'!D:D,'[1]Classic Net to delete'!AA:AA,0)</f>
        <v>831</v>
      </c>
    </row>
    <row r="985" spans="1:17" x14ac:dyDescent="0.25">
      <c r="A985" t="s">
        <v>2441</v>
      </c>
      <c r="B985" t="s">
        <v>2442</v>
      </c>
      <c r="C985">
        <v>87.38</v>
      </c>
      <c r="D985" t="s">
        <v>2387</v>
      </c>
      <c r="E985" t="str">
        <f t="shared" si="21"/>
        <v>03. Sanding</v>
      </c>
      <c r="F985">
        <v>75</v>
      </c>
      <c r="H985" t="b">
        <v>1</v>
      </c>
      <c r="I985">
        <v>832</v>
      </c>
      <c r="K985" s="192" t="s">
        <v>85</v>
      </c>
      <c r="L985" s="188">
        <f>IFERROR(_xlfn.XLOOKUP(A985,[1]Fleet!A:A,[1]Fleet!E:E,""),"")</f>
        <v>24</v>
      </c>
      <c r="M985" s="188">
        <v>74.05</v>
      </c>
      <c r="N985" s="188" t="s">
        <v>2389</v>
      </c>
      <c r="O985" s="198" t="s">
        <v>2388</v>
      </c>
      <c r="P985">
        <v>976</v>
      </c>
      <c r="Q985">
        <f>_xlfn.XLOOKUP(A985,'[1]Classic Net to delete'!D:D,'[1]Classic Net to delete'!AA:AA,0)</f>
        <v>832</v>
      </c>
    </row>
    <row r="986" spans="1:17" x14ac:dyDescent="0.25">
      <c r="A986" t="s">
        <v>2443</v>
      </c>
      <c r="B986" t="s">
        <v>2444</v>
      </c>
      <c r="C986">
        <v>5.72</v>
      </c>
      <c r="E986" t="str">
        <f t="shared" si="21"/>
        <v xml:space="preserve">. </v>
      </c>
      <c r="F986">
        <v>75</v>
      </c>
      <c r="H986" t="b">
        <v>0</v>
      </c>
      <c r="L986" s="188" t="str">
        <f>IFERROR(_xlfn.XLOOKUP(A986,[1]Fleet!A:A,[1]Fleet!E:E,""),"")</f>
        <v/>
      </c>
      <c r="M986" s="188" t="s">
        <v>22</v>
      </c>
      <c r="N986" s="188" t="s">
        <v>22</v>
      </c>
      <c r="P986">
        <v>1268</v>
      </c>
      <c r="Q986">
        <f>_xlfn.XLOOKUP(A986,'[1]Classic Net to delete'!D:D,'[1]Classic Net to delete'!AA:AA,0)</f>
        <v>0</v>
      </c>
    </row>
    <row r="987" spans="1:17" x14ac:dyDescent="0.25">
      <c r="A987" t="s">
        <v>2445</v>
      </c>
      <c r="B987" t="s">
        <v>2446</v>
      </c>
      <c r="C987">
        <v>5.72</v>
      </c>
      <c r="E987" t="str">
        <f t="shared" si="21"/>
        <v xml:space="preserve">. </v>
      </c>
      <c r="F987">
        <v>75</v>
      </c>
      <c r="H987" t="b">
        <v>0</v>
      </c>
      <c r="L987" s="188" t="str">
        <f>IFERROR(_xlfn.XLOOKUP(A987,[1]Fleet!A:A,[1]Fleet!E:E,""),"")</f>
        <v/>
      </c>
      <c r="M987" s="188" t="s">
        <v>22</v>
      </c>
      <c r="N987" s="188" t="s">
        <v>22</v>
      </c>
      <c r="P987">
        <v>1267</v>
      </c>
      <c r="Q987">
        <f>_xlfn.XLOOKUP(A987,'[1]Classic Net to delete'!D:D,'[1]Classic Net to delete'!AA:AA,0)</f>
        <v>0</v>
      </c>
    </row>
    <row r="988" spans="1:17" x14ac:dyDescent="0.25">
      <c r="A988" t="s">
        <v>2447</v>
      </c>
      <c r="B988" t="s">
        <v>2448</v>
      </c>
      <c r="C988">
        <v>3.8000000000000003</v>
      </c>
      <c r="E988" t="str">
        <f t="shared" si="21"/>
        <v xml:space="preserve">. </v>
      </c>
      <c r="F988">
        <v>75</v>
      </c>
      <c r="H988" t="b">
        <v>0</v>
      </c>
      <c r="L988" s="188" t="str">
        <f>IFERROR(_xlfn.XLOOKUP(A988,[1]Fleet!A:A,[1]Fleet!E:E,""),"")</f>
        <v/>
      </c>
      <c r="M988" s="188" t="s">
        <v>22</v>
      </c>
      <c r="N988" s="188" t="s">
        <v>22</v>
      </c>
      <c r="P988">
        <v>1266</v>
      </c>
      <c r="Q988">
        <f>_xlfn.XLOOKUP(A988,'[1]Classic Net to delete'!D:D,'[1]Classic Net to delete'!AA:AA,0)</f>
        <v>0</v>
      </c>
    </row>
    <row r="989" spans="1:17" x14ac:dyDescent="0.25">
      <c r="A989" t="s">
        <v>2449</v>
      </c>
      <c r="B989" t="s">
        <v>2450</v>
      </c>
      <c r="C989">
        <v>2.89</v>
      </c>
      <c r="E989" t="str">
        <f t="shared" si="21"/>
        <v xml:space="preserve">. </v>
      </c>
      <c r="F989">
        <v>75</v>
      </c>
      <c r="H989" t="b">
        <v>0</v>
      </c>
      <c r="L989" s="188" t="str">
        <f>IFERROR(_xlfn.XLOOKUP(A989,[1]Fleet!A:A,[1]Fleet!E:E,""),"")</f>
        <v/>
      </c>
      <c r="M989" s="188" t="s">
        <v>22</v>
      </c>
      <c r="N989" s="188" t="s">
        <v>22</v>
      </c>
      <c r="P989">
        <v>1265</v>
      </c>
      <c r="Q989">
        <f>_xlfn.XLOOKUP(A989,'[1]Classic Net to delete'!D:D,'[1]Classic Net to delete'!AA:AA,0)</f>
        <v>0</v>
      </c>
    </row>
    <row r="990" spans="1:17" x14ac:dyDescent="0.25">
      <c r="A990" t="s">
        <v>2451</v>
      </c>
      <c r="B990" t="s">
        <v>2452</v>
      </c>
      <c r="C990">
        <v>4.4400000000000004</v>
      </c>
      <c r="E990" t="str">
        <f t="shared" si="21"/>
        <v xml:space="preserve">. </v>
      </c>
      <c r="F990">
        <v>75</v>
      </c>
      <c r="H990" t="b">
        <v>0</v>
      </c>
      <c r="L990" s="188" t="str">
        <f>IFERROR(_xlfn.XLOOKUP(A990,[1]Fleet!A:A,[1]Fleet!E:E,""),"")</f>
        <v/>
      </c>
      <c r="M990" s="188" t="s">
        <v>22</v>
      </c>
      <c r="N990" s="188" t="s">
        <v>22</v>
      </c>
      <c r="P990">
        <v>1264</v>
      </c>
      <c r="Q990">
        <f>_xlfn.XLOOKUP(A990,'[1]Classic Net to delete'!D:D,'[1]Classic Net to delete'!AA:AA,0)</f>
        <v>0</v>
      </c>
    </row>
    <row r="991" spans="1:17" x14ac:dyDescent="0.25">
      <c r="A991" t="s">
        <v>2453</v>
      </c>
      <c r="B991" t="s">
        <v>2454</v>
      </c>
      <c r="C991">
        <v>4.12</v>
      </c>
      <c r="E991" t="str">
        <f t="shared" si="21"/>
        <v xml:space="preserve">. </v>
      </c>
      <c r="F991">
        <v>75</v>
      </c>
      <c r="H991" t="b">
        <v>0</v>
      </c>
      <c r="L991" s="188" t="str">
        <f>IFERROR(_xlfn.XLOOKUP(A991,[1]Fleet!A:A,[1]Fleet!E:E,""),"")</f>
        <v/>
      </c>
      <c r="M991" s="188" t="s">
        <v>22</v>
      </c>
      <c r="N991" s="188" t="s">
        <v>22</v>
      </c>
      <c r="P991">
        <v>1263</v>
      </c>
      <c r="Q991">
        <f>_xlfn.XLOOKUP(A991,'[1]Classic Net to delete'!D:D,'[1]Classic Net to delete'!AA:AA,0)</f>
        <v>0</v>
      </c>
    </row>
    <row r="992" spans="1:17" x14ac:dyDescent="0.25">
      <c r="A992" t="s">
        <v>2455</v>
      </c>
      <c r="B992" t="s">
        <v>2456</v>
      </c>
      <c r="C992">
        <v>4.12</v>
      </c>
      <c r="E992" t="str">
        <f t="shared" si="21"/>
        <v xml:space="preserve">. </v>
      </c>
      <c r="F992">
        <v>75</v>
      </c>
      <c r="H992" t="b">
        <v>0</v>
      </c>
      <c r="L992" s="188" t="str">
        <f>IFERROR(_xlfn.XLOOKUP(A992,[1]Fleet!A:A,[1]Fleet!E:E,""),"")</f>
        <v/>
      </c>
      <c r="M992" s="188" t="s">
        <v>22</v>
      </c>
      <c r="N992" s="188" t="s">
        <v>22</v>
      </c>
      <c r="P992">
        <v>1262</v>
      </c>
      <c r="Q992">
        <f>_xlfn.XLOOKUP(A992,'[1]Classic Net to delete'!D:D,'[1]Classic Net to delete'!AA:AA,0)</f>
        <v>0</v>
      </c>
    </row>
    <row r="993" spans="1:17" x14ac:dyDescent="0.25">
      <c r="A993" t="s">
        <v>2457</v>
      </c>
      <c r="B993" t="s">
        <v>2458</v>
      </c>
      <c r="C993">
        <v>4.12</v>
      </c>
      <c r="E993" t="str">
        <f t="shared" si="21"/>
        <v xml:space="preserve">. </v>
      </c>
      <c r="F993">
        <v>75</v>
      </c>
      <c r="H993" t="b">
        <v>0</v>
      </c>
      <c r="L993" s="188" t="str">
        <f>IFERROR(_xlfn.XLOOKUP(A993,[1]Fleet!A:A,[1]Fleet!E:E,""),"")</f>
        <v/>
      </c>
      <c r="M993" s="188" t="s">
        <v>22</v>
      </c>
      <c r="N993" s="188" t="s">
        <v>22</v>
      </c>
      <c r="P993">
        <v>1261</v>
      </c>
      <c r="Q993">
        <f>_xlfn.XLOOKUP(A993,'[1]Classic Net to delete'!D:D,'[1]Classic Net to delete'!AA:AA,0)</f>
        <v>0</v>
      </c>
    </row>
    <row r="994" spans="1:17" x14ac:dyDescent="0.25">
      <c r="A994" t="s">
        <v>2459</v>
      </c>
      <c r="B994" t="s">
        <v>2460</v>
      </c>
      <c r="C994">
        <v>12.63</v>
      </c>
      <c r="E994" t="str">
        <f t="shared" si="21"/>
        <v xml:space="preserve">. </v>
      </c>
      <c r="F994">
        <v>75</v>
      </c>
      <c r="H994" t="b">
        <v>0</v>
      </c>
      <c r="L994" s="188" t="str">
        <f>IFERROR(_xlfn.XLOOKUP(A994,[1]Fleet!A:A,[1]Fleet!E:E,""),"")</f>
        <v/>
      </c>
      <c r="M994" s="188" t="s">
        <v>22</v>
      </c>
      <c r="N994" s="188" t="s">
        <v>22</v>
      </c>
      <c r="P994">
        <v>1260</v>
      </c>
      <c r="Q994">
        <f>_xlfn.XLOOKUP(A994,'[1]Classic Net to delete'!D:D,'[1]Classic Net to delete'!AA:AA,0)</f>
        <v>0</v>
      </c>
    </row>
    <row r="995" spans="1:17" x14ac:dyDescent="0.25">
      <c r="A995" t="s">
        <v>2461</v>
      </c>
      <c r="B995" t="s">
        <v>2462</v>
      </c>
      <c r="C995">
        <v>12.63</v>
      </c>
      <c r="E995" t="str">
        <f t="shared" si="21"/>
        <v xml:space="preserve">. </v>
      </c>
      <c r="F995">
        <v>75</v>
      </c>
      <c r="H995" t="b">
        <v>0</v>
      </c>
      <c r="L995" s="188" t="str">
        <f>IFERROR(_xlfn.XLOOKUP(A995,[1]Fleet!A:A,[1]Fleet!E:E,""),"")</f>
        <v/>
      </c>
      <c r="M995" s="188" t="s">
        <v>22</v>
      </c>
      <c r="N995" s="188" t="s">
        <v>22</v>
      </c>
      <c r="P995">
        <v>1259</v>
      </c>
      <c r="Q995">
        <f>_xlfn.XLOOKUP(A995,'[1]Classic Net to delete'!D:D,'[1]Classic Net to delete'!AA:AA,0)</f>
        <v>0</v>
      </c>
    </row>
    <row r="996" spans="1:17" x14ac:dyDescent="0.25">
      <c r="A996" t="s">
        <v>2463</v>
      </c>
      <c r="B996" t="s">
        <v>2464</v>
      </c>
      <c r="C996">
        <v>33.76</v>
      </c>
      <c r="E996" t="str">
        <f t="shared" si="21"/>
        <v xml:space="preserve">. </v>
      </c>
      <c r="F996">
        <v>75</v>
      </c>
      <c r="H996" t="b">
        <v>0</v>
      </c>
      <c r="L996" s="188" t="str">
        <f>IFERROR(_xlfn.XLOOKUP(A996,[1]Fleet!A:A,[1]Fleet!E:E,""),"")</f>
        <v/>
      </c>
      <c r="M996" s="188" t="s">
        <v>22</v>
      </c>
      <c r="N996" s="188" t="s">
        <v>22</v>
      </c>
      <c r="P996">
        <v>1258</v>
      </c>
      <c r="Q996">
        <f>_xlfn.XLOOKUP(A996,'[1]Classic Net to delete'!D:D,'[1]Classic Net to delete'!AA:AA,0)</f>
        <v>0</v>
      </c>
    </row>
    <row r="997" spans="1:17" x14ac:dyDescent="0.25">
      <c r="A997" t="s">
        <v>2465</v>
      </c>
      <c r="B997" t="s">
        <v>2466</v>
      </c>
      <c r="C997">
        <v>20.22</v>
      </c>
      <c r="E997" t="str">
        <f t="shared" si="21"/>
        <v xml:space="preserve">. </v>
      </c>
      <c r="F997">
        <v>75</v>
      </c>
      <c r="H997" t="b">
        <v>0</v>
      </c>
      <c r="L997" s="188" t="str">
        <f>IFERROR(_xlfn.XLOOKUP(A997,[1]Fleet!A:A,[1]Fleet!E:E,""),"")</f>
        <v/>
      </c>
      <c r="M997" s="188" t="s">
        <v>22</v>
      </c>
      <c r="N997" s="188" t="s">
        <v>22</v>
      </c>
      <c r="P997">
        <v>1257</v>
      </c>
      <c r="Q997">
        <f>_xlfn.XLOOKUP(A997,'[1]Classic Net to delete'!D:D,'[1]Classic Net to delete'!AA:AA,0)</f>
        <v>0</v>
      </c>
    </row>
    <row r="998" spans="1:17" x14ac:dyDescent="0.25">
      <c r="A998" t="s">
        <v>2467</v>
      </c>
      <c r="B998" t="s">
        <v>2468</v>
      </c>
      <c r="C998">
        <v>10.540000000000001</v>
      </c>
      <c r="E998" t="str">
        <f t="shared" si="21"/>
        <v xml:space="preserve">. </v>
      </c>
      <c r="F998">
        <v>75</v>
      </c>
      <c r="H998" t="b">
        <v>0</v>
      </c>
      <c r="L998" s="188" t="str">
        <f>IFERROR(_xlfn.XLOOKUP(A998,[1]Fleet!A:A,[1]Fleet!E:E,""),"")</f>
        <v/>
      </c>
      <c r="M998" s="188" t="s">
        <v>22</v>
      </c>
      <c r="N998" s="188" t="s">
        <v>22</v>
      </c>
      <c r="P998">
        <v>1256</v>
      </c>
      <c r="Q998">
        <f>_xlfn.XLOOKUP(A998,'[1]Classic Net to delete'!D:D,'[1]Classic Net to delete'!AA:AA,0)</f>
        <v>0</v>
      </c>
    </row>
    <row r="999" spans="1:17" x14ac:dyDescent="0.25">
      <c r="A999" t="s">
        <v>2469</v>
      </c>
      <c r="B999" t="s">
        <v>2470</v>
      </c>
      <c r="C999">
        <v>10.540000000000001</v>
      </c>
      <c r="E999" t="str">
        <f t="shared" si="21"/>
        <v xml:space="preserve">. </v>
      </c>
      <c r="F999">
        <v>75</v>
      </c>
      <c r="H999" t="b">
        <v>0</v>
      </c>
      <c r="L999" s="188" t="str">
        <f>IFERROR(_xlfn.XLOOKUP(A999,[1]Fleet!A:A,[1]Fleet!E:E,""),"")</f>
        <v/>
      </c>
      <c r="M999" s="188" t="s">
        <v>22</v>
      </c>
      <c r="N999" s="188" t="s">
        <v>22</v>
      </c>
      <c r="P999">
        <v>1255</v>
      </c>
      <c r="Q999">
        <f>_xlfn.XLOOKUP(A999,'[1]Classic Net to delete'!D:D,'[1]Classic Net to delete'!AA:AA,0)</f>
        <v>0</v>
      </c>
    </row>
    <row r="1000" spans="1:17" x14ac:dyDescent="0.25">
      <c r="A1000" t="s">
        <v>2471</v>
      </c>
      <c r="B1000" t="s">
        <v>2472</v>
      </c>
      <c r="C1000">
        <v>15.84</v>
      </c>
      <c r="E1000" t="str">
        <f t="shared" si="21"/>
        <v xml:space="preserve">. </v>
      </c>
      <c r="F1000">
        <v>75</v>
      </c>
      <c r="H1000" t="b">
        <v>0</v>
      </c>
      <c r="L1000" s="188" t="str">
        <f>IFERROR(_xlfn.XLOOKUP(A1000,[1]Fleet!A:A,[1]Fleet!E:E,""),"")</f>
        <v/>
      </c>
      <c r="M1000" s="188" t="s">
        <v>22</v>
      </c>
      <c r="N1000" s="188" t="s">
        <v>22</v>
      </c>
      <c r="P1000">
        <v>1254</v>
      </c>
      <c r="Q1000">
        <f>_xlfn.XLOOKUP(A1000,'[1]Classic Net to delete'!D:D,'[1]Classic Net to delete'!AA:AA,0)</f>
        <v>0</v>
      </c>
    </row>
    <row r="1001" spans="1:17" x14ac:dyDescent="0.25">
      <c r="A1001" t="s">
        <v>2473</v>
      </c>
      <c r="B1001" t="s">
        <v>2474</v>
      </c>
      <c r="C1001">
        <v>10.540000000000001</v>
      </c>
      <c r="E1001" t="str">
        <f t="shared" si="21"/>
        <v xml:space="preserve">. </v>
      </c>
      <c r="F1001">
        <v>75</v>
      </c>
      <c r="H1001" t="b">
        <v>0</v>
      </c>
      <c r="L1001" s="188" t="str">
        <f>IFERROR(_xlfn.XLOOKUP(A1001,[1]Fleet!A:A,[1]Fleet!E:E,""),"")</f>
        <v/>
      </c>
      <c r="M1001" s="188" t="s">
        <v>22</v>
      </c>
      <c r="N1001" s="188" t="s">
        <v>22</v>
      </c>
      <c r="P1001">
        <v>1253</v>
      </c>
      <c r="Q1001">
        <f>_xlfn.XLOOKUP(A1001,'[1]Classic Net to delete'!D:D,'[1]Classic Net to delete'!AA:AA,0)</f>
        <v>0</v>
      </c>
    </row>
    <row r="1002" spans="1:17" x14ac:dyDescent="0.25">
      <c r="A1002" t="s">
        <v>2475</v>
      </c>
      <c r="B1002" t="s">
        <v>2476</v>
      </c>
      <c r="C1002">
        <v>23.38</v>
      </c>
      <c r="E1002" t="str">
        <f t="shared" si="21"/>
        <v xml:space="preserve">. </v>
      </c>
      <c r="F1002">
        <v>75</v>
      </c>
      <c r="H1002" t="b">
        <v>0</v>
      </c>
      <c r="L1002" s="188" t="str">
        <f>IFERROR(_xlfn.XLOOKUP(A1002,[1]Fleet!A:A,[1]Fleet!E:E,""),"")</f>
        <v/>
      </c>
      <c r="M1002" s="188" t="s">
        <v>22</v>
      </c>
      <c r="N1002" s="188" t="s">
        <v>22</v>
      </c>
      <c r="P1002">
        <v>1252</v>
      </c>
      <c r="Q1002">
        <f>_xlfn.XLOOKUP(A1002,'[1]Classic Net to delete'!D:D,'[1]Classic Net to delete'!AA:AA,0)</f>
        <v>0</v>
      </c>
    </row>
    <row r="1003" spans="1:17" x14ac:dyDescent="0.25">
      <c r="A1003" t="s">
        <v>2477</v>
      </c>
      <c r="B1003" t="s">
        <v>2478</v>
      </c>
      <c r="C1003">
        <v>10.540000000000001</v>
      </c>
      <c r="E1003" t="str">
        <f t="shared" si="21"/>
        <v xml:space="preserve">. </v>
      </c>
      <c r="F1003">
        <v>75</v>
      </c>
      <c r="H1003" t="b">
        <v>0</v>
      </c>
      <c r="L1003" s="188" t="str">
        <f>IFERROR(_xlfn.XLOOKUP(A1003,[1]Fleet!A:A,[1]Fleet!E:E,""),"")</f>
        <v/>
      </c>
      <c r="M1003" s="188" t="s">
        <v>22</v>
      </c>
      <c r="N1003" s="188" t="s">
        <v>22</v>
      </c>
      <c r="P1003">
        <v>1251</v>
      </c>
      <c r="Q1003">
        <f>_xlfn.XLOOKUP(A1003,'[1]Classic Net to delete'!D:D,'[1]Classic Net to delete'!AA:AA,0)</f>
        <v>0</v>
      </c>
    </row>
    <row r="1004" spans="1:17" x14ac:dyDescent="0.25">
      <c r="A1004" t="s">
        <v>2479</v>
      </c>
      <c r="B1004" t="s">
        <v>2480</v>
      </c>
      <c r="C1004">
        <v>23.38</v>
      </c>
      <c r="E1004" t="str">
        <f t="shared" si="21"/>
        <v xml:space="preserve">. </v>
      </c>
      <c r="F1004">
        <v>75</v>
      </c>
      <c r="H1004" t="b">
        <v>0</v>
      </c>
      <c r="L1004" s="188" t="str">
        <f>IFERROR(_xlfn.XLOOKUP(A1004,[1]Fleet!A:A,[1]Fleet!E:E,""),"")</f>
        <v/>
      </c>
      <c r="M1004" s="188" t="s">
        <v>22</v>
      </c>
      <c r="N1004" s="188" t="s">
        <v>22</v>
      </c>
      <c r="P1004">
        <v>1250</v>
      </c>
      <c r="Q1004">
        <f>_xlfn.XLOOKUP(A1004,'[1]Classic Net to delete'!D:D,'[1]Classic Net to delete'!AA:AA,0)</f>
        <v>0</v>
      </c>
    </row>
    <row r="1005" spans="1:17" x14ac:dyDescent="0.25">
      <c r="A1005" t="s">
        <v>2481</v>
      </c>
      <c r="B1005" t="s">
        <v>2482</v>
      </c>
      <c r="C1005">
        <v>23.38</v>
      </c>
      <c r="E1005" t="str">
        <f t="shared" si="21"/>
        <v xml:space="preserve">. </v>
      </c>
      <c r="F1005">
        <v>75</v>
      </c>
      <c r="H1005" t="b">
        <v>0</v>
      </c>
      <c r="L1005" s="188" t="str">
        <f>IFERROR(_xlfn.XLOOKUP(A1005,[1]Fleet!A:A,[1]Fleet!E:E,""),"")</f>
        <v/>
      </c>
      <c r="M1005" s="188" t="s">
        <v>22</v>
      </c>
      <c r="N1005" s="188" t="s">
        <v>22</v>
      </c>
      <c r="P1005">
        <v>1249</v>
      </c>
      <c r="Q1005">
        <f>_xlfn.XLOOKUP(A1005,'[1]Classic Net to delete'!D:D,'[1]Classic Net to delete'!AA:AA,0)</f>
        <v>0</v>
      </c>
    </row>
    <row r="1006" spans="1:17" x14ac:dyDescent="0.25">
      <c r="A1006" t="s">
        <v>2483</v>
      </c>
      <c r="B1006" t="s">
        <v>2484</v>
      </c>
      <c r="C1006">
        <v>3.8000000000000003</v>
      </c>
      <c r="E1006" t="str">
        <f t="shared" si="21"/>
        <v xml:space="preserve">. </v>
      </c>
      <c r="F1006">
        <v>75</v>
      </c>
      <c r="H1006" t="b">
        <v>0</v>
      </c>
      <c r="L1006" s="188" t="str">
        <f>IFERROR(_xlfn.XLOOKUP(A1006,[1]Fleet!A:A,[1]Fleet!E:E,""),"")</f>
        <v/>
      </c>
      <c r="M1006" s="188" t="s">
        <v>22</v>
      </c>
      <c r="N1006" s="188" t="s">
        <v>22</v>
      </c>
      <c r="P1006">
        <v>1248</v>
      </c>
      <c r="Q1006">
        <f>_xlfn.XLOOKUP(A1006,'[1]Classic Net to delete'!D:D,'[1]Classic Net to delete'!AA:AA,0)</f>
        <v>0</v>
      </c>
    </row>
    <row r="1007" spans="1:17" x14ac:dyDescent="0.25">
      <c r="A1007" t="s">
        <v>2485</v>
      </c>
      <c r="B1007" t="s">
        <v>2486</v>
      </c>
      <c r="C1007">
        <v>3.8000000000000003</v>
      </c>
      <c r="E1007" t="str">
        <f t="shared" si="21"/>
        <v xml:space="preserve">. </v>
      </c>
      <c r="F1007">
        <v>75</v>
      </c>
      <c r="H1007" t="b">
        <v>0</v>
      </c>
      <c r="L1007" s="188" t="str">
        <f>IFERROR(_xlfn.XLOOKUP(A1007,[1]Fleet!A:A,[1]Fleet!E:E,""),"")</f>
        <v/>
      </c>
      <c r="M1007" s="188" t="s">
        <v>22</v>
      </c>
      <c r="N1007" s="188" t="s">
        <v>22</v>
      </c>
      <c r="P1007">
        <v>1247</v>
      </c>
      <c r="Q1007">
        <f>_xlfn.XLOOKUP(A1007,'[1]Classic Net to delete'!D:D,'[1]Classic Net to delete'!AA:AA,0)</f>
        <v>0</v>
      </c>
    </row>
    <row r="1008" spans="1:17" x14ac:dyDescent="0.25">
      <c r="A1008" t="s">
        <v>2487</v>
      </c>
      <c r="B1008" t="s">
        <v>2488</v>
      </c>
      <c r="C1008">
        <v>3.8000000000000003</v>
      </c>
      <c r="E1008" t="str">
        <f t="shared" si="21"/>
        <v xml:space="preserve">. </v>
      </c>
      <c r="F1008">
        <v>75</v>
      </c>
      <c r="H1008" t="b">
        <v>0</v>
      </c>
      <c r="L1008" s="188" t="str">
        <f>IFERROR(_xlfn.XLOOKUP(A1008,[1]Fleet!A:A,[1]Fleet!E:E,""),"")</f>
        <v/>
      </c>
      <c r="M1008" s="188" t="s">
        <v>22</v>
      </c>
      <c r="N1008" s="188" t="s">
        <v>22</v>
      </c>
      <c r="P1008">
        <v>1246</v>
      </c>
      <c r="Q1008">
        <f>_xlfn.XLOOKUP(A1008,'[1]Classic Net to delete'!D:D,'[1]Classic Net to delete'!AA:AA,0)</f>
        <v>0</v>
      </c>
    </row>
    <row r="1009" spans="1:17" x14ac:dyDescent="0.25">
      <c r="A1009" t="s">
        <v>2489</v>
      </c>
      <c r="B1009" t="s">
        <v>2490</v>
      </c>
      <c r="C1009">
        <v>3.8000000000000003</v>
      </c>
      <c r="E1009" t="str">
        <f t="shared" si="21"/>
        <v xml:space="preserve">. </v>
      </c>
      <c r="F1009">
        <v>75</v>
      </c>
      <c r="H1009" t="b">
        <v>0</v>
      </c>
      <c r="L1009" s="188" t="str">
        <f>IFERROR(_xlfn.XLOOKUP(A1009,[1]Fleet!A:A,[1]Fleet!E:E,""),"")</f>
        <v/>
      </c>
      <c r="M1009" s="188" t="s">
        <v>22</v>
      </c>
      <c r="N1009" s="188" t="s">
        <v>22</v>
      </c>
      <c r="P1009">
        <v>1245</v>
      </c>
      <c r="Q1009">
        <f>_xlfn.XLOOKUP(A1009,'[1]Classic Net to delete'!D:D,'[1]Classic Net to delete'!AA:AA,0)</f>
        <v>0</v>
      </c>
    </row>
    <row r="1010" spans="1:17" x14ac:dyDescent="0.25">
      <c r="A1010" t="s">
        <v>2491</v>
      </c>
      <c r="B1010" t="s">
        <v>2492</v>
      </c>
      <c r="C1010">
        <v>3.8000000000000003</v>
      </c>
      <c r="E1010" t="str">
        <f t="shared" si="21"/>
        <v xml:space="preserve">. </v>
      </c>
      <c r="F1010">
        <v>75</v>
      </c>
      <c r="H1010" t="b">
        <v>0</v>
      </c>
      <c r="L1010" s="188" t="str">
        <f>IFERROR(_xlfn.XLOOKUP(A1010,[1]Fleet!A:A,[1]Fleet!E:E,""),"")</f>
        <v/>
      </c>
      <c r="M1010" s="188" t="s">
        <v>22</v>
      </c>
      <c r="N1010" s="188" t="s">
        <v>22</v>
      </c>
      <c r="P1010">
        <v>1244</v>
      </c>
      <c r="Q1010">
        <f>_xlfn.XLOOKUP(A1010,'[1]Classic Net to delete'!D:D,'[1]Classic Net to delete'!AA:AA,0)</f>
        <v>0</v>
      </c>
    </row>
    <row r="1011" spans="1:17" x14ac:dyDescent="0.25">
      <c r="A1011" t="s">
        <v>2493</v>
      </c>
      <c r="B1011" t="s">
        <v>2494</v>
      </c>
      <c r="C1011">
        <v>0</v>
      </c>
      <c r="E1011" t="str">
        <f t="shared" si="21"/>
        <v xml:space="preserve">. </v>
      </c>
      <c r="F1011">
        <v>75</v>
      </c>
      <c r="H1011" t="b">
        <v>0</v>
      </c>
      <c r="L1011" s="188" t="str">
        <f>IFERROR(_xlfn.XLOOKUP(A1011,[1]Fleet!A:A,[1]Fleet!E:E,""),"")</f>
        <v/>
      </c>
      <c r="M1011" s="188" t="s">
        <v>22</v>
      </c>
      <c r="N1011" s="188" t="s">
        <v>22</v>
      </c>
      <c r="P1011">
        <v>1243</v>
      </c>
      <c r="Q1011">
        <f>_xlfn.XLOOKUP(A1011,'[1]Classic Net to delete'!D:D,'[1]Classic Net to delete'!AA:AA,0)</f>
        <v>0</v>
      </c>
    </row>
    <row r="1012" spans="1:17" x14ac:dyDescent="0.25">
      <c r="A1012" t="s">
        <v>2495</v>
      </c>
      <c r="B1012" t="s">
        <v>2496</v>
      </c>
      <c r="C1012">
        <v>3.8000000000000003</v>
      </c>
      <c r="E1012" t="str">
        <f t="shared" si="21"/>
        <v xml:space="preserve">. </v>
      </c>
      <c r="F1012">
        <v>75</v>
      </c>
      <c r="H1012" t="b">
        <v>0</v>
      </c>
      <c r="L1012" s="188" t="str">
        <f>IFERROR(_xlfn.XLOOKUP(A1012,[1]Fleet!A:A,[1]Fleet!E:E,""),"")</f>
        <v/>
      </c>
      <c r="M1012" s="188" t="s">
        <v>22</v>
      </c>
      <c r="N1012" s="188" t="s">
        <v>22</v>
      </c>
      <c r="P1012">
        <v>1242</v>
      </c>
      <c r="Q1012">
        <f>_xlfn.XLOOKUP(A1012,'[1]Classic Net to delete'!D:D,'[1]Classic Net to delete'!AA:AA,0)</f>
        <v>0</v>
      </c>
    </row>
    <row r="1013" spans="1:17" x14ac:dyDescent="0.25">
      <c r="A1013" t="s">
        <v>2497</v>
      </c>
      <c r="B1013" t="s">
        <v>2498</v>
      </c>
      <c r="C1013">
        <v>3.8000000000000003</v>
      </c>
      <c r="E1013" t="str">
        <f t="shared" si="21"/>
        <v xml:space="preserve">. </v>
      </c>
      <c r="F1013">
        <v>75</v>
      </c>
      <c r="H1013" t="b">
        <v>0</v>
      </c>
      <c r="L1013" s="188" t="str">
        <f>IFERROR(_xlfn.XLOOKUP(A1013,[1]Fleet!A:A,[1]Fleet!E:E,""),"")</f>
        <v/>
      </c>
      <c r="M1013" s="188" t="s">
        <v>22</v>
      </c>
      <c r="N1013" s="188" t="s">
        <v>22</v>
      </c>
      <c r="P1013">
        <v>1241</v>
      </c>
      <c r="Q1013">
        <f>_xlfn.XLOOKUP(A1013,'[1]Classic Net to delete'!D:D,'[1]Classic Net to delete'!AA:AA,0)</f>
        <v>0</v>
      </c>
    </row>
    <row r="1014" spans="1:17" x14ac:dyDescent="0.25">
      <c r="A1014" t="s">
        <v>2499</v>
      </c>
      <c r="B1014" t="s">
        <v>2500</v>
      </c>
      <c r="C1014">
        <v>3.8000000000000003</v>
      </c>
      <c r="E1014" t="str">
        <f t="shared" si="21"/>
        <v xml:space="preserve">. </v>
      </c>
      <c r="F1014">
        <v>75</v>
      </c>
      <c r="H1014" t="b">
        <v>0</v>
      </c>
      <c r="L1014" s="188" t="str">
        <f>IFERROR(_xlfn.XLOOKUP(A1014,[1]Fleet!A:A,[1]Fleet!E:E,""),"")</f>
        <v/>
      </c>
      <c r="M1014" s="188" t="s">
        <v>22</v>
      </c>
      <c r="N1014" s="188" t="s">
        <v>22</v>
      </c>
      <c r="P1014">
        <v>1240</v>
      </c>
      <c r="Q1014">
        <f>_xlfn.XLOOKUP(A1014,'[1]Classic Net to delete'!D:D,'[1]Classic Net to delete'!AA:AA,0)</f>
        <v>0</v>
      </c>
    </row>
    <row r="1015" spans="1:17" x14ac:dyDescent="0.25">
      <c r="A1015" t="s">
        <v>2501</v>
      </c>
      <c r="B1015" t="s">
        <v>2502</v>
      </c>
      <c r="C1015">
        <v>3.8000000000000003</v>
      </c>
      <c r="E1015" t="str">
        <f t="shared" si="21"/>
        <v xml:space="preserve">. </v>
      </c>
      <c r="F1015">
        <v>75</v>
      </c>
      <c r="H1015" t="b">
        <v>0</v>
      </c>
      <c r="L1015" s="188" t="str">
        <f>IFERROR(_xlfn.XLOOKUP(A1015,[1]Fleet!A:A,[1]Fleet!E:E,""),"")</f>
        <v/>
      </c>
      <c r="M1015" s="188" t="s">
        <v>22</v>
      </c>
      <c r="N1015" s="188" t="s">
        <v>22</v>
      </c>
      <c r="P1015">
        <v>1239</v>
      </c>
      <c r="Q1015">
        <f>_xlfn.XLOOKUP(A1015,'[1]Classic Net to delete'!D:D,'[1]Classic Net to delete'!AA:AA,0)</f>
        <v>0</v>
      </c>
    </row>
    <row r="1016" spans="1:17" x14ac:dyDescent="0.25">
      <c r="A1016" t="s">
        <v>2503</v>
      </c>
      <c r="B1016" t="s">
        <v>2504</v>
      </c>
      <c r="C1016">
        <v>3.8000000000000003</v>
      </c>
      <c r="E1016" t="str">
        <f t="shared" si="21"/>
        <v xml:space="preserve">. </v>
      </c>
      <c r="F1016">
        <v>75</v>
      </c>
      <c r="H1016" t="b">
        <v>0</v>
      </c>
      <c r="L1016" s="188" t="str">
        <f>IFERROR(_xlfn.XLOOKUP(A1016,[1]Fleet!A:A,[1]Fleet!E:E,""),"")</f>
        <v/>
      </c>
      <c r="M1016" s="188" t="s">
        <v>22</v>
      </c>
      <c r="N1016" s="188" t="s">
        <v>22</v>
      </c>
      <c r="P1016">
        <v>1238</v>
      </c>
      <c r="Q1016">
        <f>_xlfn.XLOOKUP(A1016,'[1]Classic Net to delete'!D:D,'[1]Classic Net to delete'!AA:AA,0)</f>
        <v>0</v>
      </c>
    </row>
    <row r="1017" spans="1:17" x14ac:dyDescent="0.25">
      <c r="A1017" t="s">
        <v>2505</v>
      </c>
      <c r="B1017" t="s">
        <v>2506</v>
      </c>
      <c r="C1017">
        <v>3.8000000000000003</v>
      </c>
      <c r="E1017" t="str">
        <f t="shared" si="21"/>
        <v xml:space="preserve">. </v>
      </c>
      <c r="F1017">
        <v>75</v>
      </c>
      <c r="H1017" t="b">
        <v>0</v>
      </c>
      <c r="L1017" s="188" t="str">
        <f>IFERROR(_xlfn.XLOOKUP(A1017,[1]Fleet!A:A,[1]Fleet!E:E,""),"")</f>
        <v/>
      </c>
      <c r="M1017" s="188" t="s">
        <v>22</v>
      </c>
      <c r="N1017" s="188" t="s">
        <v>22</v>
      </c>
      <c r="P1017">
        <v>1237</v>
      </c>
      <c r="Q1017">
        <f>_xlfn.XLOOKUP(A1017,'[1]Classic Net to delete'!D:D,'[1]Classic Net to delete'!AA:AA,0)</f>
        <v>0</v>
      </c>
    </row>
    <row r="1018" spans="1:17" x14ac:dyDescent="0.25">
      <c r="A1018" t="s">
        <v>2507</v>
      </c>
      <c r="B1018" t="s">
        <v>2508</v>
      </c>
      <c r="C1018">
        <v>3.8000000000000003</v>
      </c>
      <c r="E1018" t="str">
        <f t="shared" si="21"/>
        <v xml:space="preserve">. </v>
      </c>
      <c r="F1018">
        <v>75</v>
      </c>
      <c r="H1018" t="b">
        <v>0</v>
      </c>
      <c r="L1018" s="188" t="str">
        <f>IFERROR(_xlfn.XLOOKUP(A1018,[1]Fleet!A:A,[1]Fleet!E:E,""),"")</f>
        <v/>
      </c>
      <c r="M1018" s="188" t="s">
        <v>22</v>
      </c>
      <c r="N1018" s="188" t="s">
        <v>22</v>
      </c>
      <c r="P1018">
        <v>1236</v>
      </c>
      <c r="Q1018">
        <f>_xlfn.XLOOKUP(A1018,'[1]Classic Net to delete'!D:D,'[1]Classic Net to delete'!AA:AA,0)</f>
        <v>0</v>
      </c>
    </row>
    <row r="1019" spans="1:17" x14ac:dyDescent="0.25">
      <c r="A1019" t="s">
        <v>2509</v>
      </c>
      <c r="B1019" t="s">
        <v>2510</v>
      </c>
      <c r="C1019">
        <v>3.8000000000000003</v>
      </c>
      <c r="E1019" t="str">
        <f t="shared" si="21"/>
        <v xml:space="preserve">. </v>
      </c>
      <c r="F1019">
        <v>75</v>
      </c>
      <c r="H1019" t="b">
        <v>0</v>
      </c>
      <c r="L1019" s="188" t="str">
        <f>IFERROR(_xlfn.XLOOKUP(A1019,[1]Fleet!A:A,[1]Fleet!E:E,""),"")</f>
        <v/>
      </c>
      <c r="M1019" s="188" t="s">
        <v>22</v>
      </c>
      <c r="N1019" s="188" t="s">
        <v>22</v>
      </c>
      <c r="P1019">
        <v>1235</v>
      </c>
      <c r="Q1019">
        <f>_xlfn.XLOOKUP(A1019,'[1]Classic Net to delete'!D:D,'[1]Classic Net to delete'!AA:AA,0)</f>
        <v>0</v>
      </c>
    </row>
    <row r="1020" spans="1:17" x14ac:dyDescent="0.25">
      <c r="A1020" t="s">
        <v>2511</v>
      </c>
      <c r="B1020" t="s">
        <v>2512</v>
      </c>
      <c r="C1020">
        <v>3.8000000000000003</v>
      </c>
      <c r="E1020" t="str">
        <f t="shared" si="21"/>
        <v xml:space="preserve">. </v>
      </c>
      <c r="F1020">
        <v>75</v>
      </c>
      <c r="H1020" t="b">
        <v>0</v>
      </c>
      <c r="L1020" s="188" t="str">
        <f>IFERROR(_xlfn.XLOOKUP(A1020,[1]Fleet!A:A,[1]Fleet!E:E,""),"")</f>
        <v/>
      </c>
      <c r="M1020" s="188" t="s">
        <v>22</v>
      </c>
      <c r="N1020" s="188" t="s">
        <v>22</v>
      </c>
      <c r="P1020">
        <v>1234</v>
      </c>
      <c r="Q1020">
        <f>_xlfn.XLOOKUP(A1020,'[1]Classic Net to delete'!D:D,'[1]Classic Net to delete'!AA:AA,0)</f>
        <v>0</v>
      </c>
    </row>
    <row r="1021" spans="1:17" x14ac:dyDescent="0.25">
      <c r="A1021" t="s">
        <v>2513</v>
      </c>
      <c r="B1021" t="s">
        <v>2514</v>
      </c>
      <c r="C1021">
        <v>4.12</v>
      </c>
      <c r="E1021" t="str">
        <f t="shared" si="21"/>
        <v xml:space="preserve">. </v>
      </c>
      <c r="F1021">
        <v>75</v>
      </c>
      <c r="H1021" t="b">
        <v>0</v>
      </c>
      <c r="L1021" s="188" t="str">
        <f>IFERROR(_xlfn.XLOOKUP(A1021,[1]Fleet!A:A,[1]Fleet!E:E,""),"")</f>
        <v/>
      </c>
      <c r="M1021" s="188" t="s">
        <v>22</v>
      </c>
      <c r="N1021" s="188" t="s">
        <v>22</v>
      </c>
      <c r="P1021">
        <v>1233</v>
      </c>
      <c r="Q1021">
        <f>_xlfn.XLOOKUP(A1021,'[1]Classic Net to delete'!D:D,'[1]Classic Net to delete'!AA:AA,0)</f>
        <v>0</v>
      </c>
    </row>
    <row r="1022" spans="1:17" x14ac:dyDescent="0.25">
      <c r="A1022" t="s">
        <v>2515</v>
      </c>
      <c r="B1022" t="s">
        <v>2516</v>
      </c>
      <c r="C1022">
        <v>5.08</v>
      </c>
      <c r="E1022" t="str">
        <f t="shared" si="21"/>
        <v xml:space="preserve">. </v>
      </c>
      <c r="F1022">
        <v>75</v>
      </c>
      <c r="H1022" t="b">
        <v>0</v>
      </c>
      <c r="L1022" s="188" t="str">
        <f>IFERROR(_xlfn.XLOOKUP(A1022,[1]Fleet!A:A,[1]Fleet!E:E,""),"")</f>
        <v/>
      </c>
      <c r="M1022" s="188" t="s">
        <v>22</v>
      </c>
      <c r="N1022" s="188" t="s">
        <v>22</v>
      </c>
      <c r="P1022">
        <v>1232</v>
      </c>
      <c r="Q1022">
        <f>_xlfn.XLOOKUP(A1022,'[1]Classic Net to delete'!D:D,'[1]Classic Net to delete'!AA:AA,0)</f>
        <v>0</v>
      </c>
    </row>
    <row r="1023" spans="1:17" x14ac:dyDescent="0.25">
      <c r="A1023" t="s">
        <v>2517</v>
      </c>
      <c r="B1023" t="s">
        <v>2518</v>
      </c>
      <c r="C1023">
        <v>5.08</v>
      </c>
      <c r="E1023" t="str">
        <f t="shared" si="21"/>
        <v xml:space="preserve">. </v>
      </c>
      <c r="F1023">
        <v>75</v>
      </c>
      <c r="H1023" t="b">
        <v>0</v>
      </c>
      <c r="L1023" s="188" t="str">
        <f>IFERROR(_xlfn.XLOOKUP(A1023,[1]Fleet!A:A,[1]Fleet!E:E,""),"")</f>
        <v/>
      </c>
      <c r="M1023" s="188" t="s">
        <v>22</v>
      </c>
      <c r="N1023" s="188" t="s">
        <v>22</v>
      </c>
      <c r="P1023">
        <v>1231</v>
      </c>
      <c r="Q1023">
        <f>_xlfn.XLOOKUP(A1023,'[1]Classic Net to delete'!D:D,'[1]Classic Net to delete'!AA:AA,0)</f>
        <v>0</v>
      </c>
    </row>
    <row r="1024" spans="1:17" x14ac:dyDescent="0.25">
      <c r="A1024" t="s">
        <v>2519</v>
      </c>
      <c r="B1024" t="s">
        <v>2520</v>
      </c>
      <c r="C1024">
        <v>2.25</v>
      </c>
      <c r="E1024" t="str">
        <f t="shared" si="21"/>
        <v xml:space="preserve">. </v>
      </c>
      <c r="F1024">
        <v>75</v>
      </c>
      <c r="H1024" t="b">
        <v>0</v>
      </c>
      <c r="L1024" s="188" t="str">
        <f>IFERROR(_xlfn.XLOOKUP(A1024,[1]Fleet!A:A,[1]Fleet!E:E,""),"")</f>
        <v/>
      </c>
      <c r="M1024" s="188" t="s">
        <v>22</v>
      </c>
      <c r="N1024" s="188" t="s">
        <v>22</v>
      </c>
      <c r="P1024">
        <v>1230</v>
      </c>
      <c r="Q1024">
        <f>_xlfn.XLOOKUP(A1024,'[1]Classic Net to delete'!D:D,'[1]Classic Net to delete'!AA:AA,0)</f>
        <v>0</v>
      </c>
    </row>
    <row r="1025" spans="1:17" x14ac:dyDescent="0.25">
      <c r="A1025" t="s">
        <v>2521</v>
      </c>
      <c r="B1025" t="s">
        <v>2522</v>
      </c>
      <c r="C1025">
        <v>2.25</v>
      </c>
      <c r="E1025" t="str">
        <f t="shared" si="21"/>
        <v xml:space="preserve">. </v>
      </c>
      <c r="F1025">
        <v>75</v>
      </c>
      <c r="H1025" t="b">
        <v>0</v>
      </c>
      <c r="L1025" s="188" t="str">
        <f>IFERROR(_xlfn.XLOOKUP(A1025,[1]Fleet!A:A,[1]Fleet!E:E,""),"")</f>
        <v/>
      </c>
      <c r="M1025" s="188" t="s">
        <v>22</v>
      </c>
      <c r="N1025" s="188" t="s">
        <v>22</v>
      </c>
      <c r="P1025">
        <v>1229</v>
      </c>
      <c r="Q1025">
        <f>_xlfn.XLOOKUP(A1025,'[1]Classic Net to delete'!D:D,'[1]Classic Net to delete'!AA:AA,0)</f>
        <v>0</v>
      </c>
    </row>
    <row r="1026" spans="1:17" x14ac:dyDescent="0.25">
      <c r="A1026" t="s">
        <v>2523</v>
      </c>
      <c r="B1026" t="s">
        <v>2524</v>
      </c>
      <c r="C1026">
        <v>2.25</v>
      </c>
      <c r="E1026" t="str">
        <f t="shared" si="21"/>
        <v xml:space="preserve">. </v>
      </c>
      <c r="F1026">
        <v>75</v>
      </c>
      <c r="H1026" t="b">
        <v>0</v>
      </c>
      <c r="L1026" s="188" t="str">
        <f>IFERROR(_xlfn.XLOOKUP(A1026,[1]Fleet!A:A,[1]Fleet!E:E,""),"")</f>
        <v/>
      </c>
      <c r="M1026" s="188" t="s">
        <v>22</v>
      </c>
      <c r="N1026" s="188" t="s">
        <v>22</v>
      </c>
      <c r="P1026">
        <v>1228</v>
      </c>
      <c r="Q1026">
        <f>_xlfn.XLOOKUP(A1026,'[1]Classic Net to delete'!D:D,'[1]Classic Net to delete'!AA:AA,0)</f>
        <v>0</v>
      </c>
    </row>
    <row r="1027" spans="1:17" x14ac:dyDescent="0.25">
      <c r="A1027" t="s">
        <v>2525</v>
      </c>
      <c r="B1027" t="s">
        <v>2526</v>
      </c>
      <c r="C1027">
        <v>5.08</v>
      </c>
      <c r="E1027" t="str">
        <f t="shared" si="21"/>
        <v xml:space="preserve">. </v>
      </c>
      <c r="F1027">
        <v>75</v>
      </c>
      <c r="H1027" t="b">
        <v>0</v>
      </c>
      <c r="L1027" s="188" t="str">
        <f>IFERROR(_xlfn.XLOOKUP(A1027,[1]Fleet!A:A,[1]Fleet!E:E,""),"")</f>
        <v/>
      </c>
      <c r="M1027" s="188" t="s">
        <v>22</v>
      </c>
      <c r="N1027" s="188" t="s">
        <v>22</v>
      </c>
      <c r="P1027">
        <v>1227</v>
      </c>
      <c r="Q1027">
        <f>_xlfn.XLOOKUP(A1027,'[1]Classic Net to delete'!D:D,'[1]Classic Net to delete'!AA:AA,0)</f>
        <v>0</v>
      </c>
    </row>
    <row r="1028" spans="1:17" x14ac:dyDescent="0.25">
      <c r="A1028" t="s">
        <v>2527</v>
      </c>
      <c r="B1028" t="s">
        <v>2528</v>
      </c>
      <c r="C1028">
        <v>9.15</v>
      </c>
      <c r="E1028" t="str">
        <f t="shared" si="21"/>
        <v xml:space="preserve">. </v>
      </c>
      <c r="F1028">
        <v>75</v>
      </c>
      <c r="H1028" t="b">
        <v>0</v>
      </c>
      <c r="L1028" s="188" t="str">
        <f>IFERROR(_xlfn.XLOOKUP(A1028,[1]Fleet!A:A,[1]Fleet!E:E,""),"")</f>
        <v/>
      </c>
      <c r="M1028" s="188" t="s">
        <v>22</v>
      </c>
      <c r="N1028" s="188" t="s">
        <v>22</v>
      </c>
      <c r="P1028">
        <v>1226</v>
      </c>
      <c r="Q1028">
        <f>_xlfn.XLOOKUP(A1028,'[1]Classic Net to delete'!D:D,'[1]Classic Net to delete'!AA:AA,0)</f>
        <v>0</v>
      </c>
    </row>
    <row r="1029" spans="1:17" x14ac:dyDescent="0.25">
      <c r="A1029" t="s">
        <v>2529</v>
      </c>
      <c r="B1029" t="s">
        <v>2530</v>
      </c>
      <c r="C1029">
        <v>2.25</v>
      </c>
      <c r="E1029" t="str">
        <f t="shared" ref="E1029:E1092" si="22">CONCATENATE(K1029,". ",O1029)</f>
        <v xml:space="preserve">. </v>
      </c>
      <c r="F1029">
        <v>75</v>
      </c>
      <c r="H1029" t="b">
        <v>0</v>
      </c>
      <c r="L1029" s="188" t="str">
        <f>IFERROR(_xlfn.XLOOKUP(A1029,[1]Fleet!A:A,[1]Fleet!E:E,""),"")</f>
        <v/>
      </c>
      <c r="M1029" s="188" t="s">
        <v>22</v>
      </c>
      <c r="N1029" s="188" t="s">
        <v>22</v>
      </c>
      <c r="P1029">
        <v>1225</v>
      </c>
      <c r="Q1029">
        <f>_xlfn.XLOOKUP(A1029,'[1]Classic Net to delete'!D:D,'[1]Classic Net to delete'!AA:AA,0)</f>
        <v>0</v>
      </c>
    </row>
    <row r="1030" spans="1:17" x14ac:dyDescent="0.25">
      <c r="A1030" t="s">
        <v>2531</v>
      </c>
      <c r="B1030" t="s">
        <v>2532</v>
      </c>
      <c r="C1030">
        <v>2.25</v>
      </c>
      <c r="E1030" t="str">
        <f t="shared" si="22"/>
        <v xml:space="preserve">. </v>
      </c>
      <c r="F1030">
        <v>75</v>
      </c>
      <c r="H1030" t="b">
        <v>0</v>
      </c>
      <c r="L1030" s="188" t="str">
        <f>IFERROR(_xlfn.XLOOKUP(A1030,[1]Fleet!A:A,[1]Fleet!E:E,""),"")</f>
        <v/>
      </c>
      <c r="M1030" s="188" t="s">
        <v>22</v>
      </c>
      <c r="N1030" s="188" t="s">
        <v>22</v>
      </c>
      <c r="P1030">
        <v>1224</v>
      </c>
      <c r="Q1030">
        <f>_xlfn.XLOOKUP(A1030,'[1]Classic Net to delete'!D:D,'[1]Classic Net to delete'!AA:AA,0)</f>
        <v>0</v>
      </c>
    </row>
    <row r="1031" spans="1:17" x14ac:dyDescent="0.25">
      <c r="A1031" t="s">
        <v>2533</v>
      </c>
      <c r="B1031" t="s">
        <v>2534</v>
      </c>
      <c r="C1031">
        <v>2.25</v>
      </c>
      <c r="E1031" t="str">
        <f t="shared" si="22"/>
        <v xml:space="preserve">. </v>
      </c>
      <c r="F1031">
        <v>75</v>
      </c>
      <c r="H1031" t="b">
        <v>0</v>
      </c>
      <c r="L1031" s="188" t="str">
        <f>IFERROR(_xlfn.XLOOKUP(A1031,[1]Fleet!A:A,[1]Fleet!E:E,""),"")</f>
        <v/>
      </c>
      <c r="M1031" s="188" t="s">
        <v>22</v>
      </c>
      <c r="N1031" s="188" t="s">
        <v>22</v>
      </c>
      <c r="P1031">
        <v>1223</v>
      </c>
      <c r="Q1031">
        <f>_xlfn.XLOOKUP(A1031,'[1]Classic Net to delete'!D:D,'[1]Classic Net to delete'!AA:AA,0)</f>
        <v>0</v>
      </c>
    </row>
    <row r="1032" spans="1:17" x14ac:dyDescent="0.25">
      <c r="A1032" t="s">
        <v>2535</v>
      </c>
      <c r="B1032" t="s">
        <v>2536</v>
      </c>
      <c r="C1032">
        <v>5.08</v>
      </c>
      <c r="E1032" t="str">
        <f t="shared" si="22"/>
        <v xml:space="preserve">. </v>
      </c>
      <c r="F1032">
        <v>75</v>
      </c>
      <c r="H1032" t="b">
        <v>0</v>
      </c>
      <c r="L1032" s="188" t="str">
        <f>IFERROR(_xlfn.XLOOKUP(A1032,[1]Fleet!A:A,[1]Fleet!E:E,""),"")</f>
        <v/>
      </c>
      <c r="M1032" s="188" t="s">
        <v>22</v>
      </c>
      <c r="N1032" s="188" t="s">
        <v>22</v>
      </c>
      <c r="P1032">
        <v>1222</v>
      </c>
      <c r="Q1032">
        <f>_xlfn.XLOOKUP(A1032,'[1]Classic Net to delete'!D:D,'[1]Classic Net to delete'!AA:AA,0)</f>
        <v>0</v>
      </c>
    </row>
    <row r="1033" spans="1:17" x14ac:dyDescent="0.25">
      <c r="A1033" t="s">
        <v>2537</v>
      </c>
      <c r="B1033" t="s">
        <v>2538</v>
      </c>
      <c r="C1033">
        <v>5.08</v>
      </c>
      <c r="E1033" t="str">
        <f t="shared" si="22"/>
        <v xml:space="preserve">. </v>
      </c>
      <c r="F1033">
        <v>75</v>
      </c>
      <c r="H1033" t="b">
        <v>0</v>
      </c>
      <c r="L1033" s="188" t="str">
        <f>IFERROR(_xlfn.XLOOKUP(A1033,[1]Fleet!A:A,[1]Fleet!E:E,""),"")</f>
        <v/>
      </c>
      <c r="M1033" s="188" t="s">
        <v>22</v>
      </c>
      <c r="N1033" s="188" t="s">
        <v>22</v>
      </c>
      <c r="P1033">
        <v>1221</v>
      </c>
      <c r="Q1033">
        <f>_xlfn.XLOOKUP(A1033,'[1]Classic Net to delete'!D:D,'[1]Classic Net to delete'!AA:AA,0)</f>
        <v>0</v>
      </c>
    </row>
    <row r="1034" spans="1:17" x14ac:dyDescent="0.25">
      <c r="A1034" t="s">
        <v>2539</v>
      </c>
      <c r="B1034" t="s">
        <v>2540</v>
      </c>
      <c r="C1034">
        <v>9.7900000000000009</v>
      </c>
      <c r="E1034" t="str">
        <f t="shared" si="22"/>
        <v xml:space="preserve">. </v>
      </c>
      <c r="F1034">
        <v>75</v>
      </c>
      <c r="H1034" t="b">
        <v>0</v>
      </c>
      <c r="L1034" s="188" t="str">
        <f>IFERROR(_xlfn.XLOOKUP(A1034,[1]Fleet!A:A,[1]Fleet!E:E,""),"")</f>
        <v/>
      </c>
      <c r="M1034" s="188" t="s">
        <v>22</v>
      </c>
      <c r="N1034" s="188" t="s">
        <v>22</v>
      </c>
      <c r="P1034">
        <v>1220</v>
      </c>
      <c r="Q1034">
        <f>_xlfn.XLOOKUP(A1034,'[1]Classic Net to delete'!D:D,'[1]Classic Net to delete'!AA:AA,0)</f>
        <v>0</v>
      </c>
    </row>
    <row r="1035" spans="1:17" x14ac:dyDescent="0.25">
      <c r="A1035" t="s">
        <v>2541</v>
      </c>
      <c r="B1035" t="s">
        <v>2542</v>
      </c>
      <c r="C1035">
        <v>2.25</v>
      </c>
      <c r="E1035" t="str">
        <f t="shared" si="22"/>
        <v xml:space="preserve">. </v>
      </c>
      <c r="F1035">
        <v>75</v>
      </c>
      <c r="H1035" t="b">
        <v>0</v>
      </c>
      <c r="L1035" s="188" t="str">
        <f>IFERROR(_xlfn.XLOOKUP(A1035,[1]Fleet!A:A,[1]Fleet!E:E,""),"")</f>
        <v/>
      </c>
      <c r="M1035" s="188" t="s">
        <v>22</v>
      </c>
      <c r="N1035" s="188" t="s">
        <v>22</v>
      </c>
      <c r="P1035">
        <v>1219</v>
      </c>
      <c r="Q1035">
        <f>_xlfn.XLOOKUP(A1035,'[1]Classic Net to delete'!D:D,'[1]Classic Net to delete'!AA:AA,0)</f>
        <v>0</v>
      </c>
    </row>
    <row r="1036" spans="1:17" x14ac:dyDescent="0.25">
      <c r="A1036" t="s">
        <v>2543</v>
      </c>
      <c r="B1036" t="s">
        <v>2544</v>
      </c>
      <c r="C1036">
        <v>5.08</v>
      </c>
      <c r="E1036" t="str">
        <f t="shared" si="22"/>
        <v xml:space="preserve">. </v>
      </c>
      <c r="F1036">
        <v>75</v>
      </c>
      <c r="H1036" t="b">
        <v>0</v>
      </c>
      <c r="L1036" s="188" t="str">
        <f>IFERROR(_xlfn.XLOOKUP(A1036,[1]Fleet!A:A,[1]Fleet!E:E,""),"")</f>
        <v/>
      </c>
      <c r="M1036" s="188" t="s">
        <v>22</v>
      </c>
      <c r="N1036" s="188" t="s">
        <v>22</v>
      </c>
      <c r="P1036">
        <v>1218</v>
      </c>
      <c r="Q1036">
        <f>_xlfn.XLOOKUP(A1036,'[1]Classic Net to delete'!D:D,'[1]Classic Net to delete'!AA:AA,0)</f>
        <v>0</v>
      </c>
    </row>
    <row r="1037" spans="1:17" x14ac:dyDescent="0.25">
      <c r="A1037" t="s">
        <v>2545</v>
      </c>
      <c r="B1037" t="s">
        <v>2546</v>
      </c>
      <c r="C1037">
        <v>5.08</v>
      </c>
      <c r="E1037" t="str">
        <f t="shared" si="22"/>
        <v xml:space="preserve">. </v>
      </c>
      <c r="F1037">
        <v>75</v>
      </c>
      <c r="H1037" t="b">
        <v>0</v>
      </c>
      <c r="L1037" s="188" t="str">
        <f>IFERROR(_xlfn.XLOOKUP(A1037,[1]Fleet!A:A,[1]Fleet!E:E,""),"")</f>
        <v/>
      </c>
      <c r="M1037" s="188" t="s">
        <v>22</v>
      </c>
      <c r="N1037" s="188" t="s">
        <v>22</v>
      </c>
      <c r="P1037">
        <v>1217</v>
      </c>
      <c r="Q1037">
        <f>_xlfn.XLOOKUP(A1037,'[1]Classic Net to delete'!D:D,'[1]Classic Net to delete'!AA:AA,0)</f>
        <v>0</v>
      </c>
    </row>
    <row r="1038" spans="1:17" x14ac:dyDescent="0.25">
      <c r="A1038" t="s">
        <v>2547</v>
      </c>
      <c r="B1038" t="s">
        <v>2548</v>
      </c>
      <c r="C1038">
        <v>5.08</v>
      </c>
      <c r="E1038" t="str">
        <f t="shared" si="22"/>
        <v xml:space="preserve">. </v>
      </c>
      <c r="F1038">
        <v>75</v>
      </c>
      <c r="H1038" t="b">
        <v>0</v>
      </c>
      <c r="L1038" s="188" t="str">
        <f>IFERROR(_xlfn.XLOOKUP(A1038,[1]Fleet!A:A,[1]Fleet!E:E,""),"")</f>
        <v/>
      </c>
      <c r="M1038" s="188" t="s">
        <v>22</v>
      </c>
      <c r="N1038" s="188" t="s">
        <v>22</v>
      </c>
      <c r="P1038">
        <v>1216</v>
      </c>
      <c r="Q1038">
        <f>_xlfn.XLOOKUP(A1038,'[1]Classic Net to delete'!D:D,'[1]Classic Net to delete'!AA:AA,0)</f>
        <v>0</v>
      </c>
    </row>
    <row r="1039" spans="1:17" x14ac:dyDescent="0.25">
      <c r="A1039" t="s">
        <v>2549</v>
      </c>
      <c r="B1039" t="s">
        <v>2550</v>
      </c>
      <c r="C1039">
        <v>10.75</v>
      </c>
      <c r="E1039" t="str">
        <f t="shared" si="22"/>
        <v xml:space="preserve">. </v>
      </c>
      <c r="F1039">
        <v>75</v>
      </c>
      <c r="H1039" t="b">
        <v>0</v>
      </c>
      <c r="L1039" s="188" t="str">
        <f>IFERROR(_xlfn.XLOOKUP(A1039,[1]Fleet!A:A,[1]Fleet!E:E,""),"")</f>
        <v/>
      </c>
      <c r="M1039" s="188" t="s">
        <v>22</v>
      </c>
      <c r="N1039" s="188" t="s">
        <v>22</v>
      </c>
      <c r="P1039">
        <v>1215</v>
      </c>
      <c r="Q1039">
        <f>_xlfn.XLOOKUP(A1039,'[1]Classic Net to delete'!D:D,'[1]Classic Net to delete'!AA:AA,0)</f>
        <v>0</v>
      </c>
    </row>
    <row r="1040" spans="1:17" x14ac:dyDescent="0.25">
      <c r="A1040" t="s">
        <v>2551</v>
      </c>
      <c r="B1040" t="s">
        <v>2552</v>
      </c>
      <c r="C1040">
        <v>5.08</v>
      </c>
      <c r="E1040" t="str">
        <f t="shared" si="22"/>
        <v xml:space="preserve">. </v>
      </c>
      <c r="F1040">
        <v>75</v>
      </c>
      <c r="H1040" t="b">
        <v>0</v>
      </c>
      <c r="L1040" s="188" t="str">
        <f>IFERROR(_xlfn.XLOOKUP(A1040,[1]Fleet!A:A,[1]Fleet!E:E,""),"")</f>
        <v/>
      </c>
      <c r="M1040" s="188" t="s">
        <v>22</v>
      </c>
      <c r="N1040" s="188" t="s">
        <v>22</v>
      </c>
      <c r="P1040">
        <v>1214</v>
      </c>
      <c r="Q1040">
        <f>_xlfn.XLOOKUP(A1040,'[1]Classic Net to delete'!D:D,'[1]Classic Net to delete'!AA:AA,0)</f>
        <v>0</v>
      </c>
    </row>
    <row r="1041" spans="1:17" x14ac:dyDescent="0.25">
      <c r="A1041" t="s">
        <v>2553</v>
      </c>
      <c r="B1041" t="s">
        <v>2554</v>
      </c>
      <c r="C1041">
        <v>3.8000000000000003</v>
      </c>
      <c r="E1041" t="str">
        <f t="shared" si="22"/>
        <v xml:space="preserve">. </v>
      </c>
      <c r="F1041">
        <v>75</v>
      </c>
      <c r="H1041" t="b">
        <v>0</v>
      </c>
      <c r="L1041" s="188" t="str">
        <f>IFERROR(_xlfn.XLOOKUP(A1041,[1]Fleet!A:A,[1]Fleet!E:E,""),"")</f>
        <v/>
      </c>
      <c r="M1041" s="188" t="s">
        <v>22</v>
      </c>
      <c r="N1041" s="188" t="s">
        <v>22</v>
      </c>
      <c r="P1041">
        <v>1213</v>
      </c>
      <c r="Q1041">
        <f>_xlfn.XLOOKUP(A1041,'[1]Classic Net to delete'!D:D,'[1]Classic Net to delete'!AA:AA,0)</f>
        <v>0</v>
      </c>
    </row>
    <row r="1042" spans="1:17" x14ac:dyDescent="0.25">
      <c r="A1042" t="s">
        <v>2555</v>
      </c>
      <c r="B1042" t="s">
        <v>2556</v>
      </c>
      <c r="C1042">
        <v>3.8000000000000003</v>
      </c>
      <c r="E1042" t="str">
        <f t="shared" si="22"/>
        <v xml:space="preserve">. </v>
      </c>
      <c r="F1042">
        <v>75</v>
      </c>
      <c r="H1042" t="b">
        <v>0</v>
      </c>
      <c r="L1042" s="188" t="str">
        <f>IFERROR(_xlfn.XLOOKUP(A1042,[1]Fleet!A:A,[1]Fleet!E:E,""),"")</f>
        <v/>
      </c>
      <c r="M1042" s="188" t="s">
        <v>22</v>
      </c>
      <c r="N1042" s="188" t="s">
        <v>22</v>
      </c>
      <c r="P1042">
        <v>1212</v>
      </c>
      <c r="Q1042">
        <f>_xlfn.XLOOKUP(A1042,'[1]Classic Net to delete'!D:D,'[1]Classic Net to delete'!AA:AA,0)</f>
        <v>0</v>
      </c>
    </row>
    <row r="1043" spans="1:17" x14ac:dyDescent="0.25">
      <c r="A1043" t="s">
        <v>2557</v>
      </c>
      <c r="B1043" t="s">
        <v>2558</v>
      </c>
      <c r="C1043">
        <v>3.8000000000000003</v>
      </c>
      <c r="E1043" t="str">
        <f t="shared" si="22"/>
        <v xml:space="preserve">. </v>
      </c>
      <c r="F1043">
        <v>75</v>
      </c>
      <c r="H1043" t="b">
        <v>0</v>
      </c>
      <c r="L1043" s="188" t="str">
        <f>IFERROR(_xlfn.XLOOKUP(A1043,[1]Fleet!A:A,[1]Fleet!E:E,""),"")</f>
        <v/>
      </c>
      <c r="M1043" s="188" t="s">
        <v>22</v>
      </c>
      <c r="N1043" s="188" t="s">
        <v>22</v>
      </c>
      <c r="P1043">
        <v>1211</v>
      </c>
      <c r="Q1043">
        <f>_xlfn.XLOOKUP(A1043,'[1]Classic Net to delete'!D:D,'[1]Classic Net to delete'!AA:AA,0)</f>
        <v>0</v>
      </c>
    </row>
    <row r="1044" spans="1:17" x14ac:dyDescent="0.25">
      <c r="A1044" t="s">
        <v>2559</v>
      </c>
      <c r="B1044" t="s">
        <v>2560</v>
      </c>
      <c r="C1044">
        <v>3.8000000000000003</v>
      </c>
      <c r="E1044" t="str">
        <f t="shared" si="22"/>
        <v xml:space="preserve">. </v>
      </c>
      <c r="F1044">
        <v>75</v>
      </c>
      <c r="H1044" t="b">
        <v>0</v>
      </c>
      <c r="L1044" s="188" t="str">
        <f>IFERROR(_xlfn.XLOOKUP(A1044,[1]Fleet!A:A,[1]Fleet!E:E,""),"")</f>
        <v/>
      </c>
      <c r="M1044" s="188" t="s">
        <v>22</v>
      </c>
      <c r="N1044" s="188" t="s">
        <v>22</v>
      </c>
      <c r="P1044">
        <v>1210</v>
      </c>
      <c r="Q1044">
        <f>_xlfn.XLOOKUP(A1044,'[1]Classic Net to delete'!D:D,'[1]Classic Net to delete'!AA:AA,0)</f>
        <v>0</v>
      </c>
    </row>
    <row r="1045" spans="1:17" x14ac:dyDescent="0.25">
      <c r="A1045" t="s">
        <v>2561</v>
      </c>
      <c r="B1045" t="s">
        <v>2562</v>
      </c>
      <c r="C1045">
        <v>3.8000000000000003</v>
      </c>
      <c r="E1045" t="str">
        <f t="shared" si="22"/>
        <v xml:space="preserve">. </v>
      </c>
      <c r="F1045">
        <v>75</v>
      </c>
      <c r="H1045" t="b">
        <v>0</v>
      </c>
      <c r="L1045" s="188" t="str">
        <f>IFERROR(_xlfn.XLOOKUP(A1045,[1]Fleet!A:A,[1]Fleet!E:E,""),"")</f>
        <v/>
      </c>
      <c r="M1045" s="188" t="s">
        <v>22</v>
      </c>
      <c r="N1045" s="188" t="s">
        <v>22</v>
      </c>
      <c r="P1045">
        <v>1209</v>
      </c>
      <c r="Q1045">
        <f>_xlfn.XLOOKUP(A1045,'[1]Classic Net to delete'!D:D,'[1]Classic Net to delete'!AA:AA,0)</f>
        <v>0</v>
      </c>
    </row>
    <row r="1046" spans="1:17" x14ac:dyDescent="0.25">
      <c r="A1046" t="s">
        <v>2563</v>
      </c>
      <c r="B1046" t="s">
        <v>2564</v>
      </c>
      <c r="C1046">
        <v>3.8000000000000003</v>
      </c>
      <c r="E1046" t="str">
        <f t="shared" si="22"/>
        <v xml:space="preserve">. </v>
      </c>
      <c r="F1046">
        <v>75</v>
      </c>
      <c r="H1046" t="b">
        <v>0</v>
      </c>
      <c r="L1046" s="188" t="str">
        <f>IFERROR(_xlfn.XLOOKUP(A1046,[1]Fleet!A:A,[1]Fleet!E:E,""),"")</f>
        <v/>
      </c>
      <c r="M1046" s="188" t="s">
        <v>22</v>
      </c>
      <c r="N1046" s="188" t="s">
        <v>22</v>
      </c>
      <c r="P1046">
        <v>1208</v>
      </c>
      <c r="Q1046">
        <f>_xlfn.XLOOKUP(A1046,'[1]Classic Net to delete'!D:D,'[1]Classic Net to delete'!AA:AA,0)</f>
        <v>0</v>
      </c>
    </row>
    <row r="1047" spans="1:17" x14ac:dyDescent="0.25">
      <c r="A1047" t="s">
        <v>2565</v>
      </c>
      <c r="B1047" t="s">
        <v>2566</v>
      </c>
      <c r="C1047">
        <v>3.8000000000000003</v>
      </c>
      <c r="E1047" t="str">
        <f t="shared" si="22"/>
        <v xml:space="preserve">. </v>
      </c>
      <c r="F1047">
        <v>75</v>
      </c>
      <c r="H1047" t="b">
        <v>0</v>
      </c>
      <c r="L1047" s="188" t="str">
        <f>IFERROR(_xlfn.XLOOKUP(A1047,[1]Fleet!A:A,[1]Fleet!E:E,""),"")</f>
        <v/>
      </c>
      <c r="M1047" s="188" t="s">
        <v>22</v>
      </c>
      <c r="N1047" s="188" t="s">
        <v>22</v>
      </c>
      <c r="P1047">
        <v>1207</v>
      </c>
      <c r="Q1047">
        <f>_xlfn.XLOOKUP(A1047,'[1]Classic Net to delete'!D:D,'[1]Classic Net to delete'!AA:AA,0)</f>
        <v>0</v>
      </c>
    </row>
    <row r="1048" spans="1:17" x14ac:dyDescent="0.25">
      <c r="A1048" t="s">
        <v>2567</v>
      </c>
      <c r="B1048" t="s">
        <v>2568</v>
      </c>
      <c r="C1048">
        <v>3.8000000000000003</v>
      </c>
      <c r="E1048" t="str">
        <f t="shared" si="22"/>
        <v xml:space="preserve">. </v>
      </c>
      <c r="F1048">
        <v>75</v>
      </c>
      <c r="H1048" t="b">
        <v>0</v>
      </c>
      <c r="L1048" s="188" t="str">
        <f>IFERROR(_xlfn.XLOOKUP(A1048,[1]Fleet!A:A,[1]Fleet!E:E,""),"")</f>
        <v/>
      </c>
      <c r="M1048" s="188" t="s">
        <v>22</v>
      </c>
      <c r="N1048" s="188" t="s">
        <v>22</v>
      </c>
      <c r="P1048">
        <v>1206</v>
      </c>
      <c r="Q1048">
        <f>_xlfn.XLOOKUP(A1048,'[1]Classic Net to delete'!D:D,'[1]Classic Net to delete'!AA:AA,0)</f>
        <v>0</v>
      </c>
    </row>
    <row r="1049" spans="1:17" x14ac:dyDescent="0.25">
      <c r="A1049" t="s">
        <v>2569</v>
      </c>
      <c r="B1049" t="s">
        <v>2570</v>
      </c>
      <c r="C1049">
        <v>3.8000000000000003</v>
      </c>
      <c r="E1049" t="str">
        <f t="shared" si="22"/>
        <v xml:space="preserve">. </v>
      </c>
      <c r="F1049">
        <v>75</v>
      </c>
      <c r="H1049" t="b">
        <v>0</v>
      </c>
      <c r="L1049" s="188" t="str">
        <f>IFERROR(_xlfn.XLOOKUP(A1049,[1]Fleet!A:A,[1]Fleet!E:E,""),"")</f>
        <v/>
      </c>
      <c r="M1049" s="188" t="s">
        <v>22</v>
      </c>
      <c r="N1049" s="188" t="s">
        <v>22</v>
      </c>
      <c r="P1049">
        <v>1205</v>
      </c>
      <c r="Q1049">
        <f>_xlfn.XLOOKUP(A1049,'[1]Classic Net to delete'!D:D,'[1]Classic Net to delete'!AA:AA,0)</f>
        <v>0</v>
      </c>
    </row>
    <row r="1050" spans="1:17" x14ac:dyDescent="0.25">
      <c r="A1050" t="s">
        <v>2571</v>
      </c>
      <c r="B1050" t="s">
        <v>2572</v>
      </c>
      <c r="C1050">
        <v>3.8000000000000003</v>
      </c>
      <c r="E1050" t="str">
        <f t="shared" si="22"/>
        <v xml:space="preserve">. </v>
      </c>
      <c r="F1050">
        <v>75</v>
      </c>
      <c r="H1050" t="b">
        <v>0</v>
      </c>
      <c r="L1050" s="188" t="str">
        <f>IFERROR(_xlfn.XLOOKUP(A1050,[1]Fleet!A:A,[1]Fleet!E:E,""),"")</f>
        <v/>
      </c>
      <c r="M1050" s="188" t="s">
        <v>22</v>
      </c>
      <c r="N1050" s="188" t="s">
        <v>22</v>
      </c>
      <c r="P1050">
        <v>1204</v>
      </c>
      <c r="Q1050">
        <f>_xlfn.XLOOKUP(A1050,'[1]Classic Net to delete'!D:D,'[1]Classic Net to delete'!AA:AA,0)</f>
        <v>0</v>
      </c>
    </row>
    <row r="1051" spans="1:17" x14ac:dyDescent="0.25">
      <c r="A1051" t="s">
        <v>2573</v>
      </c>
      <c r="B1051" t="s">
        <v>2574</v>
      </c>
      <c r="C1051">
        <v>3.8000000000000003</v>
      </c>
      <c r="E1051" t="str">
        <f t="shared" si="22"/>
        <v xml:space="preserve">. </v>
      </c>
      <c r="F1051">
        <v>75</v>
      </c>
      <c r="H1051" t="b">
        <v>0</v>
      </c>
      <c r="L1051" s="188" t="str">
        <f>IFERROR(_xlfn.XLOOKUP(A1051,[1]Fleet!A:A,[1]Fleet!E:E,""),"")</f>
        <v/>
      </c>
      <c r="M1051" s="188" t="s">
        <v>22</v>
      </c>
      <c r="N1051" s="188" t="s">
        <v>22</v>
      </c>
      <c r="P1051">
        <v>1203</v>
      </c>
      <c r="Q1051">
        <f>_xlfn.XLOOKUP(A1051,'[1]Classic Net to delete'!D:D,'[1]Classic Net to delete'!AA:AA,0)</f>
        <v>0</v>
      </c>
    </row>
    <row r="1052" spans="1:17" x14ac:dyDescent="0.25">
      <c r="A1052" t="s">
        <v>2575</v>
      </c>
      <c r="B1052" t="s">
        <v>2576</v>
      </c>
      <c r="C1052">
        <v>3.8000000000000003</v>
      </c>
      <c r="E1052" t="str">
        <f t="shared" si="22"/>
        <v xml:space="preserve">. </v>
      </c>
      <c r="F1052">
        <v>75</v>
      </c>
      <c r="H1052" t="b">
        <v>0</v>
      </c>
      <c r="L1052" s="188" t="str">
        <f>IFERROR(_xlfn.XLOOKUP(A1052,[1]Fleet!A:A,[1]Fleet!E:E,""),"")</f>
        <v/>
      </c>
      <c r="M1052" s="188" t="s">
        <v>22</v>
      </c>
      <c r="N1052" s="188" t="s">
        <v>22</v>
      </c>
      <c r="P1052">
        <v>1202</v>
      </c>
      <c r="Q1052">
        <f>_xlfn.XLOOKUP(A1052,'[1]Classic Net to delete'!D:D,'[1]Classic Net to delete'!AA:AA,0)</f>
        <v>0</v>
      </c>
    </row>
    <row r="1053" spans="1:17" x14ac:dyDescent="0.25">
      <c r="A1053" t="s">
        <v>2577</v>
      </c>
      <c r="B1053" t="s">
        <v>2578</v>
      </c>
      <c r="C1053">
        <v>3.8000000000000003</v>
      </c>
      <c r="E1053" t="str">
        <f t="shared" si="22"/>
        <v xml:space="preserve">. </v>
      </c>
      <c r="F1053">
        <v>75</v>
      </c>
      <c r="H1053" t="b">
        <v>0</v>
      </c>
      <c r="L1053" s="188" t="str">
        <f>IFERROR(_xlfn.XLOOKUP(A1053,[1]Fleet!A:A,[1]Fleet!E:E,""),"")</f>
        <v/>
      </c>
      <c r="M1053" s="188" t="s">
        <v>22</v>
      </c>
      <c r="N1053" s="188" t="s">
        <v>22</v>
      </c>
      <c r="P1053">
        <v>1201</v>
      </c>
      <c r="Q1053">
        <f>_xlfn.XLOOKUP(A1053,'[1]Classic Net to delete'!D:D,'[1]Classic Net to delete'!AA:AA,0)</f>
        <v>0</v>
      </c>
    </row>
    <row r="1054" spans="1:17" x14ac:dyDescent="0.25">
      <c r="A1054" t="s">
        <v>2579</v>
      </c>
      <c r="B1054" t="s">
        <v>2580</v>
      </c>
      <c r="C1054">
        <v>3.8000000000000003</v>
      </c>
      <c r="E1054" t="str">
        <f t="shared" si="22"/>
        <v xml:space="preserve">. </v>
      </c>
      <c r="F1054">
        <v>75</v>
      </c>
      <c r="H1054" t="b">
        <v>0</v>
      </c>
      <c r="L1054" s="188" t="str">
        <f>IFERROR(_xlfn.XLOOKUP(A1054,[1]Fleet!A:A,[1]Fleet!E:E,""),"")</f>
        <v/>
      </c>
      <c r="M1054" s="188" t="s">
        <v>22</v>
      </c>
      <c r="N1054" s="188" t="s">
        <v>22</v>
      </c>
      <c r="P1054">
        <v>1200</v>
      </c>
      <c r="Q1054">
        <f>_xlfn.XLOOKUP(A1054,'[1]Classic Net to delete'!D:D,'[1]Classic Net to delete'!AA:AA,0)</f>
        <v>0</v>
      </c>
    </row>
    <row r="1055" spans="1:17" x14ac:dyDescent="0.25">
      <c r="A1055" t="s">
        <v>2581</v>
      </c>
      <c r="B1055" t="s">
        <v>2582</v>
      </c>
      <c r="C1055">
        <v>3.8000000000000003</v>
      </c>
      <c r="E1055" t="str">
        <f t="shared" si="22"/>
        <v xml:space="preserve">. </v>
      </c>
      <c r="F1055">
        <v>75</v>
      </c>
      <c r="H1055" t="b">
        <v>0</v>
      </c>
      <c r="L1055" s="188" t="str">
        <f>IFERROR(_xlfn.XLOOKUP(A1055,[1]Fleet!A:A,[1]Fleet!E:E,""),"")</f>
        <v/>
      </c>
      <c r="M1055" s="188" t="s">
        <v>22</v>
      </c>
      <c r="N1055" s="188" t="s">
        <v>22</v>
      </c>
      <c r="P1055">
        <v>1199</v>
      </c>
      <c r="Q1055">
        <f>_xlfn.XLOOKUP(A1055,'[1]Classic Net to delete'!D:D,'[1]Classic Net to delete'!AA:AA,0)</f>
        <v>0</v>
      </c>
    </row>
    <row r="1056" spans="1:17" x14ac:dyDescent="0.25">
      <c r="A1056" t="s">
        <v>2583</v>
      </c>
      <c r="B1056" t="s">
        <v>2584</v>
      </c>
      <c r="C1056">
        <v>3.8000000000000003</v>
      </c>
      <c r="E1056" t="str">
        <f t="shared" si="22"/>
        <v xml:space="preserve">. </v>
      </c>
      <c r="F1056">
        <v>75</v>
      </c>
      <c r="H1056" t="b">
        <v>0</v>
      </c>
      <c r="L1056" s="188" t="str">
        <f>IFERROR(_xlfn.XLOOKUP(A1056,[1]Fleet!A:A,[1]Fleet!E:E,""),"")</f>
        <v/>
      </c>
      <c r="M1056" s="188" t="s">
        <v>22</v>
      </c>
      <c r="N1056" s="188" t="s">
        <v>22</v>
      </c>
      <c r="P1056">
        <v>1198</v>
      </c>
      <c r="Q1056">
        <f>_xlfn.XLOOKUP(A1056,'[1]Classic Net to delete'!D:D,'[1]Classic Net to delete'!AA:AA,0)</f>
        <v>0</v>
      </c>
    </row>
    <row r="1057" spans="1:17" x14ac:dyDescent="0.25">
      <c r="A1057" t="s">
        <v>2585</v>
      </c>
      <c r="B1057" t="s">
        <v>2586</v>
      </c>
      <c r="C1057">
        <v>3.8000000000000003</v>
      </c>
      <c r="E1057" t="str">
        <f t="shared" si="22"/>
        <v xml:space="preserve">. </v>
      </c>
      <c r="F1057">
        <v>75</v>
      </c>
      <c r="H1057" t="b">
        <v>0</v>
      </c>
      <c r="L1057" s="188" t="str">
        <f>IFERROR(_xlfn.XLOOKUP(A1057,[1]Fleet!A:A,[1]Fleet!E:E,""),"")</f>
        <v/>
      </c>
      <c r="M1057" s="188" t="s">
        <v>22</v>
      </c>
      <c r="N1057" s="188" t="s">
        <v>22</v>
      </c>
      <c r="P1057">
        <v>1197</v>
      </c>
      <c r="Q1057">
        <f>_xlfn.XLOOKUP(A1057,'[1]Classic Net to delete'!D:D,'[1]Classic Net to delete'!AA:AA,0)</f>
        <v>0</v>
      </c>
    </row>
    <row r="1058" spans="1:17" x14ac:dyDescent="0.25">
      <c r="A1058" t="s">
        <v>2587</v>
      </c>
      <c r="B1058" t="s">
        <v>2588</v>
      </c>
      <c r="C1058">
        <v>3.8000000000000003</v>
      </c>
      <c r="E1058" t="str">
        <f t="shared" si="22"/>
        <v xml:space="preserve">. </v>
      </c>
      <c r="F1058">
        <v>75</v>
      </c>
      <c r="H1058" t="b">
        <v>0</v>
      </c>
      <c r="L1058" s="188" t="str">
        <f>IFERROR(_xlfn.XLOOKUP(A1058,[1]Fleet!A:A,[1]Fleet!E:E,""),"")</f>
        <v/>
      </c>
      <c r="M1058" s="188" t="s">
        <v>22</v>
      </c>
      <c r="N1058" s="188" t="s">
        <v>22</v>
      </c>
      <c r="P1058">
        <v>1196</v>
      </c>
      <c r="Q1058">
        <f>_xlfn.XLOOKUP(A1058,'[1]Classic Net to delete'!D:D,'[1]Classic Net to delete'!AA:AA,0)</f>
        <v>0</v>
      </c>
    </row>
    <row r="1059" spans="1:17" x14ac:dyDescent="0.25">
      <c r="A1059" t="s">
        <v>2589</v>
      </c>
      <c r="B1059" t="s">
        <v>2590</v>
      </c>
      <c r="C1059">
        <v>3.8000000000000003</v>
      </c>
      <c r="E1059" t="str">
        <f t="shared" si="22"/>
        <v xml:space="preserve">. </v>
      </c>
      <c r="F1059">
        <v>75</v>
      </c>
      <c r="H1059" t="b">
        <v>0</v>
      </c>
      <c r="L1059" s="188" t="str">
        <f>IFERROR(_xlfn.XLOOKUP(A1059,[1]Fleet!A:A,[1]Fleet!E:E,""),"")</f>
        <v/>
      </c>
      <c r="M1059" s="188" t="s">
        <v>22</v>
      </c>
      <c r="N1059" s="188" t="s">
        <v>22</v>
      </c>
      <c r="P1059">
        <v>1195</v>
      </c>
      <c r="Q1059">
        <f>_xlfn.XLOOKUP(A1059,'[1]Classic Net to delete'!D:D,'[1]Classic Net to delete'!AA:AA,0)</f>
        <v>0</v>
      </c>
    </row>
    <row r="1060" spans="1:17" x14ac:dyDescent="0.25">
      <c r="A1060" t="s">
        <v>2591</v>
      </c>
      <c r="B1060" t="s">
        <v>2592</v>
      </c>
      <c r="C1060">
        <v>3.8000000000000003</v>
      </c>
      <c r="E1060" t="str">
        <f t="shared" si="22"/>
        <v xml:space="preserve">. </v>
      </c>
      <c r="F1060">
        <v>75</v>
      </c>
      <c r="H1060" t="b">
        <v>0</v>
      </c>
      <c r="L1060" s="188" t="str">
        <f>IFERROR(_xlfn.XLOOKUP(A1060,[1]Fleet!A:A,[1]Fleet!E:E,""),"")</f>
        <v/>
      </c>
      <c r="M1060" s="188" t="s">
        <v>22</v>
      </c>
      <c r="N1060" s="188" t="s">
        <v>22</v>
      </c>
      <c r="P1060">
        <v>1194</v>
      </c>
      <c r="Q1060">
        <f>_xlfn.XLOOKUP(A1060,'[1]Classic Net to delete'!D:D,'[1]Classic Net to delete'!AA:AA,0)</f>
        <v>0</v>
      </c>
    </row>
    <row r="1061" spans="1:17" x14ac:dyDescent="0.25">
      <c r="A1061" t="s">
        <v>2593</v>
      </c>
      <c r="B1061" t="s">
        <v>2594</v>
      </c>
      <c r="C1061">
        <v>0</v>
      </c>
      <c r="E1061" t="str">
        <f t="shared" si="22"/>
        <v xml:space="preserve">. </v>
      </c>
      <c r="F1061">
        <v>75</v>
      </c>
      <c r="H1061" t="b">
        <v>0</v>
      </c>
      <c r="L1061" s="188" t="str">
        <f>IFERROR(_xlfn.XLOOKUP(A1061,[1]Fleet!A:A,[1]Fleet!E:E,""),"")</f>
        <v/>
      </c>
      <c r="M1061" s="188" t="s">
        <v>22</v>
      </c>
      <c r="N1061" s="188" t="s">
        <v>22</v>
      </c>
      <c r="P1061">
        <v>1193</v>
      </c>
      <c r="Q1061">
        <f>_xlfn.XLOOKUP(A1061,'[1]Classic Net to delete'!D:D,'[1]Classic Net to delete'!AA:AA,0)</f>
        <v>0</v>
      </c>
    </row>
    <row r="1062" spans="1:17" x14ac:dyDescent="0.25">
      <c r="A1062" t="s">
        <v>2595</v>
      </c>
      <c r="B1062" t="s">
        <v>2596</v>
      </c>
      <c r="C1062">
        <v>3.8000000000000003</v>
      </c>
      <c r="E1062" t="str">
        <f t="shared" si="22"/>
        <v xml:space="preserve">. </v>
      </c>
      <c r="F1062">
        <v>75</v>
      </c>
      <c r="H1062" t="b">
        <v>0</v>
      </c>
      <c r="L1062" s="188" t="str">
        <f>IFERROR(_xlfn.XLOOKUP(A1062,[1]Fleet!A:A,[1]Fleet!E:E,""),"")</f>
        <v/>
      </c>
      <c r="M1062" s="188" t="s">
        <v>22</v>
      </c>
      <c r="N1062" s="188" t="s">
        <v>22</v>
      </c>
      <c r="P1062">
        <v>1192</v>
      </c>
      <c r="Q1062">
        <f>_xlfn.XLOOKUP(A1062,'[1]Classic Net to delete'!D:D,'[1]Classic Net to delete'!AA:AA,0)</f>
        <v>0</v>
      </c>
    </row>
    <row r="1063" spans="1:17" x14ac:dyDescent="0.25">
      <c r="A1063" t="s">
        <v>2597</v>
      </c>
      <c r="B1063" t="s">
        <v>2598</v>
      </c>
      <c r="C1063">
        <v>3.8000000000000003</v>
      </c>
      <c r="E1063" t="str">
        <f t="shared" si="22"/>
        <v xml:space="preserve">. </v>
      </c>
      <c r="F1063">
        <v>75</v>
      </c>
      <c r="H1063" t="b">
        <v>0</v>
      </c>
      <c r="L1063" s="188" t="str">
        <f>IFERROR(_xlfn.XLOOKUP(A1063,[1]Fleet!A:A,[1]Fleet!E:E,""),"")</f>
        <v/>
      </c>
      <c r="M1063" s="188" t="s">
        <v>22</v>
      </c>
      <c r="N1063" s="188" t="s">
        <v>22</v>
      </c>
      <c r="P1063">
        <v>1191</v>
      </c>
      <c r="Q1063">
        <f>_xlfn.XLOOKUP(A1063,'[1]Classic Net to delete'!D:D,'[1]Classic Net to delete'!AA:AA,0)</f>
        <v>0</v>
      </c>
    </row>
    <row r="1064" spans="1:17" x14ac:dyDescent="0.25">
      <c r="A1064" t="s">
        <v>2599</v>
      </c>
      <c r="B1064" t="s">
        <v>2600</v>
      </c>
      <c r="C1064">
        <v>3.8000000000000003</v>
      </c>
      <c r="E1064" t="str">
        <f t="shared" si="22"/>
        <v xml:space="preserve">. </v>
      </c>
      <c r="F1064">
        <v>75</v>
      </c>
      <c r="H1064" t="b">
        <v>0</v>
      </c>
      <c r="L1064" s="188" t="str">
        <f>IFERROR(_xlfn.XLOOKUP(A1064,[1]Fleet!A:A,[1]Fleet!E:E,""),"")</f>
        <v/>
      </c>
      <c r="M1064" s="188" t="s">
        <v>22</v>
      </c>
      <c r="N1064" s="188" t="s">
        <v>22</v>
      </c>
      <c r="P1064">
        <v>1190</v>
      </c>
      <c r="Q1064">
        <f>_xlfn.XLOOKUP(A1064,'[1]Classic Net to delete'!D:D,'[1]Classic Net to delete'!AA:AA,0)</f>
        <v>0</v>
      </c>
    </row>
    <row r="1065" spans="1:17" x14ac:dyDescent="0.25">
      <c r="A1065" t="s">
        <v>2601</v>
      </c>
      <c r="B1065" t="s">
        <v>2602</v>
      </c>
      <c r="C1065">
        <v>3.8000000000000003</v>
      </c>
      <c r="E1065" t="str">
        <f t="shared" si="22"/>
        <v xml:space="preserve">. </v>
      </c>
      <c r="F1065">
        <v>75</v>
      </c>
      <c r="H1065" t="b">
        <v>0</v>
      </c>
      <c r="L1065" s="188" t="str">
        <f>IFERROR(_xlfn.XLOOKUP(A1065,[1]Fleet!A:A,[1]Fleet!E:E,""),"")</f>
        <v/>
      </c>
      <c r="M1065" s="188" t="s">
        <v>22</v>
      </c>
      <c r="N1065" s="188" t="s">
        <v>22</v>
      </c>
      <c r="P1065">
        <v>1189</v>
      </c>
      <c r="Q1065">
        <f>_xlfn.XLOOKUP(A1065,'[1]Classic Net to delete'!D:D,'[1]Classic Net to delete'!AA:AA,0)</f>
        <v>0</v>
      </c>
    </row>
    <row r="1066" spans="1:17" x14ac:dyDescent="0.25">
      <c r="A1066" t="s">
        <v>2603</v>
      </c>
      <c r="B1066" t="s">
        <v>2604</v>
      </c>
      <c r="C1066">
        <v>3.8000000000000003</v>
      </c>
      <c r="E1066" t="str">
        <f t="shared" si="22"/>
        <v xml:space="preserve">. </v>
      </c>
      <c r="F1066">
        <v>75</v>
      </c>
      <c r="H1066" t="b">
        <v>0</v>
      </c>
      <c r="L1066" s="188" t="str">
        <f>IFERROR(_xlfn.XLOOKUP(A1066,[1]Fleet!A:A,[1]Fleet!E:E,""),"")</f>
        <v/>
      </c>
      <c r="M1066" s="188" t="s">
        <v>22</v>
      </c>
      <c r="N1066" s="188" t="s">
        <v>22</v>
      </c>
      <c r="P1066">
        <v>1188</v>
      </c>
      <c r="Q1066">
        <f>_xlfn.XLOOKUP(A1066,'[1]Classic Net to delete'!D:D,'[1]Classic Net to delete'!AA:AA,0)</f>
        <v>0</v>
      </c>
    </row>
    <row r="1067" spans="1:17" x14ac:dyDescent="0.25">
      <c r="A1067" t="s">
        <v>2605</v>
      </c>
      <c r="B1067" t="s">
        <v>2606</v>
      </c>
      <c r="C1067">
        <v>3.8000000000000003</v>
      </c>
      <c r="E1067" t="str">
        <f t="shared" si="22"/>
        <v xml:space="preserve">. </v>
      </c>
      <c r="F1067">
        <v>75</v>
      </c>
      <c r="H1067" t="b">
        <v>0</v>
      </c>
      <c r="L1067" s="188" t="str">
        <f>IFERROR(_xlfn.XLOOKUP(A1067,[1]Fleet!A:A,[1]Fleet!E:E,""),"")</f>
        <v/>
      </c>
      <c r="M1067" s="188" t="s">
        <v>22</v>
      </c>
      <c r="N1067" s="188" t="s">
        <v>22</v>
      </c>
      <c r="P1067">
        <v>1187</v>
      </c>
      <c r="Q1067">
        <f>_xlfn.XLOOKUP(A1067,'[1]Classic Net to delete'!D:D,'[1]Classic Net to delete'!AA:AA,0)</f>
        <v>0</v>
      </c>
    </row>
    <row r="1068" spans="1:17" x14ac:dyDescent="0.25">
      <c r="A1068" t="s">
        <v>2607</v>
      </c>
      <c r="B1068" t="s">
        <v>2608</v>
      </c>
      <c r="C1068">
        <v>3.8000000000000003</v>
      </c>
      <c r="E1068" t="str">
        <f t="shared" si="22"/>
        <v xml:space="preserve">. </v>
      </c>
      <c r="F1068">
        <v>75</v>
      </c>
      <c r="H1068" t="b">
        <v>0</v>
      </c>
      <c r="L1068" s="188" t="str">
        <f>IFERROR(_xlfn.XLOOKUP(A1068,[1]Fleet!A:A,[1]Fleet!E:E,""),"")</f>
        <v/>
      </c>
      <c r="M1068" s="188" t="s">
        <v>22</v>
      </c>
      <c r="N1068" s="188" t="s">
        <v>22</v>
      </c>
      <c r="P1068">
        <v>1186</v>
      </c>
      <c r="Q1068">
        <f>_xlfn.XLOOKUP(A1068,'[1]Classic Net to delete'!D:D,'[1]Classic Net to delete'!AA:AA,0)</f>
        <v>0</v>
      </c>
    </row>
    <row r="1069" spans="1:17" x14ac:dyDescent="0.25">
      <c r="A1069" t="s">
        <v>2609</v>
      </c>
      <c r="B1069" t="s">
        <v>2610</v>
      </c>
      <c r="C1069">
        <v>3.8000000000000003</v>
      </c>
      <c r="E1069" t="str">
        <f t="shared" si="22"/>
        <v xml:space="preserve">. </v>
      </c>
      <c r="F1069">
        <v>75</v>
      </c>
      <c r="H1069" t="b">
        <v>0</v>
      </c>
      <c r="L1069" s="188" t="str">
        <f>IFERROR(_xlfn.XLOOKUP(A1069,[1]Fleet!A:A,[1]Fleet!E:E,""),"")</f>
        <v/>
      </c>
      <c r="M1069" s="188" t="s">
        <v>22</v>
      </c>
      <c r="N1069" s="188" t="s">
        <v>22</v>
      </c>
      <c r="P1069">
        <v>1185</v>
      </c>
      <c r="Q1069">
        <f>_xlfn.XLOOKUP(A1069,'[1]Classic Net to delete'!D:D,'[1]Classic Net to delete'!AA:AA,0)</f>
        <v>0</v>
      </c>
    </row>
    <row r="1070" spans="1:17" x14ac:dyDescent="0.25">
      <c r="A1070" t="s">
        <v>2611</v>
      </c>
      <c r="B1070" t="s">
        <v>2612</v>
      </c>
      <c r="C1070">
        <v>3.8000000000000003</v>
      </c>
      <c r="E1070" t="str">
        <f t="shared" si="22"/>
        <v xml:space="preserve">. </v>
      </c>
      <c r="F1070">
        <v>75</v>
      </c>
      <c r="H1070" t="b">
        <v>0</v>
      </c>
      <c r="L1070" s="188" t="str">
        <f>IFERROR(_xlfn.XLOOKUP(A1070,[1]Fleet!A:A,[1]Fleet!E:E,""),"")</f>
        <v/>
      </c>
      <c r="M1070" s="188" t="s">
        <v>22</v>
      </c>
      <c r="N1070" s="188" t="s">
        <v>22</v>
      </c>
      <c r="P1070">
        <v>1184</v>
      </c>
      <c r="Q1070">
        <f>_xlfn.XLOOKUP(A1070,'[1]Classic Net to delete'!D:D,'[1]Classic Net to delete'!AA:AA,0)</f>
        <v>0</v>
      </c>
    </row>
    <row r="1071" spans="1:17" x14ac:dyDescent="0.25">
      <c r="A1071" t="s">
        <v>2613</v>
      </c>
      <c r="B1071" t="s">
        <v>2614</v>
      </c>
      <c r="C1071">
        <v>3.8000000000000003</v>
      </c>
      <c r="E1071" t="str">
        <f t="shared" si="22"/>
        <v xml:space="preserve">. </v>
      </c>
      <c r="F1071">
        <v>75</v>
      </c>
      <c r="H1071" t="b">
        <v>0</v>
      </c>
      <c r="L1071" s="188" t="str">
        <f>IFERROR(_xlfn.XLOOKUP(A1071,[1]Fleet!A:A,[1]Fleet!E:E,""),"")</f>
        <v/>
      </c>
      <c r="M1071" s="188" t="s">
        <v>22</v>
      </c>
      <c r="N1071" s="188" t="s">
        <v>22</v>
      </c>
      <c r="P1071">
        <v>1183</v>
      </c>
      <c r="Q1071">
        <f>_xlfn.XLOOKUP(A1071,'[1]Classic Net to delete'!D:D,'[1]Classic Net to delete'!AA:AA,0)</f>
        <v>0</v>
      </c>
    </row>
    <row r="1072" spans="1:17" x14ac:dyDescent="0.25">
      <c r="A1072" t="s">
        <v>2615</v>
      </c>
      <c r="B1072" t="s">
        <v>2616</v>
      </c>
      <c r="C1072">
        <v>3.8000000000000003</v>
      </c>
      <c r="E1072" t="str">
        <f t="shared" si="22"/>
        <v xml:space="preserve">. </v>
      </c>
      <c r="F1072">
        <v>75</v>
      </c>
      <c r="H1072" t="b">
        <v>0</v>
      </c>
      <c r="L1072" s="188" t="str">
        <f>IFERROR(_xlfn.XLOOKUP(A1072,[1]Fleet!A:A,[1]Fleet!E:E,""),"")</f>
        <v/>
      </c>
      <c r="M1072" s="188" t="s">
        <v>22</v>
      </c>
      <c r="N1072" s="188" t="s">
        <v>22</v>
      </c>
      <c r="P1072">
        <v>1182</v>
      </c>
      <c r="Q1072">
        <f>_xlfn.XLOOKUP(A1072,'[1]Classic Net to delete'!D:D,'[1]Classic Net to delete'!AA:AA,0)</f>
        <v>0</v>
      </c>
    </row>
    <row r="1073" spans="1:17" x14ac:dyDescent="0.25">
      <c r="A1073" t="s">
        <v>2617</v>
      </c>
      <c r="B1073" t="s">
        <v>2618</v>
      </c>
      <c r="C1073">
        <v>3.8000000000000003</v>
      </c>
      <c r="E1073" t="str">
        <f t="shared" si="22"/>
        <v xml:space="preserve">. </v>
      </c>
      <c r="F1073">
        <v>75</v>
      </c>
      <c r="H1073" t="b">
        <v>0</v>
      </c>
      <c r="L1073" s="188" t="str">
        <f>IFERROR(_xlfn.XLOOKUP(A1073,[1]Fleet!A:A,[1]Fleet!E:E,""),"")</f>
        <v/>
      </c>
      <c r="M1073" s="188" t="s">
        <v>22</v>
      </c>
      <c r="N1073" s="188" t="s">
        <v>22</v>
      </c>
      <c r="P1073">
        <v>1181</v>
      </c>
      <c r="Q1073">
        <f>_xlfn.XLOOKUP(A1073,'[1]Classic Net to delete'!D:D,'[1]Classic Net to delete'!AA:AA,0)</f>
        <v>0</v>
      </c>
    </row>
    <row r="1074" spans="1:17" x14ac:dyDescent="0.25">
      <c r="A1074" t="s">
        <v>2619</v>
      </c>
      <c r="B1074" t="s">
        <v>2620</v>
      </c>
      <c r="C1074">
        <v>3.8000000000000003</v>
      </c>
      <c r="E1074" t="str">
        <f t="shared" si="22"/>
        <v xml:space="preserve">. </v>
      </c>
      <c r="F1074">
        <v>75</v>
      </c>
      <c r="H1074" t="b">
        <v>0</v>
      </c>
      <c r="L1074" s="188" t="str">
        <f>IFERROR(_xlfn.XLOOKUP(A1074,[1]Fleet!A:A,[1]Fleet!E:E,""),"")</f>
        <v/>
      </c>
      <c r="M1074" s="188" t="s">
        <v>22</v>
      </c>
      <c r="N1074" s="188" t="s">
        <v>22</v>
      </c>
      <c r="P1074">
        <v>1180</v>
      </c>
      <c r="Q1074">
        <f>_xlfn.XLOOKUP(A1074,'[1]Classic Net to delete'!D:D,'[1]Classic Net to delete'!AA:AA,0)</f>
        <v>0</v>
      </c>
    </row>
    <row r="1075" spans="1:17" x14ac:dyDescent="0.25">
      <c r="A1075" t="s">
        <v>2621</v>
      </c>
      <c r="B1075" t="s">
        <v>2622</v>
      </c>
      <c r="C1075">
        <v>3.8000000000000003</v>
      </c>
      <c r="E1075" t="str">
        <f t="shared" si="22"/>
        <v xml:space="preserve">. </v>
      </c>
      <c r="F1075">
        <v>75</v>
      </c>
      <c r="H1075" t="b">
        <v>0</v>
      </c>
      <c r="L1075" s="188" t="str">
        <f>IFERROR(_xlfn.XLOOKUP(A1075,[1]Fleet!A:A,[1]Fleet!E:E,""),"")</f>
        <v/>
      </c>
      <c r="M1075" s="188" t="s">
        <v>22</v>
      </c>
      <c r="N1075" s="188" t="s">
        <v>22</v>
      </c>
      <c r="P1075">
        <v>1179</v>
      </c>
      <c r="Q1075">
        <f>_xlfn.XLOOKUP(A1075,'[1]Classic Net to delete'!D:D,'[1]Classic Net to delete'!AA:AA,0)</f>
        <v>0</v>
      </c>
    </row>
    <row r="1076" spans="1:17" x14ac:dyDescent="0.25">
      <c r="A1076" t="s">
        <v>2623</v>
      </c>
      <c r="B1076" t="s">
        <v>2624</v>
      </c>
      <c r="C1076">
        <v>3.8000000000000003</v>
      </c>
      <c r="E1076" t="str">
        <f t="shared" si="22"/>
        <v xml:space="preserve">. </v>
      </c>
      <c r="F1076">
        <v>75</v>
      </c>
      <c r="H1076" t="b">
        <v>0</v>
      </c>
      <c r="L1076" s="188" t="str">
        <f>IFERROR(_xlfn.XLOOKUP(A1076,[1]Fleet!A:A,[1]Fleet!E:E,""),"")</f>
        <v/>
      </c>
      <c r="M1076" s="188" t="s">
        <v>22</v>
      </c>
      <c r="N1076" s="188" t="s">
        <v>22</v>
      </c>
      <c r="P1076">
        <v>1178</v>
      </c>
      <c r="Q1076">
        <f>_xlfn.XLOOKUP(A1076,'[1]Classic Net to delete'!D:D,'[1]Classic Net to delete'!AA:AA,0)</f>
        <v>0</v>
      </c>
    </row>
    <row r="1077" spans="1:17" x14ac:dyDescent="0.25">
      <c r="A1077" t="s">
        <v>2625</v>
      </c>
      <c r="B1077" t="s">
        <v>2626</v>
      </c>
      <c r="C1077">
        <v>3.8000000000000003</v>
      </c>
      <c r="E1077" t="str">
        <f t="shared" si="22"/>
        <v xml:space="preserve">. </v>
      </c>
      <c r="F1077">
        <v>75</v>
      </c>
      <c r="H1077" t="b">
        <v>0</v>
      </c>
      <c r="L1077" s="188" t="str">
        <f>IFERROR(_xlfn.XLOOKUP(A1077,[1]Fleet!A:A,[1]Fleet!E:E,""),"")</f>
        <v/>
      </c>
      <c r="M1077" s="188" t="s">
        <v>22</v>
      </c>
      <c r="N1077" s="188" t="s">
        <v>22</v>
      </c>
      <c r="P1077">
        <v>1177</v>
      </c>
      <c r="Q1077">
        <f>_xlfn.XLOOKUP(A1077,'[1]Classic Net to delete'!D:D,'[1]Classic Net to delete'!AA:AA,0)</f>
        <v>0</v>
      </c>
    </row>
    <row r="1078" spans="1:17" x14ac:dyDescent="0.25">
      <c r="A1078" t="s">
        <v>2627</v>
      </c>
      <c r="B1078" t="s">
        <v>2628</v>
      </c>
      <c r="C1078">
        <v>3.8000000000000003</v>
      </c>
      <c r="E1078" t="str">
        <f t="shared" si="22"/>
        <v xml:space="preserve">. </v>
      </c>
      <c r="F1078">
        <v>75</v>
      </c>
      <c r="H1078" t="b">
        <v>0</v>
      </c>
      <c r="L1078" s="188" t="str">
        <f>IFERROR(_xlfn.XLOOKUP(A1078,[1]Fleet!A:A,[1]Fleet!E:E,""),"")</f>
        <v/>
      </c>
      <c r="M1078" s="188" t="s">
        <v>22</v>
      </c>
      <c r="N1078" s="188" t="s">
        <v>22</v>
      </c>
      <c r="P1078">
        <v>1176</v>
      </c>
      <c r="Q1078">
        <f>_xlfn.XLOOKUP(A1078,'[1]Classic Net to delete'!D:D,'[1]Classic Net to delete'!AA:AA,0)</f>
        <v>0</v>
      </c>
    </row>
    <row r="1079" spans="1:17" x14ac:dyDescent="0.25">
      <c r="A1079" t="s">
        <v>2629</v>
      </c>
      <c r="B1079" t="s">
        <v>2630</v>
      </c>
      <c r="C1079">
        <v>3.8000000000000003</v>
      </c>
      <c r="E1079" t="str">
        <f t="shared" si="22"/>
        <v xml:space="preserve">. </v>
      </c>
      <c r="F1079">
        <v>75</v>
      </c>
      <c r="H1079" t="b">
        <v>0</v>
      </c>
      <c r="L1079" s="188" t="str">
        <f>IFERROR(_xlfn.XLOOKUP(A1079,[1]Fleet!A:A,[1]Fleet!E:E,""),"")</f>
        <v/>
      </c>
      <c r="M1079" s="188" t="s">
        <v>22</v>
      </c>
      <c r="N1079" s="188" t="s">
        <v>22</v>
      </c>
      <c r="P1079">
        <v>1175</v>
      </c>
      <c r="Q1079">
        <f>_xlfn.XLOOKUP(A1079,'[1]Classic Net to delete'!D:D,'[1]Classic Net to delete'!AA:AA,0)</f>
        <v>0</v>
      </c>
    </row>
    <row r="1080" spans="1:17" x14ac:dyDescent="0.25">
      <c r="A1080" t="s">
        <v>2631</v>
      </c>
      <c r="B1080" t="s">
        <v>2632</v>
      </c>
      <c r="C1080">
        <v>3.8000000000000003</v>
      </c>
      <c r="E1080" t="str">
        <f t="shared" si="22"/>
        <v xml:space="preserve">. </v>
      </c>
      <c r="F1080">
        <v>75</v>
      </c>
      <c r="H1080" t="b">
        <v>0</v>
      </c>
      <c r="L1080" s="188" t="str">
        <f>IFERROR(_xlfn.XLOOKUP(A1080,[1]Fleet!A:A,[1]Fleet!E:E,""),"")</f>
        <v/>
      </c>
      <c r="M1080" s="188" t="s">
        <v>22</v>
      </c>
      <c r="N1080" s="188" t="s">
        <v>22</v>
      </c>
      <c r="P1080">
        <v>1174</v>
      </c>
      <c r="Q1080">
        <f>_xlfn.XLOOKUP(A1080,'[1]Classic Net to delete'!D:D,'[1]Classic Net to delete'!AA:AA,0)</f>
        <v>0</v>
      </c>
    </row>
    <row r="1081" spans="1:17" x14ac:dyDescent="0.25">
      <c r="A1081" t="s">
        <v>2633</v>
      </c>
      <c r="B1081" t="s">
        <v>2634</v>
      </c>
      <c r="C1081">
        <v>3.8000000000000003</v>
      </c>
      <c r="E1081" t="str">
        <f t="shared" si="22"/>
        <v xml:space="preserve">. </v>
      </c>
      <c r="F1081">
        <v>75</v>
      </c>
      <c r="H1081" t="b">
        <v>0</v>
      </c>
      <c r="L1081" s="188" t="str">
        <f>IFERROR(_xlfn.XLOOKUP(A1081,[1]Fleet!A:A,[1]Fleet!E:E,""),"")</f>
        <v/>
      </c>
      <c r="M1081" s="188" t="s">
        <v>22</v>
      </c>
      <c r="N1081" s="188" t="s">
        <v>22</v>
      </c>
      <c r="P1081">
        <v>1173</v>
      </c>
      <c r="Q1081">
        <f>_xlfn.XLOOKUP(A1081,'[1]Classic Net to delete'!D:D,'[1]Classic Net to delete'!AA:AA,0)</f>
        <v>0</v>
      </c>
    </row>
    <row r="1082" spans="1:17" x14ac:dyDescent="0.25">
      <c r="A1082" t="s">
        <v>2635</v>
      </c>
      <c r="B1082" t="s">
        <v>2636</v>
      </c>
      <c r="C1082">
        <v>6.96</v>
      </c>
      <c r="E1082" t="str">
        <f t="shared" si="22"/>
        <v xml:space="preserve">. </v>
      </c>
      <c r="F1082">
        <v>75</v>
      </c>
      <c r="H1082" t="b">
        <v>0</v>
      </c>
      <c r="L1082" s="188" t="str">
        <f>IFERROR(_xlfn.XLOOKUP(A1082,[1]Fleet!A:A,[1]Fleet!E:E,""),"")</f>
        <v/>
      </c>
      <c r="M1082" s="188" t="s">
        <v>22</v>
      </c>
      <c r="N1082" s="188" t="s">
        <v>22</v>
      </c>
      <c r="P1082">
        <v>1172</v>
      </c>
      <c r="Q1082">
        <f>_xlfn.XLOOKUP(A1082,'[1]Classic Net to delete'!D:D,'[1]Classic Net to delete'!AA:AA,0)</f>
        <v>0</v>
      </c>
    </row>
    <row r="1083" spans="1:17" x14ac:dyDescent="0.25">
      <c r="A1083" t="s">
        <v>2637</v>
      </c>
      <c r="B1083" t="s">
        <v>2638</v>
      </c>
      <c r="C1083">
        <v>6.96</v>
      </c>
      <c r="E1083" t="str">
        <f t="shared" si="22"/>
        <v xml:space="preserve">. </v>
      </c>
      <c r="F1083">
        <v>75</v>
      </c>
      <c r="H1083" t="b">
        <v>0</v>
      </c>
      <c r="L1083" s="188" t="str">
        <f>IFERROR(_xlfn.XLOOKUP(A1083,[1]Fleet!A:A,[1]Fleet!E:E,""),"")</f>
        <v/>
      </c>
      <c r="M1083" s="188" t="s">
        <v>22</v>
      </c>
      <c r="N1083" s="188" t="s">
        <v>22</v>
      </c>
      <c r="P1083">
        <v>1171</v>
      </c>
      <c r="Q1083">
        <f>_xlfn.XLOOKUP(A1083,'[1]Classic Net to delete'!D:D,'[1]Classic Net to delete'!AA:AA,0)</f>
        <v>0</v>
      </c>
    </row>
    <row r="1084" spans="1:17" x14ac:dyDescent="0.25">
      <c r="A1084" t="s">
        <v>2639</v>
      </c>
      <c r="B1084" t="s">
        <v>2640</v>
      </c>
      <c r="C1084">
        <v>6.96</v>
      </c>
      <c r="E1084" t="str">
        <f t="shared" si="22"/>
        <v xml:space="preserve">. </v>
      </c>
      <c r="F1084">
        <v>75</v>
      </c>
      <c r="H1084" t="b">
        <v>0</v>
      </c>
      <c r="L1084" s="188" t="str">
        <f>IFERROR(_xlfn.XLOOKUP(A1084,[1]Fleet!A:A,[1]Fleet!E:E,""),"")</f>
        <v/>
      </c>
      <c r="M1084" s="188" t="s">
        <v>22</v>
      </c>
      <c r="N1084" s="188" t="s">
        <v>22</v>
      </c>
      <c r="P1084">
        <v>1170</v>
      </c>
      <c r="Q1084">
        <f>_xlfn.XLOOKUP(A1084,'[1]Classic Net to delete'!D:D,'[1]Classic Net to delete'!AA:AA,0)</f>
        <v>0</v>
      </c>
    </row>
    <row r="1085" spans="1:17" x14ac:dyDescent="0.25">
      <c r="A1085" t="s">
        <v>2641</v>
      </c>
      <c r="B1085" t="s">
        <v>2642</v>
      </c>
      <c r="C1085">
        <v>6.96</v>
      </c>
      <c r="E1085" t="str">
        <f t="shared" si="22"/>
        <v xml:space="preserve">. </v>
      </c>
      <c r="F1085">
        <v>75</v>
      </c>
      <c r="H1085" t="b">
        <v>0</v>
      </c>
      <c r="L1085" s="188" t="str">
        <f>IFERROR(_xlfn.XLOOKUP(A1085,[1]Fleet!A:A,[1]Fleet!E:E,""),"")</f>
        <v/>
      </c>
      <c r="M1085" s="188" t="s">
        <v>22</v>
      </c>
      <c r="N1085" s="188" t="s">
        <v>22</v>
      </c>
      <c r="P1085">
        <v>1169</v>
      </c>
      <c r="Q1085">
        <f>_xlfn.XLOOKUP(A1085,'[1]Classic Net to delete'!D:D,'[1]Classic Net to delete'!AA:AA,0)</f>
        <v>0</v>
      </c>
    </row>
    <row r="1086" spans="1:17" x14ac:dyDescent="0.25">
      <c r="A1086" t="s">
        <v>2643</v>
      </c>
      <c r="B1086" t="s">
        <v>2644</v>
      </c>
      <c r="C1086">
        <v>15.46</v>
      </c>
      <c r="E1086" t="str">
        <f t="shared" si="22"/>
        <v xml:space="preserve">. </v>
      </c>
      <c r="F1086">
        <v>75</v>
      </c>
      <c r="H1086" t="b">
        <v>0</v>
      </c>
      <c r="L1086" s="188" t="str">
        <f>IFERROR(_xlfn.XLOOKUP(A1086,[1]Fleet!A:A,[1]Fleet!E:E,""),"")</f>
        <v/>
      </c>
      <c r="M1086" s="188" t="s">
        <v>22</v>
      </c>
      <c r="N1086" s="188" t="s">
        <v>22</v>
      </c>
      <c r="P1086">
        <v>1168</v>
      </c>
      <c r="Q1086">
        <f>_xlfn.XLOOKUP(A1086,'[1]Classic Net to delete'!D:D,'[1]Classic Net to delete'!AA:AA,0)</f>
        <v>0</v>
      </c>
    </row>
    <row r="1087" spans="1:17" x14ac:dyDescent="0.25">
      <c r="A1087" t="s">
        <v>2645</v>
      </c>
      <c r="B1087" t="s">
        <v>2646</v>
      </c>
      <c r="C1087">
        <v>24.98</v>
      </c>
      <c r="E1087" t="str">
        <f t="shared" si="22"/>
        <v xml:space="preserve">. </v>
      </c>
      <c r="F1087">
        <v>75</v>
      </c>
      <c r="H1087" t="b">
        <v>0</v>
      </c>
      <c r="L1087" s="188" t="str">
        <f>IFERROR(_xlfn.XLOOKUP(A1087,[1]Fleet!A:A,[1]Fleet!E:E,""),"")</f>
        <v/>
      </c>
      <c r="M1087" s="188" t="s">
        <v>22</v>
      </c>
      <c r="N1087" s="188" t="s">
        <v>22</v>
      </c>
      <c r="P1087">
        <v>1167</v>
      </c>
      <c r="Q1087">
        <f>_xlfn.XLOOKUP(A1087,'[1]Classic Net to delete'!D:D,'[1]Classic Net to delete'!AA:AA,0)</f>
        <v>0</v>
      </c>
    </row>
    <row r="1088" spans="1:17" x14ac:dyDescent="0.25">
      <c r="A1088" t="s">
        <v>2647</v>
      </c>
      <c r="B1088" t="s">
        <v>2648</v>
      </c>
      <c r="C1088">
        <v>15.780000000000001</v>
      </c>
      <c r="E1088" t="str">
        <f t="shared" si="22"/>
        <v xml:space="preserve">. </v>
      </c>
      <c r="F1088">
        <v>75</v>
      </c>
      <c r="H1088" t="b">
        <v>0</v>
      </c>
      <c r="L1088" s="188" t="str">
        <f>IFERROR(_xlfn.XLOOKUP(A1088,[1]Fleet!A:A,[1]Fleet!E:E,""),"")</f>
        <v/>
      </c>
      <c r="M1088" s="188" t="s">
        <v>22</v>
      </c>
      <c r="N1088" s="188" t="s">
        <v>22</v>
      </c>
      <c r="P1088">
        <v>1166</v>
      </c>
      <c r="Q1088">
        <f>_xlfn.XLOOKUP(A1088,'[1]Classic Net to delete'!D:D,'[1]Classic Net to delete'!AA:AA,0)</f>
        <v>0</v>
      </c>
    </row>
    <row r="1089" spans="1:17" x14ac:dyDescent="0.25">
      <c r="A1089" t="s">
        <v>2649</v>
      </c>
      <c r="B1089" t="s">
        <v>2650</v>
      </c>
      <c r="C1089">
        <v>12.63</v>
      </c>
      <c r="E1089" t="str">
        <f t="shared" si="22"/>
        <v xml:space="preserve">. </v>
      </c>
      <c r="F1089">
        <v>75</v>
      </c>
      <c r="H1089" t="b">
        <v>0</v>
      </c>
      <c r="L1089" s="188" t="str">
        <f>IFERROR(_xlfn.XLOOKUP(A1089,[1]Fleet!A:A,[1]Fleet!E:E,""),"")</f>
        <v/>
      </c>
      <c r="M1089" s="188" t="s">
        <v>22</v>
      </c>
      <c r="N1089" s="188" t="s">
        <v>22</v>
      </c>
      <c r="P1089">
        <v>1165</v>
      </c>
      <c r="Q1089">
        <f>_xlfn.XLOOKUP(A1089,'[1]Classic Net to delete'!D:D,'[1]Classic Net to delete'!AA:AA,0)</f>
        <v>0</v>
      </c>
    </row>
    <row r="1090" spans="1:17" x14ac:dyDescent="0.25">
      <c r="A1090" t="s">
        <v>2651</v>
      </c>
      <c r="B1090" t="s">
        <v>2652</v>
      </c>
      <c r="C1090">
        <v>0</v>
      </c>
      <c r="E1090" t="str">
        <f t="shared" si="22"/>
        <v xml:space="preserve">. </v>
      </c>
      <c r="F1090">
        <v>75</v>
      </c>
      <c r="H1090" t="b">
        <v>0</v>
      </c>
      <c r="L1090" s="188" t="str">
        <f>IFERROR(_xlfn.XLOOKUP(A1090,[1]Fleet!A:A,[1]Fleet!E:E,""),"")</f>
        <v/>
      </c>
      <c r="M1090" s="188" t="s">
        <v>22</v>
      </c>
      <c r="N1090" s="188" t="s">
        <v>22</v>
      </c>
      <c r="P1090">
        <v>1164</v>
      </c>
      <c r="Q1090">
        <f>_xlfn.XLOOKUP(A1090,'[1]Classic Net to delete'!D:D,'[1]Classic Net to delete'!AA:AA,0)</f>
        <v>0</v>
      </c>
    </row>
    <row r="1091" spans="1:17" x14ac:dyDescent="0.25">
      <c r="A1091" t="s">
        <v>2653</v>
      </c>
      <c r="B1091" t="s">
        <v>2654</v>
      </c>
      <c r="C1091">
        <v>17.07</v>
      </c>
      <c r="E1091" t="str">
        <f t="shared" si="22"/>
        <v xml:space="preserve">. </v>
      </c>
      <c r="F1091">
        <v>75</v>
      </c>
      <c r="H1091" t="b">
        <v>0</v>
      </c>
      <c r="L1091" s="188" t="str">
        <f>IFERROR(_xlfn.XLOOKUP(A1091,[1]Fleet!A:A,[1]Fleet!E:E,""),"")</f>
        <v/>
      </c>
      <c r="M1091" s="188" t="s">
        <v>22</v>
      </c>
      <c r="N1091" s="188" t="s">
        <v>22</v>
      </c>
      <c r="P1091">
        <v>1163</v>
      </c>
      <c r="Q1091">
        <f>_xlfn.XLOOKUP(A1091,'[1]Classic Net to delete'!D:D,'[1]Classic Net to delete'!AA:AA,0)</f>
        <v>0</v>
      </c>
    </row>
    <row r="1092" spans="1:17" x14ac:dyDescent="0.25">
      <c r="A1092" t="s">
        <v>2655</v>
      </c>
      <c r="B1092" t="s">
        <v>2656</v>
      </c>
      <c r="C1092">
        <v>5.08</v>
      </c>
      <c r="E1092" t="str">
        <f t="shared" si="22"/>
        <v xml:space="preserve">. </v>
      </c>
      <c r="F1092">
        <v>75</v>
      </c>
      <c r="H1092" t="b">
        <v>0</v>
      </c>
      <c r="L1092" s="188" t="str">
        <f>IFERROR(_xlfn.XLOOKUP(A1092,[1]Fleet!A:A,[1]Fleet!E:E,""),"")</f>
        <v/>
      </c>
      <c r="M1092" s="188" t="s">
        <v>22</v>
      </c>
      <c r="N1092" s="188" t="s">
        <v>22</v>
      </c>
      <c r="P1092">
        <v>1162</v>
      </c>
      <c r="Q1092">
        <f>_xlfn.XLOOKUP(A1092,'[1]Classic Net to delete'!D:D,'[1]Classic Net to delete'!AA:AA,0)</f>
        <v>0</v>
      </c>
    </row>
    <row r="1093" spans="1:17" x14ac:dyDescent="0.25">
      <c r="A1093" t="s">
        <v>2657</v>
      </c>
      <c r="B1093" t="s">
        <v>2658</v>
      </c>
      <c r="C1093">
        <v>1.93</v>
      </c>
      <c r="E1093" t="str">
        <f t="shared" ref="E1093:E1156" si="23">CONCATENATE(K1093,". ",O1093)</f>
        <v xml:space="preserve">. </v>
      </c>
      <c r="F1093">
        <v>75</v>
      </c>
      <c r="H1093" t="b">
        <v>0</v>
      </c>
      <c r="L1093" s="188" t="str">
        <f>IFERROR(_xlfn.XLOOKUP(A1093,[1]Fleet!A:A,[1]Fleet!E:E,""),"")</f>
        <v/>
      </c>
      <c r="M1093" s="188" t="s">
        <v>22</v>
      </c>
      <c r="N1093" s="188" t="s">
        <v>22</v>
      </c>
      <c r="P1093">
        <v>1161</v>
      </c>
      <c r="Q1093">
        <f>_xlfn.XLOOKUP(A1093,'[1]Classic Net to delete'!D:D,'[1]Classic Net to delete'!AA:AA,0)</f>
        <v>0</v>
      </c>
    </row>
    <row r="1094" spans="1:17" x14ac:dyDescent="0.25">
      <c r="A1094" t="s">
        <v>2659</v>
      </c>
      <c r="B1094" t="s">
        <v>2660</v>
      </c>
      <c r="C1094">
        <v>1.93</v>
      </c>
      <c r="E1094" t="str">
        <f t="shared" si="23"/>
        <v xml:space="preserve">. </v>
      </c>
      <c r="F1094">
        <v>75</v>
      </c>
      <c r="H1094" t="b">
        <v>0</v>
      </c>
      <c r="L1094" s="188" t="str">
        <f>IFERROR(_xlfn.XLOOKUP(A1094,[1]Fleet!A:A,[1]Fleet!E:E,""),"")</f>
        <v/>
      </c>
      <c r="M1094" s="188" t="s">
        <v>22</v>
      </c>
      <c r="N1094" s="188" t="s">
        <v>22</v>
      </c>
      <c r="P1094">
        <v>1160</v>
      </c>
      <c r="Q1094">
        <f>_xlfn.XLOOKUP(A1094,'[1]Classic Net to delete'!D:D,'[1]Classic Net to delete'!AA:AA,0)</f>
        <v>0</v>
      </c>
    </row>
    <row r="1095" spans="1:17" x14ac:dyDescent="0.25">
      <c r="A1095" t="s">
        <v>2661</v>
      </c>
      <c r="B1095" t="s">
        <v>2662</v>
      </c>
      <c r="C1095">
        <v>1.93</v>
      </c>
      <c r="E1095" t="str">
        <f t="shared" si="23"/>
        <v xml:space="preserve">. </v>
      </c>
      <c r="F1095">
        <v>75</v>
      </c>
      <c r="H1095" t="b">
        <v>0</v>
      </c>
      <c r="L1095" s="188" t="str">
        <f>IFERROR(_xlfn.XLOOKUP(A1095,[1]Fleet!A:A,[1]Fleet!E:E,""),"")</f>
        <v/>
      </c>
      <c r="M1095" s="188" t="s">
        <v>22</v>
      </c>
      <c r="N1095" s="188" t="s">
        <v>22</v>
      </c>
      <c r="P1095">
        <v>1159</v>
      </c>
      <c r="Q1095">
        <f>_xlfn.XLOOKUP(A1095,'[1]Classic Net to delete'!D:D,'[1]Classic Net to delete'!AA:AA,0)</f>
        <v>0</v>
      </c>
    </row>
    <row r="1096" spans="1:17" x14ac:dyDescent="0.25">
      <c r="A1096" t="s">
        <v>2663</v>
      </c>
      <c r="B1096" t="s">
        <v>2664</v>
      </c>
      <c r="C1096">
        <v>1.93</v>
      </c>
      <c r="E1096" t="str">
        <f t="shared" si="23"/>
        <v xml:space="preserve">. </v>
      </c>
      <c r="F1096">
        <v>75</v>
      </c>
      <c r="H1096" t="b">
        <v>0</v>
      </c>
      <c r="L1096" s="188" t="str">
        <f>IFERROR(_xlfn.XLOOKUP(A1096,[1]Fleet!A:A,[1]Fleet!E:E,""),"")</f>
        <v/>
      </c>
      <c r="M1096" s="188" t="s">
        <v>22</v>
      </c>
      <c r="N1096" s="188" t="s">
        <v>22</v>
      </c>
      <c r="P1096">
        <v>1158</v>
      </c>
      <c r="Q1096">
        <f>_xlfn.XLOOKUP(A1096,'[1]Classic Net to delete'!D:D,'[1]Classic Net to delete'!AA:AA,0)</f>
        <v>0</v>
      </c>
    </row>
    <row r="1097" spans="1:17" x14ac:dyDescent="0.25">
      <c r="A1097" t="s">
        <v>2665</v>
      </c>
      <c r="B1097" t="s">
        <v>2666</v>
      </c>
      <c r="C1097">
        <v>1.93</v>
      </c>
      <c r="E1097" t="str">
        <f t="shared" si="23"/>
        <v xml:space="preserve">. </v>
      </c>
      <c r="F1097">
        <v>75</v>
      </c>
      <c r="H1097" t="b">
        <v>0</v>
      </c>
      <c r="L1097" s="188" t="str">
        <f>IFERROR(_xlfn.XLOOKUP(A1097,[1]Fleet!A:A,[1]Fleet!E:E,""),"")</f>
        <v/>
      </c>
      <c r="M1097" s="188" t="s">
        <v>22</v>
      </c>
      <c r="N1097" s="188" t="s">
        <v>22</v>
      </c>
      <c r="P1097">
        <v>1157</v>
      </c>
      <c r="Q1097">
        <f>_xlfn.XLOOKUP(A1097,'[1]Classic Net to delete'!D:D,'[1]Classic Net to delete'!AA:AA,0)</f>
        <v>0</v>
      </c>
    </row>
    <row r="1098" spans="1:17" x14ac:dyDescent="0.25">
      <c r="A1098" t="s">
        <v>2667</v>
      </c>
      <c r="B1098" t="s">
        <v>2668</v>
      </c>
      <c r="C1098">
        <v>1.93</v>
      </c>
      <c r="E1098" t="str">
        <f t="shared" si="23"/>
        <v xml:space="preserve">. </v>
      </c>
      <c r="F1098">
        <v>75</v>
      </c>
      <c r="H1098" t="b">
        <v>0</v>
      </c>
      <c r="L1098" s="188" t="str">
        <f>IFERROR(_xlfn.XLOOKUP(A1098,[1]Fleet!A:A,[1]Fleet!E:E,""),"")</f>
        <v/>
      </c>
      <c r="M1098" s="188" t="s">
        <v>22</v>
      </c>
      <c r="N1098" s="188" t="s">
        <v>22</v>
      </c>
      <c r="P1098">
        <v>1156</v>
      </c>
      <c r="Q1098">
        <f>_xlfn.XLOOKUP(A1098,'[1]Classic Net to delete'!D:D,'[1]Classic Net to delete'!AA:AA,0)</f>
        <v>0</v>
      </c>
    </row>
    <row r="1099" spans="1:17" x14ac:dyDescent="0.25">
      <c r="A1099" t="s">
        <v>2669</v>
      </c>
      <c r="B1099" t="s">
        <v>2670</v>
      </c>
      <c r="C1099">
        <v>1.93</v>
      </c>
      <c r="E1099" t="str">
        <f t="shared" si="23"/>
        <v xml:space="preserve">. </v>
      </c>
      <c r="F1099">
        <v>75</v>
      </c>
      <c r="H1099" t="b">
        <v>0</v>
      </c>
      <c r="L1099" s="188" t="str">
        <f>IFERROR(_xlfn.XLOOKUP(A1099,[1]Fleet!A:A,[1]Fleet!E:E,""),"")</f>
        <v/>
      </c>
      <c r="M1099" s="188" t="s">
        <v>22</v>
      </c>
      <c r="N1099" s="188" t="s">
        <v>22</v>
      </c>
      <c r="P1099">
        <v>1155</v>
      </c>
      <c r="Q1099">
        <f>_xlfn.XLOOKUP(A1099,'[1]Classic Net to delete'!D:D,'[1]Classic Net to delete'!AA:AA,0)</f>
        <v>0</v>
      </c>
    </row>
    <row r="1100" spans="1:17" x14ac:dyDescent="0.25">
      <c r="A1100" t="s">
        <v>2671</v>
      </c>
      <c r="B1100" t="s">
        <v>2672</v>
      </c>
      <c r="C1100">
        <v>1.93</v>
      </c>
      <c r="E1100" t="str">
        <f t="shared" si="23"/>
        <v xml:space="preserve">. </v>
      </c>
      <c r="F1100">
        <v>75</v>
      </c>
      <c r="H1100" t="b">
        <v>0</v>
      </c>
      <c r="L1100" s="188" t="str">
        <f>IFERROR(_xlfn.XLOOKUP(A1100,[1]Fleet!A:A,[1]Fleet!E:E,""),"")</f>
        <v/>
      </c>
      <c r="M1100" s="188" t="s">
        <v>22</v>
      </c>
      <c r="N1100" s="188" t="s">
        <v>22</v>
      </c>
      <c r="P1100">
        <v>1154</v>
      </c>
      <c r="Q1100">
        <f>_xlfn.XLOOKUP(A1100,'[1]Classic Net to delete'!D:D,'[1]Classic Net to delete'!AA:AA,0)</f>
        <v>0</v>
      </c>
    </row>
    <row r="1101" spans="1:17" x14ac:dyDescent="0.25">
      <c r="A1101" t="s">
        <v>2673</v>
      </c>
      <c r="B1101" t="s">
        <v>2674</v>
      </c>
      <c r="C1101">
        <v>1.93</v>
      </c>
      <c r="E1101" t="str">
        <f t="shared" si="23"/>
        <v xml:space="preserve">. </v>
      </c>
      <c r="F1101">
        <v>75</v>
      </c>
      <c r="H1101" t="b">
        <v>0</v>
      </c>
      <c r="L1101" s="188" t="str">
        <f>IFERROR(_xlfn.XLOOKUP(A1101,[1]Fleet!A:A,[1]Fleet!E:E,""),"")</f>
        <v/>
      </c>
      <c r="M1101" s="188" t="s">
        <v>22</v>
      </c>
      <c r="N1101" s="188" t="s">
        <v>22</v>
      </c>
      <c r="P1101">
        <v>1153</v>
      </c>
      <c r="Q1101">
        <f>_xlfn.XLOOKUP(A1101,'[1]Classic Net to delete'!D:D,'[1]Classic Net to delete'!AA:AA,0)</f>
        <v>0</v>
      </c>
    </row>
    <row r="1102" spans="1:17" x14ac:dyDescent="0.25">
      <c r="A1102" t="s">
        <v>2675</v>
      </c>
      <c r="B1102" t="s">
        <v>2676</v>
      </c>
      <c r="C1102">
        <v>1.93</v>
      </c>
      <c r="E1102" t="str">
        <f t="shared" si="23"/>
        <v xml:space="preserve">. </v>
      </c>
      <c r="F1102">
        <v>75</v>
      </c>
      <c r="H1102" t="b">
        <v>0</v>
      </c>
      <c r="L1102" s="188" t="str">
        <f>IFERROR(_xlfn.XLOOKUP(A1102,[1]Fleet!A:A,[1]Fleet!E:E,""),"")</f>
        <v/>
      </c>
      <c r="M1102" s="188" t="s">
        <v>22</v>
      </c>
      <c r="N1102" s="188" t="s">
        <v>22</v>
      </c>
      <c r="P1102">
        <v>1152</v>
      </c>
      <c r="Q1102">
        <f>_xlfn.XLOOKUP(A1102,'[1]Classic Net to delete'!D:D,'[1]Classic Net to delete'!AA:AA,0)</f>
        <v>0</v>
      </c>
    </row>
    <row r="1103" spans="1:17" x14ac:dyDescent="0.25">
      <c r="A1103" t="s">
        <v>2677</v>
      </c>
      <c r="B1103" t="s">
        <v>2678</v>
      </c>
      <c r="C1103">
        <v>1.93</v>
      </c>
      <c r="E1103" t="str">
        <f t="shared" si="23"/>
        <v xml:space="preserve">. </v>
      </c>
      <c r="F1103">
        <v>75</v>
      </c>
      <c r="H1103" t="b">
        <v>0</v>
      </c>
      <c r="L1103" s="188" t="str">
        <f>IFERROR(_xlfn.XLOOKUP(A1103,[1]Fleet!A:A,[1]Fleet!E:E,""),"")</f>
        <v/>
      </c>
      <c r="M1103" s="188" t="s">
        <v>22</v>
      </c>
      <c r="N1103" s="188" t="s">
        <v>22</v>
      </c>
      <c r="P1103">
        <v>1151</v>
      </c>
      <c r="Q1103">
        <f>_xlfn.XLOOKUP(A1103,'[1]Classic Net to delete'!D:D,'[1]Classic Net to delete'!AA:AA,0)</f>
        <v>0</v>
      </c>
    </row>
    <row r="1104" spans="1:17" x14ac:dyDescent="0.25">
      <c r="A1104" t="s">
        <v>2679</v>
      </c>
      <c r="B1104" t="s">
        <v>2680</v>
      </c>
      <c r="C1104">
        <v>18.73</v>
      </c>
      <c r="E1104" t="str">
        <f t="shared" si="23"/>
        <v xml:space="preserve">. </v>
      </c>
      <c r="F1104">
        <v>75</v>
      </c>
      <c r="H1104" t="b">
        <v>0</v>
      </c>
      <c r="L1104" s="188" t="str">
        <f>IFERROR(_xlfn.XLOOKUP(A1104,[1]Fleet!A:A,[1]Fleet!E:E,""),"")</f>
        <v/>
      </c>
      <c r="M1104" s="188" t="s">
        <v>22</v>
      </c>
      <c r="N1104" s="188" t="s">
        <v>22</v>
      </c>
      <c r="P1104">
        <v>1150</v>
      </c>
      <c r="Q1104">
        <f>_xlfn.XLOOKUP(A1104,'[1]Classic Net to delete'!D:D,'[1]Classic Net to delete'!AA:AA,0)</f>
        <v>0</v>
      </c>
    </row>
    <row r="1105" spans="1:17" x14ac:dyDescent="0.25">
      <c r="A1105" t="s">
        <v>2681</v>
      </c>
      <c r="B1105" t="s">
        <v>2682</v>
      </c>
      <c r="C1105">
        <v>9.9</v>
      </c>
      <c r="E1105" t="str">
        <f t="shared" si="23"/>
        <v xml:space="preserve">. </v>
      </c>
      <c r="F1105">
        <v>75</v>
      </c>
      <c r="H1105" t="b">
        <v>0</v>
      </c>
      <c r="L1105" s="188" t="str">
        <f>IFERROR(_xlfn.XLOOKUP(A1105,[1]Fleet!A:A,[1]Fleet!E:E,""),"")</f>
        <v/>
      </c>
      <c r="M1105" s="188" t="s">
        <v>22</v>
      </c>
      <c r="N1105" s="188" t="s">
        <v>22</v>
      </c>
      <c r="P1105">
        <v>1149</v>
      </c>
      <c r="Q1105">
        <f>_xlfn.XLOOKUP(A1105,'[1]Classic Net to delete'!D:D,'[1]Classic Net to delete'!AA:AA,0)</f>
        <v>0</v>
      </c>
    </row>
    <row r="1106" spans="1:17" x14ac:dyDescent="0.25">
      <c r="A1106" t="s">
        <v>2683</v>
      </c>
      <c r="B1106" t="s">
        <v>2684</v>
      </c>
      <c r="C1106">
        <v>0</v>
      </c>
      <c r="E1106" t="str">
        <f t="shared" si="23"/>
        <v xml:space="preserve">. </v>
      </c>
      <c r="F1106">
        <v>75</v>
      </c>
      <c r="H1106" t="b">
        <v>0</v>
      </c>
      <c r="L1106" s="188" t="str">
        <f>IFERROR(_xlfn.XLOOKUP(A1106,[1]Fleet!A:A,[1]Fleet!E:E,""),"")</f>
        <v/>
      </c>
      <c r="M1106" s="188" t="s">
        <v>22</v>
      </c>
      <c r="N1106" s="188" t="s">
        <v>22</v>
      </c>
      <c r="P1106">
        <v>1148</v>
      </c>
      <c r="Q1106">
        <f>_xlfn.XLOOKUP(A1106,'[1]Classic Net to delete'!D:D,'[1]Classic Net to delete'!AA:AA,0)</f>
        <v>0</v>
      </c>
    </row>
    <row r="1107" spans="1:17" x14ac:dyDescent="0.25">
      <c r="A1107" t="s">
        <v>2685</v>
      </c>
      <c r="B1107" t="s">
        <v>2686</v>
      </c>
      <c r="C1107">
        <v>14.23</v>
      </c>
      <c r="E1107" t="str">
        <f t="shared" si="23"/>
        <v xml:space="preserve">. </v>
      </c>
      <c r="F1107">
        <v>75</v>
      </c>
      <c r="H1107" t="b">
        <v>0</v>
      </c>
      <c r="L1107" s="188" t="str">
        <f>IFERROR(_xlfn.XLOOKUP(A1107,[1]Fleet!A:A,[1]Fleet!E:E,""),"")</f>
        <v/>
      </c>
      <c r="M1107" s="188" t="s">
        <v>22</v>
      </c>
      <c r="N1107" s="188" t="s">
        <v>22</v>
      </c>
      <c r="P1107">
        <v>1147</v>
      </c>
      <c r="Q1107">
        <f>_xlfn.XLOOKUP(A1107,'[1]Classic Net to delete'!D:D,'[1]Classic Net to delete'!AA:AA,0)</f>
        <v>0</v>
      </c>
    </row>
    <row r="1108" spans="1:17" x14ac:dyDescent="0.25">
      <c r="A1108" t="s">
        <v>2687</v>
      </c>
      <c r="B1108" t="s">
        <v>2688</v>
      </c>
      <c r="C1108">
        <v>16.16</v>
      </c>
      <c r="E1108" t="str">
        <f t="shared" si="23"/>
        <v xml:space="preserve">. </v>
      </c>
      <c r="F1108">
        <v>75</v>
      </c>
      <c r="H1108" t="b">
        <v>0</v>
      </c>
      <c r="L1108" s="188" t="str">
        <f>IFERROR(_xlfn.XLOOKUP(A1108,[1]Fleet!A:A,[1]Fleet!E:E,""),"")</f>
        <v/>
      </c>
      <c r="M1108" s="188" t="s">
        <v>22</v>
      </c>
      <c r="N1108" s="188" t="s">
        <v>22</v>
      </c>
      <c r="P1108">
        <v>1146</v>
      </c>
      <c r="Q1108">
        <f>_xlfn.XLOOKUP(A1108,'[1]Classic Net to delete'!D:D,'[1]Classic Net to delete'!AA:AA,0)</f>
        <v>0</v>
      </c>
    </row>
    <row r="1109" spans="1:17" x14ac:dyDescent="0.25">
      <c r="A1109" t="s">
        <v>2689</v>
      </c>
      <c r="B1109" t="s">
        <v>2690</v>
      </c>
      <c r="C1109">
        <v>21.51</v>
      </c>
      <c r="E1109" t="str">
        <f t="shared" si="23"/>
        <v xml:space="preserve">. </v>
      </c>
      <c r="F1109">
        <v>75</v>
      </c>
      <c r="H1109" t="b">
        <v>0</v>
      </c>
      <c r="L1109" s="188" t="str">
        <f>IFERROR(_xlfn.XLOOKUP(A1109,[1]Fleet!A:A,[1]Fleet!E:E,""),"")</f>
        <v/>
      </c>
      <c r="M1109" s="188" t="s">
        <v>22</v>
      </c>
      <c r="N1109" s="188" t="s">
        <v>22</v>
      </c>
      <c r="P1109">
        <v>1145</v>
      </c>
      <c r="Q1109">
        <f>_xlfn.XLOOKUP(A1109,'[1]Classic Net to delete'!D:D,'[1]Classic Net to delete'!AA:AA,0)</f>
        <v>0</v>
      </c>
    </row>
    <row r="1110" spans="1:17" x14ac:dyDescent="0.25">
      <c r="A1110" t="s">
        <v>2691</v>
      </c>
      <c r="B1110" t="s">
        <v>2692</v>
      </c>
      <c r="C1110">
        <v>27.12</v>
      </c>
      <c r="E1110" t="str">
        <f t="shared" si="23"/>
        <v xml:space="preserve">. </v>
      </c>
      <c r="F1110">
        <v>75</v>
      </c>
      <c r="H1110" t="b">
        <v>0</v>
      </c>
      <c r="L1110" s="188" t="str">
        <f>IFERROR(_xlfn.XLOOKUP(A1110,[1]Fleet!A:A,[1]Fleet!E:E,""),"")</f>
        <v/>
      </c>
      <c r="M1110" s="188" t="s">
        <v>22</v>
      </c>
      <c r="N1110" s="188" t="s">
        <v>22</v>
      </c>
      <c r="P1110">
        <v>1144</v>
      </c>
      <c r="Q1110">
        <f>_xlfn.XLOOKUP(A1110,'[1]Classic Net to delete'!D:D,'[1]Classic Net to delete'!AA:AA,0)</f>
        <v>0</v>
      </c>
    </row>
    <row r="1111" spans="1:17" x14ac:dyDescent="0.25">
      <c r="A1111" t="s">
        <v>2693</v>
      </c>
      <c r="B1111" t="s">
        <v>2694</v>
      </c>
      <c r="C1111">
        <v>32.53</v>
      </c>
      <c r="E1111" t="str">
        <f t="shared" si="23"/>
        <v xml:space="preserve">. </v>
      </c>
      <c r="F1111">
        <v>75</v>
      </c>
      <c r="H1111" t="b">
        <v>0</v>
      </c>
      <c r="L1111" s="188" t="str">
        <f>IFERROR(_xlfn.XLOOKUP(A1111,[1]Fleet!A:A,[1]Fleet!E:E,""),"")</f>
        <v/>
      </c>
      <c r="M1111" s="188" t="s">
        <v>22</v>
      </c>
      <c r="N1111" s="188" t="s">
        <v>22</v>
      </c>
      <c r="P1111">
        <v>1143</v>
      </c>
      <c r="Q1111">
        <f>_xlfn.XLOOKUP(A1111,'[1]Classic Net to delete'!D:D,'[1]Classic Net to delete'!AA:AA,0)</f>
        <v>0</v>
      </c>
    </row>
    <row r="1112" spans="1:17" x14ac:dyDescent="0.25">
      <c r="A1112" t="s">
        <v>2695</v>
      </c>
      <c r="B1112" t="s">
        <v>2696</v>
      </c>
      <c r="C1112">
        <v>37.880000000000003</v>
      </c>
      <c r="E1112" t="str">
        <f t="shared" si="23"/>
        <v xml:space="preserve">. </v>
      </c>
      <c r="F1112">
        <v>75</v>
      </c>
      <c r="H1112" t="b">
        <v>0</v>
      </c>
      <c r="L1112" s="188" t="str">
        <f>IFERROR(_xlfn.XLOOKUP(A1112,[1]Fleet!A:A,[1]Fleet!E:E,""),"")</f>
        <v/>
      </c>
      <c r="M1112" s="188" t="s">
        <v>22</v>
      </c>
      <c r="N1112" s="188" t="s">
        <v>22</v>
      </c>
      <c r="P1112">
        <v>1142</v>
      </c>
      <c r="Q1112">
        <f>_xlfn.XLOOKUP(A1112,'[1]Classic Net to delete'!D:D,'[1]Classic Net to delete'!AA:AA,0)</f>
        <v>0</v>
      </c>
    </row>
    <row r="1113" spans="1:17" x14ac:dyDescent="0.25">
      <c r="A1113" t="s">
        <v>2697</v>
      </c>
      <c r="B1113" t="s">
        <v>2698</v>
      </c>
      <c r="C1113">
        <v>18.89</v>
      </c>
      <c r="E1113" t="str">
        <f t="shared" si="23"/>
        <v xml:space="preserve">. </v>
      </c>
      <c r="F1113">
        <v>75</v>
      </c>
      <c r="H1113" t="b">
        <v>0</v>
      </c>
      <c r="L1113" s="188" t="str">
        <f>IFERROR(_xlfn.XLOOKUP(A1113,[1]Fleet!A:A,[1]Fleet!E:E,""),"")</f>
        <v/>
      </c>
      <c r="M1113" s="188" t="s">
        <v>22</v>
      </c>
      <c r="N1113" s="188" t="s">
        <v>22</v>
      </c>
      <c r="P1113">
        <v>1141</v>
      </c>
      <c r="Q1113">
        <f>_xlfn.XLOOKUP(A1113,'[1]Classic Net to delete'!D:D,'[1]Classic Net to delete'!AA:AA,0)</f>
        <v>0</v>
      </c>
    </row>
    <row r="1114" spans="1:17" x14ac:dyDescent="0.25">
      <c r="A1114" t="s">
        <v>2699</v>
      </c>
      <c r="B1114" t="s">
        <v>2700</v>
      </c>
      <c r="C1114">
        <v>18.89</v>
      </c>
      <c r="E1114" t="str">
        <f t="shared" si="23"/>
        <v xml:space="preserve">. </v>
      </c>
      <c r="F1114">
        <v>75</v>
      </c>
      <c r="H1114" t="b">
        <v>0</v>
      </c>
      <c r="L1114" s="188" t="str">
        <f>IFERROR(_xlfn.XLOOKUP(A1114,[1]Fleet!A:A,[1]Fleet!E:E,""),"")</f>
        <v/>
      </c>
      <c r="M1114" s="188" t="s">
        <v>22</v>
      </c>
      <c r="N1114" s="188" t="s">
        <v>22</v>
      </c>
      <c r="P1114">
        <v>1140</v>
      </c>
      <c r="Q1114">
        <f>_xlfn.XLOOKUP(A1114,'[1]Classic Net to delete'!D:D,'[1]Classic Net to delete'!AA:AA,0)</f>
        <v>0</v>
      </c>
    </row>
    <row r="1115" spans="1:17" x14ac:dyDescent="0.25">
      <c r="A1115" t="s">
        <v>2701</v>
      </c>
      <c r="B1115" t="s">
        <v>2702</v>
      </c>
      <c r="C1115">
        <v>1.77</v>
      </c>
      <c r="E1115" t="str">
        <f t="shared" si="23"/>
        <v xml:space="preserve">. </v>
      </c>
      <c r="F1115">
        <v>75</v>
      </c>
      <c r="H1115" t="b">
        <v>0</v>
      </c>
      <c r="L1115" s="188" t="str">
        <f>IFERROR(_xlfn.XLOOKUP(A1115,[1]Fleet!A:A,[1]Fleet!E:E,""),"")</f>
        <v/>
      </c>
      <c r="M1115" s="188" t="s">
        <v>22</v>
      </c>
      <c r="N1115" s="188" t="s">
        <v>22</v>
      </c>
      <c r="P1115">
        <v>1139</v>
      </c>
      <c r="Q1115">
        <f>_xlfn.XLOOKUP(A1115,'[1]Classic Net to delete'!D:D,'[1]Classic Net to delete'!AA:AA,0)</f>
        <v>0</v>
      </c>
    </row>
    <row r="1116" spans="1:17" x14ac:dyDescent="0.25">
      <c r="A1116" t="s">
        <v>2703</v>
      </c>
      <c r="B1116" t="s">
        <v>2704</v>
      </c>
      <c r="C1116">
        <v>2.35</v>
      </c>
      <c r="E1116" t="str">
        <f t="shared" si="23"/>
        <v xml:space="preserve">. </v>
      </c>
      <c r="F1116">
        <v>75</v>
      </c>
      <c r="H1116" t="b">
        <v>0</v>
      </c>
      <c r="L1116" s="188" t="str">
        <f>IFERROR(_xlfn.XLOOKUP(A1116,[1]Fleet!A:A,[1]Fleet!E:E,""),"")</f>
        <v/>
      </c>
      <c r="M1116" s="188" t="s">
        <v>22</v>
      </c>
      <c r="N1116" s="188" t="s">
        <v>22</v>
      </c>
      <c r="P1116">
        <v>1138</v>
      </c>
      <c r="Q1116">
        <f>_xlfn.XLOOKUP(A1116,'[1]Classic Net to delete'!D:D,'[1]Classic Net to delete'!AA:AA,0)</f>
        <v>0</v>
      </c>
    </row>
    <row r="1117" spans="1:17" x14ac:dyDescent="0.25">
      <c r="A1117" t="s">
        <v>2705</v>
      </c>
      <c r="B1117" t="s">
        <v>2706</v>
      </c>
      <c r="C1117">
        <v>3.8000000000000003</v>
      </c>
      <c r="E1117" t="str">
        <f t="shared" si="23"/>
        <v xml:space="preserve">. </v>
      </c>
      <c r="F1117">
        <v>75</v>
      </c>
      <c r="H1117" t="b">
        <v>0</v>
      </c>
      <c r="L1117" s="188" t="str">
        <f>IFERROR(_xlfn.XLOOKUP(A1117,[1]Fleet!A:A,[1]Fleet!E:E,""),"")</f>
        <v/>
      </c>
      <c r="M1117" s="188" t="s">
        <v>22</v>
      </c>
      <c r="N1117" s="188" t="s">
        <v>22</v>
      </c>
      <c r="P1117">
        <v>1137</v>
      </c>
      <c r="Q1117">
        <f>_xlfn.XLOOKUP(A1117,'[1]Classic Net to delete'!D:D,'[1]Classic Net to delete'!AA:AA,0)</f>
        <v>0</v>
      </c>
    </row>
    <row r="1118" spans="1:17" x14ac:dyDescent="0.25">
      <c r="A1118" t="s">
        <v>2707</v>
      </c>
      <c r="B1118" t="s">
        <v>2708</v>
      </c>
      <c r="C1118">
        <v>3.8000000000000003</v>
      </c>
      <c r="E1118" t="str">
        <f t="shared" si="23"/>
        <v xml:space="preserve">. </v>
      </c>
      <c r="F1118">
        <v>75</v>
      </c>
      <c r="H1118" t="b">
        <v>0</v>
      </c>
      <c r="L1118" s="188" t="str">
        <f>IFERROR(_xlfn.XLOOKUP(A1118,[1]Fleet!A:A,[1]Fleet!E:E,""),"")</f>
        <v/>
      </c>
      <c r="M1118" s="188" t="s">
        <v>22</v>
      </c>
      <c r="N1118" s="188" t="s">
        <v>22</v>
      </c>
      <c r="P1118">
        <v>1136</v>
      </c>
      <c r="Q1118">
        <f>_xlfn.XLOOKUP(A1118,'[1]Classic Net to delete'!D:D,'[1]Classic Net to delete'!AA:AA,0)</f>
        <v>0</v>
      </c>
    </row>
    <row r="1119" spans="1:17" x14ac:dyDescent="0.25">
      <c r="A1119" t="s">
        <v>2709</v>
      </c>
      <c r="B1119" t="s">
        <v>2710</v>
      </c>
      <c r="C1119">
        <v>3.8000000000000003</v>
      </c>
      <c r="E1119" t="str">
        <f t="shared" si="23"/>
        <v xml:space="preserve">. </v>
      </c>
      <c r="F1119">
        <v>75</v>
      </c>
      <c r="H1119" t="b">
        <v>0</v>
      </c>
      <c r="L1119" s="188" t="str">
        <f>IFERROR(_xlfn.XLOOKUP(A1119,[1]Fleet!A:A,[1]Fleet!E:E,""),"")</f>
        <v/>
      </c>
      <c r="M1119" s="188" t="s">
        <v>22</v>
      </c>
      <c r="N1119" s="188" t="s">
        <v>22</v>
      </c>
      <c r="P1119">
        <v>1135</v>
      </c>
      <c r="Q1119">
        <f>_xlfn.XLOOKUP(A1119,'[1]Classic Net to delete'!D:D,'[1]Classic Net to delete'!AA:AA,0)</f>
        <v>0</v>
      </c>
    </row>
    <row r="1120" spans="1:17" x14ac:dyDescent="0.25">
      <c r="A1120" t="s">
        <v>2711</v>
      </c>
      <c r="B1120" t="s">
        <v>2712</v>
      </c>
      <c r="C1120">
        <v>3.8000000000000003</v>
      </c>
      <c r="E1120" t="str">
        <f t="shared" si="23"/>
        <v xml:space="preserve">. </v>
      </c>
      <c r="F1120">
        <v>75</v>
      </c>
      <c r="H1120" t="b">
        <v>0</v>
      </c>
      <c r="L1120" s="188" t="str">
        <f>IFERROR(_xlfn.XLOOKUP(A1120,[1]Fleet!A:A,[1]Fleet!E:E,""),"")</f>
        <v/>
      </c>
      <c r="M1120" s="188" t="s">
        <v>22</v>
      </c>
      <c r="N1120" s="188" t="s">
        <v>22</v>
      </c>
      <c r="P1120">
        <v>1134</v>
      </c>
      <c r="Q1120">
        <f>_xlfn.XLOOKUP(A1120,'[1]Classic Net to delete'!D:D,'[1]Classic Net to delete'!AA:AA,0)</f>
        <v>0</v>
      </c>
    </row>
    <row r="1121" spans="1:17" x14ac:dyDescent="0.25">
      <c r="A1121" t="s">
        <v>2713</v>
      </c>
      <c r="B1121" t="s">
        <v>2714</v>
      </c>
      <c r="C1121">
        <v>3.8000000000000003</v>
      </c>
      <c r="E1121" t="str">
        <f t="shared" si="23"/>
        <v xml:space="preserve">. </v>
      </c>
      <c r="F1121">
        <v>75</v>
      </c>
      <c r="H1121" t="b">
        <v>0</v>
      </c>
      <c r="L1121" s="188" t="str">
        <f>IFERROR(_xlfn.XLOOKUP(A1121,[1]Fleet!A:A,[1]Fleet!E:E,""),"")</f>
        <v/>
      </c>
      <c r="M1121" s="188" t="s">
        <v>22</v>
      </c>
      <c r="N1121" s="188" t="s">
        <v>22</v>
      </c>
      <c r="P1121">
        <v>1133</v>
      </c>
      <c r="Q1121">
        <f>_xlfn.XLOOKUP(A1121,'[1]Classic Net to delete'!D:D,'[1]Classic Net to delete'!AA:AA,0)</f>
        <v>0</v>
      </c>
    </row>
    <row r="1122" spans="1:17" x14ac:dyDescent="0.25">
      <c r="A1122" t="s">
        <v>2715</v>
      </c>
      <c r="B1122" t="s">
        <v>2716</v>
      </c>
      <c r="C1122">
        <v>3.8000000000000003</v>
      </c>
      <c r="E1122" t="str">
        <f t="shared" si="23"/>
        <v xml:space="preserve">. </v>
      </c>
      <c r="F1122">
        <v>75</v>
      </c>
      <c r="H1122" t="b">
        <v>0</v>
      </c>
      <c r="L1122" s="188" t="str">
        <f>IFERROR(_xlfn.XLOOKUP(A1122,[1]Fleet!A:A,[1]Fleet!E:E,""),"")</f>
        <v/>
      </c>
      <c r="M1122" s="188" t="s">
        <v>22</v>
      </c>
      <c r="N1122" s="188" t="s">
        <v>22</v>
      </c>
      <c r="P1122">
        <v>1132</v>
      </c>
      <c r="Q1122">
        <f>_xlfn.XLOOKUP(A1122,'[1]Classic Net to delete'!D:D,'[1]Classic Net to delete'!AA:AA,0)</f>
        <v>0</v>
      </c>
    </row>
    <row r="1123" spans="1:17" x14ac:dyDescent="0.25">
      <c r="A1123" t="s">
        <v>2717</v>
      </c>
      <c r="B1123" t="s">
        <v>2718</v>
      </c>
      <c r="C1123">
        <v>3.8000000000000003</v>
      </c>
      <c r="E1123" t="str">
        <f t="shared" si="23"/>
        <v xml:space="preserve">. </v>
      </c>
      <c r="F1123">
        <v>75</v>
      </c>
      <c r="H1123" t="b">
        <v>0</v>
      </c>
      <c r="L1123" s="188" t="str">
        <f>IFERROR(_xlfn.XLOOKUP(A1123,[1]Fleet!A:A,[1]Fleet!E:E,""),"")</f>
        <v/>
      </c>
      <c r="M1123" s="188" t="s">
        <v>22</v>
      </c>
      <c r="N1123" s="188" t="s">
        <v>22</v>
      </c>
      <c r="P1123">
        <v>1131</v>
      </c>
      <c r="Q1123">
        <f>_xlfn.XLOOKUP(A1123,'[1]Classic Net to delete'!D:D,'[1]Classic Net to delete'!AA:AA,0)</f>
        <v>0</v>
      </c>
    </row>
    <row r="1124" spans="1:17" x14ac:dyDescent="0.25">
      <c r="A1124" t="s">
        <v>2719</v>
      </c>
      <c r="B1124" t="s">
        <v>2720</v>
      </c>
      <c r="C1124">
        <v>3.8000000000000003</v>
      </c>
      <c r="E1124" t="str">
        <f t="shared" si="23"/>
        <v xml:space="preserve">. </v>
      </c>
      <c r="F1124">
        <v>75</v>
      </c>
      <c r="H1124" t="b">
        <v>0</v>
      </c>
      <c r="L1124" s="188" t="str">
        <f>IFERROR(_xlfn.XLOOKUP(A1124,[1]Fleet!A:A,[1]Fleet!E:E,""),"")</f>
        <v/>
      </c>
      <c r="M1124" s="188" t="s">
        <v>22</v>
      </c>
      <c r="N1124" s="188" t="s">
        <v>22</v>
      </c>
      <c r="P1124">
        <v>1130</v>
      </c>
      <c r="Q1124">
        <f>_xlfn.XLOOKUP(A1124,'[1]Classic Net to delete'!D:D,'[1]Classic Net to delete'!AA:AA,0)</f>
        <v>0</v>
      </c>
    </row>
    <row r="1125" spans="1:17" x14ac:dyDescent="0.25">
      <c r="A1125" t="s">
        <v>2721</v>
      </c>
      <c r="B1125" t="s">
        <v>2722</v>
      </c>
      <c r="C1125">
        <v>3.8000000000000003</v>
      </c>
      <c r="E1125" t="str">
        <f t="shared" si="23"/>
        <v xml:space="preserve">. </v>
      </c>
      <c r="F1125">
        <v>75</v>
      </c>
      <c r="H1125" t="b">
        <v>0</v>
      </c>
      <c r="L1125" s="188" t="str">
        <f>IFERROR(_xlfn.XLOOKUP(A1125,[1]Fleet!A:A,[1]Fleet!E:E,""),"")</f>
        <v/>
      </c>
      <c r="M1125" s="188" t="s">
        <v>22</v>
      </c>
      <c r="N1125" s="188" t="s">
        <v>22</v>
      </c>
      <c r="P1125">
        <v>1129</v>
      </c>
      <c r="Q1125">
        <f>_xlfn.XLOOKUP(A1125,'[1]Classic Net to delete'!D:D,'[1]Classic Net to delete'!AA:AA,0)</f>
        <v>0</v>
      </c>
    </row>
    <row r="1126" spans="1:17" x14ac:dyDescent="0.25">
      <c r="A1126" t="s">
        <v>2723</v>
      </c>
      <c r="B1126" t="s">
        <v>2724</v>
      </c>
      <c r="C1126">
        <v>3.8000000000000003</v>
      </c>
      <c r="E1126" t="str">
        <f t="shared" si="23"/>
        <v xml:space="preserve">. </v>
      </c>
      <c r="F1126">
        <v>75</v>
      </c>
      <c r="H1126" t="b">
        <v>0</v>
      </c>
      <c r="L1126" s="188" t="str">
        <f>IFERROR(_xlfn.XLOOKUP(A1126,[1]Fleet!A:A,[1]Fleet!E:E,""),"")</f>
        <v/>
      </c>
      <c r="M1126" s="188" t="s">
        <v>22</v>
      </c>
      <c r="N1126" s="188" t="s">
        <v>22</v>
      </c>
      <c r="P1126">
        <v>1128</v>
      </c>
      <c r="Q1126">
        <f>_xlfn.XLOOKUP(A1126,'[1]Classic Net to delete'!D:D,'[1]Classic Net to delete'!AA:AA,0)</f>
        <v>0</v>
      </c>
    </row>
    <row r="1127" spans="1:17" x14ac:dyDescent="0.25">
      <c r="A1127" t="s">
        <v>2725</v>
      </c>
      <c r="B1127" t="s">
        <v>2726</v>
      </c>
      <c r="C1127">
        <v>3.8000000000000003</v>
      </c>
      <c r="E1127" t="str">
        <f t="shared" si="23"/>
        <v xml:space="preserve">. </v>
      </c>
      <c r="F1127">
        <v>75</v>
      </c>
      <c r="H1127" t="b">
        <v>0</v>
      </c>
      <c r="L1127" s="188" t="str">
        <f>IFERROR(_xlfn.XLOOKUP(A1127,[1]Fleet!A:A,[1]Fleet!E:E,""),"")</f>
        <v/>
      </c>
      <c r="M1127" s="188" t="s">
        <v>22</v>
      </c>
      <c r="N1127" s="188" t="s">
        <v>22</v>
      </c>
      <c r="P1127">
        <v>1127</v>
      </c>
      <c r="Q1127">
        <f>_xlfn.XLOOKUP(A1127,'[1]Classic Net to delete'!D:D,'[1]Classic Net to delete'!AA:AA,0)</f>
        <v>0</v>
      </c>
    </row>
    <row r="1128" spans="1:17" x14ac:dyDescent="0.25">
      <c r="A1128" t="s">
        <v>2727</v>
      </c>
      <c r="B1128" t="s">
        <v>2728</v>
      </c>
      <c r="C1128">
        <v>3.8000000000000003</v>
      </c>
      <c r="E1128" t="str">
        <f t="shared" si="23"/>
        <v xml:space="preserve">. </v>
      </c>
      <c r="F1128">
        <v>75</v>
      </c>
      <c r="H1128" t="b">
        <v>0</v>
      </c>
      <c r="L1128" s="188" t="str">
        <f>IFERROR(_xlfn.XLOOKUP(A1128,[1]Fleet!A:A,[1]Fleet!E:E,""),"")</f>
        <v/>
      </c>
      <c r="M1128" s="188" t="s">
        <v>22</v>
      </c>
      <c r="N1128" s="188" t="s">
        <v>22</v>
      </c>
      <c r="P1128">
        <v>1126</v>
      </c>
      <c r="Q1128">
        <f>_xlfn.XLOOKUP(A1128,'[1]Classic Net to delete'!D:D,'[1]Classic Net to delete'!AA:AA,0)</f>
        <v>0</v>
      </c>
    </row>
    <row r="1129" spans="1:17" x14ac:dyDescent="0.25">
      <c r="A1129" t="s">
        <v>2729</v>
      </c>
      <c r="B1129" t="s">
        <v>2730</v>
      </c>
      <c r="C1129">
        <v>3.8000000000000003</v>
      </c>
      <c r="E1129" t="str">
        <f t="shared" si="23"/>
        <v xml:space="preserve">. </v>
      </c>
      <c r="F1129">
        <v>75</v>
      </c>
      <c r="H1129" t="b">
        <v>0</v>
      </c>
      <c r="L1129" s="188" t="str">
        <f>IFERROR(_xlfn.XLOOKUP(A1129,[1]Fleet!A:A,[1]Fleet!E:E,""),"")</f>
        <v/>
      </c>
      <c r="M1129" s="188" t="s">
        <v>22</v>
      </c>
      <c r="N1129" s="188" t="s">
        <v>22</v>
      </c>
      <c r="P1129">
        <v>1125</v>
      </c>
      <c r="Q1129">
        <f>_xlfn.XLOOKUP(A1129,'[1]Classic Net to delete'!D:D,'[1]Classic Net to delete'!AA:AA,0)</f>
        <v>0</v>
      </c>
    </row>
    <row r="1130" spans="1:17" x14ac:dyDescent="0.25">
      <c r="A1130" t="s">
        <v>2731</v>
      </c>
      <c r="B1130" t="s">
        <v>2732</v>
      </c>
      <c r="C1130">
        <v>3.8000000000000003</v>
      </c>
      <c r="E1130" t="str">
        <f t="shared" si="23"/>
        <v xml:space="preserve">. </v>
      </c>
      <c r="F1130">
        <v>75</v>
      </c>
      <c r="H1130" t="b">
        <v>0</v>
      </c>
      <c r="L1130" s="188" t="str">
        <f>IFERROR(_xlfn.XLOOKUP(A1130,[1]Fleet!A:A,[1]Fleet!E:E,""),"")</f>
        <v/>
      </c>
      <c r="M1130" s="188" t="s">
        <v>22</v>
      </c>
      <c r="N1130" s="188" t="s">
        <v>22</v>
      </c>
      <c r="P1130">
        <v>1124</v>
      </c>
      <c r="Q1130">
        <f>_xlfn.XLOOKUP(A1130,'[1]Classic Net to delete'!D:D,'[1]Classic Net to delete'!AA:AA,0)</f>
        <v>0</v>
      </c>
    </row>
    <row r="1131" spans="1:17" x14ac:dyDescent="0.25">
      <c r="A1131" t="s">
        <v>2733</v>
      </c>
      <c r="B1131" t="s">
        <v>2734</v>
      </c>
      <c r="C1131">
        <v>3.8000000000000003</v>
      </c>
      <c r="E1131" t="str">
        <f t="shared" si="23"/>
        <v xml:space="preserve">. </v>
      </c>
      <c r="F1131">
        <v>75</v>
      </c>
      <c r="H1131" t="b">
        <v>0</v>
      </c>
      <c r="L1131" s="188" t="str">
        <f>IFERROR(_xlfn.XLOOKUP(A1131,[1]Fleet!A:A,[1]Fleet!E:E,""),"")</f>
        <v/>
      </c>
      <c r="M1131" s="188" t="s">
        <v>22</v>
      </c>
      <c r="N1131" s="188" t="s">
        <v>22</v>
      </c>
      <c r="P1131">
        <v>1123</v>
      </c>
      <c r="Q1131">
        <f>_xlfn.XLOOKUP(A1131,'[1]Classic Net to delete'!D:D,'[1]Classic Net to delete'!AA:AA,0)</f>
        <v>0</v>
      </c>
    </row>
    <row r="1132" spans="1:17" x14ac:dyDescent="0.25">
      <c r="A1132" t="s">
        <v>2735</v>
      </c>
      <c r="B1132" t="s">
        <v>2736</v>
      </c>
      <c r="C1132">
        <v>3.8000000000000003</v>
      </c>
      <c r="E1132" t="str">
        <f t="shared" si="23"/>
        <v xml:space="preserve">. </v>
      </c>
      <c r="F1132">
        <v>75</v>
      </c>
      <c r="H1132" t="b">
        <v>0</v>
      </c>
      <c r="L1132" s="188" t="str">
        <f>IFERROR(_xlfn.XLOOKUP(A1132,[1]Fleet!A:A,[1]Fleet!E:E,""),"")</f>
        <v/>
      </c>
      <c r="M1132" s="188" t="s">
        <v>22</v>
      </c>
      <c r="N1132" s="188" t="s">
        <v>22</v>
      </c>
      <c r="P1132">
        <v>1122</v>
      </c>
      <c r="Q1132">
        <f>_xlfn.XLOOKUP(A1132,'[1]Classic Net to delete'!D:D,'[1]Classic Net to delete'!AA:AA,0)</f>
        <v>0</v>
      </c>
    </row>
    <row r="1133" spans="1:17" x14ac:dyDescent="0.25">
      <c r="A1133" t="s">
        <v>2737</v>
      </c>
      <c r="B1133" t="s">
        <v>2738</v>
      </c>
      <c r="C1133">
        <v>3.8000000000000003</v>
      </c>
      <c r="E1133" t="str">
        <f t="shared" si="23"/>
        <v xml:space="preserve">. </v>
      </c>
      <c r="F1133">
        <v>75</v>
      </c>
      <c r="H1133" t="b">
        <v>0</v>
      </c>
      <c r="L1133" s="188" t="str">
        <f>IFERROR(_xlfn.XLOOKUP(A1133,[1]Fleet!A:A,[1]Fleet!E:E,""),"")</f>
        <v/>
      </c>
      <c r="M1133" s="188" t="s">
        <v>22</v>
      </c>
      <c r="N1133" s="188" t="s">
        <v>22</v>
      </c>
      <c r="P1133">
        <v>1121</v>
      </c>
      <c r="Q1133">
        <f>_xlfn.XLOOKUP(A1133,'[1]Classic Net to delete'!D:D,'[1]Classic Net to delete'!AA:AA,0)</f>
        <v>0</v>
      </c>
    </row>
    <row r="1134" spans="1:17" x14ac:dyDescent="0.25">
      <c r="A1134" t="s">
        <v>2739</v>
      </c>
      <c r="B1134" t="s">
        <v>2740</v>
      </c>
      <c r="C1134">
        <v>3.8000000000000003</v>
      </c>
      <c r="E1134" t="str">
        <f t="shared" si="23"/>
        <v xml:space="preserve">. </v>
      </c>
      <c r="F1134">
        <v>75</v>
      </c>
      <c r="H1134" t="b">
        <v>0</v>
      </c>
      <c r="L1134" s="188" t="str">
        <f>IFERROR(_xlfn.XLOOKUP(A1134,[1]Fleet!A:A,[1]Fleet!E:E,""),"")</f>
        <v/>
      </c>
      <c r="M1134" s="188" t="s">
        <v>22</v>
      </c>
      <c r="N1134" s="188" t="s">
        <v>22</v>
      </c>
      <c r="P1134">
        <v>1120</v>
      </c>
      <c r="Q1134">
        <f>_xlfn.XLOOKUP(A1134,'[1]Classic Net to delete'!D:D,'[1]Classic Net to delete'!AA:AA,0)</f>
        <v>0</v>
      </c>
    </row>
    <row r="1135" spans="1:17" x14ac:dyDescent="0.25">
      <c r="A1135" t="s">
        <v>2741</v>
      </c>
      <c r="B1135" t="s">
        <v>2742</v>
      </c>
      <c r="C1135">
        <v>3.8000000000000003</v>
      </c>
      <c r="E1135" t="str">
        <f t="shared" si="23"/>
        <v xml:space="preserve">. </v>
      </c>
      <c r="F1135">
        <v>75</v>
      </c>
      <c r="H1135" t="b">
        <v>0</v>
      </c>
      <c r="L1135" s="188" t="str">
        <f>IFERROR(_xlfn.XLOOKUP(A1135,[1]Fleet!A:A,[1]Fleet!E:E,""),"")</f>
        <v/>
      </c>
      <c r="M1135" s="188" t="s">
        <v>22</v>
      </c>
      <c r="N1135" s="188" t="s">
        <v>22</v>
      </c>
      <c r="P1135">
        <v>1119</v>
      </c>
      <c r="Q1135">
        <f>_xlfn.XLOOKUP(A1135,'[1]Classic Net to delete'!D:D,'[1]Classic Net to delete'!AA:AA,0)</f>
        <v>0</v>
      </c>
    </row>
    <row r="1136" spans="1:17" x14ac:dyDescent="0.25">
      <c r="A1136" t="s">
        <v>2743</v>
      </c>
      <c r="B1136" t="s">
        <v>2744</v>
      </c>
      <c r="C1136">
        <v>3.8000000000000003</v>
      </c>
      <c r="E1136" t="str">
        <f t="shared" si="23"/>
        <v xml:space="preserve">. </v>
      </c>
      <c r="F1136">
        <v>75</v>
      </c>
      <c r="H1136" t="b">
        <v>0</v>
      </c>
      <c r="L1136" s="188" t="str">
        <f>IFERROR(_xlfn.XLOOKUP(A1136,[1]Fleet!A:A,[1]Fleet!E:E,""),"")</f>
        <v/>
      </c>
      <c r="M1136" s="188" t="s">
        <v>22</v>
      </c>
      <c r="N1136" s="188" t="s">
        <v>22</v>
      </c>
      <c r="P1136">
        <v>1118</v>
      </c>
      <c r="Q1136">
        <f>_xlfn.XLOOKUP(A1136,'[1]Classic Net to delete'!D:D,'[1]Classic Net to delete'!AA:AA,0)</f>
        <v>0</v>
      </c>
    </row>
    <row r="1137" spans="1:17" x14ac:dyDescent="0.25">
      <c r="A1137" t="s">
        <v>2745</v>
      </c>
      <c r="B1137" t="s">
        <v>2746</v>
      </c>
      <c r="C1137">
        <v>3.8000000000000003</v>
      </c>
      <c r="E1137" t="str">
        <f t="shared" si="23"/>
        <v xml:space="preserve">. </v>
      </c>
      <c r="F1137">
        <v>75</v>
      </c>
      <c r="H1137" t="b">
        <v>0</v>
      </c>
      <c r="L1137" s="188" t="str">
        <f>IFERROR(_xlfn.XLOOKUP(A1137,[1]Fleet!A:A,[1]Fleet!E:E,""),"")</f>
        <v/>
      </c>
      <c r="M1137" s="188" t="s">
        <v>22</v>
      </c>
      <c r="N1137" s="188" t="s">
        <v>22</v>
      </c>
      <c r="P1137">
        <v>1117</v>
      </c>
      <c r="Q1137">
        <f>_xlfn.XLOOKUP(A1137,'[1]Classic Net to delete'!D:D,'[1]Classic Net to delete'!AA:AA,0)</f>
        <v>0</v>
      </c>
    </row>
    <row r="1138" spans="1:17" x14ac:dyDescent="0.25">
      <c r="A1138" t="s">
        <v>2747</v>
      </c>
      <c r="B1138" t="s">
        <v>2748</v>
      </c>
      <c r="C1138">
        <v>0</v>
      </c>
      <c r="E1138" t="str">
        <f t="shared" si="23"/>
        <v xml:space="preserve">. </v>
      </c>
      <c r="F1138">
        <v>75</v>
      </c>
      <c r="H1138" t="b">
        <v>0</v>
      </c>
      <c r="L1138" s="188" t="str">
        <f>IFERROR(_xlfn.XLOOKUP(A1138,[1]Fleet!A:A,[1]Fleet!E:E,""),"")</f>
        <v/>
      </c>
      <c r="M1138" s="188" t="s">
        <v>22</v>
      </c>
      <c r="N1138" s="188" t="s">
        <v>22</v>
      </c>
      <c r="P1138">
        <v>1116</v>
      </c>
      <c r="Q1138">
        <f>_xlfn.XLOOKUP(A1138,'[1]Classic Net to delete'!D:D,'[1]Classic Net to delete'!AA:AA,0)</f>
        <v>0</v>
      </c>
    </row>
    <row r="1139" spans="1:17" x14ac:dyDescent="0.25">
      <c r="A1139" t="s">
        <v>2749</v>
      </c>
      <c r="B1139" t="s">
        <v>2750</v>
      </c>
      <c r="C1139">
        <v>10.540000000000001</v>
      </c>
      <c r="E1139" t="str">
        <f t="shared" si="23"/>
        <v xml:space="preserve">. </v>
      </c>
      <c r="F1139">
        <v>75</v>
      </c>
      <c r="H1139" t="b">
        <v>0</v>
      </c>
      <c r="L1139" s="188" t="str">
        <f>IFERROR(_xlfn.XLOOKUP(A1139,[1]Fleet!A:A,[1]Fleet!E:E,""),"")</f>
        <v/>
      </c>
      <c r="M1139" s="188" t="s">
        <v>22</v>
      </c>
      <c r="N1139" s="188" t="s">
        <v>22</v>
      </c>
      <c r="P1139">
        <v>1115</v>
      </c>
      <c r="Q1139">
        <f>_xlfn.XLOOKUP(A1139,'[1]Classic Net to delete'!D:D,'[1]Classic Net to delete'!AA:AA,0)</f>
        <v>0</v>
      </c>
    </row>
    <row r="1140" spans="1:17" x14ac:dyDescent="0.25">
      <c r="A1140" t="s">
        <v>2751</v>
      </c>
      <c r="B1140" t="s">
        <v>2752</v>
      </c>
      <c r="C1140">
        <v>10.540000000000001</v>
      </c>
      <c r="E1140" t="str">
        <f t="shared" si="23"/>
        <v xml:space="preserve">. </v>
      </c>
      <c r="F1140">
        <v>75</v>
      </c>
      <c r="H1140" t="b">
        <v>0</v>
      </c>
      <c r="L1140" s="188" t="str">
        <f>IFERROR(_xlfn.XLOOKUP(A1140,[1]Fleet!A:A,[1]Fleet!E:E,""),"")</f>
        <v/>
      </c>
      <c r="M1140" s="188" t="s">
        <v>22</v>
      </c>
      <c r="N1140" s="188" t="s">
        <v>22</v>
      </c>
      <c r="P1140">
        <v>1114</v>
      </c>
      <c r="Q1140">
        <f>_xlfn.XLOOKUP(A1140,'[1]Classic Net to delete'!D:D,'[1]Classic Net to delete'!AA:AA,0)</f>
        <v>0</v>
      </c>
    </row>
    <row r="1141" spans="1:17" x14ac:dyDescent="0.25">
      <c r="A1141" t="s">
        <v>2753</v>
      </c>
      <c r="B1141" t="s">
        <v>2754</v>
      </c>
      <c r="C1141">
        <v>23.38</v>
      </c>
      <c r="E1141" t="str">
        <f t="shared" si="23"/>
        <v xml:space="preserve">. </v>
      </c>
      <c r="F1141">
        <v>75</v>
      </c>
      <c r="H1141" t="b">
        <v>0</v>
      </c>
      <c r="L1141" s="188" t="str">
        <f>IFERROR(_xlfn.XLOOKUP(A1141,[1]Fleet!A:A,[1]Fleet!E:E,""),"")</f>
        <v/>
      </c>
      <c r="M1141" s="188" t="s">
        <v>22</v>
      </c>
      <c r="N1141" s="188" t="s">
        <v>22</v>
      </c>
      <c r="P1141">
        <v>1113</v>
      </c>
      <c r="Q1141">
        <f>_xlfn.XLOOKUP(A1141,'[1]Classic Net to delete'!D:D,'[1]Classic Net to delete'!AA:AA,0)</f>
        <v>0</v>
      </c>
    </row>
    <row r="1142" spans="1:17" x14ac:dyDescent="0.25">
      <c r="A1142" t="s">
        <v>2755</v>
      </c>
      <c r="B1142" t="s">
        <v>2756</v>
      </c>
      <c r="C1142">
        <v>15.780000000000001</v>
      </c>
      <c r="E1142" t="str">
        <f t="shared" si="23"/>
        <v xml:space="preserve">. </v>
      </c>
      <c r="F1142">
        <v>75</v>
      </c>
      <c r="H1142" t="b">
        <v>0</v>
      </c>
      <c r="L1142" s="188" t="str">
        <f>IFERROR(_xlfn.XLOOKUP(A1142,[1]Fleet!A:A,[1]Fleet!E:E,""),"")</f>
        <v/>
      </c>
      <c r="M1142" s="188" t="s">
        <v>22</v>
      </c>
      <c r="N1142" s="188" t="s">
        <v>22</v>
      </c>
      <c r="P1142">
        <v>1112</v>
      </c>
      <c r="Q1142">
        <f>_xlfn.XLOOKUP(A1142,'[1]Classic Net to delete'!D:D,'[1]Classic Net to delete'!AA:AA,0)</f>
        <v>0</v>
      </c>
    </row>
    <row r="1143" spans="1:17" x14ac:dyDescent="0.25">
      <c r="A1143" t="s">
        <v>2757</v>
      </c>
      <c r="B1143" t="s">
        <v>2758</v>
      </c>
      <c r="C1143">
        <v>10.540000000000001</v>
      </c>
      <c r="E1143" t="str">
        <f t="shared" si="23"/>
        <v xml:space="preserve">. </v>
      </c>
      <c r="F1143">
        <v>75</v>
      </c>
      <c r="H1143" t="b">
        <v>0</v>
      </c>
      <c r="L1143" s="188" t="str">
        <f>IFERROR(_xlfn.XLOOKUP(A1143,[1]Fleet!A:A,[1]Fleet!E:E,""),"")</f>
        <v/>
      </c>
      <c r="M1143" s="188" t="s">
        <v>22</v>
      </c>
      <c r="N1143" s="188" t="s">
        <v>22</v>
      </c>
      <c r="P1143">
        <v>1111</v>
      </c>
      <c r="Q1143">
        <f>_xlfn.XLOOKUP(A1143,'[1]Classic Net to delete'!D:D,'[1]Classic Net to delete'!AA:AA,0)</f>
        <v>0</v>
      </c>
    </row>
    <row r="1144" spans="1:17" x14ac:dyDescent="0.25">
      <c r="A1144" t="s">
        <v>2759</v>
      </c>
      <c r="B1144" t="s">
        <v>2760</v>
      </c>
      <c r="C1144">
        <v>0</v>
      </c>
      <c r="E1144" t="str">
        <f t="shared" si="23"/>
        <v xml:space="preserve">. </v>
      </c>
      <c r="F1144">
        <v>75</v>
      </c>
      <c r="H1144" t="b">
        <v>0</v>
      </c>
      <c r="L1144" s="188" t="str">
        <f>IFERROR(_xlfn.XLOOKUP(A1144,[1]Fleet!A:A,[1]Fleet!E:E,""),"")</f>
        <v/>
      </c>
      <c r="M1144" s="188" t="s">
        <v>22</v>
      </c>
      <c r="N1144" s="188" t="s">
        <v>22</v>
      </c>
      <c r="P1144">
        <v>1110</v>
      </c>
      <c r="Q1144">
        <f>_xlfn.XLOOKUP(A1144,'[1]Classic Net to delete'!D:D,'[1]Classic Net to delete'!AA:AA,0)</f>
        <v>0</v>
      </c>
    </row>
    <row r="1145" spans="1:17" x14ac:dyDescent="0.25">
      <c r="A1145" t="s">
        <v>2761</v>
      </c>
      <c r="B1145" t="s">
        <v>2762</v>
      </c>
      <c r="C1145">
        <v>0</v>
      </c>
      <c r="E1145" t="str">
        <f t="shared" si="23"/>
        <v xml:space="preserve">. </v>
      </c>
      <c r="F1145">
        <v>75</v>
      </c>
      <c r="H1145" t="b">
        <v>0</v>
      </c>
      <c r="L1145" s="188" t="str">
        <f>IFERROR(_xlfn.XLOOKUP(A1145,[1]Fleet!A:A,[1]Fleet!E:E,""),"")</f>
        <v/>
      </c>
      <c r="M1145" s="188" t="s">
        <v>22</v>
      </c>
      <c r="N1145" s="188" t="s">
        <v>22</v>
      </c>
      <c r="P1145">
        <v>1109</v>
      </c>
      <c r="Q1145">
        <f>_xlfn.XLOOKUP(A1145,'[1]Classic Net to delete'!D:D,'[1]Classic Net to delete'!AA:AA,0)</f>
        <v>0</v>
      </c>
    </row>
    <row r="1146" spans="1:17" x14ac:dyDescent="0.25">
      <c r="A1146" t="s">
        <v>2763</v>
      </c>
      <c r="B1146" t="s">
        <v>2764</v>
      </c>
      <c r="C1146">
        <v>0</v>
      </c>
      <c r="E1146" t="str">
        <f t="shared" si="23"/>
        <v xml:space="preserve">. </v>
      </c>
      <c r="F1146">
        <v>75</v>
      </c>
      <c r="H1146" t="b">
        <v>0</v>
      </c>
      <c r="L1146" s="188" t="str">
        <f>IFERROR(_xlfn.XLOOKUP(A1146,[1]Fleet!A:A,[1]Fleet!E:E,""),"")</f>
        <v/>
      </c>
      <c r="M1146" s="188" t="s">
        <v>22</v>
      </c>
      <c r="N1146" s="188" t="s">
        <v>22</v>
      </c>
      <c r="P1146">
        <v>1108</v>
      </c>
      <c r="Q1146">
        <f>_xlfn.XLOOKUP(A1146,'[1]Classic Net to delete'!D:D,'[1]Classic Net to delete'!AA:AA,0)</f>
        <v>0</v>
      </c>
    </row>
    <row r="1147" spans="1:17" x14ac:dyDescent="0.25">
      <c r="A1147" t="s">
        <v>2765</v>
      </c>
      <c r="B1147" t="s">
        <v>2766</v>
      </c>
      <c r="C1147">
        <v>9.15</v>
      </c>
      <c r="E1147" t="str">
        <f t="shared" si="23"/>
        <v xml:space="preserve">. </v>
      </c>
      <c r="F1147">
        <v>75</v>
      </c>
      <c r="H1147" t="b">
        <v>0</v>
      </c>
      <c r="L1147" s="188" t="str">
        <f>IFERROR(_xlfn.XLOOKUP(A1147,[1]Fleet!A:A,[1]Fleet!E:E,""),"")</f>
        <v/>
      </c>
      <c r="M1147" s="188" t="s">
        <v>22</v>
      </c>
      <c r="N1147" s="188" t="s">
        <v>22</v>
      </c>
      <c r="P1147">
        <v>1107</v>
      </c>
      <c r="Q1147">
        <f>_xlfn.XLOOKUP(A1147,'[1]Classic Net to delete'!D:D,'[1]Classic Net to delete'!AA:AA,0)</f>
        <v>0</v>
      </c>
    </row>
    <row r="1148" spans="1:17" x14ac:dyDescent="0.25">
      <c r="A1148" t="s">
        <v>2767</v>
      </c>
      <c r="B1148" t="s">
        <v>2768</v>
      </c>
      <c r="C1148">
        <v>9.15</v>
      </c>
      <c r="E1148" t="str">
        <f t="shared" si="23"/>
        <v xml:space="preserve">. </v>
      </c>
      <c r="F1148">
        <v>75</v>
      </c>
      <c r="H1148" t="b">
        <v>0</v>
      </c>
      <c r="L1148" s="188" t="str">
        <f>IFERROR(_xlfn.XLOOKUP(A1148,[1]Fleet!A:A,[1]Fleet!E:E,""),"")</f>
        <v/>
      </c>
      <c r="M1148" s="188" t="s">
        <v>22</v>
      </c>
      <c r="N1148" s="188" t="s">
        <v>22</v>
      </c>
      <c r="P1148">
        <v>1106</v>
      </c>
      <c r="Q1148">
        <f>_xlfn.XLOOKUP(A1148,'[1]Classic Net to delete'!D:D,'[1]Classic Net to delete'!AA:AA,0)</f>
        <v>0</v>
      </c>
    </row>
    <row r="1149" spans="1:17" x14ac:dyDescent="0.25">
      <c r="A1149" t="s">
        <v>2769</v>
      </c>
      <c r="B1149" t="s">
        <v>2770</v>
      </c>
      <c r="C1149">
        <v>9.15</v>
      </c>
      <c r="E1149" t="str">
        <f t="shared" si="23"/>
        <v xml:space="preserve">. </v>
      </c>
      <c r="F1149">
        <v>75</v>
      </c>
      <c r="H1149" t="b">
        <v>0</v>
      </c>
      <c r="L1149" s="188" t="str">
        <f>IFERROR(_xlfn.XLOOKUP(A1149,[1]Fleet!A:A,[1]Fleet!E:E,""),"")</f>
        <v/>
      </c>
      <c r="M1149" s="188" t="s">
        <v>22</v>
      </c>
      <c r="N1149" s="188" t="s">
        <v>22</v>
      </c>
      <c r="P1149">
        <v>1105</v>
      </c>
      <c r="Q1149">
        <f>_xlfn.XLOOKUP(A1149,'[1]Classic Net to delete'!D:D,'[1]Classic Net to delete'!AA:AA,0)</f>
        <v>0</v>
      </c>
    </row>
    <row r="1150" spans="1:17" x14ac:dyDescent="0.25">
      <c r="A1150" t="s">
        <v>2771</v>
      </c>
      <c r="B1150" t="s">
        <v>2772</v>
      </c>
      <c r="C1150">
        <v>9.15</v>
      </c>
      <c r="E1150" t="str">
        <f t="shared" si="23"/>
        <v xml:space="preserve">. </v>
      </c>
      <c r="F1150">
        <v>75</v>
      </c>
      <c r="H1150" t="b">
        <v>0</v>
      </c>
      <c r="L1150" s="188" t="str">
        <f>IFERROR(_xlfn.XLOOKUP(A1150,[1]Fleet!A:A,[1]Fleet!E:E,""),"")</f>
        <v/>
      </c>
      <c r="M1150" s="188" t="s">
        <v>22</v>
      </c>
      <c r="N1150" s="188" t="s">
        <v>22</v>
      </c>
      <c r="P1150">
        <v>1104</v>
      </c>
      <c r="Q1150">
        <f>_xlfn.XLOOKUP(A1150,'[1]Classic Net to delete'!D:D,'[1]Classic Net to delete'!AA:AA,0)</f>
        <v>0</v>
      </c>
    </row>
    <row r="1151" spans="1:17" x14ac:dyDescent="0.25">
      <c r="A1151" t="s">
        <v>2773</v>
      </c>
      <c r="B1151" t="s">
        <v>2774</v>
      </c>
      <c r="C1151">
        <v>9.15</v>
      </c>
      <c r="E1151" t="str">
        <f t="shared" si="23"/>
        <v xml:space="preserve">. </v>
      </c>
      <c r="F1151">
        <v>75</v>
      </c>
      <c r="H1151" t="b">
        <v>0</v>
      </c>
      <c r="L1151" s="188" t="str">
        <f>IFERROR(_xlfn.XLOOKUP(A1151,[1]Fleet!A:A,[1]Fleet!E:E,""),"")</f>
        <v/>
      </c>
      <c r="M1151" s="188" t="s">
        <v>22</v>
      </c>
      <c r="N1151" s="188" t="s">
        <v>22</v>
      </c>
      <c r="P1151">
        <v>1103</v>
      </c>
      <c r="Q1151">
        <f>_xlfn.XLOOKUP(A1151,'[1]Classic Net to delete'!D:D,'[1]Classic Net to delete'!AA:AA,0)</f>
        <v>0</v>
      </c>
    </row>
    <row r="1152" spans="1:17" x14ac:dyDescent="0.25">
      <c r="A1152" t="s">
        <v>2775</v>
      </c>
      <c r="B1152" t="s">
        <v>2776</v>
      </c>
      <c r="C1152">
        <v>9.15</v>
      </c>
      <c r="E1152" t="str">
        <f t="shared" si="23"/>
        <v xml:space="preserve">. </v>
      </c>
      <c r="F1152">
        <v>75</v>
      </c>
      <c r="H1152" t="b">
        <v>0</v>
      </c>
      <c r="L1152" s="188" t="str">
        <f>IFERROR(_xlfn.XLOOKUP(A1152,[1]Fleet!A:A,[1]Fleet!E:E,""),"")</f>
        <v/>
      </c>
      <c r="M1152" s="188" t="s">
        <v>22</v>
      </c>
      <c r="N1152" s="188" t="s">
        <v>22</v>
      </c>
      <c r="P1152">
        <v>1102</v>
      </c>
      <c r="Q1152">
        <f>_xlfn.XLOOKUP(A1152,'[1]Classic Net to delete'!D:D,'[1]Classic Net to delete'!AA:AA,0)</f>
        <v>0</v>
      </c>
    </row>
    <row r="1153" spans="1:17" x14ac:dyDescent="0.25">
      <c r="A1153" t="s">
        <v>2777</v>
      </c>
      <c r="B1153" t="s">
        <v>2778</v>
      </c>
      <c r="C1153">
        <v>10.17</v>
      </c>
      <c r="E1153" t="str">
        <f t="shared" si="23"/>
        <v xml:space="preserve">. </v>
      </c>
      <c r="F1153">
        <v>75</v>
      </c>
      <c r="H1153" t="b">
        <v>0</v>
      </c>
      <c r="L1153" s="188" t="str">
        <f>IFERROR(_xlfn.XLOOKUP(A1153,[1]Fleet!A:A,[1]Fleet!E:E,""),"")</f>
        <v/>
      </c>
      <c r="M1153" s="188" t="s">
        <v>22</v>
      </c>
      <c r="N1153" s="188" t="s">
        <v>22</v>
      </c>
      <c r="P1153">
        <v>1101</v>
      </c>
      <c r="Q1153">
        <f>_xlfn.XLOOKUP(A1153,'[1]Classic Net to delete'!D:D,'[1]Classic Net to delete'!AA:AA,0)</f>
        <v>0</v>
      </c>
    </row>
    <row r="1154" spans="1:17" x14ac:dyDescent="0.25">
      <c r="A1154" t="s">
        <v>2779</v>
      </c>
      <c r="B1154" t="s">
        <v>2780</v>
      </c>
      <c r="C1154">
        <v>10.17</v>
      </c>
      <c r="E1154" t="str">
        <f t="shared" si="23"/>
        <v xml:space="preserve">. </v>
      </c>
      <c r="F1154">
        <v>75</v>
      </c>
      <c r="H1154" t="b">
        <v>0</v>
      </c>
      <c r="L1154" s="188" t="str">
        <f>IFERROR(_xlfn.XLOOKUP(A1154,[1]Fleet!A:A,[1]Fleet!E:E,""),"")</f>
        <v/>
      </c>
      <c r="M1154" s="188" t="s">
        <v>22</v>
      </c>
      <c r="N1154" s="188" t="s">
        <v>22</v>
      </c>
      <c r="P1154">
        <v>1100</v>
      </c>
      <c r="Q1154">
        <f>_xlfn.XLOOKUP(A1154,'[1]Classic Net to delete'!D:D,'[1]Classic Net to delete'!AA:AA,0)</f>
        <v>0</v>
      </c>
    </row>
    <row r="1155" spans="1:17" x14ac:dyDescent="0.25">
      <c r="A1155" t="s">
        <v>2781</v>
      </c>
      <c r="B1155" t="s">
        <v>2782</v>
      </c>
      <c r="C1155">
        <v>10.17</v>
      </c>
      <c r="E1155" t="str">
        <f t="shared" si="23"/>
        <v xml:space="preserve">. </v>
      </c>
      <c r="F1155">
        <v>75</v>
      </c>
      <c r="H1155" t="b">
        <v>0</v>
      </c>
      <c r="L1155" s="188" t="str">
        <f>IFERROR(_xlfn.XLOOKUP(A1155,[1]Fleet!A:A,[1]Fleet!E:E,""),"")</f>
        <v/>
      </c>
      <c r="M1155" s="188" t="s">
        <v>22</v>
      </c>
      <c r="N1155" s="188" t="s">
        <v>22</v>
      </c>
      <c r="P1155">
        <v>1099</v>
      </c>
      <c r="Q1155">
        <f>_xlfn.XLOOKUP(A1155,'[1]Classic Net to delete'!D:D,'[1]Classic Net to delete'!AA:AA,0)</f>
        <v>0</v>
      </c>
    </row>
    <row r="1156" spans="1:17" x14ac:dyDescent="0.25">
      <c r="A1156" t="s">
        <v>2783</v>
      </c>
      <c r="B1156" t="s">
        <v>2784</v>
      </c>
      <c r="C1156">
        <v>15.46</v>
      </c>
      <c r="E1156" t="str">
        <f t="shared" si="23"/>
        <v xml:space="preserve">. </v>
      </c>
      <c r="F1156">
        <v>75</v>
      </c>
      <c r="H1156" t="b">
        <v>0</v>
      </c>
      <c r="L1156" s="188" t="str">
        <f>IFERROR(_xlfn.XLOOKUP(A1156,[1]Fleet!A:A,[1]Fleet!E:E,""),"")</f>
        <v/>
      </c>
      <c r="M1156" s="188" t="s">
        <v>22</v>
      </c>
      <c r="N1156" s="188" t="s">
        <v>22</v>
      </c>
      <c r="P1156">
        <v>1098</v>
      </c>
      <c r="Q1156">
        <f>_xlfn.XLOOKUP(A1156,'[1]Classic Net to delete'!D:D,'[1]Classic Net to delete'!AA:AA,0)</f>
        <v>0</v>
      </c>
    </row>
    <row r="1157" spans="1:17" x14ac:dyDescent="0.25">
      <c r="A1157" t="s">
        <v>2785</v>
      </c>
      <c r="B1157" t="s">
        <v>2786</v>
      </c>
      <c r="C1157">
        <v>10.75</v>
      </c>
      <c r="E1157" t="str">
        <f t="shared" ref="E1157:E1220" si="24">CONCATENATE(K1157,". ",O1157)</f>
        <v xml:space="preserve">. </v>
      </c>
      <c r="F1157">
        <v>75</v>
      </c>
      <c r="H1157" t="b">
        <v>0</v>
      </c>
      <c r="L1157" s="188" t="str">
        <f>IFERROR(_xlfn.XLOOKUP(A1157,[1]Fleet!A:A,[1]Fleet!E:E,""),"")</f>
        <v/>
      </c>
      <c r="M1157" s="188" t="s">
        <v>22</v>
      </c>
      <c r="N1157" s="188" t="s">
        <v>22</v>
      </c>
      <c r="P1157">
        <v>1097</v>
      </c>
      <c r="Q1157">
        <f>_xlfn.XLOOKUP(A1157,'[1]Classic Net to delete'!D:D,'[1]Classic Net to delete'!AA:AA,0)</f>
        <v>0</v>
      </c>
    </row>
    <row r="1158" spans="1:17" x14ac:dyDescent="0.25">
      <c r="A1158" t="s">
        <v>2787</v>
      </c>
      <c r="B1158" t="s">
        <v>2788</v>
      </c>
      <c r="C1158">
        <v>10.17</v>
      </c>
      <c r="E1158" t="str">
        <f t="shared" si="24"/>
        <v xml:space="preserve">. </v>
      </c>
      <c r="F1158">
        <v>75</v>
      </c>
      <c r="H1158" t="b">
        <v>0</v>
      </c>
      <c r="L1158" s="188" t="str">
        <f>IFERROR(_xlfn.XLOOKUP(A1158,[1]Fleet!A:A,[1]Fleet!E:E,""),"")</f>
        <v/>
      </c>
      <c r="M1158" s="188" t="s">
        <v>22</v>
      </c>
      <c r="N1158" s="188" t="s">
        <v>22</v>
      </c>
      <c r="P1158">
        <v>1096</v>
      </c>
      <c r="Q1158">
        <f>_xlfn.XLOOKUP(A1158,'[1]Classic Net to delete'!D:D,'[1]Classic Net to delete'!AA:AA,0)</f>
        <v>0</v>
      </c>
    </row>
    <row r="1159" spans="1:17" x14ac:dyDescent="0.25">
      <c r="A1159" t="s">
        <v>2789</v>
      </c>
      <c r="B1159" t="s">
        <v>2790</v>
      </c>
      <c r="C1159">
        <v>10.17</v>
      </c>
      <c r="E1159" t="str">
        <f t="shared" si="24"/>
        <v xml:space="preserve">. </v>
      </c>
      <c r="F1159">
        <v>75</v>
      </c>
      <c r="H1159" t="b">
        <v>0</v>
      </c>
      <c r="L1159" s="188" t="str">
        <f>IFERROR(_xlfn.XLOOKUP(A1159,[1]Fleet!A:A,[1]Fleet!E:E,""),"")</f>
        <v/>
      </c>
      <c r="M1159" s="188" t="s">
        <v>22</v>
      </c>
      <c r="N1159" s="188" t="s">
        <v>22</v>
      </c>
      <c r="P1159">
        <v>1095</v>
      </c>
      <c r="Q1159">
        <f>_xlfn.XLOOKUP(A1159,'[1]Classic Net to delete'!D:D,'[1]Classic Net to delete'!AA:AA,0)</f>
        <v>0</v>
      </c>
    </row>
    <row r="1160" spans="1:17" x14ac:dyDescent="0.25">
      <c r="A1160" t="s">
        <v>2791</v>
      </c>
      <c r="B1160" t="s">
        <v>2792</v>
      </c>
      <c r="C1160">
        <v>10.17</v>
      </c>
      <c r="E1160" t="str">
        <f t="shared" si="24"/>
        <v xml:space="preserve">. </v>
      </c>
      <c r="F1160">
        <v>75</v>
      </c>
      <c r="H1160" t="b">
        <v>0</v>
      </c>
      <c r="L1160" s="188" t="str">
        <f>IFERROR(_xlfn.XLOOKUP(A1160,[1]Fleet!A:A,[1]Fleet!E:E,""),"")</f>
        <v/>
      </c>
      <c r="M1160" s="188" t="s">
        <v>22</v>
      </c>
      <c r="N1160" s="188" t="s">
        <v>22</v>
      </c>
      <c r="P1160">
        <v>1094</v>
      </c>
      <c r="Q1160">
        <f>_xlfn.XLOOKUP(A1160,'[1]Classic Net to delete'!D:D,'[1]Classic Net to delete'!AA:AA,0)</f>
        <v>0</v>
      </c>
    </row>
    <row r="1161" spans="1:17" x14ac:dyDescent="0.25">
      <c r="A1161" t="s">
        <v>2793</v>
      </c>
      <c r="B1161" t="s">
        <v>2794</v>
      </c>
      <c r="C1161">
        <v>11.02</v>
      </c>
      <c r="E1161" t="str">
        <f t="shared" si="24"/>
        <v xml:space="preserve">. </v>
      </c>
      <c r="F1161">
        <v>75</v>
      </c>
      <c r="H1161" t="b">
        <v>0</v>
      </c>
      <c r="L1161" s="188" t="str">
        <f>IFERROR(_xlfn.XLOOKUP(A1161,[1]Fleet!A:A,[1]Fleet!E:E,""),"")</f>
        <v/>
      </c>
      <c r="M1161" s="188" t="s">
        <v>22</v>
      </c>
      <c r="N1161" s="188" t="s">
        <v>22</v>
      </c>
      <c r="P1161">
        <v>1093</v>
      </c>
      <c r="Q1161">
        <f>_xlfn.XLOOKUP(A1161,'[1]Classic Net to delete'!D:D,'[1]Classic Net to delete'!AA:AA,0)</f>
        <v>0</v>
      </c>
    </row>
    <row r="1162" spans="1:17" x14ac:dyDescent="0.25">
      <c r="A1162" t="s">
        <v>2795</v>
      </c>
      <c r="B1162" t="s">
        <v>2796</v>
      </c>
      <c r="C1162">
        <v>22.04</v>
      </c>
      <c r="E1162" t="str">
        <f t="shared" si="24"/>
        <v xml:space="preserve">. </v>
      </c>
      <c r="F1162">
        <v>75</v>
      </c>
      <c r="H1162" t="b">
        <v>0</v>
      </c>
      <c r="L1162" s="188" t="str">
        <f>IFERROR(_xlfn.XLOOKUP(A1162,[1]Fleet!A:A,[1]Fleet!E:E,""),"")</f>
        <v/>
      </c>
      <c r="M1162" s="188" t="s">
        <v>22</v>
      </c>
      <c r="N1162" s="188" t="s">
        <v>22</v>
      </c>
      <c r="P1162">
        <v>1092</v>
      </c>
      <c r="Q1162">
        <f>_xlfn.XLOOKUP(A1162,'[1]Classic Net to delete'!D:D,'[1]Classic Net to delete'!AA:AA,0)</f>
        <v>0</v>
      </c>
    </row>
    <row r="1163" spans="1:17" x14ac:dyDescent="0.25">
      <c r="A1163" t="s">
        <v>2797</v>
      </c>
      <c r="B1163" t="s">
        <v>2798</v>
      </c>
      <c r="C1163">
        <v>0</v>
      </c>
      <c r="E1163" t="str">
        <f t="shared" si="24"/>
        <v xml:space="preserve">. </v>
      </c>
      <c r="F1163">
        <v>75</v>
      </c>
      <c r="H1163" t="b">
        <v>0</v>
      </c>
      <c r="L1163" s="188" t="str">
        <f>IFERROR(_xlfn.XLOOKUP(A1163,[1]Fleet!A:A,[1]Fleet!E:E,""),"")</f>
        <v/>
      </c>
      <c r="M1163" s="188" t="s">
        <v>22</v>
      </c>
      <c r="N1163" s="188" t="s">
        <v>22</v>
      </c>
      <c r="P1163">
        <v>1091</v>
      </c>
      <c r="Q1163">
        <f>_xlfn.XLOOKUP(A1163,'[1]Classic Net to delete'!D:D,'[1]Classic Net to delete'!AA:AA,0)</f>
        <v>0</v>
      </c>
    </row>
    <row r="1164" spans="1:17" x14ac:dyDescent="0.25">
      <c r="A1164" t="s">
        <v>2799</v>
      </c>
      <c r="B1164" t="s">
        <v>2800</v>
      </c>
      <c r="C1164">
        <v>18.62</v>
      </c>
      <c r="E1164" t="str">
        <f t="shared" si="24"/>
        <v xml:space="preserve">. </v>
      </c>
      <c r="F1164">
        <v>75</v>
      </c>
      <c r="H1164" t="b">
        <v>0</v>
      </c>
      <c r="L1164" s="188" t="str">
        <f>IFERROR(_xlfn.XLOOKUP(A1164,[1]Fleet!A:A,[1]Fleet!E:E,""),"")</f>
        <v/>
      </c>
      <c r="M1164" s="188" t="s">
        <v>22</v>
      </c>
      <c r="N1164" s="188" t="s">
        <v>22</v>
      </c>
      <c r="P1164">
        <v>1090</v>
      </c>
      <c r="Q1164">
        <f>_xlfn.XLOOKUP(A1164,'[1]Classic Net to delete'!D:D,'[1]Classic Net to delete'!AA:AA,0)</f>
        <v>0</v>
      </c>
    </row>
    <row r="1165" spans="1:17" x14ac:dyDescent="0.25">
      <c r="A1165" t="s">
        <v>2801</v>
      </c>
      <c r="B1165" t="s">
        <v>2802</v>
      </c>
      <c r="C1165">
        <v>18.62</v>
      </c>
      <c r="E1165" t="str">
        <f t="shared" si="24"/>
        <v xml:space="preserve">. </v>
      </c>
      <c r="F1165">
        <v>75</v>
      </c>
      <c r="H1165" t="b">
        <v>0</v>
      </c>
      <c r="L1165" s="188" t="str">
        <f>IFERROR(_xlfn.XLOOKUP(A1165,[1]Fleet!A:A,[1]Fleet!E:E,""),"")</f>
        <v/>
      </c>
      <c r="M1165" s="188" t="s">
        <v>22</v>
      </c>
      <c r="N1165" s="188" t="s">
        <v>22</v>
      </c>
      <c r="P1165">
        <v>1089</v>
      </c>
      <c r="Q1165">
        <f>_xlfn.XLOOKUP(A1165,'[1]Classic Net to delete'!D:D,'[1]Classic Net to delete'!AA:AA,0)</f>
        <v>0</v>
      </c>
    </row>
    <row r="1166" spans="1:17" x14ac:dyDescent="0.25">
      <c r="A1166" t="s">
        <v>2803</v>
      </c>
      <c r="B1166" t="s">
        <v>2804</v>
      </c>
      <c r="C1166">
        <v>11.34</v>
      </c>
      <c r="E1166" t="str">
        <f t="shared" si="24"/>
        <v xml:space="preserve">. </v>
      </c>
      <c r="F1166">
        <v>75</v>
      </c>
      <c r="H1166" t="b">
        <v>0</v>
      </c>
      <c r="L1166" s="188" t="str">
        <f>IFERROR(_xlfn.XLOOKUP(A1166,[1]Fleet!A:A,[1]Fleet!E:E,""),"")</f>
        <v/>
      </c>
      <c r="M1166" s="188" t="s">
        <v>22</v>
      </c>
      <c r="N1166" s="188" t="s">
        <v>22</v>
      </c>
      <c r="P1166">
        <v>1088</v>
      </c>
      <c r="Q1166">
        <f>_xlfn.XLOOKUP(A1166,'[1]Classic Net to delete'!D:D,'[1]Classic Net to delete'!AA:AA,0)</f>
        <v>0</v>
      </c>
    </row>
    <row r="1167" spans="1:17" x14ac:dyDescent="0.25">
      <c r="A1167" t="s">
        <v>2805</v>
      </c>
      <c r="B1167" t="s">
        <v>2806</v>
      </c>
      <c r="C1167">
        <v>11.34</v>
      </c>
      <c r="E1167" t="str">
        <f t="shared" si="24"/>
        <v xml:space="preserve">. </v>
      </c>
      <c r="F1167">
        <v>75</v>
      </c>
      <c r="H1167" t="b">
        <v>0</v>
      </c>
      <c r="L1167" s="188" t="str">
        <f>IFERROR(_xlfn.XLOOKUP(A1167,[1]Fleet!A:A,[1]Fleet!E:E,""),"")</f>
        <v/>
      </c>
      <c r="M1167" s="188" t="s">
        <v>22</v>
      </c>
      <c r="N1167" s="188" t="s">
        <v>22</v>
      </c>
      <c r="P1167">
        <v>1087</v>
      </c>
      <c r="Q1167">
        <f>_xlfn.XLOOKUP(A1167,'[1]Classic Net to delete'!D:D,'[1]Classic Net to delete'!AA:AA,0)</f>
        <v>0</v>
      </c>
    </row>
    <row r="1168" spans="1:17" x14ac:dyDescent="0.25">
      <c r="A1168" t="s">
        <v>2807</v>
      </c>
      <c r="B1168" t="s">
        <v>2808</v>
      </c>
      <c r="C1168">
        <v>11.34</v>
      </c>
      <c r="E1168" t="str">
        <f t="shared" si="24"/>
        <v xml:space="preserve">. </v>
      </c>
      <c r="F1168">
        <v>75</v>
      </c>
      <c r="H1168" t="b">
        <v>0</v>
      </c>
      <c r="L1168" s="188" t="str">
        <f>IFERROR(_xlfn.XLOOKUP(A1168,[1]Fleet!A:A,[1]Fleet!E:E,""),"")</f>
        <v/>
      </c>
      <c r="M1168" s="188" t="s">
        <v>22</v>
      </c>
      <c r="N1168" s="188" t="s">
        <v>22</v>
      </c>
      <c r="P1168">
        <v>1086</v>
      </c>
      <c r="Q1168">
        <f>_xlfn.XLOOKUP(A1168,'[1]Classic Net to delete'!D:D,'[1]Classic Net to delete'!AA:AA,0)</f>
        <v>0</v>
      </c>
    </row>
    <row r="1169" spans="1:17" x14ac:dyDescent="0.25">
      <c r="A1169" t="s">
        <v>2809</v>
      </c>
      <c r="B1169" t="s">
        <v>2810</v>
      </c>
      <c r="C1169">
        <v>11.34</v>
      </c>
      <c r="E1169" t="str">
        <f t="shared" si="24"/>
        <v xml:space="preserve">. </v>
      </c>
      <c r="F1169">
        <v>75</v>
      </c>
      <c r="H1169" t="b">
        <v>0</v>
      </c>
      <c r="L1169" s="188" t="str">
        <f>IFERROR(_xlfn.XLOOKUP(A1169,[1]Fleet!A:A,[1]Fleet!E:E,""),"")</f>
        <v/>
      </c>
      <c r="M1169" s="188" t="s">
        <v>22</v>
      </c>
      <c r="N1169" s="188" t="s">
        <v>22</v>
      </c>
      <c r="P1169">
        <v>1085</v>
      </c>
      <c r="Q1169">
        <f>_xlfn.XLOOKUP(A1169,'[1]Classic Net to delete'!D:D,'[1]Classic Net to delete'!AA:AA,0)</f>
        <v>0</v>
      </c>
    </row>
    <row r="1170" spans="1:17" x14ac:dyDescent="0.25">
      <c r="A1170" t="s">
        <v>2811</v>
      </c>
      <c r="B1170" t="s">
        <v>2812</v>
      </c>
      <c r="C1170">
        <v>31.51</v>
      </c>
      <c r="E1170" t="str">
        <f t="shared" si="24"/>
        <v xml:space="preserve">. </v>
      </c>
      <c r="F1170">
        <v>75</v>
      </c>
      <c r="H1170" t="b">
        <v>0</v>
      </c>
      <c r="L1170" s="188" t="str">
        <f>IFERROR(_xlfn.XLOOKUP(A1170,[1]Fleet!A:A,[1]Fleet!E:E,""),"")</f>
        <v/>
      </c>
      <c r="M1170" s="188" t="s">
        <v>22</v>
      </c>
      <c r="N1170" s="188" t="s">
        <v>22</v>
      </c>
      <c r="P1170">
        <v>1084</v>
      </c>
      <c r="Q1170">
        <f>_xlfn.XLOOKUP(A1170,'[1]Classic Net to delete'!D:D,'[1]Classic Net to delete'!AA:AA,0)</f>
        <v>0</v>
      </c>
    </row>
    <row r="1171" spans="1:17" x14ac:dyDescent="0.25">
      <c r="A1171" t="s">
        <v>2813</v>
      </c>
      <c r="B1171" t="s">
        <v>2814</v>
      </c>
      <c r="C1171">
        <v>5.72</v>
      </c>
      <c r="E1171" t="str">
        <f t="shared" si="24"/>
        <v xml:space="preserve">. </v>
      </c>
      <c r="F1171">
        <v>75</v>
      </c>
      <c r="H1171" t="b">
        <v>0</v>
      </c>
      <c r="L1171" s="188" t="str">
        <f>IFERROR(_xlfn.XLOOKUP(A1171,[1]Fleet!A:A,[1]Fleet!E:E,""),"")</f>
        <v/>
      </c>
      <c r="M1171" s="188" t="s">
        <v>22</v>
      </c>
      <c r="N1171" s="188" t="s">
        <v>22</v>
      </c>
      <c r="P1171">
        <v>1083</v>
      </c>
      <c r="Q1171">
        <f>_xlfn.XLOOKUP(A1171,'[1]Classic Net to delete'!D:D,'[1]Classic Net to delete'!AA:AA,0)</f>
        <v>0</v>
      </c>
    </row>
    <row r="1172" spans="1:17" x14ac:dyDescent="0.25">
      <c r="A1172" t="s">
        <v>2815</v>
      </c>
      <c r="B1172" t="s">
        <v>2816</v>
      </c>
      <c r="C1172">
        <v>14.98</v>
      </c>
      <c r="E1172" t="str">
        <f t="shared" si="24"/>
        <v xml:space="preserve">. </v>
      </c>
      <c r="F1172">
        <v>75</v>
      </c>
      <c r="H1172" t="b">
        <v>0</v>
      </c>
      <c r="L1172" s="188" t="str">
        <f>IFERROR(_xlfn.XLOOKUP(A1172,[1]Fleet!A:A,[1]Fleet!E:E,""),"")</f>
        <v/>
      </c>
      <c r="M1172" s="188" t="s">
        <v>22</v>
      </c>
      <c r="N1172" s="188" t="s">
        <v>22</v>
      </c>
      <c r="P1172">
        <v>1082</v>
      </c>
      <c r="Q1172">
        <f>_xlfn.XLOOKUP(A1172,'[1]Classic Net to delete'!D:D,'[1]Classic Net to delete'!AA:AA,0)</f>
        <v>0</v>
      </c>
    </row>
    <row r="1173" spans="1:17" x14ac:dyDescent="0.25">
      <c r="A1173" t="s">
        <v>2817</v>
      </c>
      <c r="B1173" t="s">
        <v>2818</v>
      </c>
      <c r="C1173">
        <v>4.4400000000000004</v>
      </c>
      <c r="E1173" t="str">
        <f t="shared" si="24"/>
        <v xml:space="preserve">. </v>
      </c>
      <c r="F1173">
        <v>75</v>
      </c>
      <c r="H1173" t="b">
        <v>0</v>
      </c>
      <c r="L1173" s="188" t="str">
        <f>IFERROR(_xlfn.XLOOKUP(A1173,[1]Fleet!A:A,[1]Fleet!E:E,""),"")</f>
        <v/>
      </c>
      <c r="M1173" s="188" t="s">
        <v>22</v>
      </c>
      <c r="N1173" s="188" t="s">
        <v>22</v>
      </c>
      <c r="P1173">
        <v>1081</v>
      </c>
      <c r="Q1173">
        <f>_xlfn.XLOOKUP(A1173,'[1]Classic Net to delete'!D:D,'[1]Classic Net to delete'!AA:AA,0)</f>
        <v>0</v>
      </c>
    </row>
    <row r="1174" spans="1:17" x14ac:dyDescent="0.25">
      <c r="A1174" t="s">
        <v>2819</v>
      </c>
      <c r="B1174" t="s">
        <v>2820</v>
      </c>
      <c r="C1174">
        <v>9.68</v>
      </c>
      <c r="E1174" t="str">
        <f t="shared" si="24"/>
        <v xml:space="preserve">. </v>
      </c>
      <c r="F1174">
        <v>75</v>
      </c>
      <c r="H1174" t="b">
        <v>0</v>
      </c>
      <c r="L1174" s="188" t="str">
        <f>IFERROR(_xlfn.XLOOKUP(A1174,[1]Fleet!A:A,[1]Fleet!E:E,""),"")</f>
        <v/>
      </c>
      <c r="M1174" s="188" t="s">
        <v>22</v>
      </c>
      <c r="N1174" s="188" t="s">
        <v>22</v>
      </c>
      <c r="P1174">
        <v>1080</v>
      </c>
      <c r="Q1174">
        <f>_xlfn.XLOOKUP(A1174,'[1]Classic Net to delete'!D:D,'[1]Classic Net to delete'!AA:AA,0)</f>
        <v>0</v>
      </c>
    </row>
    <row r="1175" spans="1:17" x14ac:dyDescent="0.25">
      <c r="A1175" t="s">
        <v>2821</v>
      </c>
      <c r="B1175" t="s">
        <v>2822</v>
      </c>
      <c r="C1175">
        <v>3.8000000000000003</v>
      </c>
      <c r="E1175" t="str">
        <f t="shared" si="24"/>
        <v xml:space="preserve">. </v>
      </c>
      <c r="F1175">
        <v>75</v>
      </c>
      <c r="H1175" t="b">
        <v>0</v>
      </c>
      <c r="L1175" s="188" t="str">
        <f>IFERROR(_xlfn.XLOOKUP(A1175,[1]Fleet!A:A,[1]Fleet!E:E,""),"")</f>
        <v/>
      </c>
      <c r="M1175" s="188" t="s">
        <v>22</v>
      </c>
      <c r="N1175" s="188" t="s">
        <v>22</v>
      </c>
      <c r="P1175">
        <v>1079</v>
      </c>
      <c r="Q1175">
        <f>_xlfn.XLOOKUP(A1175,'[1]Classic Net to delete'!D:D,'[1]Classic Net to delete'!AA:AA,0)</f>
        <v>0</v>
      </c>
    </row>
    <row r="1176" spans="1:17" x14ac:dyDescent="0.25">
      <c r="A1176" t="s">
        <v>2823</v>
      </c>
      <c r="B1176" t="s">
        <v>2824</v>
      </c>
      <c r="C1176">
        <v>51.15</v>
      </c>
      <c r="E1176" t="str">
        <f t="shared" si="24"/>
        <v xml:space="preserve">. </v>
      </c>
      <c r="F1176">
        <v>75</v>
      </c>
      <c r="H1176" t="b">
        <v>0</v>
      </c>
      <c r="L1176" s="188" t="str">
        <f>IFERROR(_xlfn.XLOOKUP(A1176,[1]Fleet!A:A,[1]Fleet!E:E,""),"")</f>
        <v/>
      </c>
      <c r="M1176" s="188" t="s">
        <v>22</v>
      </c>
      <c r="N1176" s="188" t="s">
        <v>22</v>
      </c>
      <c r="P1176">
        <v>1078</v>
      </c>
      <c r="Q1176">
        <f>_xlfn.XLOOKUP(A1176,'[1]Classic Net to delete'!D:D,'[1]Classic Net to delete'!AA:AA,0)</f>
        <v>0</v>
      </c>
    </row>
    <row r="1177" spans="1:17" x14ac:dyDescent="0.25">
      <c r="A1177" t="s">
        <v>2825</v>
      </c>
      <c r="B1177" t="s">
        <v>2826</v>
      </c>
      <c r="C1177">
        <v>163.98</v>
      </c>
      <c r="E1177" t="str">
        <f t="shared" si="24"/>
        <v xml:space="preserve">. </v>
      </c>
      <c r="F1177">
        <v>75</v>
      </c>
      <c r="H1177" t="b">
        <v>0</v>
      </c>
      <c r="L1177" s="188" t="str">
        <f>IFERROR(_xlfn.XLOOKUP(A1177,[1]Fleet!A:A,[1]Fleet!E:E,""),"")</f>
        <v/>
      </c>
      <c r="M1177" s="188" t="s">
        <v>22</v>
      </c>
      <c r="N1177" s="188" t="s">
        <v>22</v>
      </c>
      <c r="P1177">
        <v>1077</v>
      </c>
      <c r="Q1177">
        <f>_xlfn.XLOOKUP(A1177,'[1]Classic Net to delete'!D:D,'[1]Classic Net to delete'!AA:AA,0)</f>
        <v>0</v>
      </c>
    </row>
    <row r="1178" spans="1:17" x14ac:dyDescent="0.25">
      <c r="A1178" t="s">
        <v>2827</v>
      </c>
      <c r="B1178" t="s">
        <v>2828</v>
      </c>
      <c r="C1178">
        <v>21.19</v>
      </c>
      <c r="E1178" t="str">
        <f t="shared" si="24"/>
        <v xml:space="preserve">. </v>
      </c>
      <c r="F1178">
        <v>75</v>
      </c>
      <c r="H1178" t="b">
        <v>0</v>
      </c>
      <c r="L1178" s="188" t="str">
        <f>IFERROR(_xlfn.XLOOKUP(A1178,[1]Fleet!A:A,[1]Fleet!E:E,""),"")</f>
        <v/>
      </c>
      <c r="M1178" s="188" t="s">
        <v>22</v>
      </c>
      <c r="N1178" s="188" t="s">
        <v>22</v>
      </c>
      <c r="P1178">
        <v>1076</v>
      </c>
      <c r="Q1178">
        <f>_xlfn.XLOOKUP(A1178,'[1]Classic Net to delete'!D:D,'[1]Classic Net to delete'!AA:AA,0)</f>
        <v>0</v>
      </c>
    </row>
    <row r="1179" spans="1:17" x14ac:dyDescent="0.25">
      <c r="A1179" t="s">
        <v>2829</v>
      </c>
      <c r="B1179" t="s">
        <v>2830</v>
      </c>
      <c r="C1179">
        <v>51.15</v>
      </c>
      <c r="E1179" t="str">
        <f t="shared" si="24"/>
        <v xml:space="preserve">. </v>
      </c>
      <c r="F1179">
        <v>75</v>
      </c>
      <c r="H1179" t="b">
        <v>0</v>
      </c>
      <c r="L1179" s="188" t="str">
        <f>IFERROR(_xlfn.XLOOKUP(A1179,[1]Fleet!A:A,[1]Fleet!E:E,""),"")</f>
        <v/>
      </c>
      <c r="M1179" s="188" t="s">
        <v>22</v>
      </c>
      <c r="N1179" s="188" t="s">
        <v>22</v>
      </c>
      <c r="P1179">
        <v>1075</v>
      </c>
      <c r="Q1179">
        <f>_xlfn.XLOOKUP(A1179,'[1]Classic Net to delete'!D:D,'[1]Classic Net to delete'!AA:AA,0)</f>
        <v>0</v>
      </c>
    </row>
    <row r="1180" spans="1:17" x14ac:dyDescent="0.25">
      <c r="A1180" t="s">
        <v>2831</v>
      </c>
      <c r="B1180" t="s">
        <v>2832</v>
      </c>
      <c r="C1180">
        <v>72.600000000000009</v>
      </c>
      <c r="E1180" t="str">
        <f t="shared" si="24"/>
        <v xml:space="preserve">. </v>
      </c>
      <c r="F1180">
        <v>75</v>
      </c>
      <c r="H1180" t="b">
        <v>0</v>
      </c>
      <c r="L1180" s="188" t="str">
        <f>IFERROR(_xlfn.XLOOKUP(A1180,[1]Fleet!A:A,[1]Fleet!E:E,""),"")</f>
        <v/>
      </c>
      <c r="M1180" s="188" t="s">
        <v>22</v>
      </c>
      <c r="N1180" s="188" t="s">
        <v>22</v>
      </c>
      <c r="P1180">
        <v>1074</v>
      </c>
      <c r="Q1180">
        <f>_xlfn.XLOOKUP(A1180,'[1]Classic Net to delete'!D:D,'[1]Classic Net to delete'!AA:AA,0)</f>
        <v>0</v>
      </c>
    </row>
    <row r="1181" spans="1:17" x14ac:dyDescent="0.25">
      <c r="A1181" t="s">
        <v>2833</v>
      </c>
      <c r="B1181" t="s">
        <v>2834</v>
      </c>
      <c r="C1181">
        <v>78.86</v>
      </c>
      <c r="E1181" t="str">
        <f t="shared" si="24"/>
        <v xml:space="preserve">. </v>
      </c>
      <c r="F1181">
        <v>75</v>
      </c>
      <c r="H1181" t="b">
        <v>0</v>
      </c>
      <c r="L1181" s="188" t="str">
        <f>IFERROR(_xlfn.XLOOKUP(A1181,[1]Fleet!A:A,[1]Fleet!E:E,""),"")</f>
        <v/>
      </c>
      <c r="M1181" s="188" t="s">
        <v>22</v>
      </c>
      <c r="N1181" s="188" t="s">
        <v>22</v>
      </c>
      <c r="P1181">
        <v>1073</v>
      </c>
      <c r="Q1181">
        <f>_xlfn.XLOOKUP(A1181,'[1]Classic Net to delete'!D:D,'[1]Classic Net to delete'!AA:AA,0)</f>
        <v>0</v>
      </c>
    </row>
    <row r="1182" spans="1:17" x14ac:dyDescent="0.25">
      <c r="A1182" t="s">
        <v>2835</v>
      </c>
      <c r="B1182" t="s">
        <v>2836</v>
      </c>
      <c r="C1182">
        <v>0</v>
      </c>
      <c r="E1182" t="str">
        <f t="shared" si="24"/>
        <v xml:space="preserve">. </v>
      </c>
      <c r="F1182">
        <v>75</v>
      </c>
      <c r="H1182" t="b">
        <v>0</v>
      </c>
      <c r="L1182" s="188" t="str">
        <f>IFERROR(_xlfn.XLOOKUP(A1182,[1]Fleet!A:A,[1]Fleet!E:E,""),"")</f>
        <v/>
      </c>
      <c r="M1182" s="188" t="s">
        <v>22</v>
      </c>
      <c r="N1182" s="188" t="s">
        <v>22</v>
      </c>
      <c r="P1182">
        <v>1072</v>
      </c>
      <c r="Q1182">
        <f>_xlfn.XLOOKUP(A1182,'[1]Classic Net to delete'!D:D,'[1]Classic Net to delete'!AA:AA,0)</f>
        <v>0</v>
      </c>
    </row>
    <row r="1183" spans="1:17" x14ac:dyDescent="0.25">
      <c r="A1183" t="s">
        <v>2837</v>
      </c>
      <c r="B1183" t="s">
        <v>2838</v>
      </c>
      <c r="C1183">
        <v>6.69</v>
      </c>
      <c r="E1183" t="str">
        <f t="shared" si="24"/>
        <v xml:space="preserve">. </v>
      </c>
      <c r="F1183">
        <v>75</v>
      </c>
      <c r="H1183" t="b">
        <v>0</v>
      </c>
      <c r="L1183" s="188" t="str">
        <f>IFERROR(_xlfn.XLOOKUP(A1183,[1]Fleet!A:A,[1]Fleet!E:E,""),"")</f>
        <v/>
      </c>
      <c r="M1183" s="188" t="s">
        <v>22</v>
      </c>
      <c r="N1183" s="188" t="s">
        <v>22</v>
      </c>
      <c r="P1183">
        <v>1071</v>
      </c>
      <c r="Q1183">
        <f>_xlfn.XLOOKUP(A1183,'[1]Classic Net to delete'!D:D,'[1]Classic Net to delete'!AA:AA,0)</f>
        <v>0</v>
      </c>
    </row>
    <row r="1184" spans="1:17" x14ac:dyDescent="0.25">
      <c r="A1184" t="s">
        <v>2839</v>
      </c>
      <c r="B1184" t="s">
        <v>2840</v>
      </c>
      <c r="C1184">
        <v>6.69</v>
      </c>
      <c r="E1184" t="str">
        <f t="shared" si="24"/>
        <v xml:space="preserve">. </v>
      </c>
      <c r="F1184">
        <v>75</v>
      </c>
      <c r="H1184" t="b">
        <v>0</v>
      </c>
      <c r="L1184" s="188" t="str">
        <f>IFERROR(_xlfn.XLOOKUP(A1184,[1]Fleet!A:A,[1]Fleet!E:E,""),"")</f>
        <v/>
      </c>
      <c r="M1184" s="188" t="s">
        <v>22</v>
      </c>
      <c r="N1184" s="188" t="s">
        <v>22</v>
      </c>
      <c r="P1184">
        <v>1070</v>
      </c>
      <c r="Q1184">
        <f>_xlfn.XLOOKUP(A1184,'[1]Classic Net to delete'!D:D,'[1]Classic Net to delete'!AA:AA,0)</f>
        <v>0</v>
      </c>
    </row>
    <row r="1185" spans="1:17" x14ac:dyDescent="0.25">
      <c r="A1185" t="s">
        <v>2841</v>
      </c>
      <c r="B1185" t="s">
        <v>2842</v>
      </c>
      <c r="C1185">
        <v>6.69</v>
      </c>
      <c r="E1185" t="str">
        <f t="shared" si="24"/>
        <v xml:space="preserve">. </v>
      </c>
      <c r="F1185">
        <v>75</v>
      </c>
      <c r="H1185" t="b">
        <v>0</v>
      </c>
      <c r="L1185" s="188" t="str">
        <f>IFERROR(_xlfn.XLOOKUP(A1185,[1]Fleet!A:A,[1]Fleet!E:E,""),"")</f>
        <v/>
      </c>
      <c r="M1185" s="188" t="s">
        <v>22</v>
      </c>
      <c r="N1185" s="188" t="s">
        <v>22</v>
      </c>
      <c r="P1185">
        <v>1069</v>
      </c>
      <c r="Q1185">
        <f>_xlfn.XLOOKUP(A1185,'[1]Classic Net to delete'!D:D,'[1]Classic Net to delete'!AA:AA,0)</f>
        <v>0</v>
      </c>
    </row>
    <row r="1186" spans="1:17" x14ac:dyDescent="0.25">
      <c r="A1186" t="s">
        <v>2843</v>
      </c>
      <c r="B1186" t="s">
        <v>2844</v>
      </c>
      <c r="C1186">
        <v>0</v>
      </c>
      <c r="E1186" t="str">
        <f t="shared" si="24"/>
        <v xml:space="preserve">. </v>
      </c>
      <c r="F1186">
        <v>75</v>
      </c>
      <c r="H1186" t="b">
        <v>0</v>
      </c>
      <c r="L1186" s="188" t="str">
        <f>IFERROR(_xlfn.XLOOKUP(A1186,[1]Fleet!A:A,[1]Fleet!E:E,""),"")</f>
        <v/>
      </c>
      <c r="M1186" s="188" t="s">
        <v>22</v>
      </c>
      <c r="N1186" s="188" t="s">
        <v>22</v>
      </c>
      <c r="P1186">
        <v>1068</v>
      </c>
      <c r="Q1186">
        <f>_xlfn.XLOOKUP(A1186,'[1]Classic Net to delete'!D:D,'[1]Classic Net to delete'!AA:AA,0)</f>
        <v>0</v>
      </c>
    </row>
    <row r="1187" spans="1:17" x14ac:dyDescent="0.25">
      <c r="A1187" t="s">
        <v>2845</v>
      </c>
      <c r="B1187" t="s">
        <v>2846</v>
      </c>
      <c r="C1187">
        <v>43.87</v>
      </c>
      <c r="E1187" t="str">
        <f t="shared" si="24"/>
        <v xml:space="preserve">. </v>
      </c>
      <c r="F1187">
        <v>75</v>
      </c>
      <c r="H1187" t="s">
        <v>22</v>
      </c>
      <c r="L1187" s="188" t="str">
        <f>IFERROR(_xlfn.XLOOKUP(A1187,[1]Fleet!A:A,[1]Fleet!E:E,""),"")</f>
        <v/>
      </c>
      <c r="M1187" s="188">
        <v>41</v>
      </c>
      <c r="N1187" s="188" t="s">
        <v>2847</v>
      </c>
      <c r="P1187">
        <v>1067</v>
      </c>
      <c r="Q1187">
        <f>_xlfn.XLOOKUP(A1187,'[1]Classic Net to delete'!D:D,'[1]Classic Net to delete'!AA:AA,0)</f>
        <v>525</v>
      </c>
    </row>
    <row r="1188" spans="1:17" x14ac:dyDescent="0.25">
      <c r="A1188" t="s">
        <v>2848</v>
      </c>
      <c r="B1188" t="s">
        <v>2849</v>
      </c>
      <c r="C1188">
        <v>6.96</v>
      </c>
      <c r="E1188" t="str">
        <f t="shared" si="24"/>
        <v xml:space="preserve">. </v>
      </c>
      <c r="F1188">
        <v>75</v>
      </c>
      <c r="H1188" t="b">
        <v>0</v>
      </c>
      <c r="L1188" s="188" t="str">
        <f>IFERROR(_xlfn.XLOOKUP(A1188,[1]Fleet!A:A,[1]Fleet!E:E,""),"")</f>
        <v/>
      </c>
      <c r="M1188" s="188" t="s">
        <v>22</v>
      </c>
      <c r="N1188" s="188" t="s">
        <v>22</v>
      </c>
      <c r="P1188">
        <v>1066</v>
      </c>
      <c r="Q1188">
        <f>_xlfn.XLOOKUP(A1188,'[1]Classic Net to delete'!D:D,'[1]Classic Net to delete'!AA:AA,0)</f>
        <v>0</v>
      </c>
    </row>
    <row r="1189" spans="1:17" x14ac:dyDescent="0.25">
      <c r="A1189" t="s">
        <v>2850</v>
      </c>
      <c r="B1189" t="s">
        <v>2851</v>
      </c>
      <c r="C1189">
        <v>10.75</v>
      </c>
      <c r="E1189" t="str">
        <f t="shared" si="24"/>
        <v xml:space="preserve">. </v>
      </c>
      <c r="F1189">
        <v>75</v>
      </c>
      <c r="H1189" t="b">
        <v>0</v>
      </c>
      <c r="L1189" s="188" t="str">
        <f>IFERROR(_xlfn.XLOOKUP(A1189,[1]Fleet!A:A,[1]Fleet!E:E,""),"")</f>
        <v/>
      </c>
      <c r="M1189" s="188" t="s">
        <v>22</v>
      </c>
      <c r="N1189" s="188" t="s">
        <v>22</v>
      </c>
      <c r="P1189">
        <v>1065</v>
      </c>
      <c r="Q1189">
        <f>_xlfn.XLOOKUP(A1189,'[1]Classic Net to delete'!D:D,'[1]Classic Net to delete'!AA:AA,0)</f>
        <v>0</v>
      </c>
    </row>
    <row r="1190" spans="1:17" x14ac:dyDescent="0.25">
      <c r="A1190" t="s">
        <v>2852</v>
      </c>
      <c r="B1190" t="s">
        <v>2853</v>
      </c>
      <c r="C1190">
        <v>24.34</v>
      </c>
      <c r="E1190" t="str">
        <f t="shared" si="24"/>
        <v xml:space="preserve">. </v>
      </c>
      <c r="F1190">
        <v>75</v>
      </c>
      <c r="H1190" t="b">
        <v>0</v>
      </c>
      <c r="L1190" s="188" t="str">
        <f>IFERROR(_xlfn.XLOOKUP(A1190,[1]Fleet!A:A,[1]Fleet!E:E,""),"")</f>
        <v/>
      </c>
      <c r="M1190" s="188" t="s">
        <v>22</v>
      </c>
      <c r="N1190" s="188" t="s">
        <v>22</v>
      </c>
      <c r="P1190">
        <v>1064</v>
      </c>
      <c r="Q1190">
        <f>_xlfn.XLOOKUP(A1190,'[1]Classic Net to delete'!D:D,'[1]Classic Net to delete'!AA:AA,0)</f>
        <v>0</v>
      </c>
    </row>
    <row r="1191" spans="1:17" x14ac:dyDescent="0.25">
      <c r="A1191" t="s">
        <v>2854</v>
      </c>
      <c r="B1191" t="s">
        <v>2855</v>
      </c>
      <c r="C1191">
        <v>24.61</v>
      </c>
      <c r="E1191" t="str">
        <f t="shared" si="24"/>
        <v xml:space="preserve">. </v>
      </c>
      <c r="F1191">
        <v>75</v>
      </c>
      <c r="H1191" t="b">
        <v>0</v>
      </c>
      <c r="L1191" s="188" t="str">
        <f>IFERROR(_xlfn.XLOOKUP(A1191,[1]Fleet!A:A,[1]Fleet!E:E,""),"")</f>
        <v/>
      </c>
      <c r="M1191" s="188" t="s">
        <v>22</v>
      </c>
      <c r="N1191" s="188" t="s">
        <v>22</v>
      </c>
      <c r="P1191">
        <v>1063</v>
      </c>
      <c r="Q1191">
        <f>_xlfn.XLOOKUP(A1191,'[1]Classic Net to delete'!D:D,'[1]Classic Net to delete'!AA:AA,0)</f>
        <v>0</v>
      </c>
    </row>
    <row r="1192" spans="1:17" x14ac:dyDescent="0.25">
      <c r="A1192" t="s">
        <v>2856</v>
      </c>
      <c r="B1192" t="s">
        <v>2857</v>
      </c>
      <c r="C1192">
        <v>7.92</v>
      </c>
      <c r="E1192" t="str">
        <f t="shared" si="24"/>
        <v xml:space="preserve">. </v>
      </c>
      <c r="F1192">
        <v>75</v>
      </c>
      <c r="H1192" t="b">
        <v>0</v>
      </c>
      <c r="L1192" s="188" t="str">
        <f>IFERROR(_xlfn.XLOOKUP(A1192,[1]Fleet!A:A,[1]Fleet!E:E,""),"")</f>
        <v/>
      </c>
      <c r="M1192" s="188" t="s">
        <v>22</v>
      </c>
      <c r="N1192" s="188" t="s">
        <v>22</v>
      </c>
      <c r="P1192">
        <v>1062</v>
      </c>
      <c r="Q1192">
        <f>_xlfn.XLOOKUP(A1192,'[1]Classic Net to delete'!D:D,'[1]Classic Net to delete'!AA:AA,0)</f>
        <v>0</v>
      </c>
    </row>
    <row r="1193" spans="1:17" x14ac:dyDescent="0.25">
      <c r="A1193" t="s">
        <v>2858</v>
      </c>
      <c r="B1193" t="s">
        <v>2859</v>
      </c>
      <c r="C1193">
        <v>7.92</v>
      </c>
      <c r="E1193" t="str">
        <f t="shared" si="24"/>
        <v xml:space="preserve">. </v>
      </c>
      <c r="F1193">
        <v>75</v>
      </c>
      <c r="H1193" t="b">
        <v>0</v>
      </c>
      <c r="L1193" s="188" t="str">
        <f>IFERROR(_xlfn.XLOOKUP(A1193,[1]Fleet!A:A,[1]Fleet!E:E,""),"")</f>
        <v/>
      </c>
      <c r="M1193" s="188" t="s">
        <v>22</v>
      </c>
      <c r="N1193" s="188" t="s">
        <v>22</v>
      </c>
      <c r="P1193">
        <v>1061</v>
      </c>
      <c r="Q1193">
        <f>_xlfn.XLOOKUP(A1193,'[1]Classic Net to delete'!D:D,'[1]Classic Net to delete'!AA:AA,0)</f>
        <v>0</v>
      </c>
    </row>
    <row r="1194" spans="1:17" x14ac:dyDescent="0.25">
      <c r="A1194" t="s">
        <v>2860</v>
      </c>
      <c r="B1194" t="s">
        <v>2861</v>
      </c>
      <c r="C1194">
        <v>7.92</v>
      </c>
      <c r="E1194" t="str">
        <f t="shared" si="24"/>
        <v xml:space="preserve">. </v>
      </c>
      <c r="F1194">
        <v>75</v>
      </c>
      <c r="H1194" t="b">
        <v>0</v>
      </c>
      <c r="L1194" s="188" t="str">
        <f>IFERROR(_xlfn.XLOOKUP(A1194,[1]Fleet!A:A,[1]Fleet!E:E,""),"")</f>
        <v/>
      </c>
      <c r="M1194" s="188" t="s">
        <v>22</v>
      </c>
      <c r="N1194" s="188" t="s">
        <v>22</v>
      </c>
      <c r="P1194">
        <v>1060</v>
      </c>
      <c r="Q1194">
        <f>_xlfn.XLOOKUP(A1194,'[1]Classic Net to delete'!D:D,'[1]Classic Net to delete'!AA:AA,0)</f>
        <v>0</v>
      </c>
    </row>
    <row r="1195" spans="1:17" x14ac:dyDescent="0.25">
      <c r="A1195" t="s">
        <v>2862</v>
      </c>
      <c r="B1195" t="s">
        <v>2863</v>
      </c>
      <c r="C1195">
        <v>7.92</v>
      </c>
      <c r="E1195" t="str">
        <f t="shared" si="24"/>
        <v xml:space="preserve">. </v>
      </c>
      <c r="F1195">
        <v>75</v>
      </c>
      <c r="H1195" t="b">
        <v>0</v>
      </c>
      <c r="L1195" s="188" t="str">
        <f>IFERROR(_xlfn.XLOOKUP(A1195,[1]Fleet!A:A,[1]Fleet!E:E,""),"")</f>
        <v/>
      </c>
      <c r="M1195" s="188" t="s">
        <v>22</v>
      </c>
      <c r="N1195" s="188" t="s">
        <v>22</v>
      </c>
      <c r="P1195">
        <v>1059</v>
      </c>
      <c r="Q1195">
        <f>_xlfn.XLOOKUP(A1195,'[1]Classic Net to delete'!D:D,'[1]Classic Net to delete'!AA:AA,0)</f>
        <v>0</v>
      </c>
    </row>
    <row r="1196" spans="1:17" x14ac:dyDescent="0.25">
      <c r="A1196" t="s">
        <v>2864</v>
      </c>
      <c r="B1196" t="s">
        <v>2865</v>
      </c>
      <c r="C1196">
        <v>13.540000000000001</v>
      </c>
      <c r="E1196" t="str">
        <f t="shared" si="24"/>
        <v xml:space="preserve">. </v>
      </c>
      <c r="F1196">
        <v>75</v>
      </c>
      <c r="H1196" t="b">
        <v>0</v>
      </c>
      <c r="L1196" s="188" t="str">
        <f>IFERROR(_xlfn.XLOOKUP(A1196,[1]Fleet!A:A,[1]Fleet!E:E,""),"")</f>
        <v/>
      </c>
      <c r="M1196" s="188" t="s">
        <v>22</v>
      </c>
      <c r="N1196" s="188" t="s">
        <v>22</v>
      </c>
      <c r="P1196">
        <v>1058</v>
      </c>
      <c r="Q1196">
        <f>_xlfn.XLOOKUP(A1196,'[1]Classic Net to delete'!D:D,'[1]Classic Net to delete'!AA:AA,0)</f>
        <v>0</v>
      </c>
    </row>
    <row r="1197" spans="1:17" x14ac:dyDescent="0.25">
      <c r="A1197" t="s">
        <v>2866</v>
      </c>
      <c r="B1197" t="s">
        <v>2867</v>
      </c>
      <c r="C1197">
        <v>13.540000000000001</v>
      </c>
      <c r="E1197" t="str">
        <f t="shared" si="24"/>
        <v xml:space="preserve">. </v>
      </c>
      <c r="F1197">
        <v>75</v>
      </c>
      <c r="H1197" t="b">
        <v>0</v>
      </c>
      <c r="L1197" s="188" t="str">
        <f>IFERROR(_xlfn.XLOOKUP(A1197,[1]Fleet!A:A,[1]Fleet!E:E,""),"")</f>
        <v/>
      </c>
      <c r="M1197" s="188" t="s">
        <v>22</v>
      </c>
      <c r="N1197" s="188" t="s">
        <v>22</v>
      </c>
      <c r="P1197">
        <v>1057</v>
      </c>
      <c r="Q1197">
        <f>_xlfn.XLOOKUP(A1197,'[1]Classic Net to delete'!D:D,'[1]Classic Net to delete'!AA:AA,0)</f>
        <v>0</v>
      </c>
    </row>
    <row r="1198" spans="1:17" x14ac:dyDescent="0.25">
      <c r="A1198" t="s">
        <v>2868</v>
      </c>
      <c r="B1198" t="s">
        <v>2869</v>
      </c>
      <c r="C1198">
        <v>13.540000000000001</v>
      </c>
      <c r="E1198" t="str">
        <f t="shared" si="24"/>
        <v xml:space="preserve">. </v>
      </c>
      <c r="F1198">
        <v>75</v>
      </c>
      <c r="H1198" t="b">
        <v>0</v>
      </c>
      <c r="L1198" s="188" t="str">
        <f>IFERROR(_xlfn.XLOOKUP(A1198,[1]Fleet!A:A,[1]Fleet!E:E,""),"")</f>
        <v/>
      </c>
      <c r="M1198" s="188" t="s">
        <v>22</v>
      </c>
      <c r="N1198" s="188" t="s">
        <v>22</v>
      </c>
      <c r="P1198">
        <v>1056</v>
      </c>
      <c r="Q1198">
        <f>_xlfn.XLOOKUP(A1198,'[1]Classic Net to delete'!D:D,'[1]Classic Net to delete'!AA:AA,0)</f>
        <v>0</v>
      </c>
    </row>
    <row r="1199" spans="1:17" x14ac:dyDescent="0.25">
      <c r="A1199" t="s">
        <v>2870</v>
      </c>
      <c r="B1199" t="s">
        <v>2871</v>
      </c>
      <c r="C1199">
        <v>13.540000000000001</v>
      </c>
      <c r="E1199" t="str">
        <f t="shared" si="24"/>
        <v xml:space="preserve">. </v>
      </c>
      <c r="F1199">
        <v>75</v>
      </c>
      <c r="H1199" t="b">
        <v>0</v>
      </c>
      <c r="L1199" s="188" t="str">
        <f>IFERROR(_xlfn.XLOOKUP(A1199,[1]Fleet!A:A,[1]Fleet!E:E,""),"")</f>
        <v/>
      </c>
      <c r="M1199" s="188" t="s">
        <v>22</v>
      </c>
      <c r="N1199" s="188" t="s">
        <v>22</v>
      </c>
      <c r="P1199">
        <v>1055</v>
      </c>
      <c r="Q1199">
        <f>_xlfn.XLOOKUP(A1199,'[1]Classic Net to delete'!D:D,'[1]Classic Net to delete'!AA:AA,0)</f>
        <v>0</v>
      </c>
    </row>
    <row r="1200" spans="1:17" x14ac:dyDescent="0.25">
      <c r="A1200" t="s">
        <v>2872</v>
      </c>
      <c r="B1200" t="s">
        <v>2873</v>
      </c>
      <c r="C1200">
        <v>13.540000000000001</v>
      </c>
      <c r="E1200" t="str">
        <f t="shared" si="24"/>
        <v xml:space="preserve">. </v>
      </c>
      <c r="F1200">
        <v>75</v>
      </c>
      <c r="H1200" t="b">
        <v>0</v>
      </c>
      <c r="L1200" s="188" t="str">
        <f>IFERROR(_xlfn.XLOOKUP(A1200,[1]Fleet!A:A,[1]Fleet!E:E,""),"")</f>
        <v/>
      </c>
      <c r="M1200" s="188" t="s">
        <v>22</v>
      </c>
      <c r="N1200" s="188" t="s">
        <v>22</v>
      </c>
      <c r="P1200">
        <v>1054</v>
      </c>
      <c r="Q1200">
        <f>_xlfn.XLOOKUP(A1200,'[1]Classic Net to delete'!D:D,'[1]Classic Net to delete'!AA:AA,0)</f>
        <v>0</v>
      </c>
    </row>
    <row r="1201" spans="1:17" x14ac:dyDescent="0.25">
      <c r="A1201" t="s">
        <v>2874</v>
      </c>
      <c r="B1201" t="s">
        <v>2875</v>
      </c>
      <c r="C1201">
        <v>13.540000000000001</v>
      </c>
      <c r="E1201" t="str">
        <f t="shared" si="24"/>
        <v xml:space="preserve">. </v>
      </c>
      <c r="F1201">
        <v>75</v>
      </c>
      <c r="H1201" t="b">
        <v>0</v>
      </c>
      <c r="L1201" s="188" t="str">
        <f>IFERROR(_xlfn.XLOOKUP(A1201,[1]Fleet!A:A,[1]Fleet!E:E,""),"")</f>
        <v/>
      </c>
      <c r="M1201" s="188" t="s">
        <v>22</v>
      </c>
      <c r="N1201" s="188" t="s">
        <v>22</v>
      </c>
      <c r="P1201">
        <v>1053</v>
      </c>
      <c r="Q1201">
        <f>_xlfn.XLOOKUP(A1201,'[1]Classic Net to delete'!D:D,'[1]Classic Net to delete'!AA:AA,0)</f>
        <v>0</v>
      </c>
    </row>
    <row r="1202" spans="1:17" x14ac:dyDescent="0.25">
      <c r="A1202" t="s">
        <v>2876</v>
      </c>
      <c r="B1202" t="s">
        <v>2877</v>
      </c>
      <c r="C1202">
        <v>6.96</v>
      </c>
      <c r="E1202" t="str">
        <f t="shared" si="24"/>
        <v xml:space="preserve">. </v>
      </c>
      <c r="F1202">
        <v>75</v>
      </c>
      <c r="H1202" t="b">
        <v>0</v>
      </c>
      <c r="L1202" s="188" t="str">
        <f>IFERROR(_xlfn.XLOOKUP(A1202,[1]Fleet!A:A,[1]Fleet!E:E,""),"")</f>
        <v/>
      </c>
      <c r="M1202" s="188" t="s">
        <v>22</v>
      </c>
      <c r="N1202" s="188" t="s">
        <v>22</v>
      </c>
      <c r="P1202">
        <v>1052</v>
      </c>
      <c r="Q1202">
        <f>_xlfn.XLOOKUP(A1202,'[1]Classic Net to delete'!D:D,'[1]Classic Net to delete'!AA:AA,0)</f>
        <v>0</v>
      </c>
    </row>
    <row r="1203" spans="1:17" x14ac:dyDescent="0.25">
      <c r="A1203" t="s">
        <v>2878</v>
      </c>
      <c r="B1203" t="s">
        <v>2879</v>
      </c>
      <c r="C1203">
        <v>4.4400000000000004</v>
      </c>
      <c r="E1203" t="str">
        <f t="shared" si="24"/>
        <v xml:space="preserve">. </v>
      </c>
      <c r="F1203">
        <v>75</v>
      </c>
      <c r="H1203" t="b">
        <v>0</v>
      </c>
      <c r="L1203" s="188" t="str">
        <f>IFERROR(_xlfn.XLOOKUP(A1203,[1]Fleet!A:A,[1]Fleet!E:E,""),"")</f>
        <v/>
      </c>
      <c r="M1203" s="188" t="s">
        <v>22</v>
      </c>
      <c r="N1203" s="188" t="s">
        <v>22</v>
      </c>
      <c r="P1203">
        <v>1051</v>
      </c>
      <c r="Q1203">
        <f>_xlfn.XLOOKUP(A1203,'[1]Classic Net to delete'!D:D,'[1]Classic Net to delete'!AA:AA,0)</f>
        <v>0</v>
      </c>
    </row>
    <row r="1204" spans="1:17" x14ac:dyDescent="0.25">
      <c r="A1204" t="s">
        <v>2880</v>
      </c>
      <c r="B1204" t="s">
        <v>2881</v>
      </c>
      <c r="C1204">
        <v>4.4400000000000004</v>
      </c>
      <c r="E1204" t="str">
        <f t="shared" si="24"/>
        <v xml:space="preserve">. </v>
      </c>
      <c r="F1204">
        <v>75</v>
      </c>
      <c r="H1204" t="b">
        <v>0</v>
      </c>
      <c r="L1204" s="188" t="str">
        <f>IFERROR(_xlfn.XLOOKUP(A1204,[1]Fleet!A:A,[1]Fleet!E:E,""),"")</f>
        <v/>
      </c>
      <c r="M1204" s="188" t="s">
        <v>22</v>
      </c>
      <c r="N1204" s="188" t="s">
        <v>22</v>
      </c>
      <c r="P1204">
        <v>1050</v>
      </c>
      <c r="Q1204">
        <f>_xlfn.XLOOKUP(A1204,'[1]Classic Net to delete'!D:D,'[1]Classic Net to delete'!AA:AA,0)</f>
        <v>0</v>
      </c>
    </row>
    <row r="1205" spans="1:17" x14ac:dyDescent="0.25">
      <c r="A1205" t="s">
        <v>2882</v>
      </c>
      <c r="B1205" t="s">
        <v>2883</v>
      </c>
      <c r="C1205">
        <v>4.4400000000000004</v>
      </c>
      <c r="E1205" t="str">
        <f t="shared" si="24"/>
        <v xml:space="preserve">. </v>
      </c>
      <c r="F1205">
        <v>75</v>
      </c>
      <c r="H1205" t="b">
        <v>0</v>
      </c>
      <c r="L1205" s="188" t="str">
        <f>IFERROR(_xlfn.XLOOKUP(A1205,[1]Fleet!A:A,[1]Fleet!E:E,""),"")</f>
        <v/>
      </c>
      <c r="M1205" s="188" t="s">
        <v>22</v>
      </c>
      <c r="N1205" s="188" t="s">
        <v>22</v>
      </c>
      <c r="P1205">
        <v>1049</v>
      </c>
      <c r="Q1205">
        <f>_xlfn.XLOOKUP(A1205,'[1]Classic Net to delete'!D:D,'[1]Classic Net to delete'!AA:AA,0)</f>
        <v>0</v>
      </c>
    </row>
    <row r="1206" spans="1:17" x14ac:dyDescent="0.25">
      <c r="A1206" t="s">
        <v>2884</v>
      </c>
      <c r="B1206" t="s">
        <v>2885</v>
      </c>
      <c r="C1206">
        <v>0</v>
      </c>
      <c r="E1206" t="str">
        <f t="shared" si="24"/>
        <v xml:space="preserve">. </v>
      </c>
      <c r="F1206">
        <v>75</v>
      </c>
      <c r="H1206" t="b">
        <v>0</v>
      </c>
      <c r="L1206" s="188" t="str">
        <f>IFERROR(_xlfn.XLOOKUP(A1206,[1]Fleet!A:A,[1]Fleet!E:E,""),"")</f>
        <v/>
      </c>
      <c r="M1206" s="188" t="s">
        <v>22</v>
      </c>
      <c r="N1206" s="188" t="s">
        <v>22</v>
      </c>
      <c r="P1206">
        <v>1048</v>
      </c>
      <c r="Q1206">
        <f>_xlfn.XLOOKUP(A1206,'[1]Classic Net to delete'!D:D,'[1]Classic Net to delete'!AA:AA,0)</f>
        <v>0</v>
      </c>
    </row>
    <row r="1207" spans="1:17" x14ac:dyDescent="0.25">
      <c r="A1207" t="s">
        <v>2886</v>
      </c>
      <c r="B1207" t="s">
        <v>2887</v>
      </c>
      <c r="C1207">
        <v>52.75</v>
      </c>
      <c r="E1207" t="str">
        <f t="shared" si="24"/>
        <v xml:space="preserve">. </v>
      </c>
      <c r="F1207">
        <v>75</v>
      </c>
      <c r="H1207" t="b">
        <v>0</v>
      </c>
      <c r="L1207" s="188" t="str">
        <f>IFERROR(_xlfn.XLOOKUP(A1207,[1]Fleet!A:A,[1]Fleet!E:E,""),"")</f>
        <v/>
      </c>
      <c r="M1207" s="188" t="s">
        <v>22</v>
      </c>
      <c r="N1207" s="188" t="s">
        <v>22</v>
      </c>
      <c r="P1207">
        <v>1047</v>
      </c>
      <c r="Q1207">
        <f>_xlfn.XLOOKUP(A1207,'[1]Classic Net to delete'!D:D,'[1]Classic Net to delete'!AA:AA,0)</f>
        <v>0</v>
      </c>
    </row>
    <row r="1208" spans="1:17" x14ac:dyDescent="0.25">
      <c r="A1208" t="s">
        <v>2888</v>
      </c>
      <c r="B1208" t="s">
        <v>2889</v>
      </c>
      <c r="C1208">
        <v>10.75</v>
      </c>
      <c r="E1208" t="str">
        <f t="shared" si="24"/>
        <v xml:space="preserve">. </v>
      </c>
      <c r="F1208">
        <v>75</v>
      </c>
      <c r="H1208" t="b">
        <v>0</v>
      </c>
      <c r="L1208" s="188" t="str">
        <f>IFERROR(_xlfn.XLOOKUP(A1208,[1]Fleet!A:A,[1]Fleet!E:E,""),"")</f>
        <v/>
      </c>
      <c r="M1208" s="188" t="s">
        <v>22</v>
      </c>
      <c r="N1208" s="188" t="s">
        <v>22</v>
      </c>
      <c r="P1208">
        <v>1046</v>
      </c>
      <c r="Q1208">
        <f>_xlfn.XLOOKUP(A1208,'[1]Classic Net to delete'!D:D,'[1]Classic Net to delete'!AA:AA,0)</f>
        <v>0</v>
      </c>
    </row>
    <row r="1209" spans="1:17" x14ac:dyDescent="0.25">
      <c r="A1209" t="s">
        <v>2890</v>
      </c>
      <c r="B1209" t="s">
        <v>2891</v>
      </c>
      <c r="C1209">
        <v>10.75</v>
      </c>
      <c r="E1209" t="str">
        <f t="shared" si="24"/>
        <v xml:space="preserve">. </v>
      </c>
      <c r="F1209">
        <v>75</v>
      </c>
      <c r="H1209" t="b">
        <v>0</v>
      </c>
      <c r="L1209" s="188" t="str">
        <f>IFERROR(_xlfn.XLOOKUP(A1209,[1]Fleet!A:A,[1]Fleet!E:E,""),"")</f>
        <v/>
      </c>
      <c r="M1209" s="188" t="s">
        <v>22</v>
      </c>
      <c r="N1209" s="188" t="s">
        <v>22</v>
      </c>
      <c r="P1209">
        <v>1045</v>
      </c>
      <c r="Q1209">
        <f>_xlfn.XLOOKUP(A1209,'[1]Classic Net to delete'!D:D,'[1]Classic Net to delete'!AA:AA,0)</f>
        <v>0</v>
      </c>
    </row>
    <row r="1210" spans="1:17" x14ac:dyDescent="0.25">
      <c r="A1210" t="s">
        <v>2892</v>
      </c>
      <c r="B1210" t="s">
        <v>2893</v>
      </c>
      <c r="C1210">
        <v>10.75</v>
      </c>
      <c r="E1210" t="str">
        <f t="shared" si="24"/>
        <v xml:space="preserve">. </v>
      </c>
      <c r="F1210">
        <v>75</v>
      </c>
      <c r="H1210" t="b">
        <v>0</v>
      </c>
      <c r="L1210" s="188" t="str">
        <f>IFERROR(_xlfn.XLOOKUP(A1210,[1]Fleet!A:A,[1]Fleet!E:E,""),"")</f>
        <v/>
      </c>
      <c r="M1210" s="188" t="s">
        <v>22</v>
      </c>
      <c r="N1210" s="188" t="s">
        <v>22</v>
      </c>
      <c r="P1210">
        <v>1044</v>
      </c>
      <c r="Q1210">
        <f>_xlfn.XLOOKUP(A1210,'[1]Classic Net to delete'!D:D,'[1]Classic Net to delete'!AA:AA,0)</f>
        <v>0</v>
      </c>
    </row>
    <row r="1211" spans="1:17" x14ac:dyDescent="0.25">
      <c r="A1211" t="s">
        <v>2894</v>
      </c>
      <c r="B1211" t="s">
        <v>2895</v>
      </c>
      <c r="C1211">
        <v>10.75</v>
      </c>
      <c r="E1211" t="str">
        <f t="shared" si="24"/>
        <v xml:space="preserve">. </v>
      </c>
      <c r="F1211">
        <v>75</v>
      </c>
      <c r="H1211" t="b">
        <v>0</v>
      </c>
      <c r="L1211" s="188" t="str">
        <f>IFERROR(_xlfn.XLOOKUP(A1211,[1]Fleet!A:A,[1]Fleet!E:E,""),"")</f>
        <v/>
      </c>
      <c r="M1211" s="188" t="s">
        <v>22</v>
      </c>
      <c r="N1211" s="188" t="s">
        <v>22</v>
      </c>
      <c r="P1211">
        <v>1043</v>
      </c>
      <c r="Q1211">
        <f>_xlfn.XLOOKUP(A1211,'[1]Classic Net to delete'!D:D,'[1]Classic Net to delete'!AA:AA,0)</f>
        <v>0</v>
      </c>
    </row>
    <row r="1212" spans="1:17" x14ac:dyDescent="0.25">
      <c r="A1212" t="s">
        <v>2896</v>
      </c>
      <c r="B1212" t="s">
        <v>2897</v>
      </c>
      <c r="C1212">
        <v>16.16</v>
      </c>
      <c r="E1212" t="str">
        <f t="shared" si="24"/>
        <v xml:space="preserve">. </v>
      </c>
      <c r="F1212">
        <v>75</v>
      </c>
      <c r="H1212" t="b">
        <v>0</v>
      </c>
      <c r="L1212" s="188" t="str">
        <f>IFERROR(_xlfn.XLOOKUP(A1212,[1]Fleet!A:A,[1]Fleet!E:E,""),"")</f>
        <v/>
      </c>
      <c r="M1212" s="188" t="s">
        <v>22</v>
      </c>
      <c r="N1212" s="188" t="s">
        <v>22</v>
      </c>
      <c r="P1212">
        <v>1042</v>
      </c>
      <c r="Q1212">
        <f>_xlfn.XLOOKUP(A1212,'[1]Classic Net to delete'!D:D,'[1]Classic Net to delete'!AA:AA,0)</f>
        <v>0</v>
      </c>
    </row>
    <row r="1213" spans="1:17" x14ac:dyDescent="0.25">
      <c r="A1213" t="s">
        <v>2898</v>
      </c>
      <c r="B1213" t="s">
        <v>2899</v>
      </c>
      <c r="C1213">
        <v>8.19</v>
      </c>
      <c r="E1213" t="str">
        <f t="shared" si="24"/>
        <v xml:space="preserve">. </v>
      </c>
      <c r="F1213">
        <v>75</v>
      </c>
      <c r="H1213" t="b">
        <v>0</v>
      </c>
      <c r="L1213" s="188" t="str">
        <f>IFERROR(_xlfn.XLOOKUP(A1213,[1]Fleet!A:A,[1]Fleet!E:E,""),"")</f>
        <v/>
      </c>
      <c r="M1213" s="188" t="s">
        <v>22</v>
      </c>
      <c r="N1213" s="188" t="s">
        <v>22</v>
      </c>
      <c r="P1213">
        <v>1041</v>
      </c>
      <c r="Q1213">
        <f>_xlfn.XLOOKUP(A1213,'[1]Classic Net to delete'!D:D,'[1]Classic Net to delete'!AA:AA,0)</f>
        <v>0</v>
      </c>
    </row>
    <row r="1214" spans="1:17" x14ac:dyDescent="0.25">
      <c r="A1214" t="s">
        <v>2900</v>
      </c>
      <c r="B1214" t="s">
        <v>2901</v>
      </c>
      <c r="C1214">
        <v>8.19</v>
      </c>
      <c r="E1214" t="str">
        <f t="shared" si="24"/>
        <v xml:space="preserve">. </v>
      </c>
      <c r="F1214">
        <v>75</v>
      </c>
      <c r="H1214" t="b">
        <v>0</v>
      </c>
      <c r="L1214" s="188" t="str">
        <f>IFERROR(_xlfn.XLOOKUP(A1214,[1]Fleet!A:A,[1]Fleet!E:E,""),"")</f>
        <v/>
      </c>
      <c r="M1214" s="188" t="s">
        <v>22</v>
      </c>
      <c r="N1214" s="188" t="s">
        <v>22</v>
      </c>
      <c r="P1214">
        <v>1040</v>
      </c>
      <c r="Q1214">
        <f>_xlfn.XLOOKUP(A1214,'[1]Classic Net to delete'!D:D,'[1]Classic Net to delete'!AA:AA,0)</f>
        <v>0</v>
      </c>
    </row>
    <row r="1215" spans="1:17" x14ac:dyDescent="0.25">
      <c r="A1215" t="s">
        <v>2902</v>
      </c>
      <c r="B1215" t="s">
        <v>2903</v>
      </c>
      <c r="C1215">
        <v>8.19</v>
      </c>
      <c r="E1215" t="str">
        <f t="shared" si="24"/>
        <v xml:space="preserve">. </v>
      </c>
      <c r="F1215">
        <v>75</v>
      </c>
      <c r="H1215" t="b">
        <v>0</v>
      </c>
      <c r="L1215" s="188" t="str">
        <f>IFERROR(_xlfn.XLOOKUP(A1215,[1]Fleet!A:A,[1]Fleet!E:E,""),"")</f>
        <v/>
      </c>
      <c r="M1215" s="188" t="s">
        <v>22</v>
      </c>
      <c r="N1215" s="188" t="s">
        <v>22</v>
      </c>
      <c r="P1215">
        <v>1039</v>
      </c>
      <c r="Q1215">
        <f>_xlfn.XLOOKUP(A1215,'[1]Classic Net to delete'!D:D,'[1]Classic Net to delete'!AA:AA,0)</f>
        <v>0</v>
      </c>
    </row>
    <row r="1216" spans="1:17" x14ac:dyDescent="0.25">
      <c r="A1216" t="s">
        <v>2904</v>
      </c>
      <c r="B1216" t="s">
        <v>2905</v>
      </c>
      <c r="C1216">
        <v>8.19</v>
      </c>
      <c r="E1216" t="str">
        <f t="shared" si="24"/>
        <v xml:space="preserve">. </v>
      </c>
      <c r="F1216">
        <v>75</v>
      </c>
      <c r="H1216" t="b">
        <v>0</v>
      </c>
      <c r="L1216" s="188" t="str">
        <f>IFERROR(_xlfn.XLOOKUP(A1216,[1]Fleet!A:A,[1]Fleet!E:E,""),"")</f>
        <v/>
      </c>
      <c r="M1216" s="188" t="s">
        <v>22</v>
      </c>
      <c r="N1216" s="188" t="s">
        <v>22</v>
      </c>
      <c r="P1216">
        <v>1038</v>
      </c>
      <c r="Q1216">
        <f>_xlfn.XLOOKUP(A1216,'[1]Classic Net to delete'!D:D,'[1]Classic Net to delete'!AA:AA,0)</f>
        <v>0</v>
      </c>
    </row>
    <row r="1217" spans="1:17" x14ac:dyDescent="0.25">
      <c r="A1217" t="s">
        <v>2906</v>
      </c>
      <c r="B1217" t="s">
        <v>2907</v>
      </c>
      <c r="C1217">
        <v>8.19</v>
      </c>
      <c r="E1217" t="str">
        <f t="shared" si="24"/>
        <v xml:space="preserve">. </v>
      </c>
      <c r="F1217">
        <v>75</v>
      </c>
      <c r="H1217" t="b">
        <v>0</v>
      </c>
      <c r="L1217" s="188" t="str">
        <f>IFERROR(_xlfn.XLOOKUP(A1217,[1]Fleet!A:A,[1]Fleet!E:E,""),"")</f>
        <v/>
      </c>
      <c r="M1217" s="188" t="s">
        <v>22</v>
      </c>
      <c r="N1217" s="188" t="s">
        <v>22</v>
      </c>
      <c r="P1217">
        <v>1037</v>
      </c>
      <c r="Q1217">
        <f>_xlfn.XLOOKUP(A1217,'[1]Classic Net to delete'!D:D,'[1]Classic Net to delete'!AA:AA,0)</f>
        <v>0</v>
      </c>
    </row>
    <row r="1218" spans="1:17" x14ac:dyDescent="0.25">
      <c r="A1218" t="s">
        <v>2908</v>
      </c>
      <c r="B1218" t="s">
        <v>2909</v>
      </c>
      <c r="C1218">
        <v>8.19</v>
      </c>
      <c r="E1218" t="str">
        <f t="shared" si="24"/>
        <v xml:space="preserve">. </v>
      </c>
      <c r="F1218">
        <v>75</v>
      </c>
      <c r="H1218" t="b">
        <v>0</v>
      </c>
      <c r="L1218" s="188" t="str">
        <f>IFERROR(_xlfn.XLOOKUP(A1218,[1]Fleet!A:A,[1]Fleet!E:E,""),"")</f>
        <v/>
      </c>
      <c r="M1218" s="188" t="s">
        <v>22</v>
      </c>
      <c r="N1218" s="188" t="s">
        <v>22</v>
      </c>
      <c r="P1218">
        <v>1036</v>
      </c>
      <c r="Q1218">
        <f>_xlfn.XLOOKUP(A1218,'[1]Classic Net to delete'!D:D,'[1]Classic Net to delete'!AA:AA,0)</f>
        <v>0</v>
      </c>
    </row>
    <row r="1219" spans="1:17" x14ac:dyDescent="0.25">
      <c r="A1219" t="s">
        <v>2910</v>
      </c>
      <c r="B1219" t="s">
        <v>2911</v>
      </c>
      <c r="C1219">
        <v>8.19</v>
      </c>
      <c r="E1219" t="str">
        <f t="shared" si="24"/>
        <v xml:space="preserve">. </v>
      </c>
      <c r="F1219">
        <v>75</v>
      </c>
      <c r="H1219" t="b">
        <v>0</v>
      </c>
      <c r="L1219" s="188" t="str">
        <f>IFERROR(_xlfn.XLOOKUP(A1219,[1]Fleet!A:A,[1]Fleet!E:E,""),"")</f>
        <v/>
      </c>
      <c r="M1219" s="188" t="s">
        <v>22</v>
      </c>
      <c r="N1219" s="188" t="s">
        <v>22</v>
      </c>
      <c r="P1219">
        <v>1035</v>
      </c>
      <c r="Q1219">
        <f>_xlfn.XLOOKUP(A1219,'[1]Classic Net to delete'!D:D,'[1]Classic Net to delete'!AA:AA,0)</f>
        <v>0</v>
      </c>
    </row>
    <row r="1220" spans="1:17" x14ac:dyDescent="0.25">
      <c r="A1220" t="s">
        <v>2912</v>
      </c>
      <c r="B1220" t="s">
        <v>2913</v>
      </c>
      <c r="C1220">
        <v>8.19</v>
      </c>
      <c r="E1220" t="str">
        <f t="shared" si="24"/>
        <v xml:space="preserve">. </v>
      </c>
      <c r="F1220">
        <v>75</v>
      </c>
      <c r="H1220" t="b">
        <v>0</v>
      </c>
      <c r="L1220" s="188" t="str">
        <f>IFERROR(_xlfn.XLOOKUP(A1220,[1]Fleet!A:A,[1]Fleet!E:E,""),"")</f>
        <v/>
      </c>
      <c r="M1220" s="188" t="s">
        <v>22</v>
      </c>
      <c r="N1220" s="188" t="s">
        <v>22</v>
      </c>
      <c r="P1220">
        <v>1034</v>
      </c>
      <c r="Q1220">
        <f>_xlfn.XLOOKUP(A1220,'[1]Classic Net to delete'!D:D,'[1]Classic Net to delete'!AA:AA,0)</f>
        <v>0</v>
      </c>
    </row>
    <row r="1221" spans="1:17" x14ac:dyDescent="0.25">
      <c r="A1221" t="s">
        <v>2914</v>
      </c>
      <c r="B1221" t="s">
        <v>2915</v>
      </c>
      <c r="C1221">
        <v>8.19</v>
      </c>
      <c r="E1221" t="str">
        <f t="shared" ref="E1221:E1284" si="25">CONCATENATE(K1221,". ",O1221)</f>
        <v xml:space="preserve">. </v>
      </c>
      <c r="F1221">
        <v>75</v>
      </c>
      <c r="H1221" t="b">
        <v>0</v>
      </c>
      <c r="L1221" s="188" t="str">
        <f>IFERROR(_xlfn.XLOOKUP(A1221,[1]Fleet!A:A,[1]Fleet!E:E,""),"")</f>
        <v/>
      </c>
      <c r="M1221" s="188" t="s">
        <v>22</v>
      </c>
      <c r="N1221" s="188" t="s">
        <v>22</v>
      </c>
      <c r="P1221">
        <v>1033</v>
      </c>
      <c r="Q1221">
        <f>_xlfn.XLOOKUP(A1221,'[1]Classic Net to delete'!D:D,'[1]Classic Net to delete'!AA:AA,0)</f>
        <v>0</v>
      </c>
    </row>
    <row r="1222" spans="1:17" x14ac:dyDescent="0.25">
      <c r="A1222" t="s">
        <v>2916</v>
      </c>
      <c r="B1222" t="s">
        <v>2917</v>
      </c>
      <c r="C1222">
        <v>8.19</v>
      </c>
      <c r="E1222" t="str">
        <f t="shared" si="25"/>
        <v xml:space="preserve">. </v>
      </c>
      <c r="F1222">
        <v>75</v>
      </c>
      <c r="H1222" t="b">
        <v>0</v>
      </c>
      <c r="L1222" s="188" t="str">
        <f>IFERROR(_xlfn.XLOOKUP(A1222,[1]Fleet!A:A,[1]Fleet!E:E,""),"")</f>
        <v/>
      </c>
      <c r="M1222" s="188" t="s">
        <v>22</v>
      </c>
      <c r="N1222" s="188" t="s">
        <v>22</v>
      </c>
      <c r="P1222">
        <v>1032</v>
      </c>
      <c r="Q1222">
        <f>_xlfn.XLOOKUP(A1222,'[1]Classic Net to delete'!D:D,'[1]Classic Net to delete'!AA:AA,0)</f>
        <v>0</v>
      </c>
    </row>
    <row r="1223" spans="1:17" x14ac:dyDescent="0.25">
      <c r="A1223" t="s">
        <v>2918</v>
      </c>
      <c r="B1223" t="s">
        <v>2919</v>
      </c>
      <c r="C1223">
        <v>8.19</v>
      </c>
      <c r="E1223" t="str">
        <f t="shared" si="25"/>
        <v xml:space="preserve">. </v>
      </c>
      <c r="F1223">
        <v>75</v>
      </c>
      <c r="H1223" t="b">
        <v>0</v>
      </c>
      <c r="L1223" s="188" t="str">
        <f>IFERROR(_xlfn.XLOOKUP(A1223,[1]Fleet!A:A,[1]Fleet!E:E,""),"")</f>
        <v/>
      </c>
      <c r="M1223" s="188" t="s">
        <v>22</v>
      </c>
      <c r="N1223" s="188" t="s">
        <v>22</v>
      </c>
      <c r="P1223">
        <v>1031</v>
      </c>
      <c r="Q1223">
        <f>_xlfn.XLOOKUP(A1223,'[1]Classic Net to delete'!D:D,'[1]Classic Net to delete'!AA:AA,0)</f>
        <v>0</v>
      </c>
    </row>
    <row r="1224" spans="1:17" x14ac:dyDescent="0.25">
      <c r="A1224" t="s">
        <v>2920</v>
      </c>
      <c r="B1224" t="s">
        <v>2921</v>
      </c>
      <c r="C1224">
        <v>8.19</v>
      </c>
      <c r="E1224" t="str">
        <f t="shared" si="25"/>
        <v xml:space="preserve">. </v>
      </c>
      <c r="F1224">
        <v>75</v>
      </c>
      <c r="H1224" t="b">
        <v>0</v>
      </c>
      <c r="L1224" s="188" t="str">
        <f>IFERROR(_xlfn.XLOOKUP(A1224,[1]Fleet!A:A,[1]Fleet!E:E,""),"")</f>
        <v/>
      </c>
      <c r="M1224" s="188" t="s">
        <v>22</v>
      </c>
      <c r="N1224" s="188" t="s">
        <v>22</v>
      </c>
      <c r="P1224">
        <v>1030</v>
      </c>
      <c r="Q1224">
        <f>_xlfn.XLOOKUP(A1224,'[1]Classic Net to delete'!D:D,'[1]Classic Net to delete'!AA:AA,0)</f>
        <v>0</v>
      </c>
    </row>
    <row r="1225" spans="1:17" x14ac:dyDescent="0.25">
      <c r="A1225" t="s">
        <v>2922</v>
      </c>
      <c r="B1225" t="s">
        <v>2923</v>
      </c>
      <c r="C1225">
        <v>8.19</v>
      </c>
      <c r="E1225" t="str">
        <f t="shared" si="25"/>
        <v xml:space="preserve">. </v>
      </c>
      <c r="F1225">
        <v>75</v>
      </c>
      <c r="H1225" t="b">
        <v>0</v>
      </c>
      <c r="L1225" s="188" t="str">
        <f>IFERROR(_xlfn.XLOOKUP(A1225,[1]Fleet!A:A,[1]Fleet!E:E,""),"")</f>
        <v/>
      </c>
      <c r="M1225" s="188" t="s">
        <v>22</v>
      </c>
      <c r="N1225" s="188" t="s">
        <v>22</v>
      </c>
      <c r="P1225">
        <v>1029</v>
      </c>
      <c r="Q1225">
        <f>_xlfn.XLOOKUP(A1225,'[1]Classic Net to delete'!D:D,'[1]Classic Net to delete'!AA:AA,0)</f>
        <v>0</v>
      </c>
    </row>
    <row r="1226" spans="1:17" x14ac:dyDescent="0.25">
      <c r="A1226" t="s">
        <v>2924</v>
      </c>
      <c r="B1226" t="s">
        <v>2925</v>
      </c>
      <c r="C1226">
        <v>51.15</v>
      </c>
      <c r="E1226" t="str">
        <f t="shared" si="25"/>
        <v xml:space="preserve">. </v>
      </c>
      <c r="F1226">
        <v>75</v>
      </c>
      <c r="H1226" t="b">
        <v>0</v>
      </c>
      <c r="L1226" s="188" t="str">
        <f>IFERROR(_xlfn.XLOOKUP(A1226,[1]Fleet!A:A,[1]Fleet!E:E,""),"")</f>
        <v/>
      </c>
      <c r="M1226" s="188" t="s">
        <v>22</v>
      </c>
      <c r="N1226" s="188" t="s">
        <v>22</v>
      </c>
      <c r="P1226">
        <v>1028</v>
      </c>
      <c r="Q1226">
        <f>_xlfn.XLOOKUP(A1226,'[1]Classic Net to delete'!D:D,'[1]Classic Net to delete'!AA:AA,0)</f>
        <v>0</v>
      </c>
    </row>
    <row r="1227" spans="1:17" x14ac:dyDescent="0.25">
      <c r="A1227" t="s">
        <v>2926</v>
      </c>
      <c r="B1227" t="s">
        <v>2927</v>
      </c>
      <c r="C1227">
        <v>10.75</v>
      </c>
      <c r="E1227" t="str">
        <f t="shared" si="25"/>
        <v xml:space="preserve">. </v>
      </c>
      <c r="F1227">
        <v>75</v>
      </c>
      <c r="H1227" t="b">
        <v>0</v>
      </c>
      <c r="L1227" s="188" t="str">
        <f>IFERROR(_xlfn.XLOOKUP(A1227,[1]Fleet!A:A,[1]Fleet!E:E,""),"")</f>
        <v/>
      </c>
      <c r="M1227" s="188" t="s">
        <v>22</v>
      </c>
      <c r="N1227" s="188" t="s">
        <v>22</v>
      </c>
      <c r="P1227">
        <v>1027</v>
      </c>
      <c r="Q1227">
        <f>_xlfn.XLOOKUP(A1227,'[1]Classic Net to delete'!D:D,'[1]Classic Net to delete'!AA:AA,0)</f>
        <v>0</v>
      </c>
    </row>
    <row r="1228" spans="1:17" x14ac:dyDescent="0.25">
      <c r="A1228" t="s">
        <v>2928</v>
      </c>
      <c r="B1228" t="s">
        <v>2929</v>
      </c>
      <c r="C1228">
        <v>10.75</v>
      </c>
      <c r="E1228" t="str">
        <f t="shared" si="25"/>
        <v xml:space="preserve">. </v>
      </c>
      <c r="F1228">
        <v>75</v>
      </c>
      <c r="H1228" t="b">
        <v>0</v>
      </c>
      <c r="L1228" s="188" t="str">
        <f>IFERROR(_xlfn.XLOOKUP(A1228,[1]Fleet!A:A,[1]Fleet!E:E,""),"")</f>
        <v/>
      </c>
      <c r="M1228" s="188" t="s">
        <v>22</v>
      </c>
      <c r="N1228" s="188" t="s">
        <v>22</v>
      </c>
      <c r="P1228">
        <v>1026</v>
      </c>
      <c r="Q1228">
        <f>_xlfn.XLOOKUP(A1228,'[1]Classic Net to delete'!D:D,'[1]Classic Net to delete'!AA:AA,0)</f>
        <v>0</v>
      </c>
    </row>
    <row r="1229" spans="1:17" x14ac:dyDescent="0.25">
      <c r="A1229" t="s">
        <v>2930</v>
      </c>
      <c r="B1229" t="s">
        <v>2931</v>
      </c>
      <c r="C1229">
        <v>10.75</v>
      </c>
      <c r="E1229" t="str">
        <f t="shared" si="25"/>
        <v xml:space="preserve">. </v>
      </c>
      <c r="F1229">
        <v>75</v>
      </c>
      <c r="H1229" t="b">
        <v>0</v>
      </c>
      <c r="L1229" s="188" t="str">
        <f>IFERROR(_xlfn.XLOOKUP(A1229,[1]Fleet!A:A,[1]Fleet!E:E,""),"")</f>
        <v/>
      </c>
      <c r="M1229" s="188" t="s">
        <v>22</v>
      </c>
      <c r="N1229" s="188" t="s">
        <v>22</v>
      </c>
      <c r="P1229">
        <v>1025</v>
      </c>
      <c r="Q1229">
        <f>_xlfn.XLOOKUP(A1229,'[1]Classic Net to delete'!D:D,'[1]Classic Net to delete'!AA:AA,0)</f>
        <v>0</v>
      </c>
    </row>
    <row r="1230" spans="1:17" x14ac:dyDescent="0.25">
      <c r="A1230" t="s">
        <v>2932</v>
      </c>
      <c r="B1230" t="s">
        <v>2933</v>
      </c>
      <c r="C1230">
        <v>10.75</v>
      </c>
      <c r="E1230" t="str">
        <f t="shared" si="25"/>
        <v xml:space="preserve">. </v>
      </c>
      <c r="F1230">
        <v>75</v>
      </c>
      <c r="H1230" t="b">
        <v>0</v>
      </c>
      <c r="L1230" s="188" t="str">
        <f>IFERROR(_xlfn.XLOOKUP(A1230,[1]Fleet!A:A,[1]Fleet!E:E,""),"")</f>
        <v/>
      </c>
      <c r="M1230" s="188" t="s">
        <v>22</v>
      </c>
      <c r="N1230" s="188" t="s">
        <v>22</v>
      </c>
      <c r="P1230">
        <v>1024</v>
      </c>
      <c r="Q1230">
        <f>_xlfn.XLOOKUP(A1230,'[1]Classic Net to delete'!D:D,'[1]Classic Net to delete'!AA:AA,0)</f>
        <v>0</v>
      </c>
    </row>
    <row r="1231" spans="1:17" x14ac:dyDescent="0.25">
      <c r="A1231" t="s">
        <v>2934</v>
      </c>
      <c r="B1231" t="s">
        <v>2935</v>
      </c>
      <c r="C1231">
        <v>10.75</v>
      </c>
      <c r="E1231" t="str">
        <f t="shared" si="25"/>
        <v xml:space="preserve">. </v>
      </c>
      <c r="F1231">
        <v>75</v>
      </c>
      <c r="H1231" t="b">
        <v>0</v>
      </c>
      <c r="L1231" s="188" t="str">
        <f>IFERROR(_xlfn.XLOOKUP(A1231,[1]Fleet!A:A,[1]Fleet!E:E,""),"")</f>
        <v/>
      </c>
      <c r="M1231" s="188" t="s">
        <v>22</v>
      </c>
      <c r="N1231" s="188" t="s">
        <v>22</v>
      </c>
      <c r="P1231">
        <v>1023</v>
      </c>
      <c r="Q1231">
        <f>_xlfn.XLOOKUP(A1231,'[1]Classic Net to delete'!D:D,'[1]Classic Net to delete'!AA:AA,0)</f>
        <v>0</v>
      </c>
    </row>
    <row r="1232" spans="1:17" x14ac:dyDescent="0.25">
      <c r="A1232" t="s">
        <v>2936</v>
      </c>
      <c r="B1232" t="s">
        <v>2937</v>
      </c>
      <c r="C1232">
        <v>10.75</v>
      </c>
      <c r="E1232" t="str">
        <f t="shared" si="25"/>
        <v xml:space="preserve">. </v>
      </c>
      <c r="F1232">
        <v>75</v>
      </c>
      <c r="H1232" t="b">
        <v>0</v>
      </c>
      <c r="L1232" s="188" t="str">
        <f>IFERROR(_xlfn.XLOOKUP(A1232,[1]Fleet!A:A,[1]Fleet!E:E,""),"")</f>
        <v/>
      </c>
      <c r="M1232" s="188" t="s">
        <v>22</v>
      </c>
      <c r="N1232" s="188" t="s">
        <v>22</v>
      </c>
      <c r="P1232">
        <v>1022</v>
      </c>
      <c r="Q1232">
        <f>_xlfn.XLOOKUP(A1232,'[1]Classic Net to delete'!D:D,'[1]Classic Net to delete'!AA:AA,0)</f>
        <v>0</v>
      </c>
    </row>
    <row r="1233" spans="1:17" x14ac:dyDescent="0.25">
      <c r="A1233" t="s">
        <v>2938</v>
      </c>
      <c r="B1233" t="s">
        <v>2939</v>
      </c>
      <c r="C1233">
        <v>52.38</v>
      </c>
      <c r="E1233" t="str">
        <f t="shared" si="25"/>
        <v xml:space="preserve">. </v>
      </c>
      <c r="F1233">
        <v>75</v>
      </c>
      <c r="H1233" t="b">
        <v>0</v>
      </c>
      <c r="L1233" s="188" t="str">
        <f>IFERROR(_xlfn.XLOOKUP(A1233,[1]Fleet!A:A,[1]Fleet!E:E,""),"")</f>
        <v/>
      </c>
      <c r="M1233" s="188" t="s">
        <v>22</v>
      </c>
      <c r="N1233" s="188" t="s">
        <v>22</v>
      </c>
      <c r="P1233">
        <v>1021</v>
      </c>
      <c r="Q1233">
        <f>_xlfn.XLOOKUP(A1233,'[1]Classic Net to delete'!D:D,'[1]Classic Net to delete'!AA:AA,0)</f>
        <v>0</v>
      </c>
    </row>
    <row r="1234" spans="1:17" x14ac:dyDescent="0.25">
      <c r="A1234" t="s">
        <v>2940</v>
      </c>
      <c r="B1234" t="s">
        <v>2941</v>
      </c>
      <c r="C1234">
        <v>59.33</v>
      </c>
      <c r="E1234" t="str">
        <f t="shared" si="25"/>
        <v xml:space="preserve">. </v>
      </c>
      <c r="F1234">
        <v>75</v>
      </c>
      <c r="H1234" t="b">
        <v>0</v>
      </c>
      <c r="L1234" s="188" t="str">
        <f>IFERROR(_xlfn.XLOOKUP(A1234,[1]Fleet!A:A,[1]Fleet!E:E,""),"")</f>
        <v/>
      </c>
      <c r="M1234" s="188" t="s">
        <v>22</v>
      </c>
      <c r="N1234" s="188" t="s">
        <v>22</v>
      </c>
      <c r="P1234">
        <v>1019</v>
      </c>
      <c r="Q1234">
        <f>_xlfn.XLOOKUP(A1234,'[1]Classic Net to delete'!D:D,'[1]Classic Net to delete'!AA:AA,0)</f>
        <v>0</v>
      </c>
    </row>
    <row r="1235" spans="1:17" x14ac:dyDescent="0.25">
      <c r="A1235" t="s">
        <v>2940</v>
      </c>
      <c r="B1235" t="s">
        <v>2941</v>
      </c>
      <c r="C1235">
        <v>59.33</v>
      </c>
      <c r="E1235" t="str">
        <f t="shared" si="25"/>
        <v xml:space="preserve">. </v>
      </c>
      <c r="F1235">
        <v>75</v>
      </c>
      <c r="H1235" t="b">
        <v>0</v>
      </c>
      <c r="L1235" s="188" t="str">
        <f>IFERROR(_xlfn.XLOOKUP(A1235,[1]Fleet!A:A,[1]Fleet!E:E,""),"")</f>
        <v/>
      </c>
      <c r="M1235" s="188" t="s">
        <v>22</v>
      </c>
      <c r="N1235" s="188" t="s">
        <v>22</v>
      </c>
      <c r="P1235">
        <v>1020</v>
      </c>
      <c r="Q1235">
        <f>_xlfn.XLOOKUP(A1235,'[1]Classic Net to delete'!D:D,'[1]Classic Net to delete'!AA:AA,0)</f>
        <v>0</v>
      </c>
    </row>
    <row r="1236" spans="1:17" x14ac:dyDescent="0.25">
      <c r="A1236" t="s">
        <v>2942</v>
      </c>
      <c r="B1236" t="s">
        <v>2943</v>
      </c>
      <c r="C1236">
        <v>12.950000000000001</v>
      </c>
      <c r="E1236" t="str">
        <f t="shared" si="25"/>
        <v xml:space="preserve">. </v>
      </c>
      <c r="F1236">
        <v>75</v>
      </c>
      <c r="H1236" t="b">
        <v>0</v>
      </c>
      <c r="L1236" s="188" t="str">
        <f>IFERROR(_xlfn.XLOOKUP(A1236,[1]Fleet!A:A,[1]Fleet!E:E,""),"")</f>
        <v/>
      </c>
      <c r="M1236" s="188" t="s">
        <v>22</v>
      </c>
      <c r="N1236" s="188" t="s">
        <v>22</v>
      </c>
      <c r="P1236">
        <v>1018</v>
      </c>
      <c r="Q1236">
        <f>_xlfn.XLOOKUP(A1236,'[1]Classic Net to delete'!D:D,'[1]Classic Net to delete'!AA:AA,0)</f>
        <v>0</v>
      </c>
    </row>
    <row r="1237" spans="1:17" x14ac:dyDescent="0.25">
      <c r="A1237" t="s">
        <v>2944</v>
      </c>
      <c r="B1237" t="s">
        <v>2945</v>
      </c>
      <c r="C1237">
        <v>0</v>
      </c>
      <c r="E1237" t="str">
        <f t="shared" si="25"/>
        <v xml:space="preserve">. </v>
      </c>
      <c r="F1237">
        <v>75</v>
      </c>
      <c r="H1237" t="b">
        <v>0</v>
      </c>
      <c r="L1237" s="188" t="str">
        <f>IFERROR(_xlfn.XLOOKUP(A1237,[1]Fleet!A:A,[1]Fleet!E:E,""),"")</f>
        <v/>
      </c>
      <c r="M1237" s="188" t="s">
        <v>22</v>
      </c>
      <c r="N1237" s="188" t="s">
        <v>22</v>
      </c>
      <c r="P1237">
        <v>1017</v>
      </c>
      <c r="Q1237">
        <f>_xlfn.XLOOKUP(A1237,'[1]Classic Net to delete'!D:D,'[1]Classic Net to delete'!AA:AA,0)</f>
        <v>0</v>
      </c>
    </row>
    <row r="1238" spans="1:17" x14ac:dyDescent="0.25">
      <c r="A1238" t="s">
        <v>2946</v>
      </c>
      <c r="B1238" t="s">
        <v>2947</v>
      </c>
      <c r="C1238">
        <v>0</v>
      </c>
      <c r="E1238" t="str">
        <f t="shared" si="25"/>
        <v xml:space="preserve">. </v>
      </c>
      <c r="F1238">
        <v>75</v>
      </c>
      <c r="H1238" t="b">
        <v>0</v>
      </c>
      <c r="L1238" s="188" t="str">
        <f>IFERROR(_xlfn.XLOOKUP(A1238,[1]Fleet!A:A,[1]Fleet!E:E,""),"")</f>
        <v/>
      </c>
      <c r="M1238" s="188" t="s">
        <v>22</v>
      </c>
      <c r="N1238" s="188" t="s">
        <v>22</v>
      </c>
      <c r="P1238">
        <v>1016</v>
      </c>
      <c r="Q1238">
        <f>_xlfn.XLOOKUP(A1238,'[1]Classic Net to delete'!D:D,'[1]Classic Net to delete'!AA:AA,0)</f>
        <v>0</v>
      </c>
    </row>
    <row r="1239" spans="1:17" x14ac:dyDescent="0.25">
      <c r="A1239" t="s">
        <v>2948</v>
      </c>
      <c r="B1239" t="s">
        <v>2949</v>
      </c>
      <c r="C1239">
        <v>10.75</v>
      </c>
      <c r="E1239" t="str">
        <f t="shared" si="25"/>
        <v xml:space="preserve">. </v>
      </c>
      <c r="F1239">
        <v>75</v>
      </c>
      <c r="H1239" t="b">
        <v>0</v>
      </c>
      <c r="L1239" s="188" t="str">
        <f>IFERROR(_xlfn.XLOOKUP(A1239,[1]Fleet!A:A,[1]Fleet!E:E,""),"")</f>
        <v/>
      </c>
      <c r="M1239" s="188" t="s">
        <v>22</v>
      </c>
      <c r="N1239" s="188" t="s">
        <v>22</v>
      </c>
      <c r="P1239">
        <v>1015</v>
      </c>
      <c r="Q1239">
        <f>_xlfn.XLOOKUP(A1239,'[1]Classic Net to delete'!D:D,'[1]Classic Net to delete'!AA:AA,0)</f>
        <v>0</v>
      </c>
    </row>
    <row r="1240" spans="1:17" x14ac:dyDescent="0.25">
      <c r="A1240" t="s">
        <v>2950</v>
      </c>
      <c r="B1240" t="s">
        <v>2951</v>
      </c>
      <c r="C1240">
        <v>0</v>
      </c>
      <c r="E1240" t="str">
        <f t="shared" si="25"/>
        <v xml:space="preserve">. </v>
      </c>
      <c r="F1240">
        <v>75</v>
      </c>
      <c r="H1240" t="b">
        <v>0</v>
      </c>
      <c r="L1240" s="188" t="str">
        <f>IFERROR(_xlfn.XLOOKUP(A1240,[1]Fleet!A:A,[1]Fleet!E:E,""),"")</f>
        <v/>
      </c>
      <c r="M1240" s="188" t="s">
        <v>22</v>
      </c>
      <c r="N1240" s="188" t="s">
        <v>22</v>
      </c>
      <c r="P1240">
        <v>1014</v>
      </c>
      <c r="Q1240">
        <f>_xlfn.XLOOKUP(A1240,'[1]Classic Net to delete'!D:D,'[1]Classic Net to delete'!AA:AA,0)</f>
        <v>0</v>
      </c>
    </row>
    <row r="1241" spans="1:17" x14ac:dyDescent="0.25">
      <c r="A1241" t="s">
        <v>2952</v>
      </c>
      <c r="B1241" t="s">
        <v>2953</v>
      </c>
      <c r="C1241">
        <v>14.23</v>
      </c>
      <c r="E1241" t="str">
        <f t="shared" si="25"/>
        <v xml:space="preserve">. </v>
      </c>
      <c r="F1241">
        <v>75</v>
      </c>
      <c r="H1241" t="b">
        <v>0</v>
      </c>
      <c r="L1241" s="188" t="str">
        <f>IFERROR(_xlfn.XLOOKUP(A1241,[1]Fleet!A:A,[1]Fleet!E:E,""),"")</f>
        <v/>
      </c>
      <c r="M1241" s="188" t="s">
        <v>22</v>
      </c>
      <c r="N1241" s="188" t="s">
        <v>22</v>
      </c>
      <c r="P1241">
        <v>1013</v>
      </c>
      <c r="Q1241">
        <f>_xlfn.XLOOKUP(A1241,'[1]Classic Net to delete'!D:D,'[1]Classic Net to delete'!AA:AA,0)</f>
        <v>0</v>
      </c>
    </row>
    <row r="1242" spans="1:17" x14ac:dyDescent="0.25">
      <c r="A1242" t="s">
        <v>2954</v>
      </c>
      <c r="B1242" t="s">
        <v>2955</v>
      </c>
      <c r="C1242">
        <v>20.170000000000002</v>
      </c>
      <c r="E1242" t="str">
        <f t="shared" si="25"/>
        <v xml:space="preserve">. </v>
      </c>
      <c r="F1242">
        <v>75</v>
      </c>
      <c r="H1242" t="b">
        <v>0</v>
      </c>
      <c r="L1242" s="188" t="str">
        <f>IFERROR(_xlfn.XLOOKUP(A1242,[1]Fleet!A:A,[1]Fleet!E:E,""),"")</f>
        <v/>
      </c>
      <c r="M1242" s="188" t="s">
        <v>22</v>
      </c>
      <c r="N1242" s="188" t="s">
        <v>22</v>
      </c>
      <c r="P1242">
        <v>1012</v>
      </c>
      <c r="Q1242">
        <f>_xlfn.XLOOKUP(A1242,'[1]Classic Net to delete'!D:D,'[1]Classic Net to delete'!AA:AA,0)</f>
        <v>0</v>
      </c>
    </row>
    <row r="1243" spans="1:17" x14ac:dyDescent="0.25">
      <c r="A1243" t="s">
        <v>2956</v>
      </c>
      <c r="B1243" t="s">
        <v>2957</v>
      </c>
      <c r="C1243">
        <v>8.2900000000000009</v>
      </c>
      <c r="E1243" t="str">
        <f t="shared" si="25"/>
        <v xml:space="preserve">. </v>
      </c>
      <c r="F1243">
        <v>75</v>
      </c>
      <c r="H1243" t="b">
        <v>0</v>
      </c>
      <c r="L1243" s="188" t="str">
        <f>IFERROR(_xlfn.XLOOKUP(A1243,[1]Fleet!A:A,[1]Fleet!E:E,""),"")</f>
        <v/>
      </c>
      <c r="M1243" s="188" t="s">
        <v>22</v>
      </c>
      <c r="N1243" s="188" t="s">
        <v>22</v>
      </c>
      <c r="P1243">
        <v>1011</v>
      </c>
      <c r="Q1243">
        <f>_xlfn.XLOOKUP(A1243,'[1]Classic Net to delete'!D:D,'[1]Classic Net to delete'!AA:AA,0)</f>
        <v>0</v>
      </c>
    </row>
    <row r="1244" spans="1:17" x14ac:dyDescent="0.25">
      <c r="A1244" t="s">
        <v>2958</v>
      </c>
      <c r="B1244" t="s">
        <v>2959</v>
      </c>
      <c r="C1244">
        <v>5.51</v>
      </c>
      <c r="E1244" t="str">
        <f t="shared" si="25"/>
        <v xml:space="preserve">. </v>
      </c>
      <c r="F1244">
        <v>75</v>
      </c>
      <c r="H1244" t="b">
        <v>0</v>
      </c>
      <c r="L1244" s="188" t="str">
        <f>IFERROR(_xlfn.XLOOKUP(A1244,[1]Fleet!A:A,[1]Fleet!E:E,""),"")</f>
        <v/>
      </c>
      <c r="M1244" s="188" t="s">
        <v>22</v>
      </c>
      <c r="N1244" s="188" t="s">
        <v>22</v>
      </c>
      <c r="P1244">
        <v>1010</v>
      </c>
      <c r="Q1244">
        <f>_xlfn.XLOOKUP(A1244,'[1]Classic Net to delete'!D:D,'[1]Classic Net to delete'!AA:AA,0)</f>
        <v>0</v>
      </c>
    </row>
    <row r="1245" spans="1:17" x14ac:dyDescent="0.25">
      <c r="A1245" t="s">
        <v>2960</v>
      </c>
      <c r="B1245" t="s">
        <v>2961</v>
      </c>
      <c r="C1245">
        <v>15.14</v>
      </c>
      <c r="E1245" t="str">
        <f t="shared" si="25"/>
        <v xml:space="preserve">. </v>
      </c>
      <c r="F1245">
        <v>75</v>
      </c>
      <c r="H1245" t="b">
        <v>0</v>
      </c>
      <c r="L1245" s="188" t="str">
        <f>IFERROR(_xlfn.XLOOKUP(A1245,[1]Fleet!A:A,[1]Fleet!E:E,""),"")</f>
        <v/>
      </c>
      <c r="M1245" s="188" t="s">
        <v>22</v>
      </c>
      <c r="N1245" s="188" t="s">
        <v>22</v>
      </c>
      <c r="P1245">
        <v>1009</v>
      </c>
      <c r="Q1245">
        <f>_xlfn.XLOOKUP(A1245,'[1]Classic Net to delete'!D:D,'[1]Classic Net to delete'!AA:AA,0)</f>
        <v>0</v>
      </c>
    </row>
    <row r="1246" spans="1:17" x14ac:dyDescent="0.25">
      <c r="A1246" t="s">
        <v>2962</v>
      </c>
      <c r="B1246" t="s">
        <v>2963</v>
      </c>
      <c r="C1246">
        <v>5.94</v>
      </c>
      <c r="E1246" t="str">
        <f t="shared" si="25"/>
        <v xml:space="preserve">. </v>
      </c>
      <c r="F1246">
        <v>75</v>
      </c>
      <c r="H1246" t="b">
        <v>0</v>
      </c>
      <c r="L1246" s="188" t="str">
        <f>IFERROR(_xlfn.XLOOKUP(A1246,[1]Fleet!A:A,[1]Fleet!E:E,""),"")</f>
        <v/>
      </c>
      <c r="M1246" s="188" t="s">
        <v>22</v>
      </c>
      <c r="N1246" s="188" t="s">
        <v>22</v>
      </c>
      <c r="P1246">
        <v>1008</v>
      </c>
      <c r="Q1246">
        <f>_xlfn.XLOOKUP(A1246,'[1]Classic Net to delete'!D:D,'[1]Classic Net to delete'!AA:AA,0)</f>
        <v>0</v>
      </c>
    </row>
    <row r="1247" spans="1:17" x14ac:dyDescent="0.25">
      <c r="A1247" t="s">
        <v>2964</v>
      </c>
      <c r="B1247" t="s">
        <v>2965</v>
      </c>
      <c r="C1247">
        <v>19.96</v>
      </c>
      <c r="E1247" t="str">
        <f t="shared" si="25"/>
        <v xml:space="preserve">. </v>
      </c>
      <c r="F1247">
        <v>75</v>
      </c>
      <c r="H1247" t="b">
        <v>0</v>
      </c>
      <c r="L1247" s="188" t="str">
        <f>IFERROR(_xlfn.XLOOKUP(A1247,[1]Fleet!A:A,[1]Fleet!E:E,""),"")</f>
        <v/>
      </c>
      <c r="M1247" s="188" t="s">
        <v>22</v>
      </c>
      <c r="N1247" s="188" t="s">
        <v>22</v>
      </c>
      <c r="P1247">
        <v>1007</v>
      </c>
      <c r="Q1247">
        <f>_xlfn.XLOOKUP(A1247,'[1]Classic Net to delete'!D:D,'[1]Classic Net to delete'!AA:AA,0)</f>
        <v>0</v>
      </c>
    </row>
    <row r="1248" spans="1:17" x14ac:dyDescent="0.25">
      <c r="A1248" t="s">
        <v>2966</v>
      </c>
      <c r="B1248" t="s">
        <v>2967</v>
      </c>
      <c r="C1248">
        <v>0</v>
      </c>
      <c r="E1248" t="str">
        <f t="shared" si="25"/>
        <v xml:space="preserve">. </v>
      </c>
      <c r="F1248">
        <v>75</v>
      </c>
      <c r="H1248" t="b">
        <v>0</v>
      </c>
      <c r="L1248" s="188" t="str">
        <f>IFERROR(_xlfn.XLOOKUP(A1248,[1]Fleet!A:A,[1]Fleet!E:E,""),"")</f>
        <v/>
      </c>
      <c r="M1248" s="188" t="s">
        <v>22</v>
      </c>
      <c r="N1248" s="188" t="s">
        <v>22</v>
      </c>
      <c r="P1248">
        <v>1006</v>
      </c>
      <c r="Q1248">
        <f>_xlfn.XLOOKUP(A1248,'[1]Classic Net to delete'!D:D,'[1]Classic Net to delete'!AA:AA,0)</f>
        <v>0</v>
      </c>
    </row>
    <row r="1249" spans="1:17" x14ac:dyDescent="0.25">
      <c r="A1249" t="s">
        <v>2968</v>
      </c>
      <c r="B1249" t="s">
        <v>2969</v>
      </c>
      <c r="C1249">
        <v>21.19</v>
      </c>
      <c r="E1249" t="str">
        <f t="shared" si="25"/>
        <v xml:space="preserve">. </v>
      </c>
      <c r="F1249">
        <v>75</v>
      </c>
      <c r="H1249" t="b">
        <v>0</v>
      </c>
      <c r="L1249" s="188" t="str">
        <f>IFERROR(_xlfn.XLOOKUP(A1249,[1]Fleet!A:A,[1]Fleet!E:E,""),"")</f>
        <v/>
      </c>
      <c r="M1249" s="188" t="s">
        <v>22</v>
      </c>
      <c r="N1249" s="188" t="s">
        <v>22</v>
      </c>
      <c r="P1249">
        <v>1005</v>
      </c>
      <c r="Q1249">
        <f>_xlfn.XLOOKUP(A1249,'[1]Classic Net to delete'!D:D,'[1]Classic Net to delete'!AA:AA,0)</f>
        <v>0</v>
      </c>
    </row>
    <row r="1250" spans="1:17" x14ac:dyDescent="0.25">
      <c r="A1250" t="s">
        <v>2970</v>
      </c>
      <c r="B1250" t="s">
        <v>2971</v>
      </c>
      <c r="C1250">
        <v>11.34</v>
      </c>
      <c r="E1250" t="str">
        <f t="shared" si="25"/>
        <v xml:space="preserve">. </v>
      </c>
      <c r="F1250">
        <v>75</v>
      </c>
      <c r="H1250" t="b">
        <v>0</v>
      </c>
      <c r="L1250" s="188" t="str">
        <f>IFERROR(_xlfn.XLOOKUP(A1250,[1]Fleet!A:A,[1]Fleet!E:E,""),"")</f>
        <v/>
      </c>
      <c r="M1250" s="188" t="s">
        <v>22</v>
      </c>
      <c r="N1250" s="188" t="s">
        <v>22</v>
      </c>
      <c r="P1250">
        <v>1004</v>
      </c>
      <c r="Q1250">
        <f>_xlfn.XLOOKUP(A1250,'[1]Classic Net to delete'!D:D,'[1]Classic Net to delete'!AA:AA,0)</f>
        <v>0</v>
      </c>
    </row>
    <row r="1251" spans="1:17" x14ac:dyDescent="0.25">
      <c r="A1251" t="s">
        <v>2972</v>
      </c>
      <c r="B1251" t="s">
        <v>2973</v>
      </c>
      <c r="C1251">
        <v>27.12</v>
      </c>
      <c r="E1251" t="str">
        <f t="shared" si="25"/>
        <v xml:space="preserve">. </v>
      </c>
      <c r="F1251">
        <v>75</v>
      </c>
      <c r="H1251" t="b">
        <v>0</v>
      </c>
      <c r="L1251" s="188" t="str">
        <f>IFERROR(_xlfn.XLOOKUP(A1251,[1]Fleet!A:A,[1]Fleet!E:E,""),"")</f>
        <v/>
      </c>
      <c r="M1251" s="188" t="s">
        <v>22</v>
      </c>
      <c r="N1251" s="188" t="s">
        <v>22</v>
      </c>
      <c r="P1251">
        <v>1003</v>
      </c>
      <c r="Q1251">
        <f>_xlfn.XLOOKUP(A1251,'[1]Classic Net to delete'!D:D,'[1]Classic Net to delete'!AA:AA,0)</f>
        <v>0</v>
      </c>
    </row>
    <row r="1252" spans="1:17" x14ac:dyDescent="0.25">
      <c r="A1252" t="s">
        <v>2974</v>
      </c>
      <c r="B1252" t="s">
        <v>2975</v>
      </c>
      <c r="C1252">
        <v>17.07</v>
      </c>
      <c r="E1252" t="str">
        <f t="shared" si="25"/>
        <v xml:space="preserve">. </v>
      </c>
      <c r="F1252">
        <v>75</v>
      </c>
      <c r="H1252" t="b">
        <v>0</v>
      </c>
      <c r="L1252" s="188" t="str">
        <f>IFERROR(_xlfn.XLOOKUP(A1252,[1]Fleet!A:A,[1]Fleet!E:E,""),"")</f>
        <v/>
      </c>
      <c r="M1252" s="188" t="s">
        <v>22</v>
      </c>
      <c r="N1252" s="188" t="s">
        <v>22</v>
      </c>
      <c r="P1252">
        <v>1002</v>
      </c>
      <c r="Q1252">
        <f>_xlfn.XLOOKUP(A1252,'[1]Classic Net to delete'!D:D,'[1]Classic Net to delete'!AA:AA,0)</f>
        <v>0</v>
      </c>
    </row>
    <row r="1253" spans="1:17" x14ac:dyDescent="0.25">
      <c r="A1253" t="s">
        <v>2976</v>
      </c>
      <c r="B1253" t="s">
        <v>2977</v>
      </c>
      <c r="C1253">
        <v>17.07</v>
      </c>
      <c r="E1253" t="str">
        <f t="shared" si="25"/>
        <v xml:space="preserve">. </v>
      </c>
      <c r="F1253">
        <v>75</v>
      </c>
      <c r="H1253" t="b">
        <v>0</v>
      </c>
      <c r="L1253" s="188" t="str">
        <f>IFERROR(_xlfn.XLOOKUP(A1253,[1]Fleet!A:A,[1]Fleet!E:E,""),"")</f>
        <v/>
      </c>
      <c r="M1253" s="188" t="s">
        <v>22</v>
      </c>
      <c r="N1253" s="188" t="s">
        <v>22</v>
      </c>
      <c r="P1253">
        <v>1001</v>
      </c>
      <c r="Q1253">
        <f>_xlfn.XLOOKUP(A1253,'[1]Classic Net to delete'!D:D,'[1]Classic Net to delete'!AA:AA,0)</f>
        <v>0</v>
      </c>
    </row>
    <row r="1254" spans="1:17" x14ac:dyDescent="0.25">
      <c r="A1254" t="s">
        <v>2978</v>
      </c>
      <c r="B1254" t="s">
        <v>2979</v>
      </c>
      <c r="C1254">
        <v>17.07</v>
      </c>
      <c r="E1254" t="str">
        <f t="shared" si="25"/>
        <v xml:space="preserve">. </v>
      </c>
      <c r="F1254">
        <v>75</v>
      </c>
      <c r="H1254" t="b">
        <v>0</v>
      </c>
      <c r="L1254" s="188" t="str">
        <f>IFERROR(_xlfn.XLOOKUP(A1254,[1]Fleet!A:A,[1]Fleet!E:E,""),"")</f>
        <v/>
      </c>
      <c r="M1254" s="188" t="s">
        <v>22</v>
      </c>
      <c r="N1254" s="188" t="s">
        <v>22</v>
      </c>
      <c r="P1254">
        <v>1000</v>
      </c>
      <c r="Q1254">
        <f>_xlfn.XLOOKUP(A1254,'[1]Classic Net to delete'!D:D,'[1]Classic Net to delete'!AA:AA,0)</f>
        <v>0</v>
      </c>
    </row>
    <row r="1255" spans="1:17" x14ac:dyDescent="0.25">
      <c r="A1255" t="s">
        <v>2980</v>
      </c>
      <c r="B1255" t="s">
        <v>2981</v>
      </c>
      <c r="C1255">
        <v>0.96</v>
      </c>
      <c r="E1255" t="str">
        <f t="shared" si="25"/>
        <v xml:space="preserve">. </v>
      </c>
      <c r="F1255">
        <v>75</v>
      </c>
      <c r="H1255" t="b">
        <v>0</v>
      </c>
      <c r="L1255" s="188" t="str">
        <f>IFERROR(_xlfn.XLOOKUP(A1255,[1]Fleet!A:A,[1]Fleet!E:E,""),"")</f>
        <v/>
      </c>
      <c r="M1255" s="188" t="s">
        <v>22</v>
      </c>
      <c r="N1255" s="188" t="s">
        <v>22</v>
      </c>
      <c r="P1255">
        <v>999</v>
      </c>
      <c r="Q1255">
        <f>_xlfn.XLOOKUP(A1255,'[1]Classic Net to delete'!D:D,'[1]Classic Net to delete'!AA:AA,0)</f>
        <v>0</v>
      </c>
    </row>
    <row r="1256" spans="1:17" x14ac:dyDescent="0.25">
      <c r="A1256" t="s">
        <v>2982</v>
      </c>
      <c r="B1256" t="s">
        <v>2983</v>
      </c>
      <c r="C1256">
        <v>0</v>
      </c>
      <c r="E1256" t="str">
        <f t="shared" si="25"/>
        <v xml:space="preserve">. </v>
      </c>
      <c r="F1256">
        <v>75</v>
      </c>
      <c r="H1256" t="b">
        <v>0</v>
      </c>
      <c r="L1256" s="188" t="str">
        <f>IFERROR(_xlfn.XLOOKUP(A1256,[1]Fleet!A:A,[1]Fleet!E:E,""),"")</f>
        <v/>
      </c>
      <c r="M1256" s="188" t="s">
        <v>22</v>
      </c>
      <c r="N1256" s="188" t="s">
        <v>22</v>
      </c>
      <c r="P1256">
        <v>998</v>
      </c>
      <c r="Q1256">
        <f>_xlfn.XLOOKUP(A1256,'[1]Classic Net to delete'!D:D,'[1]Classic Net to delete'!AA:AA,0)</f>
        <v>0</v>
      </c>
    </row>
    <row r="1257" spans="1:17" x14ac:dyDescent="0.25">
      <c r="A1257" t="s">
        <v>2984</v>
      </c>
      <c r="B1257" t="s">
        <v>2985</v>
      </c>
      <c r="C1257">
        <v>3.8000000000000003</v>
      </c>
      <c r="E1257" t="str">
        <f t="shared" si="25"/>
        <v xml:space="preserve">. </v>
      </c>
      <c r="F1257">
        <v>75</v>
      </c>
      <c r="H1257" t="b">
        <v>0</v>
      </c>
      <c r="L1257" s="188" t="str">
        <f>IFERROR(_xlfn.XLOOKUP(A1257,[1]Fleet!A:A,[1]Fleet!E:E,""),"")</f>
        <v/>
      </c>
      <c r="M1257" s="188" t="s">
        <v>22</v>
      </c>
      <c r="N1257" s="188" t="s">
        <v>22</v>
      </c>
      <c r="P1257">
        <v>997</v>
      </c>
      <c r="Q1257">
        <f>_xlfn.XLOOKUP(A1257,'[1]Classic Net to delete'!D:D,'[1]Classic Net to delete'!AA:AA,0)</f>
        <v>0</v>
      </c>
    </row>
    <row r="1258" spans="1:17" x14ac:dyDescent="0.25">
      <c r="A1258" t="s">
        <v>2986</v>
      </c>
      <c r="B1258" t="s">
        <v>2987</v>
      </c>
      <c r="C1258">
        <v>14.23</v>
      </c>
      <c r="E1258" t="str">
        <f t="shared" si="25"/>
        <v xml:space="preserve">. </v>
      </c>
      <c r="F1258">
        <v>75</v>
      </c>
      <c r="H1258" t="b">
        <v>0</v>
      </c>
      <c r="L1258" s="188" t="str">
        <f>IFERROR(_xlfn.XLOOKUP(A1258,[1]Fleet!A:A,[1]Fleet!E:E,""),"")</f>
        <v/>
      </c>
      <c r="M1258" s="188" t="s">
        <v>22</v>
      </c>
      <c r="N1258" s="188" t="s">
        <v>22</v>
      </c>
      <c r="P1258">
        <v>996</v>
      </c>
      <c r="Q1258">
        <f>_xlfn.XLOOKUP(A1258,'[1]Classic Net to delete'!D:D,'[1]Classic Net to delete'!AA:AA,0)</f>
        <v>0</v>
      </c>
    </row>
    <row r="1259" spans="1:17" x14ac:dyDescent="0.25">
      <c r="A1259" t="s">
        <v>2988</v>
      </c>
      <c r="B1259" t="s">
        <v>2989</v>
      </c>
      <c r="C1259">
        <v>63.77</v>
      </c>
      <c r="E1259" t="str">
        <f t="shared" si="25"/>
        <v xml:space="preserve">. </v>
      </c>
      <c r="F1259">
        <v>75</v>
      </c>
      <c r="H1259" t="b">
        <v>0</v>
      </c>
      <c r="L1259" s="188" t="str">
        <f>IFERROR(_xlfn.XLOOKUP(A1259,[1]Fleet!A:A,[1]Fleet!E:E,""),"")</f>
        <v/>
      </c>
      <c r="M1259" s="188" t="s">
        <v>22</v>
      </c>
      <c r="N1259" s="188" t="s">
        <v>22</v>
      </c>
      <c r="P1259">
        <v>995</v>
      </c>
      <c r="Q1259">
        <f>_xlfn.XLOOKUP(A1259,'[1]Classic Net to delete'!D:D,'[1]Classic Net to delete'!AA:AA,0)</f>
        <v>0</v>
      </c>
    </row>
    <row r="1260" spans="1:17" x14ac:dyDescent="0.25">
      <c r="A1260" t="s">
        <v>2990</v>
      </c>
      <c r="B1260" t="s">
        <v>2991</v>
      </c>
      <c r="C1260">
        <v>0</v>
      </c>
      <c r="E1260" t="str">
        <f t="shared" si="25"/>
        <v xml:space="preserve">. </v>
      </c>
      <c r="F1260">
        <v>75</v>
      </c>
      <c r="H1260" t="b">
        <v>0</v>
      </c>
      <c r="L1260" s="188" t="str">
        <f>IFERROR(_xlfn.XLOOKUP(A1260,[1]Fleet!A:A,[1]Fleet!E:E,""),"")</f>
        <v/>
      </c>
      <c r="M1260" s="188" t="s">
        <v>22</v>
      </c>
      <c r="N1260" s="188" t="s">
        <v>22</v>
      </c>
      <c r="P1260">
        <v>994</v>
      </c>
      <c r="Q1260">
        <f>_xlfn.XLOOKUP(A1260,'[1]Classic Net to delete'!D:D,'[1]Classic Net to delete'!AA:AA,0)</f>
        <v>0</v>
      </c>
    </row>
    <row r="1261" spans="1:17" x14ac:dyDescent="0.25">
      <c r="A1261" t="s">
        <v>2992</v>
      </c>
      <c r="B1261" t="s">
        <v>2993</v>
      </c>
      <c r="C1261">
        <v>8.19</v>
      </c>
      <c r="E1261" t="str">
        <f t="shared" si="25"/>
        <v xml:space="preserve">. </v>
      </c>
      <c r="F1261">
        <v>75</v>
      </c>
      <c r="H1261" t="b">
        <v>0</v>
      </c>
      <c r="L1261" s="188" t="str">
        <f>IFERROR(_xlfn.XLOOKUP(A1261,[1]Fleet!A:A,[1]Fleet!E:E,""),"")</f>
        <v/>
      </c>
      <c r="M1261" s="188" t="s">
        <v>22</v>
      </c>
      <c r="N1261" s="188" t="s">
        <v>22</v>
      </c>
      <c r="P1261">
        <v>993</v>
      </c>
      <c r="Q1261">
        <f>_xlfn.XLOOKUP(A1261,'[1]Classic Net to delete'!D:D,'[1]Classic Net to delete'!AA:AA,0)</f>
        <v>0</v>
      </c>
    </row>
    <row r="1262" spans="1:17" x14ac:dyDescent="0.25">
      <c r="A1262" t="s">
        <v>2994</v>
      </c>
      <c r="B1262" t="s">
        <v>2995</v>
      </c>
      <c r="C1262">
        <v>17.330000000000002</v>
      </c>
      <c r="E1262" t="str">
        <f t="shared" si="25"/>
        <v xml:space="preserve">. </v>
      </c>
      <c r="F1262">
        <v>75</v>
      </c>
      <c r="H1262" t="b">
        <v>0</v>
      </c>
      <c r="L1262" s="188" t="str">
        <f>IFERROR(_xlfn.XLOOKUP(A1262,[1]Fleet!A:A,[1]Fleet!E:E,""),"")</f>
        <v/>
      </c>
      <c r="M1262" s="188" t="s">
        <v>22</v>
      </c>
      <c r="N1262" s="188" t="s">
        <v>22</v>
      </c>
      <c r="P1262">
        <v>992</v>
      </c>
      <c r="Q1262">
        <f>_xlfn.XLOOKUP(A1262,'[1]Classic Net to delete'!D:D,'[1]Classic Net to delete'!AA:AA,0)</f>
        <v>0</v>
      </c>
    </row>
    <row r="1263" spans="1:17" x14ac:dyDescent="0.25">
      <c r="A1263" t="s">
        <v>2996</v>
      </c>
      <c r="B1263" t="s">
        <v>2997</v>
      </c>
      <c r="C1263">
        <v>13.540000000000001</v>
      </c>
      <c r="E1263" t="str">
        <f t="shared" si="25"/>
        <v xml:space="preserve">. </v>
      </c>
      <c r="F1263">
        <v>75</v>
      </c>
      <c r="H1263" t="b">
        <v>0</v>
      </c>
      <c r="L1263" s="188" t="str">
        <f>IFERROR(_xlfn.XLOOKUP(A1263,[1]Fleet!A:A,[1]Fleet!E:E,""),"")</f>
        <v/>
      </c>
      <c r="M1263" s="188" t="s">
        <v>22</v>
      </c>
      <c r="N1263" s="188" t="s">
        <v>22</v>
      </c>
      <c r="P1263">
        <v>991</v>
      </c>
      <c r="Q1263">
        <f>_xlfn.XLOOKUP(A1263,'[1]Classic Net to delete'!D:D,'[1]Classic Net to delete'!AA:AA,0)</f>
        <v>0</v>
      </c>
    </row>
    <row r="1264" spans="1:17" x14ac:dyDescent="0.25">
      <c r="A1264" t="s">
        <v>2998</v>
      </c>
      <c r="B1264" t="s">
        <v>2999</v>
      </c>
      <c r="C1264">
        <v>28.36</v>
      </c>
      <c r="E1264" t="str">
        <f t="shared" si="25"/>
        <v xml:space="preserve">. </v>
      </c>
      <c r="F1264">
        <v>75</v>
      </c>
      <c r="H1264" t="b">
        <v>0</v>
      </c>
      <c r="L1264" s="188" t="str">
        <f>IFERROR(_xlfn.XLOOKUP(A1264,[1]Fleet!A:A,[1]Fleet!E:E,""),"")</f>
        <v/>
      </c>
      <c r="M1264" s="188" t="s">
        <v>22</v>
      </c>
      <c r="N1264" s="188" t="s">
        <v>22</v>
      </c>
      <c r="P1264">
        <v>990</v>
      </c>
      <c r="Q1264">
        <f>_xlfn.XLOOKUP(A1264,'[1]Classic Net to delete'!D:D,'[1]Classic Net to delete'!AA:AA,0)</f>
        <v>0</v>
      </c>
    </row>
    <row r="1265" spans="1:17" x14ac:dyDescent="0.25">
      <c r="A1265" t="s">
        <v>3000</v>
      </c>
      <c r="B1265" t="s">
        <v>3001</v>
      </c>
      <c r="C1265">
        <v>36.92</v>
      </c>
      <c r="E1265" t="str">
        <f t="shared" si="25"/>
        <v xml:space="preserve">. </v>
      </c>
      <c r="F1265">
        <v>75</v>
      </c>
      <c r="H1265" t="b">
        <v>0</v>
      </c>
      <c r="L1265" s="188" t="str">
        <f>IFERROR(_xlfn.XLOOKUP(A1265,[1]Fleet!A:A,[1]Fleet!E:E,""),"")</f>
        <v/>
      </c>
      <c r="M1265" s="188" t="s">
        <v>22</v>
      </c>
      <c r="N1265" s="188" t="s">
        <v>22</v>
      </c>
      <c r="P1265">
        <v>988</v>
      </c>
      <c r="Q1265">
        <f>_xlfn.XLOOKUP(A1265,'[1]Classic Net to delete'!D:D,'[1]Classic Net to delete'!AA:AA,0)</f>
        <v>0</v>
      </c>
    </row>
    <row r="1266" spans="1:17" x14ac:dyDescent="0.25">
      <c r="A1266" t="s">
        <v>3000</v>
      </c>
      <c r="B1266" t="s">
        <v>3001</v>
      </c>
      <c r="C1266">
        <v>36.92</v>
      </c>
      <c r="E1266" t="str">
        <f t="shared" si="25"/>
        <v xml:space="preserve">. </v>
      </c>
      <c r="F1266">
        <v>75</v>
      </c>
      <c r="H1266" t="b">
        <v>0</v>
      </c>
      <c r="L1266" s="188" t="str">
        <f>IFERROR(_xlfn.XLOOKUP(A1266,[1]Fleet!A:A,[1]Fleet!E:E,""),"")</f>
        <v/>
      </c>
      <c r="M1266" s="188" t="s">
        <v>22</v>
      </c>
      <c r="N1266" s="188" t="s">
        <v>22</v>
      </c>
      <c r="P1266">
        <v>989</v>
      </c>
      <c r="Q1266">
        <f>_xlfn.XLOOKUP(A1266,'[1]Classic Net to delete'!D:D,'[1]Classic Net to delete'!AA:AA,0)</f>
        <v>0</v>
      </c>
    </row>
    <row r="1267" spans="1:17" x14ac:dyDescent="0.25">
      <c r="A1267" t="s">
        <v>3002</v>
      </c>
      <c r="B1267" t="s">
        <v>3003</v>
      </c>
      <c r="C1267">
        <v>7.92</v>
      </c>
      <c r="E1267" t="str">
        <f t="shared" si="25"/>
        <v xml:space="preserve">. </v>
      </c>
      <c r="F1267">
        <v>75</v>
      </c>
      <c r="H1267" t="b">
        <v>0</v>
      </c>
      <c r="L1267" s="188" t="str">
        <f>IFERROR(_xlfn.XLOOKUP(A1267,[1]Fleet!A:A,[1]Fleet!E:E,""),"")</f>
        <v/>
      </c>
      <c r="M1267" s="188" t="s">
        <v>22</v>
      </c>
      <c r="N1267" s="188" t="s">
        <v>22</v>
      </c>
      <c r="P1267">
        <v>987</v>
      </c>
      <c r="Q1267">
        <f>_xlfn.XLOOKUP(A1267,'[1]Classic Net to delete'!D:D,'[1]Classic Net to delete'!AA:AA,0)</f>
        <v>0</v>
      </c>
    </row>
    <row r="1268" spans="1:17" x14ac:dyDescent="0.25">
      <c r="A1268" t="s">
        <v>3004</v>
      </c>
      <c r="B1268" t="s">
        <v>3005</v>
      </c>
      <c r="C1268">
        <v>7.92</v>
      </c>
      <c r="E1268" t="str">
        <f t="shared" si="25"/>
        <v xml:space="preserve">. </v>
      </c>
      <c r="F1268">
        <v>75</v>
      </c>
      <c r="H1268" t="b">
        <v>0</v>
      </c>
      <c r="L1268" s="188" t="str">
        <f>IFERROR(_xlfn.XLOOKUP(A1268,[1]Fleet!A:A,[1]Fleet!E:E,""),"")</f>
        <v/>
      </c>
      <c r="M1268" s="188" t="s">
        <v>22</v>
      </c>
      <c r="N1268" s="188" t="s">
        <v>22</v>
      </c>
      <c r="P1268">
        <v>986</v>
      </c>
      <c r="Q1268">
        <f>_xlfn.XLOOKUP(A1268,'[1]Classic Net to delete'!D:D,'[1]Classic Net to delete'!AA:AA,0)</f>
        <v>0</v>
      </c>
    </row>
    <row r="1269" spans="1:17" x14ac:dyDescent="0.25">
      <c r="A1269" t="s">
        <v>3006</v>
      </c>
      <c r="B1269" t="s">
        <v>3007</v>
      </c>
      <c r="C1269">
        <v>7.92</v>
      </c>
      <c r="E1269" t="str">
        <f t="shared" si="25"/>
        <v xml:space="preserve">. </v>
      </c>
      <c r="F1269">
        <v>75</v>
      </c>
      <c r="H1269" t="b">
        <v>0</v>
      </c>
      <c r="L1269" s="188" t="str">
        <f>IFERROR(_xlfn.XLOOKUP(A1269,[1]Fleet!A:A,[1]Fleet!E:E,""),"")</f>
        <v/>
      </c>
      <c r="M1269" s="188" t="s">
        <v>22</v>
      </c>
      <c r="N1269" s="188" t="s">
        <v>22</v>
      </c>
      <c r="P1269">
        <v>985</v>
      </c>
      <c r="Q1269">
        <f>_xlfn.XLOOKUP(A1269,'[1]Classic Net to delete'!D:D,'[1]Classic Net to delete'!AA:AA,0)</f>
        <v>0</v>
      </c>
    </row>
    <row r="1270" spans="1:17" x14ac:dyDescent="0.25">
      <c r="A1270" t="s">
        <v>3008</v>
      </c>
      <c r="B1270" t="s">
        <v>3009</v>
      </c>
      <c r="C1270">
        <v>15.46</v>
      </c>
      <c r="E1270" t="str">
        <f t="shared" si="25"/>
        <v xml:space="preserve">. </v>
      </c>
      <c r="F1270">
        <v>75</v>
      </c>
      <c r="H1270" t="b">
        <v>0</v>
      </c>
      <c r="L1270" s="188" t="str">
        <f>IFERROR(_xlfn.XLOOKUP(A1270,[1]Fleet!A:A,[1]Fleet!E:E,""),"")</f>
        <v/>
      </c>
      <c r="M1270" s="188" t="s">
        <v>22</v>
      </c>
      <c r="N1270" s="188" t="s">
        <v>22</v>
      </c>
      <c r="P1270">
        <v>984</v>
      </c>
      <c r="Q1270">
        <f>_xlfn.XLOOKUP(A1270,'[1]Classic Net to delete'!D:D,'[1]Classic Net to delete'!AA:AA,0)</f>
        <v>0</v>
      </c>
    </row>
    <row r="1271" spans="1:17" x14ac:dyDescent="0.25">
      <c r="A1271" t="s">
        <v>3010</v>
      </c>
      <c r="B1271" t="s">
        <v>3011</v>
      </c>
      <c r="C1271">
        <v>7.92</v>
      </c>
      <c r="E1271" t="str">
        <f t="shared" si="25"/>
        <v xml:space="preserve">. </v>
      </c>
      <c r="F1271">
        <v>75</v>
      </c>
      <c r="H1271" t="b">
        <v>0</v>
      </c>
      <c r="L1271" s="188" t="str">
        <f>IFERROR(_xlfn.XLOOKUP(A1271,[1]Fleet!A:A,[1]Fleet!E:E,""),"")</f>
        <v/>
      </c>
      <c r="M1271" s="188" t="s">
        <v>22</v>
      </c>
      <c r="N1271" s="188" t="s">
        <v>22</v>
      </c>
      <c r="P1271">
        <v>983</v>
      </c>
      <c r="Q1271">
        <f>_xlfn.XLOOKUP(A1271,'[1]Classic Net to delete'!D:D,'[1]Classic Net to delete'!AA:AA,0)</f>
        <v>0</v>
      </c>
    </row>
    <row r="1272" spans="1:17" x14ac:dyDescent="0.25">
      <c r="A1272" t="s">
        <v>3012</v>
      </c>
      <c r="B1272" t="s">
        <v>3013</v>
      </c>
      <c r="C1272">
        <v>7.92</v>
      </c>
      <c r="E1272" t="str">
        <f t="shared" si="25"/>
        <v xml:space="preserve">. </v>
      </c>
      <c r="F1272">
        <v>75</v>
      </c>
      <c r="H1272" t="b">
        <v>0</v>
      </c>
      <c r="L1272" s="188" t="str">
        <f>IFERROR(_xlfn.XLOOKUP(A1272,[1]Fleet!A:A,[1]Fleet!E:E,""),"")</f>
        <v/>
      </c>
      <c r="M1272" s="188" t="s">
        <v>22</v>
      </c>
      <c r="N1272" s="188" t="s">
        <v>22</v>
      </c>
      <c r="P1272">
        <v>982</v>
      </c>
      <c r="Q1272">
        <f>_xlfn.XLOOKUP(A1272,'[1]Classic Net to delete'!D:D,'[1]Classic Net to delete'!AA:AA,0)</f>
        <v>0</v>
      </c>
    </row>
    <row r="1273" spans="1:17" x14ac:dyDescent="0.25">
      <c r="A1273" t="s">
        <v>3014</v>
      </c>
      <c r="B1273" t="s">
        <v>3015</v>
      </c>
      <c r="C1273">
        <v>7.92</v>
      </c>
      <c r="E1273" t="str">
        <f t="shared" si="25"/>
        <v xml:space="preserve">. </v>
      </c>
      <c r="F1273">
        <v>75</v>
      </c>
      <c r="H1273" t="b">
        <v>0</v>
      </c>
      <c r="L1273" s="188" t="str">
        <f>IFERROR(_xlfn.XLOOKUP(A1273,[1]Fleet!A:A,[1]Fleet!E:E,""),"")</f>
        <v/>
      </c>
      <c r="M1273" s="188" t="s">
        <v>22</v>
      </c>
      <c r="N1273" s="188" t="s">
        <v>22</v>
      </c>
      <c r="P1273">
        <v>981</v>
      </c>
      <c r="Q1273">
        <f>_xlfn.XLOOKUP(A1273,'[1]Classic Net to delete'!D:D,'[1]Classic Net to delete'!AA:AA,0)</f>
        <v>0</v>
      </c>
    </row>
    <row r="1274" spans="1:17" x14ac:dyDescent="0.25">
      <c r="A1274" t="s">
        <v>3016</v>
      </c>
      <c r="B1274" t="s">
        <v>3017</v>
      </c>
      <c r="C1274">
        <v>7.92</v>
      </c>
      <c r="E1274" t="str">
        <f t="shared" si="25"/>
        <v xml:space="preserve">. </v>
      </c>
      <c r="F1274">
        <v>75</v>
      </c>
      <c r="H1274" t="b">
        <v>0</v>
      </c>
      <c r="L1274" s="188" t="str">
        <f>IFERROR(_xlfn.XLOOKUP(A1274,[1]Fleet!A:A,[1]Fleet!E:E,""),"")</f>
        <v/>
      </c>
      <c r="M1274" s="188" t="s">
        <v>22</v>
      </c>
      <c r="N1274" s="188" t="s">
        <v>22</v>
      </c>
      <c r="P1274">
        <v>980</v>
      </c>
      <c r="Q1274">
        <f>_xlfn.XLOOKUP(A1274,'[1]Classic Net to delete'!D:D,'[1]Classic Net to delete'!AA:AA,0)</f>
        <v>0</v>
      </c>
    </row>
    <row r="1275" spans="1:17" x14ac:dyDescent="0.25">
      <c r="A1275" t="s">
        <v>3018</v>
      </c>
      <c r="B1275" t="s">
        <v>3019</v>
      </c>
      <c r="C1275">
        <v>15.46</v>
      </c>
      <c r="E1275" t="str">
        <f t="shared" si="25"/>
        <v xml:space="preserve">. </v>
      </c>
      <c r="F1275">
        <v>75</v>
      </c>
      <c r="H1275" t="b">
        <v>0</v>
      </c>
      <c r="L1275" s="188" t="str">
        <f>IFERROR(_xlfn.XLOOKUP(A1275,[1]Fleet!A:A,[1]Fleet!E:E,""),"")</f>
        <v/>
      </c>
      <c r="M1275" s="188" t="s">
        <v>22</v>
      </c>
      <c r="N1275" s="188" t="s">
        <v>22</v>
      </c>
      <c r="P1275">
        <v>979</v>
      </c>
      <c r="Q1275">
        <f>_xlfn.XLOOKUP(A1275,'[1]Classic Net to delete'!D:D,'[1]Classic Net to delete'!AA:AA,0)</f>
        <v>0</v>
      </c>
    </row>
    <row r="1276" spans="1:17" x14ac:dyDescent="0.25">
      <c r="A1276" t="s">
        <v>3020</v>
      </c>
      <c r="B1276" t="s">
        <v>3021</v>
      </c>
      <c r="C1276">
        <v>15.46</v>
      </c>
      <c r="E1276" t="str">
        <f t="shared" si="25"/>
        <v xml:space="preserve">. </v>
      </c>
      <c r="F1276">
        <v>75</v>
      </c>
      <c r="H1276" t="b">
        <v>0</v>
      </c>
      <c r="L1276" s="188" t="str">
        <f>IFERROR(_xlfn.XLOOKUP(A1276,[1]Fleet!A:A,[1]Fleet!E:E,""),"")</f>
        <v/>
      </c>
      <c r="M1276" s="188" t="s">
        <v>22</v>
      </c>
      <c r="N1276" s="188" t="s">
        <v>22</v>
      </c>
      <c r="P1276">
        <v>978</v>
      </c>
      <c r="Q1276">
        <f>_xlfn.XLOOKUP(A1276,'[1]Classic Net to delete'!D:D,'[1]Classic Net to delete'!AA:AA,0)</f>
        <v>0</v>
      </c>
    </row>
    <row r="1277" spans="1:17" x14ac:dyDescent="0.25">
      <c r="A1277" t="s">
        <v>3022</v>
      </c>
      <c r="B1277" t="s">
        <v>3023</v>
      </c>
      <c r="C1277">
        <v>0</v>
      </c>
      <c r="E1277" t="str">
        <f t="shared" si="25"/>
        <v>. Accessories</v>
      </c>
      <c r="F1277">
        <v>75</v>
      </c>
      <c r="H1277" t="b">
        <v>0</v>
      </c>
      <c r="L1277" s="188" t="str">
        <f>IFERROR(_xlfn.XLOOKUP(A1277,[1]Fleet!A:A,[1]Fleet!E:E,""),"")</f>
        <v/>
      </c>
      <c r="M1277" s="188" t="s">
        <v>22</v>
      </c>
      <c r="N1277" s="188" t="s">
        <v>22</v>
      </c>
      <c r="O1277" s="198" t="s">
        <v>945</v>
      </c>
      <c r="P1277">
        <v>1273</v>
      </c>
      <c r="Q1277">
        <f>_xlfn.XLOOKUP(A1277,'[1]Classic Net to delete'!D:D,'[1]Classic Net to delete'!AA:AA,0)</f>
        <v>0</v>
      </c>
    </row>
    <row r="1278" spans="1:17" x14ac:dyDescent="0.25">
      <c r="A1278" t="s">
        <v>3024</v>
      </c>
      <c r="B1278" t="s">
        <v>3025</v>
      </c>
      <c r="C1278">
        <v>0</v>
      </c>
      <c r="E1278" t="str">
        <f t="shared" si="25"/>
        <v>. Accessories</v>
      </c>
      <c r="F1278">
        <v>75</v>
      </c>
      <c r="H1278" t="b">
        <v>0</v>
      </c>
      <c r="L1278" s="188" t="str">
        <f>IFERROR(_xlfn.XLOOKUP(A1278,[1]Fleet!A:A,[1]Fleet!E:E,""),"")</f>
        <v/>
      </c>
      <c r="M1278" s="188" t="s">
        <v>22</v>
      </c>
      <c r="N1278" s="188" t="s">
        <v>22</v>
      </c>
      <c r="O1278" s="198" t="s">
        <v>945</v>
      </c>
      <c r="P1278">
        <v>1271</v>
      </c>
      <c r="Q1278">
        <f>_xlfn.XLOOKUP(A1278,'[1]Classic Net to delete'!D:D,'[1]Classic Net to delete'!AA:AA,0)</f>
        <v>0</v>
      </c>
    </row>
    <row r="1279" spans="1:17" x14ac:dyDescent="0.25">
      <c r="A1279" t="s">
        <v>3026</v>
      </c>
      <c r="B1279" t="s">
        <v>3027</v>
      </c>
      <c r="C1279">
        <v>0</v>
      </c>
      <c r="E1279" t="str">
        <f t="shared" si="25"/>
        <v>. Accessories</v>
      </c>
      <c r="F1279">
        <v>75</v>
      </c>
      <c r="H1279" t="b">
        <v>0</v>
      </c>
      <c r="L1279" s="188" t="str">
        <f>IFERROR(_xlfn.XLOOKUP(A1279,[1]Fleet!A:A,[1]Fleet!E:E,""),"")</f>
        <v/>
      </c>
      <c r="M1279" s="188" t="s">
        <v>22</v>
      </c>
      <c r="N1279" s="188" t="s">
        <v>22</v>
      </c>
      <c r="O1279" s="198" t="s">
        <v>945</v>
      </c>
      <c r="P1279">
        <v>1275</v>
      </c>
      <c r="Q1279">
        <f>_xlfn.XLOOKUP(A1279,'[1]Classic Net to delete'!D:D,'[1]Classic Net to delete'!AA:AA,0)</f>
        <v>0</v>
      </c>
    </row>
    <row r="1280" spans="1:17" x14ac:dyDescent="0.25">
      <c r="A1280" t="s">
        <v>3028</v>
      </c>
      <c r="B1280" t="s">
        <v>3029</v>
      </c>
      <c r="C1280">
        <v>0</v>
      </c>
      <c r="E1280" t="str">
        <f t="shared" si="25"/>
        <v>. Accessories</v>
      </c>
      <c r="F1280">
        <v>75</v>
      </c>
      <c r="H1280" t="b">
        <v>0</v>
      </c>
      <c r="L1280" s="188" t="str">
        <f>IFERROR(_xlfn.XLOOKUP(A1280,[1]Fleet!A:A,[1]Fleet!E:E,""),"")</f>
        <v/>
      </c>
      <c r="M1280" s="188" t="s">
        <v>22</v>
      </c>
      <c r="N1280" s="188" t="s">
        <v>22</v>
      </c>
      <c r="O1280" s="198" t="s">
        <v>945</v>
      </c>
      <c r="P1280">
        <v>1276</v>
      </c>
      <c r="Q1280">
        <f>_xlfn.XLOOKUP(A1280,'[1]Classic Net to delete'!D:D,'[1]Classic Net to delete'!AA:AA,0)</f>
        <v>0</v>
      </c>
    </row>
    <row r="1281" spans="1:17" x14ac:dyDescent="0.25">
      <c r="A1281" t="s">
        <v>3028</v>
      </c>
      <c r="B1281" t="s">
        <v>3030</v>
      </c>
      <c r="C1281">
        <v>0</v>
      </c>
      <c r="E1281" t="str">
        <f t="shared" si="25"/>
        <v>. Accessories</v>
      </c>
      <c r="F1281">
        <v>75</v>
      </c>
      <c r="H1281" t="b">
        <v>0</v>
      </c>
      <c r="L1281" s="188" t="str">
        <f>IFERROR(_xlfn.XLOOKUP(A1281,[1]Fleet!A:A,[1]Fleet!E:E,""),"")</f>
        <v/>
      </c>
      <c r="M1281" s="188" t="s">
        <v>22</v>
      </c>
      <c r="N1281" s="188" t="s">
        <v>22</v>
      </c>
      <c r="O1281" s="198" t="s">
        <v>945</v>
      </c>
      <c r="P1281">
        <v>1277</v>
      </c>
      <c r="Q1281">
        <f>_xlfn.XLOOKUP(A1281,'[1]Classic Net to delete'!D:D,'[1]Classic Net to delete'!AA:AA,0)</f>
        <v>0</v>
      </c>
    </row>
    <row r="1282" spans="1:17" x14ac:dyDescent="0.25">
      <c r="A1282" t="s">
        <v>3028</v>
      </c>
      <c r="B1282" t="s">
        <v>3031</v>
      </c>
      <c r="C1282">
        <v>0</v>
      </c>
      <c r="E1282" t="str">
        <f t="shared" si="25"/>
        <v>. Accessories</v>
      </c>
      <c r="F1282">
        <v>75</v>
      </c>
      <c r="H1282" t="b">
        <v>0</v>
      </c>
      <c r="L1282" s="188" t="str">
        <f>IFERROR(_xlfn.XLOOKUP(A1282,[1]Fleet!A:A,[1]Fleet!E:E,""),"")</f>
        <v/>
      </c>
      <c r="M1282" s="188" t="s">
        <v>22</v>
      </c>
      <c r="N1282" s="188" t="s">
        <v>22</v>
      </c>
      <c r="O1282" s="198" t="s">
        <v>945</v>
      </c>
      <c r="P1282">
        <v>1278</v>
      </c>
      <c r="Q1282">
        <f>_xlfn.XLOOKUP(A1282,'[1]Classic Net to delete'!D:D,'[1]Classic Net to delete'!AA:AA,0)</f>
        <v>0</v>
      </c>
    </row>
    <row r="1283" spans="1:17" x14ac:dyDescent="0.25">
      <c r="A1283" t="s">
        <v>3028</v>
      </c>
      <c r="B1283" t="s">
        <v>3032</v>
      </c>
      <c r="C1283">
        <v>0</v>
      </c>
      <c r="E1283" t="str">
        <f t="shared" si="25"/>
        <v>. Accessories</v>
      </c>
      <c r="F1283">
        <v>75</v>
      </c>
      <c r="H1283" t="b">
        <v>0</v>
      </c>
      <c r="L1283" s="188" t="str">
        <f>IFERROR(_xlfn.XLOOKUP(A1283,[1]Fleet!A:A,[1]Fleet!E:E,""),"")</f>
        <v/>
      </c>
      <c r="M1283" s="188" t="s">
        <v>22</v>
      </c>
      <c r="N1283" s="188" t="s">
        <v>22</v>
      </c>
      <c r="O1283" s="198" t="s">
        <v>945</v>
      </c>
      <c r="P1283">
        <v>1279</v>
      </c>
      <c r="Q1283">
        <f>_xlfn.XLOOKUP(A1283,'[1]Classic Net to delete'!D:D,'[1]Classic Net to delete'!AA:AA,0)</f>
        <v>0</v>
      </c>
    </row>
    <row r="1284" spans="1:17" x14ac:dyDescent="0.25">
      <c r="A1284" t="s">
        <v>3028</v>
      </c>
      <c r="B1284" t="s">
        <v>3033</v>
      </c>
      <c r="C1284">
        <v>0</v>
      </c>
      <c r="E1284" t="str">
        <f t="shared" si="25"/>
        <v>. Accessories</v>
      </c>
      <c r="F1284">
        <v>75</v>
      </c>
      <c r="H1284" t="b">
        <v>0</v>
      </c>
      <c r="L1284" s="188" t="str">
        <f>IFERROR(_xlfn.XLOOKUP(A1284,[1]Fleet!A:A,[1]Fleet!E:E,""),"")</f>
        <v/>
      </c>
      <c r="M1284" s="188" t="s">
        <v>22</v>
      </c>
      <c r="N1284" s="188" t="s">
        <v>22</v>
      </c>
      <c r="O1284" s="198" t="s">
        <v>945</v>
      </c>
      <c r="P1284">
        <v>1280</v>
      </c>
      <c r="Q1284">
        <f>_xlfn.XLOOKUP(A1284,'[1]Classic Net to delete'!D:D,'[1]Classic Net to delete'!AA:AA,0)</f>
        <v>0</v>
      </c>
    </row>
    <row r="1285" spans="1:17" x14ac:dyDescent="0.25">
      <c r="A1285" t="s">
        <v>3028</v>
      </c>
      <c r="B1285" t="s">
        <v>3034</v>
      </c>
      <c r="C1285">
        <v>0</v>
      </c>
      <c r="E1285" t="str">
        <f t="shared" ref="E1285:E1307" si="26">CONCATENATE(K1285,". ",O1285)</f>
        <v>. Accessories</v>
      </c>
      <c r="F1285">
        <v>75</v>
      </c>
      <c r="H1285" t="b">
        <v>0</v>
      </c>
      <c r="L1285" s="188" t="str">
        <f>IFERROR(_xlfn.XLOOKUP(A1285,[1]Fleet!A:A,[1]Fleet!E:E,""),"")</f>
        <v/>
      </c>
      <c r="M1285" s="188" t="s">
        <v>22</v>
      </c>
      <c r="N1285" s="188" t="s">
        <v>22</v>
      </c>
      <c r="O1285" s="198" t="s">
        <v>945</v>
      </c>
      <c r="P1285">
        <v>1281</v>
      </c>
      <c r="Q1285">
        <f>_xlfn.XLOOKUP(A1285,'[1]Classic Net to delete'!D:D,'[1]Classic Net to delete'!AA:AA,0)</f>
        <v>0</v>
      </c>
    </row>
    <row r="1286" spans="1:17" x14ac:dyDescent="0.25">
      <c r="A1286" t="s">
        <v>3028</v>
      </c>
      <c r="B1286" t="s">
        <v>3035</v>
      </c>
      <c r="C1286">
        <v>0</v>
      </c>
      <c r="E1286" t="str">
        <f t="shared" si="26"/>
        <v>. Accessories</v>
      </c>
      <c r="F1286">
        <v>75</v>
      </c>
      <c r="H1286" t="b">
        <v>0</v>
      </c>
      <c r="L1286" s="188" t="str">
        <f>IFERROR(_xlfn.XLOOKUP(A1286,[1]Fleet!A:A,[1]Fleet!E:E,""),"")</f>
        <v/>
      </c>
      <c r="M1286" s="188" t="s">
        <v>22</v>
      </c>
      <c r="N1286" s="188" t="s">
        <v>22</v>
      </c>
      <c r="O1286" s="198" t="s">
        <v>945</v>
      </c>
      <c r="P1286">
        <v>1282</v>
      </c>
      <c r="Q1286">
        <f>_xlfn.XLOOKUP(A1286,'[1]Classic Net to delete'!D:D,'[1]Classic Net to delete'!AA:AA,0)</f>
        <v>0</v>
      </c>
    </row>
    <row r="1287" spans="1:17" x14ac:dyDescent="0.25">
      <c r="A1287" t="s">
        <v>3028</v>
      </c>
      <c r="B1287" t="s">
        <v>3036</v>
      </c>
      <c r="C1287">
        <v>0</v>
      </c>
      <c r="E1287" t="str">
        <f t="shared" si="26"/>
        <v>. Accessories</v>
      </c>
      <c r="F1287">
        <v>75</v>
      </c>
      <c r="H1287" t="b">
        <v>0</v>
      </c>
      <c r="L1287" s="188" t="str">
        <f>IFERROR(_xlfn.XLOOKUP(A1287,[1]Fleet!A:A,[1]Fleet!E:E,""),"")</f>
        <v/>
      </c>
      <c r="M1287" s="188" t="s">
        <v>22</v>
      </c>
      <c r="N1287" s="188" t="s">
        <v>22</v>
      </c>
      <c r="O1287" s="198" t="s">
        <v>945</v>
      </c>
      <c r="P1287">
        <v>1283</v>
      </c>
      <c r="Q1287">
        <f>_xlfn.XLOOKUP(A1287,'[1]Classic Net to delete'!D:D,'[1]Classic Net to delete'!AA:AA,0)</f>
        <v>0</v>
      </c>
    </row>
    <row r="1288" spans="1:17" x14ac:dyDescent="0.25">
      <c r="A1288" t="s">
        <v>3028</v>
      </c>
      <c r="B1288" t="s">
        <v>3037</v>
      </c>
      <c r="C1288">
        <v>0</v>
      </c>
      <c r="E1288" t="str">
        <f t="shared" si="26"/>
        <v>. Accessories</v>
      </c>
      <c r="F1288">
        <v>75</v>
      </c>
      <c r="H1288" t="b">
        <v>0</v>
      </c>
      <c r="L1288" s="188" t="str">
        <f>IFERROR(_xlfn.XLOOKUP(A1288,[1]Fleet!A:A,[1]Fleet!E:E,""),"")</f>
        <v/>
      </c>
      <c r="M1288" s="188" t="s">
        <v>22</v>
      </c>
      <c r="N1288" s="188" t="s">
        <v>22</v>
      </c>
      <c r="O1288" s="198" t="s">
        <v>945</v>
      </c>
      <c r="P1288">
        <v>1284</v>
      </c>
      <c r="Q1288">
        <f>_xlfn.XLOOKUP(A1288,'[1]Classic Net to delete'!D:D,'[1]Classic Net to delete'!AA:AA,0)</f>
        <v>0</v>
      </c>
    </row>
    <row r="1289" spans="1:17" x14ac:dyDescent="0.25">
      <c r="A1289" t="s">
        <v>3028</v>
      </c>
      <c r="B1289" t="s">
        <v>3038</v>
      </c>
      <c r="C1289">
        <v>0</v>
      </c>
      <c r="E1289" t="str">
        <f t="shared" si="26"/>
        <v>. Accessories</v>
      </c>
      <c r="F1289">
        <v>75</v>
      </c>
      <c r="H1289" t="b">
        <v>0</v>
      </c>
      <c r="L1289" s="188" t="str">
        <f>IFERROR(_xlfn.XLOOKUP(A1289,[1]Fleet!A:A,[1]Fleet!E:E,""),"")</f>
        <v/>
      </c>
      <c r="M1289" s="188" t="s">
        <v>22</v>
      </c>
      <c r="N1289" s="188" t="s">
        <v>22</v>
      </c>
      <c r="O1289" s="198" t="s">
        <v>945</v>
      </c>
      <c r="P1289">
        <v>1285</v>
      </c>
      <c r="Q1289">
        <f>_xlfn.XLOOKUP(A1289,'[1]Classic Net to delete'!D:D,'[1]Classic Net to delete'!AA:AA,0)</f>
        <v>0</v>
      </c>
    </row>
    <row r="1290" spans="1:17" x14ac:dyDescent="0.25">
      <c r="A1290" t="s">
        <v>3028</v>
      </c>
      <c r="B1290" t="s">
        <v>3039</v>
      </c>
      <c r="C1290">
        <v>0</v>
      </c>
      <c r="E1290" t="str">
        <f t="shared" si="26"/>
        <v>. Accessories</v>
      </c>
      <c r="F1290">
        <v>75</v>
      </c>
      <c r="H1290" t="b">
        <v>0</v>
      </c>
      <c r="L1290" s="188" t="str">
        <f>IFERROR(_xlfn.XLOOKUP(A1290,[1]Fleet!A:A,[1]Fleet!E:E,""),"")</f>
        <v/>
      </c>
      <c r="M1290" s="188" t="s">
        <v>22</v>
      </c>
      <c r="N1290" s="188" t="s">
        <v>22</v>
      </c>
      <c r="O1290" s="198" t="s">
        <v>945</v>
      </c>
      <c r="P1290">
        <v>1286</v>
      </c>
      <c r="Q1290">
        <f>_xlfn.XLOOKUP(A1290,'[1]Classic Net to delete'!D:D,'[1]Classic Net to delete'!AA:AA,0)</f>
        <v>0</v>
      </c>
    </row>
    <row r="1291" spans="1:17" x14ac:dyDescent="0.25">
      <c r="A1291" t="s">
        <v>3028</v>
      </c>
      <c r="B1291" t="s">
        <v>3040</v>
      </c>
      <c r="C1291">
        <v>0</v>
      </c>
      <c r="E1291" t="str">
        <f t="shared" si="26"/>
        <v>. Accessories</v>
      </c>
      <c r="F1291">
        <v>75</v>
      </c>
      <c r="H1291" t="b">
        <v>0</v>
      </c>
      <c r="L1291" s="188" t="str">
        <f>IFERROR(_xlfn.XLOOKUP(A1291,[1]Fleet!A:A,[1]Fleet!E:E,""),"")</f>
        <v/>
      </c>
      <c r="M1291" s="188" t="s">
        <v>22</v>
      </c>
      <c r="N1291" s="188" t="s">
        <v>22</v>
      </c>
      <c r="O1291" s="198" t="s">
        <v>945</v>
      </c>
      <c r="P1291">
        <v>1287</v>
      </c>
      <c r="Q1291">
        <f>_xlfn.XLOOKUP(A1291,'[1]Classic Net to delete'!D:D,'[1]Classic Net to delete'!AA:AA,0)</f>
        <v>0</v>
      </c>
    </row>
    <row r="1292" spans="1:17" x14ac:dyDescent="0.25">
      <c r="A1292" t="s">
        <v>3028</v>
      </c>
      <c r="B1292" t="s">
        <v>3041</v>
      </c>
      <c r="C1292">
        <v>0</v>
      </c>
      <c r="E1292" t="str">
        <f t="shared" si="26"/>
        <v>. Accessories</v>
      </c>
      <c r="F1292">
        <v>75</v>
      </c>
      <c r="H1292" t="b">
        <v>0</v>
      </c>
      <c r="L1292" s="188" t="str">
        <f>IFERROR(_xlfn.XLOOKUP(A1292,[1]Fleet!A:A,[1]Fleet!E:E,""),"")</f>
        <v/>
      </c>
      <c r="M1292" s="188" t="s">
        <v>22</v>
      </c>
      <c r="N1292" s="188" t="s">
        <v>22</v>
      </c>
      <c r="O1292" s="198" t="s">
        <v>945</v>
      </c>
      <c r="P1292">
        <v>1288</v>
      </c>
      <c r="Q1292">
        <f>_xlfn.XLOOKUP(A1292,'[1]Classic Net to delete'!D:D,'[1]Classic Net to delete'!AA:AA,0)</f>
        <v>0</v>
      </c>
    </row>
    <row r="1293" spans="1:17" x14ac:dyDescent="0.25">
      <c r="A1293" t="s">
        <v>3028</v>
      </c>
      <c r="B1293" t="s">
        <v>3042</v>
      </c>
      <c r="C1293">
        <v>0</v>
      </c>
      <c r="E1293" t="str">
        <f t="shared" si="26"/>
        <v>. Accessories</v>
      </c>
      <c r="F1293">
        <v>75</v>
      </c>
      <c r="H1293" t="b">
        <v>0</v>
      </c>
      <c r="L1293" s="188" t="str">
        <f>IFERROR(_xlfn.XLOOKUP(A1293,[1]Fleet!A:A,[1]Fleet!E:E,""),"")</f>
        <v/>
      </c>
      <c r="M1293" s="188" t="s">
        <v>22</v>
      </c>
      <c r="N1293" s="188" t="s">
        <v>22</v>
      </c>
      <c r="O1293" s="198" t="s">
        <v>945</v>
      </c>
      <c r="P1293">
        <v>1289</v>
      </c>
      <c r="Q1293">
        <f>_xlfn.XLOOKUP(A1293,'[1]Classic Net to delete'!D:D,'[1]Classic Net to delete'!AA:AA,0)</f>
        <v>0</v>
      </c>
    </row>
    <row r="1294" spans="1:17" x14ac:dyDescent="0.25">
      <c r="A1294" t="s">
        <v>3028</v>
      </c>
      <c r="B1294" t="s">
        <v>3043</v>
      </c>
      <c r="C1294">
        <v>0</v>
      </c>
      <c r="E1294" t="str">
        <f t="shared" si="26"/>
        <v>. Accessories</v>
      </c>
      <c r="F1294">
        <v>75</v>
      </c>
      <c r="H1294" t="b">
        <v>0</v>
      </c>
      <c r="L1294" s="188" t="str">
        <f>IFERROR(_xlfn.XLOOKUP(A1294,[1]Fleet!A:A,[1]Fleet!E:E,""),"")</f>
        <v/>
      </c>
      <c r="M1294" s="188" t="s">
        <v>22</v>
      </c>
      <c r="N1294" s="188" t="s">
        <v>22</v>
      </c>
      <c r="O1294" s="198" t="s">
        <v>945</v>
      </c>
      <c r="P1294">
        <v>1290</v>
      </c>
      <c r="Q1294">
        <f>_xlfn.XLOOKUP(A1294,'[1]Classic Net to delete'!D:D,'[1]Classic Net to delete'!AA:AA,0)</f>
        <v>0</v>
      </c>
    </row>
    <row r="1295" spans="1:17" x14ac:dyDescent="0.25">
      <c r="A1295" t="s">
        <v>3028</v>
      </c>
      <c r="B1295" t="s">
        <v>3044</v>
      </c>
      <c r="C1295">
        <v>0</v>
      </c>
      <c r="E1295" t="str">
        <f t="shared" si="26"/>
        <v>. Accessories</v>
      </c>
      <c r="F1295">
        <v>75</v>
      </c>
      <c r="H1295" t="b">
        <v>0</v>
      </c>
      <c r="L1295" s="188" t="str">
        <f>IFERROR(_xlfn.XLOOKUP(A1295,[1]Fleet!A:A,[1]Fleet!E:E,""),"")</f>
        <v/>
      </c>
      <c r="M1295" s="188" t="s">
        <v>22</v>
      </c>
      <c r="N1295" s="188" t="s">
        <v>22</v>
      </c>
      <c r="O1295" s="198" t="s">
        <v>945</v>
      </c>
      <c r="P1295">
        <v>1291</v>
      </c>
      <c r="Q1295">
        <f>_xlfn.XLOOKUP(A1295,'[1]Classic Net to delete'!D:D,'[1]Classic Net to delete'!AA:AA,0)</f>
        <v>0</v>
      </c>
    </row>
    <row r="1296" spans="1:17" x14ac:dyDescent="0.25">
      <c r="A1296" t="s">
        <v>3028</v>
      </c>
      <c r="B1296" t="s">
        <v>3045</v>
      </c>
      <c r="C1296">
        <v>0</v>
      </c>
      <c r="E1296" t="str">
        <f t="shared" si="26"/>
        <v>. Accessories</v>
      </c>
      <c r="F1296">
        <v>75</v>
      </c>
      <c r="H1296" t="b">
        <v>0</v>
      </c>
      <c r="L1296" s="188" t="str">
        <f>IFERROR(_xlfn.XLOOKUP(A1296,[1]Fleet!A:A,[1]Fleet!E:E,""),"")</f>
        <v/>
      </c>
      <c r="M1296" s="188" t="s">
        <v>22</v>
      </c>
      <c r="N1296" s="188" t="s">
        <v>22</v>
      </c>
      <c r="O1296" s="198" t="s">
        <v>945</v>
      </c>
      <c r="P1296">
        <v>1292</v>
      </c>
      <c r="Q1296">
        <f>_xlfn.XLOOKUP(A1296,'[1]Classic Net to delete'!D:D,'[1]Classic Net to delete'!AA:AA,0)</f>
        <v>0</v>
      </c>
    </row>
    <row r="1297" spans="1:17" x14ac:dyDescent="0.25">
      <c r="A1297" t="s">
        <v>3046</v>
      </c>
      <c r="B1297" t="s">
        <v>3047</v>
      </c>
      <c r="C1297">
        <v>0</v>
      </c>
      <c r="E1297" t="str">
        <f t="shared" si="26"/>
        <v>. Accessories</v>
      </c>
      <c r="F1297">
        <v>75</v>
      </c>
      <c r="H1297" t="b">
        <v>0</v>
      </c>
      <c r="L1297" s="188" t="str">
        <f>IFERROR(_xlfn.XLOOKUP(A1297,[1]Fleet!A:A,[1]Fleet!E:E,""),"")</f>
        <v/>
      </c>
      <c r="M1297" s="188" t="s">
        <v>22</v>
      </c>
      <c r="N1297" s="188" t="s">
        <v>22</v>
      </c>
      <c r="O1297" s="198" t="s">
        <v>945</v>
      </c>
      <c r="P1297">
        <v>1272</v>
      </c>
      <c r="Q1297">
        <f>_xlfn.XLOOKUP(A1297,'[1]Classic Net to delete'!D:D,'[1]Classic Net to delete'!AA:AA,0)</f>
        <v>0</v>
      </c>
    </row>
    <row r="1298" spans="1:17" x14ac:dyDescent="0.25">
      <c r="A1298" t="s">
        <v>3048</v>
      </c>
      <c r="B1298" t="s">
        <v>3049</v>
      </c>
      <c r="C1298">
        <v>0</v>
      </c>
      <c r="E1298" t="str">
        <f t="shared" si="26"/>
        <v>. Accessories</v>
      </c>
      <c r="F1298">
        <v>75</v>
      </c>
      <c r="H1298" t="b">
        <v>0</v>
      </c>
      <c r="L1298" s="188" t="str">
        <f>IFERROR(_xlfn.XLOOKUP(A1298,[1]Fleet!A:A,[1]Fleet!E:E,""),"")</f>
        <v/>
      </c>
      <c r="M1298" s="188" t="s">
        <v>22</v>
      </c>
      <c r="N1298" s="188" t="s">
        <v>22</v>
      </c>
      <c r="O1298" s="198" t="s">
        <v>945</v>
      </c>
      <c r="P1298">
        <v>1274</v>
      </c>
      <c r="Q1298">
        <f>_xlfn.XLOOKUP(A1298,'[1]Classic Net to delete'!D:D,'[1]Classic Net to delete'!AA:AA,0)</f>
        <v>0</v>
      </c>
    </row>
    <row r="1299" spans="1:17" x14ac:dyDescent="0.25">
      <c r="A1299" t="s">
        <v>3048</v>
      </c>
      <c r="B1299" t="s">
        <v>3050</v>
      </c>
      <c r="C1299">
        <v>0</v>
      </c>
      <c r="E1299" t="str">
        <f t="shared" si="26"/>
        <v>. Accessories</v>
      </c>
      <c r="F1299">
        <v>75</v>
      </c>
      <c r="H1299" t="b">
        <v>0</v>
      </c>
      <c r="L1299" s="188" t="str">
        <f>IFERROR(_xlfn.XLOOKUP(A1299,[1]Fleet!A:A,[1]Fleet!E:E,""),"")</f>
        <v/>
      </c>
      <c r="M1299" s="188" t="s">
        <v>22</v>
      </c>
      <c r="N1299" s="188" t="s">
        <v>22</v>
      </c>
      <c r="O1299" s="198" t="s">
        <v>945</v>
      </c>
      <c r="P1299">
        <v>1293</v>
      </c>
      <c r="Q1299">
        <f>_xlfn.XLOOKUP(A1299,'[1]Classic Net to delete'!D:D,'[1]Classic Net to delete'!AA:AA,0)</f>
        <v>0</v>
      </c>
    </row>
    <row r="1300" spans="1:17" x14ac:dyDescent="0.25">
      <c r="A1300" t="s">
        <v>3051</v>
      </c>
      <c r="B1300" t="s">
        <v>3052</v>
      </c>
      <c r="C1300">
        <v>0</v>
      </c>
      <c r="E1300" t="str">
        <f t="shared" si="26"/>
        <v>. TBC</v>
      </c>
      <c r="F1300">
        <v>75</v>
      </c>
      <c r="H1300" t="b">
        <v>0</v>
      </c>
      <c r="L1300" s="188">
        <f>IFERROR(_xlfn.XLOOKUP(A1300,[1]Fleet!A:A,[1]Fleet!E:E,""),"")</f>
        <v>2</v>
      </c>
      <c r="M1300" s="188" t="s">
        <v>22</v>
      </c>
      <c r="N1300" s="188" t="s">
        <v>22</v>
      </c>
      <c r="O1300" s="198" t="s">
        <v>1417</v>
      </c>
      <c r="P1300">
        <v>1297</v>
      </c>
      <c r="Q1300">
        <f>_xlfn.XLOOKUP(A1300,'[1]Classic Net to delete'!D:D,'[1]Classic Net to delete'!AA:AA,0)</f>
        <v>0</v>
      </c>
    </row>
    <row r="1301" spans="1:17" x14ac:dyDescent="0.25">
      <c r="A1301" t="s">
        <v>3053</v>
      </c>
      <c r="B1301" t="s">
        <v>3054</v>
      </c>
      <c r="C1301">
        <v>0</v>
      </c>
      <c r="E1301" t="str">
        <f t="shared" si="26"/>
        <v>. TBC</v>
      </c>
      <c r="F1301">
        <v>75</v>
      </c>
      <c r="H1301" t="b">
        <v>0</v>
      </c>
      <c r="L1301" s="188" t="str">
        <f>IFERROR(_xlfn.XLOOKUP(A1301,[1]Fleet!A:A,[1]Fleet!E:E,""),"")</f>
        <v/>
      </c>
      <c r="M1301" s="188" t="s">
        <v>22</v>
      </c>
      <c r="N1301" s="188" t="s">
        <v>22</v>
      </c>
      <c r="O1301" s="198" t="s">
        <v>1417</v>
      </c>
      <c r="P1301">
        <v>1301</v>
      </c>
      <c r="Q1301">
        <f>_xlfn.XLOOKUP(A1301,'[1]Classic Net to delete'!D:D,'[1]Classic Net to delete'!AA:AA,0)</f>
        <v>0</v>
      </c>
    </row>
    <row r="1302" spans="1:17" x14ac:dyDescent="0.25">
      <c r="A1302" t="s">
        <v>3055</v>
      </c>
      <c r="B1302" t="s">
        <v>3056</v>
      </c>
      <c r="C1302">
        <v>0</v>
      </c>
      <c r="E1302" t="str">
        <f t="shared" si="26"/>
        <v>. TBC</v>
      </c>
      <c r="F1302">
        <v>75</v>
      </c>
      <c r="H1302" t="b">
        <v>0</v>
      </c>
      <c r="L1302" s="188">
        <f>IFERROR(_xlfn.XLOOKUP(A1302,[1]Fleet!A:A,[1]Fleet!E:E,""),"")</f>
        <v>3</v>
      </c>
      <c r="M1302" s="188" t="s">
        <v>22</v>
      </c>
      <c r="N1302" s="188" t="s">
        <v>22</v>
      </c>
      <c r="O1302" s="198" t="s">
        <v>1417</v>
      </c>
      <c r="P1302">
        <v>1299</v>
      </c>
      <c r="Q1302">
        <f>_xlfn.XLOOKUP(A1302,'[1]Classic Net to delete'!D:D,'[1]Classic Net to delete'!AA:AA,0)</f>
        <v>0</v>
      </c>
    </row>
    <row r="1303" spans="1:17" x14ac:dyDescent="0.25">
      <c r="A1303" t="s">
        <v>3057</v>
      </c>
      <c r="B1303" t="s">
        <v>3058</v>
      </c>
      <c r="C1303">
        <v>0</v>
      </c>
      <c r="E1303" t="str">
        <f t="shared" si="26"/>
        <v>. TBC</v>
      </c>
      <c r="F1303">
        <v>75</v>
      </c>
      <c r="H1303" t="b">
        <v>0</v>
      </c>
      <c r="L1303" s="188">
        <f>IFERROR(_xlfn.XLOOKUP(A1303,[1]Fleet!A:A,[1]Fleet!E:E,""),"")</f>
        <v>2</v>
      </c>
      <c r="M1303" s="188" t="s">
        <v>22</v>
      </c>
      <c r="N1303" s="188" t="s">
        <v>22</v>
      </c>
      <c r="O1303" s="198" t="s">
        <v>1417</v>
      </c>
      <c r="P1303">
        <v>1295</v>
      </c>
      <c r="Q1303">
        <f>_xlfn.XLOOKUP(A1303,'[1]Classic Net to delete'!D:D,'[1]Classic Net to delete'!AA:AA,0)</f>
        <v>0</v>
      </c>
    </row>
    <row r="1304" spans="1:17" x14ac:dyDescent="0.25">
      <c r="A1304" t="s">
        <v>3059</v>
      </c>
      <c r="B1304" t="s">
        <v>3060</v>
      </c>
      <c r="C1304">
        <v>0</v>
      </c>
      <c r="E1304" t="str">
        <f t="shared" si="26"/>
        <v>. TBC</v>
      </c>
      <c r="F1304">
        <v>75</v>
      </c>
      <c r="H1304" t="b">
        <v>0</v>
      </c>
      <c r="L1304" s="188">
        <f>IFERROR(_xlfn.XLOOKUP(A1304,[1]Fleet!A:A,[1]Fleet!E:E,""),"")</f>
        <v>3</v>
      </c>
      <c r="M1304" s="188" t="s">
        <v>22</v>
      </c>
      <c r="N1304" s="188" t="s">
        <v>22</v>
      </c>
      <c r="O1304" s="198" t="s">
        <v>1417</v>
      </c>
      <c r="P1304">
        <v>1294</v>
      </c>
      <c r="Q1304">
        <f>_xlfn.XLOOKUP(A1304,'[1]Classic Net to delete'!D:D,'[1]Classic Net to delete'!AA:AA,0)</f>
        <v>0</v>
      </c>
    </row>
    <row r="1305" spans="1:17" x14ac:dyDescent="0.25">
      <c r="A1305" t="s">
        <v>3061</v>
      </c>
      <c r="B1305" t="s">
        <v>3062</v>
      </c>
      <c r="C1305">
        <v>0</v>
      </c>
      <c r="E1305" t="str">
        <f t="shared" si="26"/>
        <v>. TBC</v>
      </c>
      <c r="F1305">
        <v>75</v>
      </c>
      <c r="H1305" t="b">
        <v>0</v>
      </c>
      <c r="L1305" s="188">
        <f>IFERROR(_xlfn.XLOOKUP(A1305,[1]Fleet!A:A,[1]Fleet!E:E,""),"")</f>
        <v>2</v>
      </c>
      <c r="M1305" s="188" t="s">
        <v>22</v>
      </c>
      <c r="N1305" s="188" t="s">
        <v>22</v>
      </c>
      <c r="O1305" s="198" t="s">
        <v>1417</v>
      </c>
      <c r="P1305">
        <v>1298</v>
      </c>
      <c r="Q1305">
        <f>_xlfn.XLOOKUP(A1305,'[1]Classic Net to delete'!D:D,'[1]Classic Net to delete'!AA:AA,0)</f>
        <v>0</v>
      </c>
    </row>
    <row r="1306" spans="1:17" x14ac:dyDescent="0.25">
      <c r="A1306" t="s">
        <v>3063</v>
      </c>
      <c r="B1306" t="s">
        <v>3064</v>
      </c>
      <c r="C1306">
        <v>0</v>
      </c>
      <c r="E1306" t="str">
        <f t="shared" si="26"/>
        <v>. TBC</v>
      </c>
      <c r="F1306">
        <v>75</v>
      </c>
      <c r="H1306" t="b">
        <v>0</v>
      </c>
      <c r="L1306" s="188">
        <f>IFERROR(_xlfn.XLOOKUP(A1306,[1]Fleet!A:A,[1]Fleet!E:E,""),"")</f>
        <v>2</v>
      </c>
      <c r="M1306" s="188" t="s">
        <v>22</v>
      </c>
      <c r="N1306" s="188" t="s">
        <v>22</v>
      </c>
      <c r="O1306" s="198" t="s">
        <v>1417</v>
      </c>
      <c r="P1306">
        <v>1296</v>
      </c>
      <c r="Q1306">
        <f>_xlfn.XLOOKUP(A1306,'[1]Classic Net to delete'!D:D,'[1]Classic Net to delete'!AA:AA,0)</f>
        <v>0</v>
      </c>
    </row>
    <row r="1307" spans="1:17" x14ac:dyDescent="0.25">
      <c r="A1307" t="s">
        <v>3065</v>
      </c>
      <c r="B1307" t="s">
        <v>3054</v>
      </c>
      <c r="C1307">
        <v>0</v>
      </c>
      <c r="E1307" t="str">
        <f t="shared" si="26"/>
        <v>. TBC</v>
      </c>
      <c r="F1307">
        <v>75</v>
      </c>
      <c r="H1307" t="b">
        <v>0</v>
      </c>
      <c r="L1307" s="188">
        <f>IFERROR(_xlfn.XLOOKUP(A1307,[1]Fleet!A:A,[1]Fleet!E:E,""),"")</f>
        <v>47</v>
      </c>
      <c r="M1307" s="188" t="s">
        <v>22</v>
      </c>
      <c r="N1307" s="188" t="s">
        <v>22</v>
      </c>
      <c r="O1307" s="198" t="s">
        <v>1417</v>
      </c>
      <c r="P1307">
        <v>1300</v>
      </c>
      <c r="Q1307">
        <f>_xlfn.XLOOKUP(A1307,'[1]Classic Net to delete'!D:D,'[1]Classic Net to delete'!AA:AA,0)</f>
        <v>0</v>
      </c>
    </row>
  </sheetData>
  <autoFilter ref="A1:R1307" xr:uid="{BF661E98-B30F-47C0-B0D5-2948F47AA2E8}">
    <sortState xmlns:xlrd2="http://schemas.microsoft.com/office/spreadsheetml/2017/richdata2" ref="A2:R1307">
      <sortCondition ref="D2:D1307"/>
      <sortCondition ref="E2:E1307"/>
      <sortCondition ref="I2:I1307"/>
    </sortState>
  </autoFilter>
  <sortState xmlns:xlrd2="http://schemas.microsoft.com/office/spreadsheetml/2017/richdata2" ref="A4:Q985">
    <sortCondition ref="D2:D1307"/>
    <sortCondition ref="E2:E1307"/>
    <sortCondition ref="I2:I1307"/>
  </sortState>
  <phoneticPr fontId="80" type="noConversion"/>
  <conditionalFormatting sqref="A1:A1048576">
    <cfRule type="duplicateValues" dxfId="27" priority="1"/>
  </conditionalFormatting>
  <conditionalFormatting sqref="H1:H1048576">
    <cfRule type="cellIs" dxfId="26" priority="3" operator="equal">
      <formula>FALSE</formula>
    </cfRule>
  </conditionalFormatting>
  <conditionalFormatting sqref="R1 Q1:Q1048576">
    <cfRule type="cellIs" dxfId="25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3066</v>
      </c>
      <c r="B1" t="s">
        <v>3067</v>
      </c>
      <c r="C1" t="s">
        <v>3</v>
      </c>
      <c r="D1" t="s">
        <v>2</v>
      </c>
      <c r="E1" t="s">
        <v>3068</v>
      </c>
      <c r="F1" t="s">
        <v>3069</v>
      </c>
      <c r="G1" t="s">
        <v>3070</v>
      </c>
    </row>
    <row r="2" spans="1:7" x14ac:dyDescent="0.25">
      <c r="A2" t="s">
        <v>187</v>
      </c>
      <c r="B2" t="s">
        <v>188</v>
      </c>
      <c r="C2" t="s">
        <v>3071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190</v>
      </c>
      <c r="B3" t="s">
        <v>191</v>
      </c>
      <c r="C3" t="s">
        <v>3071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255</v>
      </c>
      <c r="B4" t="s">
        <v>256</v>
      </c>
      <c r="C4" t="s">
        <v>3071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270</v>
      </c>
      <c r="B5" t="s">
        <v>271</v>
      </c>
      <c r="C5" t="s">
        <v>3071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258</v>
      </c>
      <c r="B6" t="s">
        <v>259</v>
      </c>
      <c r="C6" t="s">
        <v>3071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303</v>
      </c>
      <c r="B7" t="s">
        <v>304</v>
      </c>
      <c r="C7" t="s">
        <v>3071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306</v>
      </c>
      <c r="B8" t="s">
        <v>307</v>
      </c>
      <c r="C8" t="s">
        <v>3071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309</v>
      </c>
      <c r="B9" t="s">
        <v>310</v>
      </c>
      <c r="C9" t="s">
        <v>3071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312</v>
      </c>
      <c r="B10" t="s">
        <v>313</v>
      </c>
      <c r="C10" t="s">
        <v>3071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315</v>
      </c>
      <c r="B11" t="s">
        <v>316</v>
      </c>
      <c r="C11" t="s">
        <v>3071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318</v>
      </c>
      <c r="B12" t="s">
        <v>319</v>
      </c>
      <c r="C12" t="s">
        <v>3071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358</v>
      </c>
      <c r="B13" t="s">
        <v>359</v>
      </c>
      <c r="C13" t="s">
        <v>3071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361</v>
      </c>
      <c r="B14" t="s">
        <v>362</v>
      </c>
      <c r="C14" t="s">
        <v>3071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364</v>
      </c>
      <c r="B15" t="s">
        <v>365</v>
      </c>
      <c r="C15" t="s">
        <v>3071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294</v>
      </c>
      <c r="B16" t="s">
        <v>295</v>
      </c>
      <c r="C16" t="s">
        <v>3071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297</v>
      </c>
      <c r="B17" t="s">
        <v>298</v>
      </c>
      <c r="C17" t="s">
        <v>3071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300</v>
      </c>
      <c r="B18" t="s">
        <v>301</v>
      </c>
      <c r="C18" t="s">
        <v>3071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321</v>
      </c>
      <c r="B19" t="s">
        <v>322</v>
      </c>
      <c r="C19" t="s">
        <v>3071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324</v>
      </c>
      <c r="B20" t="s">
        <v>325</v>
      </c>
      <c r="C20" t="s">
        <v>3071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327</v>
      </c>
      <c r="B21" t="s">
        <v>328</v>
      </c>
      <c r="C21" t="s">
        <v>3071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330</v>
      </c>
      <c r="B22" t="s">
        <v>331</v>
      </c>
      <c r="C22" t="s">
        <v>3071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338</v>
      </c>
      <c r="B23" t="s">
        <v>339</v>
      </c>
      <c r="C23" t="s">
        <v>3071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340</v>
      </c>
      <c r="B24" t="s">
        <v>341</v>
      </c>
      <c r="C24" t="s">
        <v>3071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343</v>
      </c>
      <c r="B25" t="s">
        <v>344</v>
      </c>
      <c r="C25" t="s">
        <v>3071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346</v>
      </c>
      <c r="B26" t="s">
        <v>347</v>
      </c>
      <c r="C26" t="s">
        <v>3071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273</v>
      </c>
      <c r="B27" t="s">
        <v>274</v>
      </c>
      <c r="C27" t="s">
        <v>3071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276</v>
      </c>
      <c r="B28" t="s">
        <v>277</v>
      </c>
      <c r="C28" t="s">
        <v>3071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291</v>
      </c>
      <c r="B29" t="s">
        <v>292</v>
      </c>
      <c r="C29" t="s">
        <v>3071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261</v>
      </c>
      <c r="B30" t="s">
        <v>262</v>
      </c>
      <c r="C30" t="s">
        <v>3071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279</v>
      </c>
      <c r="B31" t="s">
        <v>280</v>
      </c>
      <c r="C31" t="s">
        <v>3071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249</v>
      </c>
      <c r="B32" t="s">
        <v>250</v>
      </c>
      <c r="C32" t="s">
        <v>3071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244</v>
      </c>
      <c r="B33" t="s">
        <v>245</v>
      </c>
      <c r="C33" t="s">
        <v>3071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264</v>
      </c>
      <c r="B34" t="s">
        <v>265</v>
      </c>
      <c r="C34" t="s">
        <v>3071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282</v>
      </c>
      <c r="B35" t="s">
        <v>3072</v>
      </c>
      <c r="C35" t="s">
        <v>3071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285</v>
      </c>
      <c r="B36" t="s">
        <v>286</v>
      </c>
      <c r="C36" t="s">
        <v>3071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252</v>
      </c>
      <c r="B37" t="s">
        <v>253</v>
      </c>
      <c r="C37" t="s">
        <v>3071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247</v>
      </c>
      <c r="B38" t="s">
        <v>248</v>
      </c>
      <c r="C38" t="s">
        <v>3071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267</v>
      </c>
      <c r="B39" t="s">
        <v>268</v>
      </c>
      <c r="C39" t="s">
        <v>3071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288</v>
      </c>
      <c r="B40" t="s">
        <v>289</v>
      </c>
      <c r="C40" t="s">
        <v>3071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349</v>
      </c>
      <c r="B41" t="s">
        <v>350</v>
      </c>
      <c r="C41" t="s">
        <v>3071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352</v>
      </c>
      <c r="B42" t="s">
        <v>353</v>
      </c>
      <c r="C42" t="s">
        <v>3071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355</v>
      </c>
      <c r="B43" t="s">
        <v>356</v>
      </c>
      <c r="C43" t="s">
        <v>3071</v>
      </c>
      <c r="F43">
        <v>0.90249999999999997</v>
      </c>
    </row>
    <row r="44" spans="1:7" x14ac:dyDescent="0.25">
      <c r="A44" t="s">
        <v>241</v>
      </c>
      <c r="B44" t="s">
        <v>242</v>
      </c>
      <c r="C44" t="s">
        <v>3071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212</v>
      </c>
      <c r="B45" t="s">
        <v>213</v>
      </c>
      <c r="C45" t="s">
        <v>3071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3071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3071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3071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210</v>
      </c>
      <c r="B49" t="s">
        <v>211</v>
      </c>
      <c r="C49" t="s">
        <v>3071</v>
      </c>
      <c r="D49">
        <v>54.85</v>
      </c>
      <c r="E49">
        <v>1</v>
      </c>
      <c r="F49">
        <v>0</v>
      </c>
    </row>
    <row r="50" spans="1:7" x14ac:dyDescent="0.25">
      <c r="A50" t="s">
        <v>238</v>
      </c>
      <c r="B50" t="s">
        <v>239</v>
      </c>
      <c r="C50" t="s">
        <v>3071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229</v>
      </c>
      <c r="B51" t="s">
        <v>230</v>
      </c>
      <c r="C51" t="s">
        <v>3071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232</v>
      </c>
      <c r="B52" t="s">
        <v>233</v>
      </c>
      <c r="C52" t="s">
        <v>3071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235</v>
      </c>
      <c r="B53" t="s">
        <v>236</v>
      </c>
      <c r="C53" t="s">
        <v>3071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3071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3071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196</v>
      </c>
      <c r="B56" t="s">
        <v>197</v>
      </c>
      <c r="C56" t="s">
        <v>3071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411</v>
      </c>
      <c r="B57" t="s">
        <v>412</v>
      </c>
      <c r="C57" t="s">
        <v>3071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414</v>
      </c>
      <c r="B58" t="s">
        <v>415</v>
      </c>
      <c r="C58" t="s">
        <v>3071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416</v>
      </c>
      <c r="B59" t="s">
        <v>417</v>
      </c>
      <c r="C59" t="s">
        <v>3071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418</v>
      </c>
      <c r="B60" t="s">
        <v>419</v>
      </c>
      <c r="C60" t="s">
        <v>3071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421</v>
      </c>
      <c r="B61" t="s">
        <v>422</v>
      </c>
      <c r="C61" t="s">
        <v>3071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424</v>
      </c>
      <c r="B62" t="s">
        <v>425</v>
      </c>
      <c r="C62" t="s">
        <v>3071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427</v>
      </c>
      <c r="B63" t="s">
        <v>428</v>
      </c>
      <c r="C63" t="s">
        <v>3071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193</v>
      </c>
      <c r="B64" t="s">
        <v>194</v>
      </c>
      <c r="C64" t="s">
        <v>3071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185</v>
      </c>
      <c r="B65" t="s">
        <v>186</v>
      </c>
      <c r="C65" t="s">
        <v>3071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3071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3073</v>
      </c>
      <c r="C67" t="s">
        <v>3071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3071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3071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217</v>
      </c>
      <c r="B70" t="s">
        <v>218</v>
      </c>
      <c r="C70" t="s">
        <v>3071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202</v>
      </c>
      <c r="B71" t="s">
        <v>203</v>
      </c>
      <c r="C71" t="s">
        <v>3071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199</v>
      </c>
      <c r="B72" t="s">
        <v>200</v>
      </c>
      <c r="C72" t="s">
        <v>3071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220</v>
      </c>
      <c r="B73" t="s">
        <v>221</v>
      </c>
      <c r="C73" t="s">
        <v>3071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223</v>
      </c>
      <c r="B74" t="s">
        <v>224</v>
      </c>
      <c r="C74" t="s">
        <v>3071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204</v>
      </c>
      <c r="B75" t="s">
        <v>205</v>
      </c>
      <c r="C75" t="s">
        <v>3071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208</v>
      </c>
      <c r="B76" t="s">
        <v>209</v>
      </c>
      <c r="C76" t="s">
        <v>3071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226</v>
      </c>
      <c r="B77" t="s">
        <v>227</v>
      </c>
      <c r="C77" t="s">
        <v>3071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214</v>
      </c>
      <c r="B78" t="s">
        <v>215</v>
      </c>
      <c r="C78" t="s">
        <v>3071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429</v>
      </c>
      <c r="B79" t="s">
        <v>430</v>
      </c>
      <c r="C79" t="s">
        <v>3071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431</v>
      </c>
      <c r="B80" t="s">
        <v>432</v>
      </c>
      <c r="C80" t="s">
        <v>3071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433</v>
      </c>
      <c r="B81" t="s">
        <v>434</v>
      </c>
      <c r="C81" t="s">
        <v>3071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435</v>
      </c>
      <c r="B82" t="s">
        <v>436</v>
      </c>
      <c r="C82" t="s">
        <v>3071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510</v>
      </c>
      <c r="B83" t="s">
        <v>511</v>
      </c>
      <c r="C83" t="s">
        <v>3074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527</v>
      </c>
      <c r="B84" t="s">
        <v>3075</v>
      </c>
      <c r="C84" t="s">
        <v>3074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513</v>
      </c>
      <c r="B85" t="s">
        <v>514</v>
      </c>
      <c r="C85" t="s">
        <v>3074</v>
      </c>
      <c r="F85">
        <v>0</v>
      </c>
    </row>
    <row r="86" spans="1:7" x14ac:dyDescent="0.25">
      <c r="A86" t="s">
        <v>517</v>
      </c>
      <c r="B86" t="s">
        <v>518</v>
      </c>
      <c r="C86" t="s">
        <v>3074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498</v>
      </c>
      <c r="B87" t="s">
        <v>499</v>
      </c>
      <c r="C87" t="s">
        <v>3074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482</v>
      </c>
      <c r="B88" t="s">
        <v>483</v>
      </c>
      <c r="C88" t="s">
        <v>3074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486</v>
      </c>
      <c r="B89" t="s">
        <v>487</v>
      </c>
      <c r="C89" t="s">
        <v>3074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492</v>
      </c>
      <c r="B90" t="s">
        <v>493</v>
      </c>
      <c r="C90" t="s">
        <v>3074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523</v>
      </c>
      <c r="B91" t="s">
        <v>524</v>
      </c>
      <c r="C91" t="s">
        <v>3074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531</v>
      </c>
      <c r="B92" t="s">
        <v>532</v>
      </c>
      <c r="C92" t="s">
        <v>3074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520</v>
      </c>
      <c r="B93" t="s">
        <v>521</v>
      </c>
      <c r="C93" t="s">
        <v>3074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533</v>
      </c>
      <c r="B94" t="s">
        <v>534</v>
      </c>
      <c r="C94" t="s">
        <v>3074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495</v>
      </c>
      <c r="B95" t="s">
        <v>496</v>
      </c>
      <c r="C95" t="s">
        <v>3074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508</v>
      </c>
      <c r="B96" t="s">
        <v>509</v>
      </c>
      <c r="C96" t="s">
        <v>3074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472</v>
      </c>
      <c r="B97" t="s">
        <v>473</v>
      </c>
      <c r="C97" t="s">
        <v>3074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501</v>
      </c>
      <c r="B98" t="s">
        <v>502</v>
      </c>
      <c r="C98" t="s">
        <v>3074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525</v>
      </c>
      <c r="B99" t="s">
        <v>3076</v>
      </c>
      <c r="C99" t="s">
        <v>3074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489</v>
      </c>
      <c r="B100" t="s">
        <v>490</v>
      </c>
      <c r="C100" t="s">
        <v>3074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505</v>
      </c>
      <c r="B101" t="s">
        <v>506</v>
      </c>
      <c r="C101" t="s">
        <v>3074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543</v>
      </c>
      <c r="B102" t="s">
        <v>544</v>
      </c>
      <c r="C102" t="s">
        <v>3077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677</v>
      </c>
      <c r="B103" t="s">
        <v>678</v>
      </c>
      <c r="C103" t="s">
        <v>3077</v>
      </c>
      <c r="D103">
        <v>336</v>
      </c>
      <c r="E103">
        <v>3</v>
      </c>
      <c r="G103">
        <v>1005</v>
      </c>
    </row>
    <row r="104" spans="1:7" x14ac:dyDescent="0.25">
      <c r="A104" t="s">
        <v>681</v>
      </c>
      <c r="B104" t="s">
        <v>682</v>
      </c>
      <c r="C104" t="s">
        <v>3077</v>
      </c>
      <c r="D104">
        <v>388.20000000000005</v>
      </c>
      <c r="E104">
        <v>3</v>
      </c>
      <c r="G104">
        <v>1290</v>
      </c>
    </row>
    <row r="105" spans="1:7" x14ac:dyDescent="0.25">
      <c r="A105" t="s">
        <v>554</v>
      </c>
      <c r="B105" t="s">
        <v>555</v>
      </c>
      <c r="C105" t="s">
        <v>3077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557</v>
      </c>
      <c r="B106" t="s">
        <v>558</v>
      </c>
      <c r="C106" t="s">
        <v>3077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689</v>
      </c>
      <c r="B107" t="s">
        <v>690</v>
      </c>
      <c r="C107" t="s">
        <v>3077</v>
      </c>
      <c r="D107">
        <v>258.8</v>
      </c>
      <c r="E107">
        <v>2</v>
      </c>
      <c r="G107">
        <v>0</v>
      </c>
    </row>
    <row r="108" spans="1:7" x14ac:dyDescent="0.25">
      <c r="A108" t="s">
        <v>566</v>
      </c>
      <c r="B108" t="s">
        <v>567</v>
      </c>
      <c r="C108" t="s">
        <v>3077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539</v>
      </c>
      <c r="B109" t="s">
        <v>540</v>
      </c>
      <c r="C109" t="s">
        <v>3077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548</v>
      </c>
      <c r="B110" t="s">
        <v>549</v>
      </c>
      <c r="C110" t="s">
        <v>3077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571</v>
      </c>
      <c r="B111" t="s">
        <v>572</v>
      </c>
      <c r="C111" t="s">
        <v>3077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569</v>
      </c>
      <c r="B112" t="s">
        <v>570</v>
      </c>
      <c r="C112" t="s">
        <v>3077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679</v>
      </c>
      <c r="B113" t="s">
        <v>680</v>
      </c>
      <c r="C113" t="s">
        <v>3077</v>
      </c>
      <c r="F113">
        <v>0.125</v>
      </c>
    </row>
    <row r="114" spans="1:7" x14ac:dyDescent="0.25">
      <c r="A114" t="s">
        <v>683</v>
      </c>
      <c r="B114" t="s">
        <v>684</v>
      </c>
      <c r="C114" t="s">
        <v>3077</v>
      </c>
      <c r="F114">
        <v>0.14749999999999999</v>
      </c>
    </row>
    <row r="115" spans="1:7" x14ac:dyDescent="0.25">
      <c r="A115" t="s">
        <v>545</v>
      </c>
      <c r="B115" t="s">
        <v>546</v>
      </c>
      <c r="C115" t="s">
        <v>3077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551</v>
      </c>
      <c r="B116" t="s">
        <v>552</v>
      </c>
      <c r="C116" t="s">
        <v>3077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686</v>
      </c>
      <c r="B117" t="s">
        <v>687</v>
      </c>
      <c r="C117" t="s">
        <v>3077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560</v>
      </c>
      <c r="B118" t="s">
        <v>561</v>
      </c>
      <c r="C118" t="s">
        <v>3077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563</v>
      </c>
      <c r="B119" t="s">
        <v>564</v>
      </c>
      <c r="C119" t="s">
        <v>3077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791</v>
      </c>
      <c r="B120" t="s">
        <v>792</v>
      </c>
      <c r="C120" t="s">
        <v>3078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832</v>
      </c>
      <c r="B121" t="s">
        <v>749</v>
      </c>
      <c r="C121" t="s">
        <v>3078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747</v>
      </c>
      <c r="B122" t="s">
        <v>748</v>
      </c>
      <c r="C122" t="s">
        <v>3078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795</v>
      </c>
      <c r="B123" t="s">
        <v>796</v>
      </c>
      <c r="C123" t="s">
        <v>3078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793</v>
      </c>
      <c r="B124" t="s">
        <v>3079</v>
      </c>
      <c r="C124" t="s">
        <v>3078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765</v>
      </c>
      <c r="B125" t="s">
        <v>766</v>
      </c>
      <c r="C125" t="s">
        <v>3078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761</v>
      </c>
      <c r="B126" t="s">
        <v>762</v>
      </c>
      <c r="C126" t="s">
        <v>3078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808</v>
      </c>
      <c r="B127" t="s">
        <v>809</v>
      </c>
      <c r="C127" t="s">
        <v>3078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816</v>
      </c>
      <c r="B128" t="s">
        <v>817</v>
      </c>
      <c r="C128" t="s">
        <v>3078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988</v>
      </c>
      <c r="B129" t="s">
        <v>989</v>
      </c>
      <c r="C129" t="s">
        <v>3078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2305</v>
      </c>
      <c r="B130" t="s">
        <v>2306</v>
      </c>
      <c r="C130" t="s">
        <v>3078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753</v>
      </c>
      <c r="B131" t="s">
        <v>754</v>
      </c>
      <c r="C131" t="s">
        <v>3078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750</v>
      </c>
      <c r="B132" t="s">
        <v>751</v>
      </c>
      <c r="C132" t="s">
        <v>3078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755</v>
      </c>
      <c r="B133" t="s">
        <v>756</v>
      </c>
      <c r="C133" t="s">
        <v>3078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805</v>
      </c>
      <c r="B134" t="s">
        <v>806</v>
      </c>
      <c r="C134" t="s">
        <v>3078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769</v>
      </c>
      <c r="B135" t="s">
        <v>770</v>
      </c>
      <c r="C135" t="s">
        <v>3078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828</v>
      </c>
      <c r="B136" t="s">
        <v>829</v>
      </c>
      <c r="C136" t="s">
        <v>3078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758</v>
      </c>
      <c r="B137" t="s">
        <v>759</v>
      </c>
      <c r="C137" t="s">
        <v>3078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826</v>
      </c>
      <c r="B138" t="s">
        <v>827</v>
      </c>
      <c r="C138" t="s">
        <v>3078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830</v>
      </c>
      <c r="B139" t="s">
        <v>3080</v>
      </c>
      <c r="C139" t="s">
        <v>3078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774</v>
      </c>
      <c r="B140" t="s">
        <v>775</v>
      </c>
      <c r="C140" t="s">
        <v>3078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783</v>
      </c>
      <c r="B141" t="s">
        <v>784</v>
      </c>
      <c r="C141" t="s">
        <v>3078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789</v>
      </c>
      <c r="B142" t="s">
        <v>790</v>
      </c>
      <c r="C142" t="s">
        <v>3078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786</v>
      </c>
      <c r="B143" t="s">
        <v>787</v>
      </c>
      <c r="C143" t="s">
        <v>3078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781</v>
      </c>
      <c r="B144" t="s">
        <v>782</v>
      </c>
      <c r="C144" t="s">
        <v>3078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767</v>
      </c>
      <c r="B145" t="s">
        <v>768</v>
      </c>
      <c r="C145" t="s">
        <v>3078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824</v>
      </c>
      <c r="B146" t="s">
        <v>3081</v>
      </c>
      <c r="C146" t="s">
        <v>3078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814</v>
      </c>
      <c r="B147" t="s">
        <v>815</v>
      </c>
      <c r="C147" t="s">
        <v>3078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741</v>
      </c>
      <c r="B148" t="s">
        <v>742</v>
      </c>
      <c r="C148" t="s">
        <v>3078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799</v>
      </c>
      <c r="B149" t="s">
        <v>800</v>
      </c>
      <c r="C149" t="s">
        <v>3078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778</v>
      </c>
      <c r="B150" t="s">
        <v>779</v>
      </c>
      <c r="C150" t="s">
        <v>3078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810</v>
      </c>
      <c r="B151" t="s">
        <v>811</v>
      </c>
      <c r="C151" t="s">
        <v>3078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736</v>
      </c>
      <c r="B152" t="s">
        <v>737</v>
      </c>
      <c r="C152" t="s">
        <v>3078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818</v>
      </c>
      <c r="B153" t="s">
        <v>819</v>
      </c>
      <c r="C153" t="s">
        <v>3078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744</v>
      </c>
      <c r="B154" t="s">
        <v>745</v>
      </c>
      <c r="C154" t="s">
        <v>3078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822</v>
      </c>
      <c r="B155" t="s">
        <v>823</v>
      </c>
      <c r="C155" t="s">
        <v>3078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797</v>
      </c>
      <c r="B156" t="s">
        <v>798</v>
      </c>
      <c r="C156" t="s">
        <v>3078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881</v>
      </c>
      <c r="B157" t="s">
        <v>852</v>
      </c>
      <c r="C157" t="s">
        <v>3082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877</v>
      </c>
      <c r="B158" t="s">
        <v>878</v>
      </c>
      <c r="C158" t="s">
        <v>3082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846</v>
      </c>
      <c r="B159" t="s">
        <v>847</v>
      </c>
      <c r="C159" t="s">
        <v>3082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861</v>
      </c>
      <c r="B160" t="s">
        <v>862</v>
      </c>
      <c r="C160" t="s">
        <v>3082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865</v>
      </c>
      <c r="B161" t="s">
        <v>866</v>
      </c>
      <c r="C161" t="s">
        <v>3082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848</v>
      </c>
      <c r="B162" t="s">
        <v>849</v>
      </c>
      <c r="C162" t="s">
        <v>3082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868</v>
      </c>
      <c r="B163" t="s">
        <v>869</v>
      </c>
      <c r="C163" t="s">
        <v>3082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837</v>
      </c>
      <c r="B164" t="s">
        <v>838</v>
      </c>
      <c r="C164" t="s">
        <v>3082</v>
      </c>
      <c r="D164">
        <v>200</v>
      </c>
      <c r="E164">
        <v>1</v>
      </c>
      <c r="F164">
        <v>0</v>
      </c>
    </row>
    <row r="165" spans="1:7" x14ac:dyDescent="0.25">
      <c r="A165" t="s">
        <v>850</v>
      </c>
      <c r="B165" t="s">
        <v>851</v>
      </c>
      <c r="C165" t="s">
        <v>3082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882</v>
      </c>
      <c r="B166" t="s">
        <v>883</v>
      </c>
      <c r="C166" t="s">
        <v>3082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908</v>
      </c>
      <c r="B167" t="s">
        <v>909</v>
      </c>
      <c r="C167" t="s">
        <v>3082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912</v>
      </c>
      <c r="B168" t="s">
        <v>913</v>
      </c>
      <c r="C168" t="s">
        <v>3082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844</v>
      </c>
      <c r="B169" t="s">
        <v>3083</v>
      </c>
      <c r="C169" t="s">
        <v>3082</v>
      </c>
      <c r="D169">
        <v>500</v>
      </c>
      <c r="E169">
        <v>1</v>
      </c>
    </row>
    <row r="170" spans="1:7" x14ac:dyDescent="0.25">
      <c r="A170" t="s">
        <v>855</v>
      </c>
      <c r="B170" t="s">
        <v>856</v>
      </c>
      <c r="C170" t="s">
        <v>3082</v>
      </c>
      <c r="D170">
        <v>150</v>
      </c>
      <c r="E170">
        <v>1</v>
      </c>
    </row>
    <row r="171" spans="1:7" x14ac:dyDescent="0.25">
      <c r="A171" t="s">
        <v>859</v>
      </c>
      <c r="B171" t="s">
        <v>860</v>
      </c>
      <c r="C171" t="s">
        <v>3082</v>
      </c>
      <c r="D171">
        <v>50</v>
      </c>
      <c r="E171">
        <v>1</v>
      </c>
    </row>
    <row r="172" spans="1:7" x14ac:dyDescent="0.25">
      <c r="A172" t="s">
        <v>888</v>
      </c>
      <c r="B172" t="s">
        <v>889</v>
      </c>
      <c r="C172" t="s">
        <v>3082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890</v>
      </c>
      <c r="B173" t="s">
        <v>891</v>
      </c>
      <c r="C173" t="s">
        <v>3082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906</v>
      </c>
      <c r="B174" t="s">
        <v>907</v>
      </c>
      <c r="C174" t="s">
        <v>3082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885</v>
      </c>
      <c r="B175" t="s">
        <v>886</v>
      </c>
      <c r="C175" t="s">
        <v>3082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872</v>
      </c>
      <c r="B176" t="s">
        <v>873</v>
      </c>
      <c r="C176" t="s">
        <v>3082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874</v>
      </c>
      <c r="B177" t="s">
        <v>875</v>
      </c>
      <c r="C177" t="s">
        <v>3082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870</v>
      </c>
      <c r="B178" t="s">
        <v>871</v>
      </c>
      <c r="C178" t="s">
        <v>3082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935</v>
      </c>
      <c r="B179" t="s">
        <v>936</v>
      </c>
      <c r="C179" t="s">
        <v>3082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937</v>
      </c>
      <c r="B180" t="s">
        <v>938</v>
      </c>
      <c r="C180" t="s">
        <v>3082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910</v>
      </c>
      <c r="B181" t="s">
        <v>911</v>
      </c>
      <c r="C181" t="s">
        <v>3082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924</v>
      </c>
      <c r="B182" t="s">
        <v>925</v>
      </c>
      <c r="C182" t="s">
        <v>3082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927</v>
      </c>
      <c r="B183" t="s">
        <v>928</v>
      </c>
      <c r="C183" t="s">
        <v>3082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933</v>
      </c>
      <c r="B184" t="s">
        <v>934</v>
      </c>
      <c r="C184" t="s">
        <v>3082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833</v>
      </c>
      <c r="B185" t="s">
        <v>834</v>
      </c>
      <c r="C185" t="s">
        <v>3082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892</v>
      </c>
      <c r="B186" t="s">
        <v>893</v>
      </c>
      <c r="C186" t="s">
        <v>3082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894</v>
      </c>
      <c r="B187" t="s">
        <v>895</v>
      </c>
      <c r="C187" t="s">
        <v>3082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853</v>
      </c>
      <c r="B188" t="s">
        <v>854</v>
      </c>
      <c r="C188" t="s">
        <v>3082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896</v>
      </c>
      <c r="B189" t="s">
        <v>897</v>
      </c>
      <c r="C189" t="s">
        <v>3082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839</v>
      </c>
      <c r="B190" t="s">
        <v>840</v>
      </c>
      <c r="C190" t="s">
        <v>3082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902</v>
      </c>
      <c r="B191" t="s">
        <v>903</v>
      </c>
      <c r="C191" t="s">
        <v>3082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919</v>
      </c>
      <c r="B192" t="s">
        <v>920</v>
      </c>
      <c r="C192" t="s">
        <v>3082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842</v>
      </c>
      <c r="B193" t="s">
        <v>923</v>
      </c>
      <c r="C193" t="s">
        <v>3082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898</v>
      </c>
      <c r="B194" t="s">
        <v>899</v>
      </c>
      <c r="C194" t="s">
        <v>3082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940</v>
      </c>
      <c r="B195" t="s">
        <v>941</v>
      </c>
      <c r="C195" t="s">
        <v>3082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1311</v>
      </c>
      <c r="B196" t="s">
        <v>3084</v>
      </c>
      <c r="C196" t="s">
        <v>3085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1298</v>
      </c>
      <c r="B197" t="s">
        <v>3086</v>
      </c>
      <c r="C197" t="s">
        <v>3085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1301</v>
      </c>
      <c r="B198" t="s">
        <v>1302</v>
      </c>
      <c r="C198" t="s">
        <v>3085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1253</v>
      </c>
      <c r="B199" t="s">
        <v>1254</v>
      </c>
      <c r="C199" t="s">
        <v>3085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1318</v>
      </c>
      <c r="B200" t="s">
        <v>3087</v>
      </c>
      <c r="C200" t="s">
        <v>3085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1320</v>
      </c>
      <c r="B201" t="s">
        <v>1321</v>
      </c>
      <c r="C201" t="s">
        <v>3085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1305</v>
      </c>
      <c r="B202" t="s">
        <v>1306</v>
      </c>
      <c r="C202" t="s">
        <v>3085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1308</v>
      </c>
      <c r="B203" t="s">
        <v>1309</v>
      </c>
      <c r="C203" t="s">
        <v>3085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1303</v>
      </c>
      <c r="B204" t="s">
        <v>1304</v>
      </c>
      <c r="C204" t="s">
        <v>3085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1324</v>
      </c>
      <c r="B205" t="s">
        <v>1325</v>
      </c>
      <c r="C205" t="s">
        <v>3085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1322</v>
      </c>
      <c r="B206" t="s">
        <v>1323</v>
      </c>
      <c r="C206" t="s">
        <v>3085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946</v>
      </c>
      <c r="B207" t="s">
        <v>947</v>
      </c>
      <c r="C207" t="s">
        <v>3088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1050</v>
      </c>
      <c r="B208" t="s">
        <v>1051</v>
      </c>
      <c r="C208" t="s">
        <v>3088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978</v>
      </c>
      <c r="B209" t="s">
        <v>979</v>
      </c>
      <c r="C209" t="s">
        <v>3088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980</v>
      </c>
      <c r="B210" t="s">
        <v>981</v>
      </c>
      <c r="C210" t="s">
        <v>3088</v>
      </c>
      <c r="D210">
        <v>204.6</v>
      </c>
      <c r="E210">
        <v>1</v>
      </c>
      <c r="G210">
        <v>605</v>
      </c>
    </row>
    <row r="211" spans="1:7" x14ac:dyDescent="0.25">
      <c r="A211" t="s">
        <v>1000</v>
      </c>
      <c r="B211" t="s">
        <v>1001</v>
      </c>
      <c r="C211" t="s">
        <v>3088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990</v>
      </c>
      <c r="B212" t="s">
        <v>991</v>
      </c>
      <c r="C212" t="s">
        <v>3088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967</v>
      </c>
      <c r="B213" t="s">
        <v>968</v>
      </c>
      <c r="C213" t="s">
        <v>3088</v>
      </c>
      <c r="D213">
        <v>41.25</v>
      </c>
      <c r="E213">
        <v>1</v>
      </c>
      <c r="G213">
        <v>341.6</v>
      </c>
    </row>
    <row r="214" spans="1:7" x14ac:dyDescent="0.25">
      <c r="A214" t="s">
        <v>986</v>
      </c>
      <c r="B214" t="s">
        <v>987</v>
      </c>
      <c r="C214" t="s">
        <v>3088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1009</v>
      </c>
      <c r="B215" t="s">
        <v>1010</v>
      </c>
      <c r="C215" t="s">
        <v>3088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1011</v>
      </c>
      <c r="B216" t="s">
        <v>1012</v>
      </c>
      <c r="C216" t="s">
        <v>3088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1021</v>
      </c>
      <c r="B217" t="s">
        <v>1022</v>
      </c>
      <c r="C217" t="s">
        <v>3088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972</v>
      </c>
      <c r="B218" t="s">
        <v>973</v>
      </c>
      <c r="C218" t="s">
        <v>3088</v>
      </c>
      <c r="F218">
        <v>0</v>
      </c>
    </row>
    <row r="219" spans="1:7" x14ac:dyDescent="0.25">
      <c r="A219" t="s">
        <v>1134</v>
      </c>
      <c r="B219" t="s">
        <v>1135</v>
      </c>
      <c r="C219" t="s">
        <v>3088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1032</v>
      </c>
      <c r="B220" t="s">
        <v>3089</v>
      </c>
      <c r="C220" t="s">
        <v>3088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1069</v>
      </c>
      <c r="B221" t="s">
        <v>1070</v>
      </c>
      <c r="C221" t="s">
        <v>3088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1002</v>
      </c>
      <c r="B222" t="s">
        <v>1003</v>
      </c>
      <c r="C222" t="s">
        <v>3088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1013</v>
      </c>
      <c r="B223" t="s">
        <v>1014</v>
      </c>
      <c r="C223" t="s">
        <v>3088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1039</v>
      </c>
      <c r="B224" t="s">
        <v>1040</v>
      </c>
      <c r="C224" t="s">
        <v>3088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1055</v>
      </c>
      <c r="B225" t="s">
        <v>1056</v>
      </c>
      <c r="C225" t="s">
        <v>3088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1053</v>
      </c>
      <c r="B226" t="s">
        <v>1054</v>
      </c>
      <c r="C226" t="s">
        <v>3088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1091</v>
      </c>
      <c r="B227" t="s">
        <v>1092</v>
      </c>
      <c r="C227" t="s">
        <v>3088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1023</v>
      </c>
      <c r="B228" t="s">
        <v>1024</v>
      </c>
      <c r="C228" t="s">
        <v>3088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1030</v>
      </c>
      <c r="B229" t="s">
        <v>1031</v>
      </c>
      <c r="C229" t="s">
        <v>3088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984</v>
      </c>
      <c r="B230" t="s">
        <v>985</v>
      </c>
      <c r="C230" t="s">
        <v>3088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1141</v>
      </c>
      <c r="B231" t="s">
        <v>1142</v>
      </c>
      <c r="C231" t="s">
        <v>3088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1139</v>
      </c>
      <c r="B232" t="s">
        <v>1140</v>
      </c>
      <c r="C232" t="s">
        <v>3088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1034</v>
      </c>
      <c r="B233" t="s">
        <v>1035</v>
      </c>
      <c r="C233" t="s">
        <v>3088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1007</v>
      </c>
      <c r="B234" t="s">
        <v>950</v>
      </c>
      <c r="C234" t="s">
        <v>3088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948</v>
      </c>
      <c r="B235" t="s">
        <v>949</v>
      </c>
      <c r="C235" t="s">
        <v>3088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942</v>
      </c>
      <c r="B236" t="s">
        <v>943</v>
      </c>
      <c r="C236" t="s">
        <v>3088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951</v>
      </c>
      <c r="B237" t="s">
        <v>952</v>
      </c>
      <c r="C237" t="s">
        <v>3088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1018</v>
      </c>
      <c r="B238" t="s">
        <v>1019</v>
      </c>
      <c r="C238" t="s">
        <v>3088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1027</v>
      </c>
      <c r="B239" t="s">
        <v>1028</v>
      </c>
      <c r="C239" t="s">
        <v>3088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993</v>
      </c>
      <c r="B240" t="s">
        <v>994</v>
      </c>
      <c r="C240" t="s">
        <v>3088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982</v>
      </c>
      <c r="B241" t="s">
        <v>983</v>
      </c>
      <c r="C241" t="s">
        <v>3088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970</v>
      </c>
      <c r="B242" t="s">
        <v>971</v>
      </c>
      <c r="C242" t="s">
        <v>3088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1015</v>
      </c>
      <c r="B243" t="s">
        <v>1016</v>
      </c>
      <c r="C243" t="s">
        <v>3088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1004</v>
      </c>
      <c r="B244" t="s">
        <v>1005</v>
      </c>
      <c r="C244" t="s">
        <v>3088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1041</v>
      </c>
      <c r="B245" t="s">
        <v>3090</v>
      </c>
      <c r="C245" t="s">
        <v>3088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1065</v>
      </c>
      <c r="B246" t="s">
        <v>1066</v>
      </c>
      <c r="C246" t="s">
        <v>3088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1046</v>
      </c>
      <c r="B247" t="s">
        <v>1047</v>
      </c>
      <c r="C247" t="s">
        <v>3088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1048</v>
      </c>
      <c r="B248" t="s">
        <v>1049</v>
      </c>
      <c r="C248" t="s">
        <v>3088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1044</v>
      </c>
      <c r="B249" t="s">
        <v>1045</v>
      </c>
      <c r="C249" t="s">
        <v>3088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1082</v>
      </c>
      <c r="B250" t="s">
        <v>1083</v>
      </c>
      <c r="C250" t="s">
        <v>3088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1085</v>
      </c>
      <c r="B251" t="s">
        <v>1086</v>
      </c>
      <c r="C251" t="s">
        <v>3088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1088</v>
      </c>
      <c r="B252" t="s">
        <v>1089</v>
      </c>
      <c r="C252" t="s">
        <v>3088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1163</v>
      </c>
      <c r="B253" t="s">
        <v>1164</v>
      </c>
      <c r="C253" t="s">
        <v>3088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1076</v>
      </c>
      <c r="B254" t="s">
        <v>1077</v>
      </c>
      <c r="C254" t="s">
        <v>3088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1079</v>
      </c>
      <c r="B255" t="s">
        <v>1080</v>
      </c>
      <c r="C255" t="s">
        <v>3088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1131</v>
      </c>
      <c r="B256" t="s">
        <v>1132</v>
      </c>
      <c r="C256" t="s">
        <v>3088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1073</v>
      </c>
      <c r="B257" t="s">
        <v>1074</v>
      </c>
      <c r="C257" t="s">
        <v>3088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1067</v>
      </c>
      <c r="B258" t="s">
        <v>1068</v>
      </c>
      <c r="C258" t="s">
        <v>3088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1060</v>
      </c>
      <c r="B259" t="s">
        <v>1061</v>
      </c>
      <c r="C259" t="s">
        <v>3088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1063</v>
      </c>
      <c r="B260" t="s">
        <v>1064</v>
      </c>
      <c r="C260" t="s">
        <v>3088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976</v>
      </c>
      <c r="B261" t="s">
        <v>977</v>
      </c>
      <c r="C261" t="s">
        <v>3088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1037</v>
      </c>
      <c r="B262" t="s">
        <v>1038</v>
      </c>
      <c r="C262" t="s">
        <v>3088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615</v>
      </c>
      <c r="B263" t="s">
        <v>616</v>
      </c>
      <c r="C263" t="s">
        <v>593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734</v>
      </c>
      <c r="B264" t="s">
        <v>735</v>
      </c>
      <c r="C264" t="s">
        <v>593</v>
      </c>
      <c r="D264">
        <v>756</v>
      </c>
      <c r="E264">
        <v>4</v>
      </c>
      <c r="G264">
        <v>1072</v>
      </c>
    </row>
    <row r="265" spans="1:7" x14ac:dyDescent="0.25">
      <c r="A265" t="s">
        <v>606</v>
      </c>
      <c r="B265" t="s">
        <v>607</v>
      </c>
      <c r="C265" t="s">
        <v>593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708</v>
      </c>
      <c r="B266" t="s">
        <v>709</v>
      </c>
      <c r="C266" t="s">
        <v>593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628</v>
      </c>
      <c r="B267" t="s">
        <v>629</v>
      </c>
      <c r="C267" t="s">
        <v>593</v>
      </c>
      <c r="F267">
        <v>0.17124999999999999</v>
      </c>
    </row>
    <row r="268" spans="1:7" x14ac:dyDescent="0.25">
      <c r="A268" t="s">
        <v>612</v>
      </c>
      <c r="B268" t="s">
        <v>613</v>
      </c>
      <c r="C268" t="s">
        <v>593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609</v>
      </c>
      <c r="B269" t="s">
        <v>610</v>
      </c>
      <c r="C269" t="s">
        <v>593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706</v>
      </c>
      <c r="B270" t="s">
        <v>707</v>
      </c>
      <c r="C270" t="s">
        <v>593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617</v>
      </c>
      <c r="B271" t="s">
        <v>618</v>
      </c>
      <c r="C271" t="s">
        <v>593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594</v>
      </c>
      <c r="B272" t="s">
        <v>595</v>
      </c>
      <c r="C272" t="s">
        <v>593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590</v>
      </c>
      <c r="B273" t="s">
        <v>591</v>
      </c>
      <c r="C273" t="s">
        <v>593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730</v>
      </c>
      <c r="B274" t="s">
        <v>731</v>
      </c>
      <c r="C274" t="s">
        <v>593</v>
      </c>
      <c r="D274">
        <v>200</v>
      </c>
      <c r="E274">
        <v>1</v>
      </c>
      <c r="F274">
        <v>0</v>
      </c>
    </row>
    <row r="275" spans="1:7" x14ac:dyDescent="0.25">
      <c r="A275" t="s">
        <v>597</v>
      </c>
      <c r="B275" t="s">
        <v>598</v>
      </c>
      <c r="C275" t="s">
        <v>593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698</v>
      </c>
      <c r="B276" t="s">
        <v>699</v>
      </c>
      <c r="C276" t="s">
        <v>593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602</v>
      </c>
      <c r="B277" t="s">
        <v>3091</v>
      </c>
      <c r="C277" t="s">
        <v>593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653</v>
      </c>
      <c r="B278" t="s">
        <v>654</v>
      </c>
      <c r="C278" t="s">
        <v>593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647</v>
      </c>
      <c r="B279" t="s">
        <v>648</v>
      </c>
      <c r="C279" t="s">
        <v>593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650</v>
      </c>
      <c r="B280" t="s">
        <v>651</v>
      </c>
      <c r="C280" t="s">
        <v>593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726</v>
      </c>
      <c r="B281" t="s">
        <v>727</v>
      </c>
      <c r="C281" t="s">
        <v>593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656</v>
      </c>
      <c r="B282" t="s">
        <v>657</v>
      </c>
      <c r="C282" t="s">
        <v>593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716</v>
      </c>
      <c r="B283" t="s">
        <v>717</v>
      </c>
      <c r="C283" t="s">
        <v>593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700</v>
      </c>
      <c r="B284" t="s">
        <v>701</v>
      </c>
      <c r="C284" t="s">
        <v>593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620</v>
      </c>
      <c r="B285" t="s">
        <v>621</v>
      </c>
      <c r="C285" t="s">
        <v>593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625</v>
      </c>
      <c r="B286" t="s">
        <v>626</v>
      </c>
      <c r="C286" t="s">
        <v>593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574</v>
      </c>
      <c r="B287" t="s">
        <v>575</v>
      </c>
      <c r="C287" t="s">
        <v>593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639</v>
      </c>
      <c r="B288" t="s">
        <v>640</v>
      </c>
      <c r="C288" t="s">
        <v>593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642</v>
      </c>
      <c r="B289" t="s">
        <v>643</v>
      </c>
      <c r="C289" t="s">
        <v>593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694</v>
      </c>
      <c r="B290" t="s">
        <v>695</v>
      </c>
      <c r="C290" t="s">
        <v>593</v>
      </c>
      <c r="D290">
        <v>130</v>
      </c>
      <c r="E290">
        <v>2</v>
      </c>
      <c r="G290">
        <v>0</v>
      </c>
    </row>
    <row r="291" spans="1:7" x14ac:dyDescent="0.25">
      <c r="A291" t="s">
        <v>631</v>
      </c>
      <c r="B291" t="s">
        <v>632</v>
      </c>
      <c r="C291" t="s">
        <v>593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587</v>
      </c>
      <c r="B292" t="s">
        <v>588</v>
      </c>
      <c r="C292" t="s">
        <v>593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696</v>
      </c>
      <c r="B293" t="s">
        <v>697</v>
      </c>
      <c r="C293" t="s">
        <v>593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713</v>
      </c>
      <c r="B294" t="s">
        <v>714</v>
      </c>
      <c r="C294" t="s">
        <v>593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710</v>
      </c>
      <c r="B295" t="s">
        <v>711</v>
      </c>
      <c r="C295" t="s">
        <v>593</v>
      </c>
      <c r="F295">
        <v>2.1999999999999999E-2</v>
      </c>
    </row>
    <row r="296" spans="1:7" x14ac:dyDescent="0.25">
      <c r="A296" t="s">
        <v>671</v>
      </c>
      <c r="B296" t="s">
        <v>672</v>
      </c>
      <c r="C296" t="s">
        <v>593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673</v>
      </c>
      <c r="B297" t="s">
        <v>674</v>
      </c>
      <c r="C297" t="s">
        <v>593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636</v>
      </c>
      <c r="B298" t="s">
        <v>637</v>
      </c>
      <c r="C298" t="s">
        <v>593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692</v>
      </c>
      <c r="B299" t="s">
        <v>693</v>
      </c>
      <c r="C299" t="s">
        <v>593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581</v>
      </c>
      <c r="B300" t="s">
        <v>582</v>
      </c>
      <c r="C300" t="s">
        <v>593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584</v>
      </c>
      <c r="B301" t="s">
        <v>585</v>
      </c>
      <c r="C301" t="s">
        <v>593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600</v>
      </c>
      <c r="B302" t="s">
        <v>3092</v>
      </c>
      <c r="C302" t="s">
        <v>593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702</v>
      </c>
      <c r="B303" t="s">
        <v>3093</v>
      </c>
      <c r="C303" t="s">
        <v>593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604</v>
      </c>
      <c r="B304" t="s">
        <v>3094</v>
      </c>
      <c r="C304" t="s">
        <v>593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718</v>
      </c>
      <c r="B305" t="s">
        <v>719</v>
      </c>
      <c r="C305" t="s">
        <v>593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728</v>
      </c>
      <c r="B306" t="s">
        <v>729</v>
      </c>
      <c r="C306" t="s">
        <v>593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665</v>
      </c>
      <c r="B307" t="s">
        <v>666</v>
      </c>
      <c r="C307" t="s">
        <v>593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668</v>
      </c>
      <c r="B308" t="s">
        <v>669</v>
      </c>
      <c r="C308" t="s">
        <v>593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662</v>
      </c>
      <c r="B309" t="s">
        <v>663</v>
      </c>
      <c r="C309" t="s">
        <v>593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723</v>
      </c>
      <c r="B310" t="s">
        <v>724</v>
      </c>
      <c r="C310" t="s">
        <v>593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732</v>
      </c>
      <c r="B311" t="s">
        <v>733</v>
      </c>
      <c r="C311" t="s">
        <v>593</v>
      </c>
      <c r="D311">
        <v>100</v>
      </c>
      <c r="E311">
        <v>1</v>
      </c>
      <c r="F311">
        <v>0</v>
      </c>
    </row>
    <row r="312" spans="1:7" x14ac:dyDescent="0.25">
      <c r="A312" t="s">
        <v>1193</v>
      </c>
      <c r="B312" t="s">
        <v>1194</v>
      </c>
      <c r="C312" t="s">
        <v>3095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1191</v>
      </c>
      <c r="B313" t="s">
        <v>1192</v>
      </c>
      <c r="C313" t="s">
        <v>3095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1236</v>
      </c>
      <c r="B314" t="s">
        <v>1237</v>
      </c>
      <c r="C314" t="s">
        <v>3095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1178</v>
      </c>
      <c r="B315" t="s">
        <v>1179</v>
      </c>
      <c r="C315" t="s">
        <v>3095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1239</v>
      </c>
      <c r="B316" t="s">
        <v>1240</v>
      </c>
      <c r="C316" t="s">
        <v>3095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1242</v>
      </c>
      <c r="B317" t="s">
        <v>1243</v>
      </c>
      <c r="C317" t="s">
        <v>3095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1248</v>
      </c>
      <c r="B318" t="s">
        <v>1249</v>
      </c>
      <c r="C318" t="s">
        <v>3095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1224</v>
      </c>
      <c r="B319" t="s">
        <v>1225</v>
      </c>
      <c r="C319" t="s">
        <v>3095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1199</v>
      </c>
      <c r="B320" t="s">
        <v>1200</v>
      </c>
      <c r="C320" t="s">
        <v>3095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1189</v>
      </c>
      <c r="B321" t="s">
        <v>1190</v>
      </c>
      <c r="C321" t="s">
        <v>3095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1227</v>
      </c>
      <c r="B322" t="s">
        <v>1228</v>
      </c>
      <c r="C322" t="s">
        <v>3095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1204</v>
      </c>
      <c r="B323" t="s">
        <v>1205</v>
      </c>
      <c r="C323" t="s">
        <v>3095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1216</v>
      </c>
      <c r="B324" t="s">
        <v>1217</v>
      </c>
      <c r="C324" t="s">
        <v>3095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1233</v>
      </c>
      <c r="B325" t="s">
        <v>1234</v>
      </c>
      <c r="C325" t="s">
        <v>3095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1195</v>
      </c>
      <c r="B326" t="s">
        <v>1196</v>
      </c>
      <c r="C326" t="s">
        <v>3095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1245</v>
      </c>
      <c r="B327" t="s">
        <v>1246</v>
      </c>
      <c r="C327" t="s">
        <v>3095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1182</v>
      </c>
      <c r="B328" t="s">
        <v>1183</v>
      </c>
      <c r="C328" t="s">
        <v>3095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1251</v>
      </c>
      <c r="B329" t="s">
        <v>1252</v>
      </c>
      <c r="C329" t="s">
        <v>3095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1187</v>
      </c>
      <c r="B330" t="s">
        <v>1188</v>
      </c>
      <c r="C330" t="s">
        <v>3095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1230</v>
      </c>
      <c r="B331" t="s">
        <v>1231</v>
      </c>
      <c r="C331" t="s">
        <v>3095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1197</v>
      </c>
      <c r="B332" t="s">
        <v>1198</v>
      </c>
      <c r="C332" t="s">
        <v>3095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1207</v>
      </c>
      <c r="B333" t="s">
        <v>1208</v>
      </c>
      <c r="C333" t="s">
        <v>3095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1210</v>
      </c>
      <c r="B334" t="s">
        <v>1211</v>
      </c>
      <c r="C334" t="s">
        <v>3095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1184</v>
      </c>
      <c r="B335" t="s">
        <v>3096</v>
      </c>
      <c r="C335" t="s">
        <v>3095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1221</v>
      </c>
      <c r="B336" t="s">
        <v>1222</v>
      </c>
      <c r="C336" t="s">
        <v>3095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1276</v>
      </c>
      <c r="B337" t="s">
        <v>1277</v>
      </c>
      <c r="C337" t="s">
        <v>3097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1314</v>
      </c>
      <c r="B338" t="s">
        <v>1315</v>
      </c>
      <c r="C338" t="s">
        <v>3097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1294</v>
      </c>
      <c r="B339" t="s">
        <v>1295</v>
      </c>
      <c r="C339" t="s">
        <v>3097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1264</v>
      </c>
      <c r="B340" t="s">
        <v>1265</v>
      </c>
      <c r="C340" t="s">
        <v>3097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1274</v>
      </c>
      <c r="B341" t="s">
        <v>3098</v>
      </c>
      <c r="C341" t="s">
        <v>3097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1279</v>
      </c>
      <c r="B342" t="s">
        <v>1280</v>
      </c>
      <c r="C342" t="s">
        <v>3097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1292</v>
      </c>
      <c r="B343" t="s">
        <v>1293</v>
      </c>
      <c r="C343" t="s">
        <v>3097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1289</v>
      </c>
      <c r="B344" t="s">
        <v>1290</v>
      </c>
      <c r="C344" t="s">
        <v>3097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1257</v>
      </c>
      <c r="B345" t="s">
        <v>1258</v>
      </c>
      <c r="C345" t="s">
        <v>3097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1282</v>
      </c>
      <c r="B346" t="s">
        <v>1283</v>
      </c>
      <c r="C346" t="s">
        <v>3097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1286</v>
      </c>
      <c r="B347" t="s">
        <v>1287</v>
      </c>
      <c r="C347" t="s">
        <v>3097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1266</v>
      </c>
      <c r="B348" t="s">
        <v>1267</v>
      </c>
      <c r="C348" t="s">
        <v>3097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1296</v>
      </c>
      <c r="B349" t="s">
        <v>1297</v>
      </c>
      <c r="C349" t="s">
        <v>3097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1260</v>
      </c>
      <c r="B350" t="s">
        <v>3099</v>
      </c>
      <c r="C350" t="s">
        <v>3097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1270</v>
      </c>
      <c r="B351" t="s">
        <v>1271</v>
      </c>
      <c r="C351" t="s">
        <v>3097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1262</v>
      </c>
      <c r="B352" t="s">
        <v>3100</v>
      </c>
      <c r="C352" t="s">
        <v>3097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3065</v>
      </c>
      <c r="B353" t="s">
        <v>3101</v>
      </c>
      <c r="C353" t="s">
        <v>3102</v>
      </c>
      <c r="E353">
        <v>47</v>
      </c>
      <c r="F353">
        <v>0</v>
      </c>
      <c r="G353">
        <v>0</v>
      </c>
    </row>
    <row r="354" spans="1:7" x14ac:dyDescent="0.25">
      <c r="A354" t="s">
        <v>3051</v>
      </c>
      <c r="B354" t="s">
        <v>3052</v>
      </c>
      <c r="C354" t="s">
        <v>3102</v>
      </c>
      <c r="E354">
        <v>2</v>
      </c>
    </row>
    <row r="355" spans="1:7" x14ac:dyDescent="0.25">
      <c r="A355" t="s">
        <v>3055</v>
      </c>
      <c r="B355" t="s">
        <v>3056</v>
      </c>
      <c r="C355" t="s">
        <v>3102</v>
      </c>
      <c r="E355">
        <v>3</v>
      </c>
    </row>
    <row r="356" spans="1:7" x14ac:dyDescent="0.25">
      <c r="A356" t="s">
        <v>3057</v>
      </c>
      <c r="B356" t="s">
        <v>3058</v>
      </c>
      <c r="C356" t="s">
        <v>3102</v>
      </c>
      <c r="E356">
        <v>2</v>
      </c>
    </row>
    <row r="357" spans="1:7" x14ac:dyDescent="0.25">
      <c r="A357" t="s">
        <v>3059</v>
      </c>
      <c r="B357" t="s">
        <v>3060</v>
      </c>
      <c r="C357" t="s">
        <v>3102</v>
      </c>
      <c r="E357">
        <v>3</v>
      </c>
    </row>
    <row r="358" spans="1:7" x14ac:dyDescent="0.25">
      <c r="A358" t="s">
        <v>3061</v>
      </c>
      <c r="B358" t="s">
        <v>3103</v>
      </c>
      <c r="C358" t="s">
        <v>3102</v>
      </c>
      <c r="E358">
        <v>2</v>
      </c>
    </row>
    <row r="359" spans="1:7" x14ac:dyDescent="0.25">
      <c r="A359" t="s">
        <v>3063</v>
      </c>
      <c r="B359" t="s">
        <v>3064</v>
      </c>
      <c r="C359" t="s">
        <v>3102</v>
      </c>
      <c r="E359">
        <v>2</v>
      </c>
    </row>
    <row r="360" spans="1:7" x14ac:dyDescent="0.25">
      <c r="A360" t="s">
        <v>1326</v>
      </c>
      <c r="B360" t="s">
        <v>1327</v>
      </c>
      <c r="C360" t="s">
        <v>3104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1342</v>
      </c>
      <c r="B361" t="s">
        <v>1343</v>
      </c>
      <c r="C361" t="s">
        <v>3104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1347</v>
      </c>
      <c r="B362" t="s">
        <v>1348</v>
      </c>
      <c r="C362" t="s">
        <v>3104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1330</v>
      </c>
      <c r="B363" t="s">
        <v>1331</v>
      </c>
      <c r="C363" t="s">
        <v>3104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1340</v>
      </c>
      <c r="B364" t="s">
        <v>1341</v>
      </c>
      <c r="C364" t="s">
        <v>3104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1361</v>
      </c>
      <c r="B365" t="s">
        <v>3105</v>
      </c>
      <c r="C365" t="s">
        <v>3104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1351</v>
      </c>
      <c r="B366" t="s">
        <v>1352</v>
      </c>
      <c r="C366" t="s">
        <v>3104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1353</v>
      </c>
      <c r="B367" t="s">
        <v>1354</v>
      </c>
      <c r="C367" t="s">
        <v>3104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1363</v>
      </c>
      <c r="B368" t="s">
        <v>1364</v>
      </c>
      <c r="C368" t="s">
        <v>3104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1358</v>
      </c>
      <c r="B369" t="s">
        <v>1359</v>
      </c>
      <c r="C369" t="s">
        <v>3104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1345</v>
      </c>
      <c r="B370" t="s">
        <v>1346</v>
      </c>
      <c r="C370" t="s">
        <v>3104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1349</v>
      </c>
      <c r="B371" t="s">
        <v>1350</v>
      </c>
      <c r="C371" t="s">
        <v>3104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1372</v>
      </c>
      <c r="B372" t="s">
        <v>1373</v>
      </c>
      <c r="C372" t="s">
        <v>3104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1355</v>
      </c>
      <c r="B373" t="s">
        <v>1356</v>
      </c>
      <c r="C373" t="s">
        <v>3104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1337</v>
      </c>
      <c r="B374" t="s">
        <v>1338</v>
      </c>
      <c r="C374" t="s">
        <v>3104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1332</v>
      </c>
      <c r="B375" t="s">
        <v>1333</v>
      </c>
      <c r="C375" t="s">
        <v>3104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1596</v>
      </c>
      <c r="B376" t="s">
        <v>1597</v>
      </c>
      <c r="C376" t="s">
        <v>3106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1390</v>
      </c>
      <c r="B377" t="s">
        <v>3107</v>
      </c>
      <c r="C377" t="s">
        <v>3106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1392</v>
      </c>
      <c r="B378" t="s">
        <v>1393</v>
      </c>
      <c r="C378" t="s">
        <v>3106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1412</v>
      </c>
      <c r="B379" t="s">
        <v>3108</v>
      </c>
      <c r="C379" t="s">
        <v>3106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1385</v>
      </c>
      <c r="B380" t="s">
        <v>3109</v>
      </c>
      <c r="C380" t="s">
        <v>3106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1388</v>
      </c>
      <c r="B381" t="s">
        <v>3110</v>
      </c>
      <c r="C381" t="s">
        <v>3106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1594</v>
      </c>
      <c r="B382" t="s">
        <v>1595</v>
      </c>
      <c r="C382" t="s">
        <v>3106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1460</v>
      </c>
      <c r="B383" t="s">
        <v>1461</v>
      </c>
      <c r="C383" t="s">
        <v>3106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1584</v>
      </c>
      <c r="B384" t="s">
        <v>1585</v>
      </c>
      <c r="C384" t="s">
        <v>3106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1587</v>
      </c>
      <c r="B385" t="s">
        <v>1588</v>
      </c>
      <c r="C385" t="s">
        <v>3106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1589</v>
      </c>
      <c r="B386" t="s">
        <v>1590</v>
      </c>
      <c r="C386" t="s">
        <v>3106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1398</v>
      </c>
      <c r="B387" t="s">
        <v>3111</v>
      </c>
      <c r="C387" t="s">
        <v>3106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1466</v>
      </c>
      <c r="B388" t="s">
        <v>3112</v>
      </c>
      <c r="C388" t="s">
        <v>3106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1394</v>
      </c>
      <c r="B389" t="s">
        <v>3113</v>
      </c>
      <c r="C389" t="s">
        <v>3106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1396</v>
      </c>
      <c r="B390" t="s">
        <v>3114</v>
      </c>
      <c r="C390" t="s">
        <v>3106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1592</v>
      </c>
      <c r="B391" t="s">
        <v>1593</v>
      </c>
      <c r="C391" t="s">
        <v>3106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1420</v>
      </c>
      <c r="B392" t="s">
        <v>1421</v>
      </c>
      <c r="C392" t="s">
        <v>3106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1599</v>
      </c>
      <c r="B393" t="s">
        <v>1419</v>
      </c>
      <c r="C393" t="s">
        <v>3106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1418</v>
      </c>
      <c r="B394" t="s">
        <v>1419</v>
      </c>
      <c r="C394" t="s">
        <v>3106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1581</v>
      </c>
      <c r="B395" t="s">
        <v>1582</v>
      </c>
      <c r="C395" t="s">
        <v>3106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1402</v>
      </c>
      <c r="B396" t="s">
        <v>1403</v>
      </c>
      <c r="C396" t="s">
        <v>3106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1400</v>
      </c>
      <c r="B397" t="s">
        <v>3115</v>
      </c>
      <c r="C397" t="s">
        <v>3106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1404</v>
      </c>
      <c r="B398" t="s">
        <v>1405</v>
      </c>
      <c r="C398" t="s">
        <v>3106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1534</v>
      </c>
      <c r="B399" t="s">
        <v>1535</v>
      </c>
      <c r="C399" t="s">
        <v>3106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1473</v>
      </c>
      <c r="B400" t="s">
        <v>1474</v>
      </c>
      <c r="C400" t="s">
        <v>3106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1408</v>
      </c>
      <c r="B401" t="s">
        <v>1409</v>
      </c>
      <c r="C401" t="s">
        <v>3106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1575</v>
      </c>
      <c r="B402" t="s">
        <v>1576</v>
      </c>
      <c r="C402" t="s">
        <v>3106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1571</v>
      </c>
      <c r="B403" t="s">
        <v>1572</v>
      </c>
      <c r="C403" t="s">
        <v>3106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1406</v>
      </c>
      <c r="B404" t="s">
        <v>1407</v>
      </c>
      <c r="C404" t="s">
        <v>3106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1410</v>
      </c>
      <c r="B405" t="s">
        <v>1411</v>
      </c>
      <c r="C405" t="s">
        <v>3106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1545</v>
      </c>
      <c r="B406" t="s">
        <v>1546</v>
      </c>
      <c r="C406" t="s">
        <v>3106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1579</v>
      </c>
      <c r="B407" t="s">
        <v>1580</v>
      </c>
      <c r="C407" t="s">
        <v>3106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1568</v>
      </c>
      <c r="B408" t="s">
        <v>1569</v>
      </c>
      <c r="C408" t="s">
        <v>3106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1565</v>
      </c>
      <c r="B409" t="s">
        <v>1566</v>
      </c>
      <c r="C409" t="s">
        <v>3106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1525</v>
      </c>
      <c r="B410" t="s">
        <v>1526</v>
      </c>
      <c r="C410" t="s">
        <v>3106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1422</v>
      </c>
      <c r="B411" t="s">
        <v>1423</v>
      </c>
      <c r="C411" t="s">
        <v>3106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1424</v>
      </c>
      <c r="B412" t="s">
        <v>1425</v>
      </c>
      <c r="C412" t="s">
        <v>3106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3116</v>
      </c>
      <c r="B413" t="s">
        <v>1630</v>
      </c>
      <c r="C413" t="s">
        <v>3106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1462</v>
      </c>
      <c r="B414" t="s">
        <v>1463</v>
      </c>
      <c r="C414" t="s">
        <v>3106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1523</v>
      </c>
      <c r="B415" t="s">
        <v>1524</v>
      </c>
      <c r="C415" t="s">
        <v>3106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1504</v>
      </c>
      <c r="B416" t="s">
        <v>1505</v>
      </c>
      <c r="C416" t="s">
        <v>3106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1511</v>
      </c>
      <c r="B417" t="s">
        <v>1512</v>
      </c>
      <c r="C417" t="s">
        <v>3106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1514</v>
      </c>
      <c r="B418" t="s">
        <v>1515</v>
      </c>
      <c r="C418" t="s">
        <v>3106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1491</v>
      </c>
      <c r="B419" t="s">
        <v>1492</v>
      </c>
      <c r="C419" t="s">
        <v>3106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1542</v>
      </c>
      <c r="B420" t="s">
        <v>1543</v>
      </c>
      <c r="C420" t="s">
        <v>3106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1627</v>
      </c>
      <c r="B421" t="s">
        <v>1628</v>
      </c>
      <c r="C421" t="s">
        <v>3106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1527</v>
      </c>
      <c r="B422" t="s">
        <v>1528</v>
      </c>
      <c r="C422" t="s">
        <v>3106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1547</v>
      </c>
      <c r="B423" t="s">
        <v>1548</v>
      </c>
      <c r="C423" t="s">
        <v>3106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1618</v>
      </c>
      <c r="B424" t="s">
        <v>1619</v>
      </c>
      <c r="C424" t="s">
        <v>3106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1621</v>
      </c>
      <c r="B425" t="s">
        <v>1622</v>
      </c>
      <c r="C425" t="s">
        <v>3106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1640</v>
      </c>
      <c r="B426" t="s">
        <v>1641</v>
      </c>
      <c r="C426" t="s">
        <v>3106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1426</v>
      </c>
      <c r="B427" t="s">
        <v>3117</v>
      </c>
      <c r="C427" t="s">
        <v>3106</v>
      </c>
      <c r="D427">
        <v>14860</v>
      </c>
      <c r="E427">
        <v>30</v>
      </c>
    </row>
    <row r="428" spans="1:7" x14ac:dyDescent="0.25">
      <c r="A428" t="s">
        <v>1520</v>
      </c>
      <c r="B428" t="s">
        <v>1521</v>
      </c>
      <c r="C428" t="s">
        <v>3106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1603</v>
      </c>
      <c r="B429" t="s">
        <v>1604</v>
      </c>
      <c r="C429" t="s">
        <v>3106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1605</v>
      </c>
      <c r="B430" t="s">
        <v>1606</v>
      </c>
      <c r="C430" t="s">
        <v>3106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1601</v>
      </c>
      <c r="B431" t="s">
        <v>1602</v>
      </c>
      <c r="C431" t="s">
        <v>3106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1457</v>
      </c>
      <c r="B432" t="s">
        <v>1458</v>
      </c>
      <c r="C432" t="s">
        <v>3106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1415</v>
      </c>
      <c r="B433" t="s">
        <v>1416</v>
      </c>
      <c r="C433" t="s">
        <v>3106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1607</v>
      </c>
      <c r="B434" t="s">
        <v>1608</v>
      </c>
      <c r="C434" t="s">
        <v>3106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1614</v>
      </c>
      <c r="B435" t="s">
        <v>1615</v>
      </c>
      <c r="C435" t="s">
        <v>3106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1624</v>
      </c>
      <c r="B436" t="s">
        <v>1625</v>
      </c>
      <c r="C436" t="s">
        <v>3106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1464</v>
      </c>
      <c r="B437" t="s">
        <v>1465</v>
      </c>
      <c r="C437" t="s">
        <v>3106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1609</v>
      </c>
      <c r="B438" t="s">
        <v>1610</v>
      </c>
      <c r="C438" t="s">
        <v>3106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1536</v>
      </c>
      <c r="B439" t="s">
        <v>3118</v>
      </c>
      <c r="C439" t="s">
        <v>3106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1489</v>
      </c>
      <c r="B440" t="s">
        <v>1490</v>
      </c>
      <c r="C440" t="s">
        <v>3106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3119</v>
      </c>
      <c r="B441" t="s">
        <v>3001</v>
      </c>
      <c r="C441" t="s">
        <v>3106</v>
      </c>
      <c r="D441">
        <v>69</v>
      </c>
      <c r="E441">
        <v>2</v>
      </c>
      <c r="G441">
        <v>380</v>
      </c>
    </row>
    <row r="442" spans="1:7" x14ac:dyDescent="0.25">
      <c r="A442" t="s">
        <v>1508</v>
      </c>
      <c r="B442" t="s">
        <v>1509</v>
      </c>
      <c r="C442" t="s">
        <v>3106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1616</v>
      </c>
      <c r="B443" t="s">
        <v>1617</v>
      </c>
      <c r="C443" t="s">
        <v>3106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1611</v>
      </c>
      <c r="B444" t="s">
        <v>1612</v>
      </c>
      <c r="C444" t="s">
        <v>3106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1633</v>
      </c>
      <c r="B445" t="s">
        <v>1634</v>
      </c>
      <c r="C445" t="s">
        <v>3106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1539</v>
      </c>
      <c r="B446" t="s">
        <v>1540</v>
      </c>
      <c r="C446" t="s">
        <v>3106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1577</v>
      </c>
      <c r="B447" t="s">
        <v>1578</v>
      </c>
      <c r="C447" t="s">
        <v>3106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1631</v>
      </c>
      <c r="B448" t="s">
        <v>1632</v>
      </c>
      <c r="C448" t="s">
        <v>3106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1531</v>
      </c>
      <c r="B449" t="s">
        <v>1532</v>
      </c>
      <c r="C449" t="s">
        <v>3106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1658</v>
      </c>
      <c r="B450" t="s">
        <v>1659</v>
      </c>
      <c r="C450" t="s">
        <v>3120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1699</v>
      </c>
      <c r="B451" t="s">
        <v>1700</v>
      </c>
      <c r="C451" t="s">
        <v>3120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1719</v>
      </c>
      <c r="B452" t="s">
        <v>3121</v>
      </c>
      <c r="C452" t="s">
        <v>3120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1710</v>
      </c>
      <c r="B453" t="s">
        <v>1711</v>
      </c>
      <c r="C453" t="s">
        <v>3120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1693</v>
      </c>
      <c r="B454" t="s">
        <v>1694</v>
      </c>
      <c r="C454" t="s">
        <v>3120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1662</v>
      </c>
      <c r="B455" t="s">
        <v>1663</v>
      </c>
      <c r="C455" t="s">
        <v>3120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1687</v>
      </c>
      <c r="B456" t="s">
        <v>1688</v>
      </c>
      <c r="C456" t="s">
        <v>3120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1684</v>
      </c>
      <c r="B457" t="s">
        <v>1685</v>
      </c>
      <c r="C457" t="s">
        <v>3120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1716</v>
      </c>
      <c r="B458" t="s">
        <v>1717</v>
      </c>
      <c r="C458" t="s">
        <v>3120</v>
      </c>
      <c r="F458">
        <v>0.95374999999999999</v>
      </c>
    </row>
    <row r="459" spans="1:7" x14ac:dyDescent="0.25">
      <c r="A459" t="s">
        <v>1713</v>
      </c>
      <c r="B459" t="s">
        <v>1714</v>
      </c>
      <c r="C459" t="s">
        <v>3120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1664</v>
      </c>
      <c r="B460" t="s">
        <v>1665</v>
      </c>
      <c r="C460" t="s">
        <v>3120</v>
      </c>
      <c r="F460">
        <v>0.95374999999999999</v>
      </c>
    </row>
    <row r="461" spans="1:7" x14ac:dyDescent="0.25">
      <c r="A461" t="s">
        <v>1666</v>
      </c>
      <c r="B461" t="s">
        <v>1667</v>
      </c>
      <c r="C461" t="s">
        <v>3120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1672</v>
      </c>
      <c r="B462" t="s">
        <v>1673</v>
      </c>
      <c r="C462" t="s">
        <v>3120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1674</v>
      </c>
      <c r="B463" t="s">
        <v>3122</v>
      </c>
      <c r="C463" t="s">
        <v>3120</v>
      </c>
      <c r="D463">
        <v>1000</v>
      </c>
      <c r="E463">
        <v>2</v>
      </c>
    </row>
    <row r="464" spans="1:7" x14ac:dyDescent="0.25">
      <c r="A464" t="s">
        <v>1677</v>
      </c>
      <c r="B464" t="s">
        <v>1678</v>
      </c>
      <c r="C464" t="s">
        <v>3120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1690</v>
      </c>
      <c r="B465" t="s">
        <v>1691</v>
      </c>
      <c r="C465" t="s">
        <v>3120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1668</v>
      </c>
      <c r="B466" t="s">
        <v>1669</v>
      </c>
      <c r="C466" t="s">
        <v>3120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1681</v>
      </c>
      <c r="B467" t="s">
        <v>1682</v>
      </c>
      <c r="C467" t="s">
        <v>3120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1708</v>
      </c>
      <c r="B468" t="s">
        <v>1709</v>
      </c>
      <c r="C468" t="s">
        <v>3120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1701</v>
      </c>
      <c r="B469" t="s">
        <v>1702</v>
      </c>
      <c r="C469" t="s">
        <v>3120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1705</v>
      </c>
      <c r="B470" t="s">
        <v>1706</v>
      </c>
      <c r="C470" t="s">
        <v>3120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1696</v>
      </c>
      <c r="B471" t="s">
        <v>1697</v>
      </c>
      <c r="C471" t="s">
        <v>3120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1745</v>
      </c>
      <c r="B472" t="s">
        <v>1746</v>
      </c>
      <c r="C472" t="s">
        <v>3123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1728</v>
      </c>
      <c r="B473" t="s">
        <v>1729</v>
      </c>
      <c r="C473" t="s">
        <v>3123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1747</v>
      </c>
      <c r="B474" t="s">
        <v>1748</v>
      </c>
      <c r="C474" t="s">
        <v>3123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1750</v>
      </c>
      <c r="B475" t="s">
        <v>1751</v>
      </c>
      <c r="C475" t="s">
        <v>3123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1722</v>
      </c>
      <c r="B476" t="s">
        <v>1723</v>
      </c>
      <c r="C476" t="s">
        <v>3123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1743</v>
      </c>
      <c r="B477" t="s">
        <v>1744</v>
      </c>
      <c r="C477" t="s">
        <v>3123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1736</v>
      </c>
      <c r="B478" t="s">
        <v>1737</v>
      </c>
      <c r="C478" t="s">
        <v>3123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1726</v>
      </c>
      <c r="B479" t="s">
        <v>1727</v>
      </c>
      <c r="C479" t="s">
        <v>3123</v>
      </c>
      <c r="F479">
        <v>0.28000000000000003</v>
      </c>
    </row>
    <row r="480" spans="1:7" x14ac:dyDescent="0.25">
      <c r="A480" t="s">
        <v>1922</v>
      </c>
      <c r="B480" t="s">
        <v>1923</v>
      </c>
      <c r="C480" t="s">
        <v>3124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1830</v>
      </c>
      <c r="B481" t="s">
        <v>1831</v>
      </c>
      <c r="C481" t="s">
        <v>3124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1816</v>
      </c>
      <c r="B482" t="s">
        <v>1817</v>
      </c>
      <c r="C482" t="s">
        <v>3124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1803</v>
      </c>
      <c r="B483" t="s">
        <v>1804</v>
      </c>
      <c r="C483" t="s">
        <v>3124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1800</v>
      </c>
      <c r="B484" t="s">
        <v>1801</v>
      </c>
      <c r="C484" t="s">
        <v>3124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1839</v>
      </c>
      <c r="B485" t="s">
        <v>1840</v>
      </c>
      <c r="C485" t="s">
        <v>3124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1832</v>
      </c>
      <c r="B486" t="s">
        <v>1833</v>
      </c>
      <c r="C486" t="s">
        <v>3124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1793</v>
      </c>
      <c r="B487" t="s">
        <v>1794</v>
      </c>
      <c r="C487" t="s">
        <v>3124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1795</v>
      </c>
      <c r="B488" t="s">
        <v>1796</v>
      </c>
      <c r="C488" t="s">
        <v>3124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1809</v>
      </c>
      <c r="B489" t="s">
        <v>1810</v>
      </c>
      <c r="C489" t="s">
        <v>3124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1807</v>
      </c>
      <c r="B490" t="s">
        <v>1808</v>
      </c>
      <c r="C490" t="s">
        <v>3124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1797</v>
      </c>
      <c r="B491" t="s">
        <v>1798</v>
      </c>
      <c r="C491" t="s">
        <v>3124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1784</v>
      </c>
      <c r="B492" t="s">
        <v>1785</v>
      </c>
      <c r="C492" t="s">
        <v>3124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1899</v>
      </c>
      <c r="B493" t="s">
        <v>3125</v>
      </c>
      <c r="C493" t="s">
        <v>3124</v>
      </c>
      <c r="D493">
        <v>1000</v>
      </c>
      <c r="E493">
        <v>2</v>
      </c>
    </row>
    <row r="494" spans="1:7" x14ac:dyDescent="0.25">
      <c r="A494" t="s">
        <v>1781</v>
      </c>
      <c r="B494" t="s">
        <v>1782</v>
      </c>
      <c r="C494" t="s">
        <v>3124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1836</v>
      </c>
      <c r="B495" t="s">
        <v>1837</v>
      </c>
      <c r="C495" t="s">
        <v>3124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1774</v>
      </c>
      <c r="B496" t="s">
        <v>1775</v>
      </c>
      <c r="C496" t="s">
        <v>3124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1778</v>
      </c>
      <c r="B497" t="s">
        <v>1779</v>
      </c>
      <c r="C497" t="s">
        <v>3124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1787</v>
      </c>
      <c r="B498" t="s">
        <v>1788</v>
      </c>
      <c r="C498" t="s">
        <v>3124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1814</v>
      </c>
      <c r="B499" t="s">
        <v>1815</v>
      </c>
      <c r="C499" t="s">
        <v>3124</v>
      </c>
      <c r="F499">
        <v>0.39800000000000002</v>
      </c>
    </row>
    <row r="500" spans="1:7" x14ac:dyDescent="0.25">
      <c r="A500" t="s">
        <v>1812</v>
      </c>
      <c r="B500" t="s">
        <v>1813</v>
      </c>
      <c r="C500" t="s">
        <v>3124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1826</v>
      </c>
      <c r="B501" t="s">
        <v>1827</v>
      </c>
      <c r="C501" t="s">
        <v>3124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1828</v>
      </c>
      <c r="B502" t="s">
        <v>1829</v>
      </c>
      <c r="C502" t="s">
        <v>3124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3126</v>
      </c>
      <c r="C509" t="s">
        <v>55</v>
      </c>
      <c r="D509">
        <v>8500</v>
      </c>
      <c r="E509">
        <v>17</v>
      </c>
    </row>
    <row r="510" spans="1:7" x14ac:dyDescent="0.25">
      <c r="A510" t="s">
        <v>1993</v>
      </c>
      <c r="B510" t="s">
        <v>1994</v>
      </c>
      <c r="C510" t="s">
        <v>1979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1996</v>
      </c>
      <c r="B511" t="s">
        <v>1997</v>
      </c>
      <c r="C511" t="s">
        <v>1979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1980</v>
      </c>
      <c r="B512" t="s">
        <v>1981</v>
      </c>
      <c r="C512" t="s">
        <v>1979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1999</v>
      </c>
      <c r="B513" t="s">
        <v>2000</v>
      </c>
      <c r="C513" t="s">
        <v>1979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1987</v>
      </c>
      <c r="B514" t="s">
        <v>1988</v>
      </c>
      <c r="C514" t="s">
        <v>1979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1990</v>
      </c>
      <c r="B515" t="s">
        <v>1991</v>
      </c>
      <c r="C515" t="s">
        <v>1979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1984</v>
      </c>
      <c r="B516" t="s">
        <v>1985</v>
      </c>
      <c r="C516" t="s">
        <v>1979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1976</v>
      </c>
      <c r="B517" t="s">
        <v>1977</v>
      </c>
      <c r="C517" t="s">
        <v>1979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1982</v>
      </c>
      <c r="B518" t="s">
        <v>1983</v>
      </c>
      <c r="C518" t="s">
        <v>1979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1863</v>
      </c>
      <c r="B519" t="s">
        <v>1864</v>
      </c>
      <c r="C519" t="s">
        <v>3127</v>
      </c>
      <c r="F519">
        <v>0.2857142857142857</v>
      </c>
    </row>
    <row r="520" spans="1:7" x14ac:dyDescent="0.25">
      <c r="A520" t="s">
        <v>1866</v>
      </c>
      <c r="B520" t="s">
        <v>1867</v>
      </c>
      <c r="C520" t="s">
        <v>3127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1868</v>
      </c>
      <c r="B521" t="s">
        <v>1869</v>
      </c>
      <c r="C521" t="s">
        <v>3127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2212</v>
      </c>
      <c r="B522" t="s">
        <v>2213</v>
      </c>
      <c r="C522" t="s">
        <v>3128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2161</v>
      </c>
      <c r="B523" t="s">
        <v>2162</v>
      </c>
      <c r="C523" t="s">
        <v>3128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2203</v>
      </c>
      <c r="B524" t="s">
        <v>2204</v>
      </c>
      <c r="C524" t="s">
        <v>3128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2062</v>
      </c>
      <c r="B525" t="s">
        <v>2063</v>
      </c>
      <c r="C525" t="s">
        <v>3128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2158</v>
      </c>
      <c r="B526" t="s">
        <v>2159</v>
      </c>
      <c r="C526" t="s">
        <v>3128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2206</v>
      </c>
      <c r="B527" t="s">
        <v>2207</v>
      </c>
      <c r="C527" t="s">
        <v>3128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2073</v>
      </c>
      <c r="B528" t="s">
        <v>2074</v>
      </c>
      <c r="C528" t="s">
        <v>3128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2200</v>
      </c>
      <c r="B529" t="s">
        <v>2201</v>
      </c>
      <c r="C529" t="s">
        <v>3128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2209</v>
      </c>
      <c r="B530" t="s">
        <v>2210</v>
      </c>
      <c r="C530" t="s">
        <v>3128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2068</v>
      </c>
      <c r="B531" t="s">
        <v>2069</v>
      </c>
      <c r="C531" t="s">
        <v>3128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2066</v>
      </c>
      <c r="B532" t="s">
        <v>2067</v>
      </c>
      <c r="C532" t="s">
        <v>3128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2169</v>
      </c>
      <c r="B533" t="s">
        <v>2170</v>
      </c>
      <c r="C533" t="s">
        <v>3128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2075</v>
      </c>
      <c r="B534" t="s">
        <v>2076</v>
      </c>
      <c r="C534" t="s">
        <v>3128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2071</v>
      </c>
      <c r="B535" t="s">
        <v>2072</v>
      </c>
      <c r="C535" t="s">
        <v>3128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2195</v>
      </c>
      <c r="B536" t="s">
        <v>2196</v>
      </c>
      <c r="C536" t="s">
        <v>3128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2189</v>
      </c>
      <c r="B537" t="s">
        <v>2190</v>
      </c>
      <c r="C537" t="s">
        <v>3128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2192</v>
      </c>
      <c r="B538" t="s">
        <v>2193</v>
      </c>
      <c r="C538" t="s">
        <v>3128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2198</v>
      </c>
      <c r="B539" t="s">
        <v>2199</v>
      </c>
      <c r="C539" t="s">
        <v>3128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3129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3130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3131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2240</v>
      </c>
      <c r="B546" t="s">
        <v>2241</v>
      </c>
      <c r="C546" t="s">
        <v>3132</v>
      </c>
      <c r="F546">
        <v>0</v>
      </c>
    </row>
    <row r="547" spans="1:7" x14ac:dyDescent="0.25">
      <c r="A547" t="s">
        <v>2218</v>
      </c>
      <c r="B547" t="s">
        <v>3133</v>
      </c>
      <c r="C547" t="s">
        <v>3132</v>
      </c>
      <c r="D547">
        <v>1000</v>
      </c>
      <c r="E547">
        <v>2</v>
      </c>
    </row>
    <row r="548" spans="1:7" x14ac:dyDescent="0.25">
      <c r="A548" t="s">
        <v>2231</v>
      </c>
      <c r="B548" t="s">
        <v>2232</v>
      </c>
      <c r="C548" t="s">
        <v>3132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1942</v>
      </c>
      <c r="B549" t="s">
        <v>1943</v>
      </c>
      <c r="C549" t="s">
        <v>3134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1914</v>
      </c>
      <c r="B550" t="s">
        <v>3135</v>
      </c>
      <c r="C550" t="s">
        <v>3134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1939</v>
      </c>
      <c r="B551" t="s">
        <v>1940</v>
      </c>
      <c r="C551" t="s">
        <v>3134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1956</v>
      </c>
      <c r="B552" t="s">
        <v>1957</v>
      </c>
      <c r="C552" t="s">
        <v>3134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1918</v>
      </c>
      <c r="B553" t="s">
        <v>3136</v>
      </c>
      <c r="C553" t="s">
        <v>3134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1870</v>
      </c>
      <c r="B554" t="s">
        <v>1871</v>
      </c>
      <c r="C554" t="s">
        <v>3134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1874</v>
      </c>
      <c r="B555" t="s">
        <v>1875</v>
      </c>
      <c r="C555" t="s">
        <v>3134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1920</v>
      </c>
      <c r="B556" t="s">
        <v>3137</v>
      </c>
      <c r="C556" t="s">
        <v>3134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1973</v>
      </c>
      <c r="B557" t="s">
        <v>1974</v>
      </c>
      <c r="C557" t="s">
        <v>3134</v>
      </c>
      <c r="F557">
        <v>3.875E-2</v>
      </c>
    </row>
    <row r="558" spans="1:7" x14ac:dyDescent="0.25">
      <c r="A558" t="s">
        <v>1879</v>
      </c>
      <c r="B558" t="s">
        <v>1880</v>
      </c>
      <c r="C558" t="s">
        <v>3134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1930</v>
      </c>
      <c r="B559" t="s">
        <v>1931</v>
      </c>
      <c r="C559" t="s">
        <v>3134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1934</v>
      </c>
      <c r="B560" t="s">
        <v>1935</v>
      </c>
      <c r="C560" t="s">
        <v>3134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1932</v>
      </c>
      <c r="B561" t="s">
        <v>1933</v>
      </c>
      <c r="C561" t="s">
        <v>3134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1896</v>
      </c>
      <c r="B562" t="s">
        <v>1897</v>
      </c>
      <c r="C562" t="s">
        <v>3134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1903</v>
      </c>
      <c r="B563" t="s">
        <v>3138</v>
      </c>
      <c r="C563" t="s">
        <v>3134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1907</v>
      </c>
      <c r="B564" t="s">
        <v>3139</v>
      </c>
      <c r="C564" t="s">
        <v>3134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1961</v>
      </c>
      <c r="B565" t="s">
        <v>1962</v>
      </c>
      <c r="C565" t="s">
        <v>3134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1967</v>
      </c>
      <c r="B566" t="s">
        <v>1968</v>
      </c>
      <c r="C566" t="s">
        <v>3134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1964</v>
      </c>
      <c r="B567" t="s">
        <v>1965</v>
      </c>
      <c r="C567" t="s">
        <v>3134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1936</v>
      </c>
      <c r="B568" t="s">
        <v>1937</v>
      </c>
      <c r="C568" t="s">
        <v>3134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1909</v>
      </c>
      <c r="B569" t="s">
        <v>3140</v>
      </c>
      <c r="C569" t="s">
        <v>3134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1970</v>
      </c>
      <c r="B570" t="s">
        <v>1971</v>
      </c>
      <c r="C570" t="s">
        <v>3134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1905</v>
      </c>
      <c r="B571" t="s">
        <v>3141</v>
      </c>
      <c r="C571" t="s">
        <v>3134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1912</v>
      </c>
      <c r="B572" t="s">
        <v>3142</v>
      </c>
      <c r="C572" t="s">
        <v>3134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475</v>
      </c>
      <c r="B573" t="s">
        <v>476</v>
      </c>
      <c r="C573" t="s">
        <v>3134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1959</v>
      </c>
      <c r="B574" t="s">
        <v>1960</v>
      </c>
      <c r="C574" t="s">
        <v>3134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1883</v>
      </c>
      <c r="B575" t="s">
        <v>3143</v>
      </c>
      <c r="C575" t="s">
        <v>3134</v>
      </c>
      <c r="D575">
        <v>6000</v>
      </c>
      <c r="E575">
        <v>12</v>
      </c>
    </row>
    <row r="576" spans="1:7" x14ac:dyDescent="0.25">
      <c r="A576" t="s">
        <v>1916</v>
      </c>
      <c r="B576" t="s">
        <v>3144</v>
      </c>
      <c r="C576" t="s">
        <v>3134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1881</v>
      </c>
      <c r="B577" t="s">
        <v>1882</v>
      </c>
      <c r="C577" t="s">
        <v>3134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470</v>
      </c>
      <c r="B578" t="s">
        <v>471</v>
      </c>
      <c r="C578" t="s">
        <v>3134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465</v>
      </c>
      <c r="B579" t="s">
        <v>466</v>
      </c>
      <c r="C579" t="s">
        <v>3134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3145</v>
      </c>
      <c r="B580" t="s">
        <v>2941</v>
      </c>
      <c r="C580" t="s">
        <v>3146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2314</v>
      </c>
      <c r="B581" t="s">
        <v>2315</v>
      </c>
      <c r="C581" t="s">
        <v>3146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2289</v>
      </c>
      <c r="B582" t="s">
        <v>2290</v>
      </c>
      <c r="C582" t="s">
        <v>3146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2319</v>
      </c>
      <c r="B583" t="s">
        <v>2320</v>
      </c>
      <c r="C583" t="s">
        <v>3146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2317</v>
      </c>
      <c r="B584" t="s">
        <v>2318</v>
      </c>
      <c r="C584" t="s">
        <v>3146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2293</v>
      </c>
      <c r="B585" t="s">
        <v>2294</v>
      </c>
      <c r="C585" t="s">
        <v>3146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2311</v>
      </c>
      <c r="B586" t="s">
        <v>2312</v>
      </c>
      <c r="C586" t="s">
        <v>3146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2308</v>
      </c>
      <c r="B587" t="s">
        <v>2309</v>
      </c>
      <c r="C587" t="s">
        <v>3146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2296</v>
      </c>
      <c r="B588" t="s">
        <v>2297</v>
      </c>
      <c r="C588" t="s">
        <v>3146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2299</v>
      </c>
      <c r="B589" t="s">
        <v>2300</v>
      </c>
      <c r="C589" t="s">
        <v>3146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2336</v>
      </c>
      <c r="B590" t="s">
        <v>2337</v>
      </c>
      <c r="C590" t="s">
        <v>3147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2375</v>
      </c>
      <c r="B591" t="s">
        <v>2376</v>
      </c>
      <c r="C591" t="s">
        <v>3147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2357</v>
      </c>
      <c r="B592" t="s">
        <v>2358</v>
      </c>
      <c r="C592" t="s">
        <v>3147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2329</v>
      </c>
      <c r="B593" t="s">
        <v>2330</v>
      </c>
      <c r="C593" t="s">
        <v>3147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2350</v>
      </c>
      <c r="B594" t="s">
        <v>2351</v>
      </c>
      <c r="C594" t="s">
        <v>3147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2371</v>
      </c>
      <c r="B595" t="s">
        <v>2372</v>
      </c>
      <c r="C595" t="s">
        <v>3147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2322</v>
      </c>
      <c r="B596" t="s">
        <v>2323</v>
      </c>
      <c r="C596" t="s">
        <v>3147</v>
      </c>
      <c r="D596">
        <v>682.8</v>
      </c>
      <c r="E596">
        <v>4</v>
      </c>
      <c r="G596">
        <v>1533.88</v>
      </c>
    </row>
    <row r="597" spans="1:7" x14ac:dyDescent="0.25">
      <c r="A597" t="s">
        <v>2377</v>
      </c>
      <c r="B597" t="s">
        <v>3148</v>
      </c>
      <c r="C597" t="s">
        <v>3147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2379</v>
      </c>
      <c r="B598" t="s">
        <v>2380</v>
      </c>
      <c r="C598" t="s">
        <v>3147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2355</v>
      </c>
      <c r="B599" t="s">
        <v>2356</v>
      </c>
      <c r="C599" t="s">
        <v>3147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2327</v>
      </c>
      <c r="B600" t="s">
        <v>2328</v>
      </c>
      <c r="C600" t="s">
        <v>3147</v>
      </c>
      <c r="D600">
        <v>190</v>
      </c>
      <c r="E600">
        <v>2</v>
      </c>
      <c r="G600">
        <v>357.5</v>
      </c>
    </row>
    <row r="601" spans="1:7" x14ac:dyDescent="0.25">
      <c r="A601" t="s">
        <v>2345</v>
      </c>
      <c r="B601" t="s">
        <v>2346</v>
      </c>
      <c r="C601" t="s">
        <v>3147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2342</v>
      </c>
      <c r="B602" t="s">
        <v>2343</v>
      </c>
      <c r="C602" t="s">
        <v>3147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2340</v>
      </c>
      <c r="B603" t="s">
        <v>2341</v>
      </c>
      <c r="C603" t="s">
        <v>3147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2348</v>
      </c>
      <c r="B604" t="s">
        <v>2349</v>
      </c>
      <c r="C604" t="s">
        <v>3147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2360</v>
      </c>
      <c r="B605" t="s">
        <v>2361</v>
      </c>
      <c r="C605" t="s">
        <v>3147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2353</v>
      </c>
      <c r="B606" t="s">
        <v>3149</v>
      </c>
      <c r="C606" t="s">
        <v>3147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2333</v>
      </c>
      <c r="B607" t="s">
        <v>3150</v>
      </c>
      <c r="C607" t="s">
        <v>3147</v>
      </c>
      <c r="D607">
        <v>1000</v>
      </c>
      <c r="E607">
        <v>2</v>
      </c>
    </row>
    <row r="608" spans="1:7" x14ac:dyDescent="0.25">
      <c r="A608" t="s">
        <v>2382</v>
      </c>
      <c r="B608" t="s">
        <v>2383</v>
      </c>
      <c r="C608" t="s">
        <v>3147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2364</v>
      </c>
      <c r="B609" t="s">
        <v>2365</v>
      </c>
      <c r="C609" t="s">
        <v>3147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2362</v>
      </c>
      <c r="B610" t="s">
        <v>2363</v>
      </c>
      <c r="C610" t="s">
        <v>3147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1120</v>
      </c>
      <c r="B611" t="s">
        <v>1121</v>
      </c>
      <c r="C611" t="s">
        <v>3151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1146</v>
      </c>
      <c r="B612" t="s">
        <v>1147</v>
      </c>
      <c r="C612" t="s">
        <v>3151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998</v>
      </c>
      <c r="B613" t="s">
        <v>999</v>
      </c>
      <c r="C613" t="s">
        <v>3151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2398</v>
      </c>
      <c r="B614" t="s">
        <v>2399</v>
      </c>
      <c r="C614" t="s">
        <v>3151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1151</v>
      </c>
      <c r="B615" t="s">
        <v>1152</v>
      </c>
      <c r="C615" t="s">
        <v>3151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953</v>
      </c>
      <c r="B616" t="s">
        <v>954</v>
      </c>
      <c r="C616" t="s">
        <v>3151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1097</v>
      </c>
      <c r="B617" t="s">
        <v>1098</v>
      </c>
      <c r="C617" t="s">
        <v>3151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1102</v>
      </c>
      <c r="B618" t="s">
        <v>3152</v>
      </c>
      <c r="C618" t="s">
        <v>3151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1100</v>
      </c>
      <c r="B619" t="s">
        <v>3152</v>
      </c>
      <c r="C619" t="s">
        <v>3151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1108</v>
      </c>
      <c r="B620" t="s">
        <v>1109</v>
      </c>
      <c r="C620" t="s">
        <v>3151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962</v>
      </c>
      <c r="B621" t="s">
        <v>963</v>
      </c>
      <c r="C621" t="s">
        <v>3151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958</v>
      </c>
      <c r="B622" t="s">
        <v>959</v>
      </c>
      <c r="C622" t="s">
        <v>3151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1123</v>
      </c>
      <c r="B623" t="s">
        <v>1124</v>
      </c>
      <c r="C623" t="s">
        <v>3151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956</v>
      </c>
      <c r="B624" t="s">
        <v>957</v>
      </c>
      <c r="C624" t="s">
        <v>3151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1160</v>
      </c>
      <c r="B625" t="s">
        <v>1161</v>
      </c>
      <c r="C625" t="s">
        <v>3151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1129</v>
      </c>
      <c r="B626" t="s">
        <v>1130</v>
      </c>
      <c r="C626" t="s">
        <v>3151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1168</v>
      </c>
      <c r="B627" t="s">
        <v>1169</v>
      </c>
      <c r="C627" t="s">
        <v>3151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2430</v>
      </c>
      <c r="B628" t="s">
        <v>2431</v>
      </c>
      <c r="C628" t="s">
        <v>3151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1176</v>
      </c>
      <c r="B629" t="s">
        <v>1177</v>
      </c>
      <c r="C629" t="s">
        <v>3151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1111</v>
      </c>
      <c r="B630" t="s">
        <v>1112</v>
      </c>
      <c r="C630" t="s">
        <v>3151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1114</v>
      </c>
      <c r="B631" t="s">
        <v>1115</v>
      </c>
      <c r="C631" t="s">
        <v>3151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1117</v>
      </c>
      <c r="B632" t="s">
        <v>1118</v>
      </c>
      <c r="C632" t="s">
        <v>3151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1093</v>
      </c>
      <c r="B633" t="s">
        <v>1094</v>
      </c>
      <c r="C633" t="s">
        <v>3151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2428</v>
      </c>
      <c r="B634" t="s">
        <v>2429</v>
      </c>
      <c r="C634" t="s">
        <v>3151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1165</v>
      </c>
      <c r="B635" t="s">
        <v>1166</v>
      </c>
      <c r="C635" t="s">
        <v>3151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960</v>
      </c>
      <c r="B636" t="s">
        <v>961</v>
      </c>
      <c r="C636" t="s">
        <v>3151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2436</v>
      </c>
      <c r="B637" t="s">
        <v>2437</v>
      </c>
      <c r="C637" t="s">
        <v>3151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2433</v>
      </c>
      <c r="B638" t="s">
        <v>2434</v>
      </c>
      <c r="C638" t="s">
        <v>3151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2441</v>
      </c>
      <c r="B639" t="s">
        <v>2442</v>
      </c>
      <c r="C639" t="s">
        <v>3151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1157</v>
      </c>
      <c r="B640" t="s">
        <v>3153</v>
      </c>
      <c r="C640" t="s">
        <v>3151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1154</v>
      </c>
      <c r="B641" t="s">
        <v>1155</v>
      </c>
      <c r="C641" t="s">
        <v>3151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1143</v>
      </c>
      <c r="B642" t="s">
        <v>1144</v>
      </c>
      <c r="C642" t="s">
        <v>3151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1174</v>
      </c>
      <c r="B643" t="s">
        <v>1175</v>
      </c>
      <c r="C643" t="s">
        <v>3151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2439</v>
      </c>
      <c r="B644" t="s">
        <v>2440</v>
      </c>
      <c r="C644" t="s">
        <v>3151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2422</v>
      </c>
      <c r="B645" t="s">
        <v>2423</v>
      </c>
      <c r="C645" t="s">
        <v>3151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2419</v>
      </c>
      <c r="B646" t="s">
        <v>2420</v>
      </c>
      <c r="C646" t="s">
        <v>3151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2395</v>
      </c>
      <c r="B647" t="s">
        <v>2396</v>
      </c>
      <c r="C647" t="s">
        <v>3151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1126</v>
      </c>
      <c r="B648" t="s">
        <v>1127</v>
      </c>
      <c r="C648" t="s">
        <v>3151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2425</v>
      </c>
      <c r="B649" t="s">
        <v>2426</v>
      </c>
      <c r="C649" t="s">
        <v>3151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2385</v>
      </c>
      <c r="B650" t="s">
        <v>2386</v>
      </c>
      <c r="C650" t="s">
        <v>3151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1149</v>
      </c>
      <c r="B651" t="s">
        <v>1150</v>
      </c>
      <c r="C651" t="s">
        <v>3151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2393</v>
      </c>
      <c r="B652" t="s">
        <v>2394</v>
      </c>
      <c r="C652" t="s">
        <v>3151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2390</v>
      </c>
      <c r="B653" t="s">
        <v>2391</v>
      </c>
      <c r="C653" t="s">
        <v>3151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995</v>
      </c>
      <c r="B654" t="s">
        <v>996</v>
      </c>
      <c r="C654" t="s">
        <v>3151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1136</v>
      </c>
      <c r="B655" t="s">
        <v>1137</v>
      </c>
      <c r="C655" t="s">
        <v>3151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1105</v>
      </c>
      <c r="B656" t="s">
        <v>3154</v>
      </c>
      <c r="C656" t="s">
        <v>3151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2403</v>
      </c>
      <c r="B657" t="s">
        <v>2404</v>
      </c>
      <c r="C657" t="s">
        <v>3151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2401</v>
      </c>
      <c r="B658" t="s">
        <v>2402</v>
      </c>
      <c r="C658" t="s">
        <v>3151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1171</v>
      </c>
      <c r="B659" t="s">
        <v>1172</v>
      </c>
      <c r="C659" t="s">
        <v>3151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2139</v>
      </c>
      <c r="B660" t="s">
        <v>2140</v>
      </c>
      <c r="C660" t="s">
        <v>3155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2123</v>
      </c>
      <c r="B661" t="s">
        <v>2124</v>
      </c>
      <c r="C661" t="s">
        <v>3155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2126</v>
      </c>
      <c r="B662" t="s">
        <v>2127</v>
      </c>
      <c r="C662" t="s">
        <v>3155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2120</v>
      </c>
      <c r="B663" t="s">
        <v>2121</v>
      </c>
      <c r="C663" t="s">
        <v>3155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2129</v>
      </c>
      <c r="B664" t="s">
        <v>2130</v>
      </c>
      <c r="C664" t="s">
        <v>3155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2134</v>
      </c>
      <c r="B665" t="s">
        <v>2135</v>
      </c>
      <c r="C665" t="s">
        <v>3155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2136</v>
      </c>
      <c r="B666" t="s">
        <v>2137</v>
      </c>
      <c r="C666" t="s">
        <v>3155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2116</v>
      </c>
      <c r="B667" t="s">
        <v>2117</v>
      </c>
      <c r="C667" t="s">
        <v>3155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2132</v>
      </c>
      <c r="B668" t="s">
        <v>2133</v>
      </c>
      <c r="C668" t="s">
        <v>3155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333</v>
      </c>
      <c r="B669" t="s">
        <v>334</v>
      </c>
      <c r="C669" t="s">
        <v>3156</v>
      </c>
      <c r="D669">
        <v>10.050000000000001</v>
      </c>
      <c r="E669" t="s">
        <v>3157</v>
      </c>
    </row>
    <row r="670" spans="1:7" x14ac:dyDescent="0.25">
      <c r="A670" t="s">
        <v>390</v>
      </c>
      <c r="B670" t="s">
        <v>391</v>
      </c>
      <c r="C670" t="s">
        <v>3156</v>
      </c>
      <c r="D670">
        <v>6.25</v>
      </c>
      <c r="E670" t="s">
        <v>3157</v>
      </c>
    </row>
    <row r="671" spans="1:7" x14ac:dyDescent="0.25">
      <c r="A671" t="s">
        <v>393</v>
      </c>
      <c r="B671" t="s">
        <v>394</v>
      </c>
      <c r="C671" t="s">
        <v>3156</v>
      </c>
      <c r="D671">
        <v>6.25</v>
      </c>
      <c r="E671" t="s">
        <v>3157</v>
      </c>
    </row>
    <row r="672" spans="1:7" x14ac:dyDescent="0.25">
      <c r="A672" t="s">
        <v>396</v>
      </c>
      <c r="B672" t="s">
        <v>397</v>
      </c>
      <c r="C672" t="s">
        <v>3156</v>
      </c>
      <c r="D672">
        <v>6.25</v>
      </c>
      <c r="E672" t="s">
        <v>3157</v>
      </c>
    </row>
    <row r="673" spans="1:5" x14ac:dyDescent="0.25">
      <c r="A673" t="s">
        <v>367</v>
      </c>
      <c r="B673" t="s">
        <v>368</v>
      </c>
      <c r="C673" t="s">
        <v>3156</v>
      </c>
      <c r="D673">
        <v>6.25</v>
      </c>
      <c r="E673" t="s">
        <v>3157</v>
      </c>
    </row>
    <row r="674" spans="1:5" x14ac:dyDescent="0.25">
      <c r="A674" t="s">
        <v>399</v>
      </c>
      <c r="B674" t="s">
        <v>400</v>
      </c>
      <c r="C674" t="s">
        <v>3156</v>
      </c>
      <c r="D674">
        <v>2.85</v>
      </c>
      <c r="E674" t="s">
        <v>3157</v>
      </c>
    </row>
    <row r="675" spans="1:5" x14ac:dyDescent="0.25">
      <c r="A675" t="s">
        <v>402</v>
      </c>
      <c r="B675" t="s">
        <v>403</v>
      </c>
      <c r="C675" t="s">
        <v>3156</v>
      </c>
      <c r="D675">
        <v>2.85</v>
      </c>
      <c r="E675" t="s">
        <v>3157</v>
      </c>
    </row>
    <row r="676" spans="1:5" x14ac:dyDescent="0.25">
      <c r="A676" t="s">
        <v>405</v>
      </c>
      <c r="B676" t="s">
        <v>406</v>
      </c>
      <c r="C676" t="s">
        <v>3156</v>
      </c>
      <c r="D676">
        <v>2.85</v>
      </c>
      <c r="E676" t="s">
        <v>3157</v>
      </c>
    </row>
    <row r="677" spans="1:5" x14ac:dyDescent="0.25">
      <c r="A677" t="s">
        <v>408</v>
      </c>
      <c r="B677" t="s">
        <v>409</v>
      </c>
      <c r="C677" t="s">
        <v>3156</v>
      </c>
      <c r="D677">
        <v>2.85</v>
      </c>
      <c r="E677" t="s">
        <v>3157</v>
      </c>
    </row>
    <row r="678" spans="1:5" x14ac:dyDescent="0.25">
      <c r="A678" t="s">
        <v>388</v>
      </c>
      <c r="B678" t="s">
        <v>389</v>
      </c>
      <c r="C678" t="s">
        <v>3156</v>
      </c>
      <c r="D678">
        <v>1.25</v>
      </c>
      <c r="E678" t="s">
        <v>3157</v>
      </c>
    </row>
    <row r="679" spans="1:5" x14ac:dyDescent="0.25">
      <c r="A679" t="s">
        <v>336</v>
      </c>
      <c r="B679" t="s">
        <v>337</v>
      </c>
      <c r="C679" t="s">
        <v>3156</v>
      </c>
      <c r="D679">
        <v>6.25</v>
      </c>
      <c r="E679" t="s">
        <v>3157</v>
      </c>
    </row>
    <row r="680" spans="1:5" x14ac:dyDescent="0.25">
      <c r="A680" t="s">
        <v>370</v>
      </c>
      <c r="B680" t="s">
        <v>371</v>
      </c>
      <c r="C680" t="s">
        <v>3156</v>
      </c>
      <c r="D680">
        <v>2.7</v>
      </c>
      <c r="E680" t="s">
        <v>3157</v>
      </c>
    </row>
    <row r="681" spans="1:5" x14ac:dyDescent="0.25">
      <c r="A681" t="s">
        <v>372</v>
      </c>
      <c r="B681" t="s">
        <v>373</v>
      </c>
      <c r="C681" t="s">
        <v>3156</v>
      </c>
      <c r="D681">
        <v>5.9</v>
      </c>
      <c r="E681" t="s">
        <v>3158</v>
      </c>
    </row>
    <row r="682" spans="1:5" x14ac:dyDescent="0.25">
      <c r="A682" t="s">
        <v>374</v>
      </c>
      <c r="B682" t="s">
        <v>375</v>
      </c>
      <c r="C682" t="s">
        <v>3156</v>
      </c>
      <c r="D682">
        <v>1.85</v>
      </c>
      <c r="E682" t="s">
        <v>3158</v>
      </c>
    </row>
    <row r="683" spans="1:5" x14ac:dyDescent="0.25">
      <c r="A683" t="s">
        <v>376</v>
      </c>
      <c r="B683" t="s">
        <v>377</v>
      </c>
      <c r="C683" t="s">
        <v>3156</v>
      </c>
      <c r="D683">
        <v>2.2000000000000002</v>
      </c>
      <c r="E683" t="s">
        <v>3158</v>
      </c>
    </row>
    <row r="684" spans="1:5" x14ac:dyDescent="0.25">
      <c r="A684" t="s">
        <v>378</v>
      </c>
      <c r="B684" t="s">
        <v>379</v>
      </c>
      <c r="C684" t="s">
        <v>3156</v>
      </c>
      <c r="D684">
        <v>2.85</v>
      </c>
      <c r="E684" t="s">
        <v>3158</v>
      </c>
    </row>
    <row r="685" spans="1:5" x14ac:dyDescent="0.25">
      <c r="A685" t="s">
        <v>380</v>
      </c>
      <c r="B685" t="s">
        <v>381</v>
      </c>
      <c r="C685" t="s">
        <v>3156</v>
      </c>
      <c r="D685">
        <v>3.1</v>
      </c>
      <c r="E685" t="s">
        <v>3158</v>
      </c>
    </row>
    <row r="686" spans="1:5" x14ac:dyDescent="0.25">
      <c r="A686" t="s">
        <v>382</v>
      </c>
      <c r="B686" t="s">
        <v>383</v>
      </c>
      <c r="C686" t="s">
        <v>3156</v>
      </c>
      <c r="D686">
        <v>3.45</v>
      </c>
      <c r="E686" t="s">
        <v>3158</v>
      </c>
    </row>
    <row r="687" spans="1:5" x14ac:dyDescent="0.25">
      <c r="A687" t="s">
        <v>384</v>
      </c>
      <c r="B687" t="s">
        <v>385</v>
      </c>
      <c r="C687" t="s">
        <v>3156</v>
      </c>
      <c r="D687">
        <v>3.75</v>
      </c>
      <c r="E687" t="s">
        <v>3158</v>
      </c>
    </row>
    <row r="688" spans="1:5" x14ac:dyDescent="0.25">
      <c r="A688" t="s">
        <v>386</v>
      </c>
      <c r="B688" t="s">
        <v>387</v>
      </c>
      <c r="C688" t="s">
        <v>3156</v>
      </c>
      <c r="D688">
        <v>4.45</v>
      </c>
      <c r="E688" t="s">
        <v>3158</v>
      </c>
    </row>
    <row r="689" spans="1:5" x14ac:dyDescent="0.25">
      <c r="A689" t="s">
        <v>437</v>
      </c>
      <c r="B689" t="s">
        <v>438</v>
      </c>
      <c r="C689" t="s">
        <v>3156</v>
      </c>
      <c r="D689">
        <v>13.75</v>
      </c>
      <c r="E689" t="s">
        <v>3159</v>
      </c>
    </row>
    <row r="690" spans="1:5" x14ac:dyDescent="0.25">
      <c r="A690" t="s">
        <v>451</v>
      </c>
      <c r="B690" t="s">
        <v>452</v>
      </c>
      <c r="C690" t="s">
        <v>3156</v>
      </c>
      <c r="D690">
        <v>24</v>
      </c>
      <c r="E690" t="s">
        <v>3159</v>
      </c>
    </row>
    <row r="691" spans="1:5" x14ac:dyDescent="0.25">
      <c r="A691" t="s">
        <v>439</v>
      </c>
      <c r="B691" t="s">
        <v>440</v>
      </c>
      <c r="C691" t="s">
        <v>3156</v>
      </c>
      <c r="D691">
        <v>17.149999999999999</v>
      </c>
      <c r="E691" t="s">
        <v>3159</v>
      </c>
    </row>
    <row r="692" spans="1:5" x14ac:dyDescent="0.25">
      <c r="A692" t="s">
        <v>441</v>
      </c>
      <c r="B692" t="s">
        <v>442</v>
      </c>
      <c r="C692" t="s">
        <v>3156</v>
      </c>
      <c r="D692">
        <v>20.25</v>
      </c>
      <c r="E692" t="s">
        <v>3159</v>
      </c>
    </row>
    <row r="693" spans="1:5" x14ac:dyDescent="0.25">
      <c r="A693" t="s">
        <v>453</v>
      </c>
      <c r="B693" t="s">
        <v>454</v>
      </c>
      <c r="C693" t="s">
        <v>3156</v>
      </c>
      <c r="D693">
        <v>29.85</v>
      </c>
      <c r="E693" t="s">
        <v>3159</v>
      </c>
    </row>
    <row r="694" spans="1:5" x14ac:dyDescent="0.25">
      <c r="A694" t="s">
        <v>455</v>
      </c>
      <c r="B694" t="s">
        <v>456</v>
      </c>
      <c r="C694" t="s">
        <v>3156</v>
      </c>
      <c r="D694">
        <v>36.1</v>
      </c>
      <c r="E694" t="s">
        <v>3159</v>
      </c>
    </row>
    <row r="695" spans="1:5" x14ac:dyDescent="0.25">
      <c r="A695" t="s">
        <v>443</v>
      </c>
      <c r="B695" t="s">
        <v>444</v>
      </c>
      <c r="C695" t="s">
        <v>3156</v>
      </c>
      <c r="D695">
        <v>23.65</v>
      </c>
      <c r="E695" t="s">
        <v>3159</v>
      </c>
    </row>
    <row r="696" spans="1:5" x14ac:dyDescent="0.25">
      <c r="A696" t="s">
        <v>457</v>
      </c>
      <c r="B696" t="s">
        <v>458</v>
      </c>
      <c r="C696" t="s">
        <v>3156</v>
      </c>
      <c r="D696">
        <v>42</v>
      </c>
      <c r="E696" t="s">
        <v>3159</v>
      </c>
    </row>
    <row r="697" spans="1:5" x14ac:dyDescent="0.25">
      <c r="A697" t="s">
        <v>445</v>
      </c>
      <c r="B697" t="s">
        <v>446</v>
      </c>
      <c r="C697" t="s">
        <v>3156</v>
      </c>
      <c r="D697">
        <v>27.15</v>
      </c>
      <c r="E697" t="s">
        <v>3159</v>
      </c>
    </row>
    <row r="698" spans="1:5" x14ac:dyDescent="0.25">
      <c r="A698" t="s">
        <v>459</v>
      </c>
      <c r="B698" t="s">
        <v>460</v>
      </c>
      <c r="C698" t="s">
        <v>3156</v>
      </c>
      <c r="D698">
        <v>47.95</v>
      </c>
      <c r="E698" t="s">
        <v>3159</v>
      </c>
    </row>
    <row r="699" spans="1:5" x14ac:dyDescent="0.25">
      <c r="A699" t="s">
        <v>447</v>
      </c>
      <c r="B699" t="s">
        <v>448</v>
      </c>
      <c r="C699" t="s">
        <v>3156</v>
      </c>
      <c r="D699">
        <v>30.55</v>
      </c>
      <c r="E699" t="s">
        <v>3159</v>
      </c>
    </row>
    <row r="700" spans="1:5" x14ac:dyDescent="0.25">
      <c r="A700" t="s">
        <v>461</v>
      </c>
      <c r="B700" t="s">
        <v>462</v>
      </c>
      <c r="C700" t="s">
        <v>3156</v>
      </c>
      <c r="D700">
        <v>53.8</v>
      </c>
      <c r="E700" t="s">
        <v>3159</v>
      </c>
    </row>
    <row r="701" spans="1:5" x14ac:dyDescent="0.25">
      <c r="A701" t="s">
        <v>449</v>
      </c>
      <c r="B701" t="s">
        <v>450</v>
      </c>
      <c r="C701" t="s">
        <v>3156</v>
      </c>
      <c r="D701">
        <v>33.950000000000003</v>
      </c>
      <c r="E701" t="s">
        <v>3159</v>
      </c>
    </row>
    <row r="702" spans="1:5" x14ac:dyDescent="0.25">
      <c r="A702" t="s">
        <v>463</v>
      </c>
      <c r="B702" t="s">
        <v>464</v>
      </c>
      <c r="C702" t="s">
        <v>3156</v>
      </c>
      <c r="D702">
        <v>60.05</v>
      </c>
      <c r="E702" t="s">
        <v>3159</v>
      </c>
    </row>
    <row r="703" spans="1:5" x14ac:dyDescent="0.25">
      <c r="A703" t="s">
        <v>477</v>
      </c>
      <c r="B703" t="s">
        <v>478</v>
      </c>
      <c r="C703" t="s">
        <v>3156</v>
      </c>
      <c r="D703">
        <v>9.15</v>
      </c>
      <c r="E703" t="s">
        <v>3160</v>
      </c>
    </row>
    <row r="704" spans="1:5" x14ac:dyDescent="0.25">
      <c r="A704" t="s">
        <v>480</v>
      </c>
      <c r="B704" t="s">
        <v>481</v>
      </c>
      <c r="C704" t="s">
        <v>3156</v>
      </c>
      <c r="D704">
        <v>14.45</v>
      </c>
      <c r="E704" t="s">
        <v>3160</v>
      </c>
    </row>
    <row r="705" spans="1:5" x14ac:dyDescent="0.25">
      <c r="A705" t="s">
        <v>2443</v>
      </c>
      <c r="B705" t="s">
        <v>2444</v>
      </c>
      <c r="C705" t="s">
        <v>3156</v>
      </c>
      <c r="D705">
        <v>5.35</v>
      </c>
      <c r="E705" t="s">
        <v>3160</v>
      </c>
    </row>
    <row r="706" spans="1:5" x14ac:dyDescent="0.25">
      <c r="A706" t="s">
        <v>2445</v>
      </c>
      <c r="B706" t="s">
        <v>2446</v>
      </c>
      <c r="C706" t="s">
        <v>3156</v>
      </c>
      <c r="D706">
        <v>5.35</v>
      </c>
      <c r="E706" t="s">
        <v>3160</v>
      </c>
    </row>
    <row r="707" spans="1:5" x14ac:dyDescent="0.25">
      <c r="A707" t="s">
        <v>578</v>
      </c>
      <c r="B707" t="s">
        <v>579</v>
      </c>
      <c r="C707" t="s">
        <v>3156</v>
      </c>
      <c r="D707">
        <v>25.7</v>
      </c>
      <c r="E707" t="s">
        <v>3161</v>
      </c>
    </row>
    <row r="708" spans="1:5" x14ac:dyDescent="0.25">
      <c r="A708" t="s">
        <v>2447</v>
      </c>
      <c r="B708" t="s">
        <v>2448</v>
      </c>
      <c r="C708" t="s">
        <v>3156</v>
      </c>
      <c r="D708">
        <v>3.55</v>
      </c>
      <c r="E708" t="s">
        <v>3161</v>
      </c>
    </row>
    <row r="709" spans="1:5" x14ac:dyDescent="0.25">
      <c r="A709" t="s">
        <v>659</v>
      </c>
      <c r="B709" t="s">
        <v>660</v>
      </c>
      <c r="C709" t="s">
        <v>3156</v>
      </c>
      <c r="D709">
        <v>16.55</v>
      </c>
      <c r="E709" t="s">
        <v>3161</v>
      </c>
    </row>
    <row r="710" spans="1:5" x14ac:dyDescent="0.25">
      <c r="A710" t="s">
        <v>535</v>
      </c>
      <c r="B710" t="s">
        <v>536</v>
      </c>
      <c r="C710" t="s">
        <v>3156</v>
      </c>
      <c r="D710">
        <v>10.6</v>
      </c>
      <c r="E710" t="s">
        <v>3161</v>
      </c>
    </row>
    <row r="711" spans="1:5" x14ac:dyDescent="0.25">
      <c r="A711" t="s">
        <v>2449</v>
      </c>
      <c r="B711" t="s">
        <v>2450</v>
      </c>
      <c r="C711" t="s">
        <v>3156</v>
      </c>
      <c r="D711">
        <v>2.7</v>
      </c>
      <c r="E711" t="s">
        <v>3161</v>
      </c>
    </row>
    <row r="712" spans="1:5" x14ac:dyDescent="0.25">
      <c r="A712" t="s">
        <v>2451</v>
      </c>
      <c r="B712" t="s">
        <v>2452</v>
      </c>
      <c r="C712" t="s">
        <v>3156</v>
      </c>
      <c r="D712">
        <v>4.1500000000000004</v>
      </c>
      <c r="E712" t="s">
        <v>3161</v>
      </c>
    </row>
    <row r="713" spans="1:5" x14ac:dyDescent="0.25">
      <c r="A713" t="s">
        <v>2453</v>
      </c>
      <c r="B713" t="s">
        <v>2454</v>
      </c>
      <c r="C713" t="s">
        <v>3156</v>
      </c>
      <c r="D713">
        <v>3.85</v>
      </c>
      <c r="E713" t="s">
        <v>3161</v>
      </c>
    </row>
    <row r="714" spans="1:5" x14ac:dyDescent="0.25">
      <c r="A714" t="s">
        <v>2455</v>
      </c>
      <c r="B714" t="s">
        <v>2456</v>
      </c>
      <c r="C714" t="s">
        <v>3156</v>
      </c>
      <c r="D714">
        <v>3.85</v>
      </c>
      <c r="E714" t="s">
        <v>3161</v>
      </c>
    </row>
    <row r="715" spans="1:5" x14ac:dyDescent="0.25">
      <c r="A715" t="s">
        <v>2457</v>
      </c>
      <c r="B715" t="s">
        <v>2458</v>
      </c>
      <c r="C715" t="s">
        <v>3156</v>
      </c>
      <c r="D715">
        <v>3.85</v>
      </c>
      <c r="E715" t="s">
        <v>3161</v>
      </c>
    </row>
    <row r="716" spans="1:5" x14ac:dyDescent="0.25">
      <c r="A716" t="s">
        <v>2459</v>
      </c>
      <c r="B716" t="s">
        <v>2460</v>
      </c>
      <c r="C716" t="s">
        <v>3156</v>
      </c>
      <c r="D716">
        <v>11.8</v>
      </c>
      <c r="E716" t="s">
        <v>3161</v>
      </c>
    </row>
    <row r="717" spans="1:5" x14ac:dyDescent="0.25">
      <c r="A717" t="s">
        <v>2461</v>
      </c>
      <c r="B717" t="s">
        <v>2462</v>
      </c>
      <c r="C717" t="s">
        <v>3156</v>
      </c>
      <c r="D717">
        <v>11.8</v>
      </c>
      <c r="E717" t="s">
        <v>3161</v>
      </c>
    </row>
    <row r="718" spans="1:5" x14ac:dyDescent="0.25">
      <c r="A718" t="s">
        <v>2463</v>
      </c>
      <c r="B718" t="s">
        <v>2464</v>
      </c>
      <c r="C718" t="s">
        <v>3156</v>
      </c>
      <c r="D718">
        <v>31.55</v>
      </c>
      <c r="E718" t="s">
        <v>3161</v>
      </c>
    </row>
    <row r="719" spans="1:5" x14ac:dyDescent="0.25">
      <c r="A719" t="s">
        <v>2465</v>
      </c>
      <c r="B719" t="s">
        <v>2466</v>
      </c>
      <c r="C719" t="s">
        <v>3156</v>
      </c>
      <c r="D719">
        <v>18.899999999999999</v>
      </c>
      <c r="E719" t="s">
        <v>3161</v>
      </c>
    </row>
    <row r="720" spans="1:5" x14ac:dyDescent="0.25">
      <c r="A720" t="s">
        <v>2467</v>
      </c>
      <c r="B720" t="s">
        <v>2468</v>
      </c>
      <c r="C720" t="s">
        <v>3156</v>
      </c>
      <c r="D720">
        <v>9.85</v>
      </c>
      <c r="E720" t="s">
        <v>720</v>
      </c>
    </row>
    <row r="721" spans="1:5" x14ac:dyDescent="0.25">
      <c r="A721" t="s">
        <v>2469</v>
      </c>
      <c r="B721" t="s">
        <v>2470</v>
      </c>
      <c r="C721" t="s">
        <v>3156</v>
      </c>
      <c r="D721">
        <v>9.85</v>
      </c>
      <c r="E721" t="s">
        <v>720</v>
      </c>
    </row>
    <row r="722" spans="1:5" x14ac:dyDescent="0.25">
      <c r="A722" t="s">
        <v>623</v>
      </c>
      <c r="B722" t="s">
        <v>3162</v>
      </c>
      <c r="C722" t="s">
        <v>3156</v>
      </c>
      <c r="D722">
        <v>9.85</v>
      </c>
      <c r="E722" t="s">
        <v>720</v>
      </c>
    </row>
    <row r="723" spans="1:5" x14ac:dyDescent="0.25">
      <c r="A723" t="s">
        <v>634</v>
      </c>
      <c r="B723" t="s">
        <v>3163</v>
      </c>
      <c r="C723" t="s">
        <v>3156</v>
      </c>
      <c r="D723">
        <v>14.8</v>
      </c>
      <c r="E723" t="s">
        <v>720</v>
      </c>
    </row>
    <row r="724" spans="1:5" x14ac:dyDescent="0.25">
      <c r="A724" t="s">
        <v>2471</v>
      </c>
      <c r="B724" t="s">
        <v>2472</v>
      </c>
      <c r="C724" t="s">
        <v>3156</v>
      </c>
      <c r="D724">
        <v>14.8</v>
      </c>
      <c r="E724" t="s">
        <v>720</v>
      </c>
    </row>
    <row r="725" spans="1:5" x14ac:dyDescent="0.25">
      <c r="A725" t="s">
        <v>2473</v>
      </c>
      <c r="B725" t="s">
        <v>2474</v>
      </c>
      <c r="C725" t="s">
        <v>3156</v>
      </c>
      <c r="D725">
        <v>9.85</v>
      </c>
      <c r="E725" t="s">
        <v>720</v>
      </c>
    </row>
    <row r="726" spans="1:5" x14ac:dyDescent="0.25">
      <c r="A726" t="s">
        <v>645</v>
      </c>
      <c r="B726" t="s">
        <v>646</v>
      </c>
      <c r="C726" t="s">
        <v>3156</v>
      </c>
      <c r="D726">
        <v>14.8</v>
      </c>
      <c r="E726" t="s">
        <v>720</v>
      </c>
    </row>
    <row r="727" spans="1:5" x14ac:dyDescent="0.25">
      <c r="A727" t="s">
        <v>2475</v>
      </c>
      <c r="B727" t="s">
        <v>2476</v>
      </c>
      <c r="C727" t="s">
        <v>3156</v>
      </c>
      <c r="D727">
        <v>21.85</v>
      </c>
      <c r="E727" t="s">
        <v>720</v>
      </c>
    </row>
    <row r="728" spans="1:5" x14ac:dyDescent="0.25">
      <c r="A728" t="s">
        <v>2477</v>
      </c>
      <c r="B728" t="s">
        <v>2478</v>
      </c>
      <c r="C728" t="s">
        <v>3156</v>
      </c>
      <c r="D728">
        <v>9.85</v>
      </c>
      <c r="E728" t="s">
        <v>720</v>
      </c>
    </row>
    <row r="729" spans="1:5" x14ac:dyDescent="0.25">
      <c r="A729" t="s">
        <v>2479</v>
      </c>
      <c r="B729" t="s">
        <v>2480</v>
      </c>
      <c r="C729" t="s">
        <v>3156</v>
      </c>
      <c r="D729">
        <v>21.85</v>
      </c>
      <c r="E729" t="s">
        <v>720</v>
      </c>
    </row>
    <row r="730" spans="1:5" x14ac:dyDescent="0.25">
      <c r="A730" t="s">
        <v>2481</v>
      </c>
      <c r="B730" t="s">
        <v>2482</v>
      </c>
      <c r="C730" t="s">
        <v>3156</v>
      </c>
      <c r="D730">
        <v>21.85</v>
      </c>
      <c r="E730" t="s">
        <v>720</v>
      </c>
    </row>
    <row r="731" spans="1:5" x14ac:dyDescent="0.25">
      <c r="A731" t="s">
        <v>3164</v>
      </c>
      <c r="B731" t="s">
        <v>3165</v>
      </c>
      <c r="C731" t="s">
        <v>3156</v>
      </c>
      <c r="D731">
        <v>14.35</v>
      </c>
      <c r="E731" t="s">
        <v>720</v>
      </c>
    </row>
    <row r="732" spans="1:5" x14ac:dyDescent="0.25">
      <c r="A732" t="s">
        <v>1213</v>
      </c>
      <c r="B732" t="s">
        <v>1214</v>
      </c>
      <c r="C732" t="s">
        <v>3156</v>
      </c>
      <c r="D732">
        <v>9.85</v>
      </c>
      <c r="E732" t="s">
        <v>720</v>
      </c>
    </row>
    <row r="733" spans="1:5" x14ac:dyDescent="0.25">
      <c r="A733" t="s">
        <v>2749</v>
      </c>
      <c r="B733" t="s">
        <v>2750</v>
      </c>
      <c r="C733" t="s">
        <v>3156</v>
      </c>
      <c r="D733">
        <v>9.85</v>
      </c>
      <c r="E733" t="s">
        <v>720</v>
      </c>
    </row>
    <row r="734" spans="1:5" x14ac:dyDescent="0.25">
      <c r="A734" t="s">
        <v>2751</v>
      </c>
      <c r="B734" t="s">
        <v>2752</v>
      </c>
      <c r="C734" t="s">
        <v>3156</v>
      </c>
      <c r="D734">
        <v>9.85</v>
      </c>
      <c r="E734" t="s">
        <v>720</v>
      </c>
    </row>
    <row r="735" spans="1:5" x14ac:dyDescent="0.25">
      <c r="A735" t="s">
        <v>2753</v>
      </c>
      <c r="B735" t="s">
        <v>2754</v>
      </c>
      <c r="C735" t="s">
        <v>3156</v>
      </c>
      <c r="D735">
        <v>21.85</v>
      </c>
      <c r="E735" t="s">
        <v>720</v>
      </c>
    </row>
    <row r="736" spans="1:5" x14ac:dyDescent="0.25">
      <c r="A736" t="s">
        <v>2757</v>
      </c>
      <c r="B736" t="s">
        <v>2758</v>
      </c>
      <c r="C736" t="s">
        <v>3156</v>
      </c>
      <c r="D736">
        <v>9.85</v>
      </c>
      <c r="E736" t="s">
        <v>720</v>
      </c>
    </row>
    <row r="737" spans="1:5" x14ac:dyDescent="0.25">
      <c r="A737" t="s">
        <v>2759</v>
      </c>
      <c r="B737" t="s">
        <v>2760</v>
      </c>
      <c r="C737" t="s">
        <v>3156</v>
      </c>
      <c r="D737">
        <v>9.85</v>
      </c>
      <c r="E737" t="s">
        <v>720</v>
      </c>
    </row>
    <row r="738" spans="1:5" x14ac:dyDescent="0.25">
      <c r="A738" t="s">
        <v>3166</v>
      </c>
      <c r="B738" t="s">
        <v>3167</v>
      </c>
      <c r="C738" t="s">
        <v>3156</v>
      </c>
      <c r="D738">
        <v>9.85</v>
      </c>
      <c r="E738" t="s">
        <v>720</v>
      </c>
    </row>
    <row r="739" spans="1:5" x14ac:dyDescent="0.25">
      <c r="A739" t="s">
        <v>2761</v>
      </c>
      <c r="B739" t="s">
        <v>2762</v>
      </c>
      <c r="C739" t="s">
        <v>3156</v>
      </c>
      <c r="D739">
        <v>9.85</v>
      </c>
      <c r="E739" t="s">
        <v>720</v>
      </c>
    </row>
    <row r="740" spans="1:5" x14ac:dyDescent="0.25">
      <c r="A740" t="s">
        <v>2763</v>
      </c>
      <c r="B740" t="s">
        <v>2764</v>
      </c>
      <c r="C740" t="s">
        <v>3156</v>
      </c>
      <c r="D740">
        <v>9.85</v>
      </c>
      <c r="E740" t="s">
        <v>720</v>
      </c>
    </row>
    <row r="741" spans="1:5" x14ac:dyDescent="0.25">
      <c r="A741" t="s">
        <v>2483</v>
      </c>
      <c r="B741" t="s">
        <v>2484</v>
      </c>
      <c r="C741" t="s">
        <v>3156</v>
      </c>
      <c r="D741">
        <v>3.55</v>
      </c>
      <c r="E741" t="s">
        <v>3168</v>
      </c>
    </row>
    <row r="742" spans="1:5" x14ac:dyDescent="0.25">
      <c r="A742" t="s">
        <v>2485</v>
      </c>
      <c r="B742" t="s">
        <v>2486</v>
      </c>
      <c r="C742" t="s">
        <v>3156</v>
      </c>
      <c r="D742">
        <v>3.55</v>
      </c>
      <c r="E742" t="s">
        <v>3168</v>
      </c>
    </row>
    <row r="743" spans="1:5" x14ac:dyDescent="0.25">
      <c r="A743" t="s">
        <v>2487</v>
      </c>
      <c r="B743" t="s">
        <v>2488</v>
      </c>
      <c r="C743" t="s">
        <v>3156</v>
      </c>
      <c r="D743">
        <v>3.55</v>
      </c>
      <c r="E743" t="s">
        <v>3168</v>
      </c>
    </row>
    <row r="744" spans="1:5" x14ac:dyDescent="0.25">
      <c r="A744" t="s">
        <v>2489</v>
      </c>
      <c r="B744" t="s">
        <v>2490</v>
      </c>
      <c r="C744" t="s">
        <v>3156</v>
      </c>
      <c r="D744">
        <v>3.55</v>
      </c>
      <c r="E744" t="s">
        <v>3168</v>
      </c>
    </row>
    <row r="745" spans="1:5" x14ac:dyDescent="0.25">
      <c r="A745" t="s">
        <v>2491</v>
      </c>
      <c r="B745" t="s">
        <v>2492</v>
      </c>
      <c r="C745" t="s">
        <v>3156</v>
      </c>
      <c r="D745">
        <v>3.55</v>
      </c>
      <c r="E745" t="s">
        <v>3168</v>
      </c>
    </row>
    <row r="746" spans="1:5" x14ac:dyDescent="0.25">
      <c r="A746" t="s">
        <v>2493</v>
      </c>
      <c r="B746" t="s">
        <v>2494</v>
      </c>
      <c r="C746" t="s">
        <v>3156</v>
      </c>
      <c r="D746">
        <v>3.55</v>
      </c>
      <c r="E746" t="s">
        <v>3168</v>
      </c>
    </row>
    <row r="747" spans="1:5" x14ac:dyDescent="0.25">
      <c r="A747" t="s">
        <v>2495</v>
      </c>
      <c r="B747" t="s">
        <v>2496</v>
      </c>
      <c r="C747" t="s">
        <v>3156</v>
      </c>
      <c r="D747">
        <v>3.55</v>
      </c>
      <c r="E747" t="s">
        <v>3168</v>
      </c>
    </row>
    <row r="748" spans="1:5" x14ac:dyDescent="0.25">
      <c r="A748" t="s">
        <v>2497</v>
      </c>
      <c r="B748" t="s">
        <v>2498</v>
      </c>
      <c r="C748" t="s">
        <v>3156</v>
      </c>
      <c r="D748">
        <v>3.55</v>
      </c>
      <c r="E748" t="s">
        <v>3168</v>
      </c>
    </row>
    <row r="749" spans="1:5" x14ac:dyDescent="0.25">
      <c r="A749" t="s">
        <v>2499</v>
      </c>
      <c r="B749" t="s">
        <v>2500</v>
      </c>
      <c r="C749" t="s">
        <v>3156</v>
      </c>
      <c r="D749">
        <v>3.55</v>
      </c>
      <c r="E749" t="s">
        <v>3168</v>
      </c>
    </row>
    <row r="750" spans="1:5" x14ac:dyDescent="0.25">
      <c r="A750" t="s">
        <v>2501</v>
      </c>
      <c r="B750" t="s">
        <v>2502</v>
      </c>
      <c r="C750" t="s">
        <v>3156</v>
      </c>
      <c r="D750">
        <v>3.55</v>
      </c>
      <c r="E750" t="s">
        <v>3168</v>
      </c>
    </row>
    <row r="751" spans="1:5" x14ac:dyDescent="0.25">
      <c r="A751" t="s">
        <v>2503</v>
      </c>
      <c r="B751" t="s">
        <v>2504</v>
      </c>
      <c r="C751" t="s">
        <v>3156</v>
      </c>
      <c r="D751">
        <v>3.55</v>
      </c>
      <c r="E751" t="s">
        <v>3168</v>
      </c>
    </row>
    <row r="752" spans="1:5" x14ac:dyDescent="0.25">
      <c r="A752" t="s">
        <v>2505</v>
      </c>
      <c r="B752" t="s">
        <v>2506</v>
      </c>
      <c r="C752" t="s">
        <v>3156</v>
      </c>
      <c r="D752">
        <v>3.55</v>
      </c>
      <c r="E752" t="s">
        <v>3168</v>
      </c>
    </row>
    <row r="753" spans="1:5" x14ac:dyDescent="0.25">
      <c r="A753" t="s">
        <v>2507</v>
      </c>
      <c r="B753" t="s">
        <v>2508</v>
      </c>
      <c r="C753" t="s">
        <v>3156</v>
      </c>
      <c r="D753">
        <v>3.55</v>
      </c>
      <c r="E753" t="s">
        <v>3168</v>
      </c>
    </row>
    <row r="754" spans="1:5" x14ac:dyDescent="0.25">
      <c r="A754" t="s">
        <v>2509</v>
      </c>
      <c r="B754" t="s">
        <v>2510</v>
      </c>
      <c r="C754" t="s">
        <v>3156</v>
      </c>
      <c r="D754">
        <v>3.55</v>
      </c>
      <c r="E754" t="s">
        <v>3168</v>
      </c>
    </row>
    <row r="755" spans="1:5" x14ac:dyDescent="0.25">
      <c r="A755" t="s">
        <v>2511</v>
      </c>
      <c r="B755" t="s">
        <v>2512</v>
      </c>
      <c r="C755" t="s">
        <v>3156</v>
      </c>
      <c r="D755">
        <v>3.55</v>
      </c>
      <c r="E755" t="s">
        <v>3168</v>
      </c>
    </row>
    <row r="756" spans="1:5" x14ac:dyDescent="0.25">
      <c r="A756" t="s">
        <v>2513</v>
      </c>
      <c r="B756" t="s">
        <v>2514</v>
      </c>
      <c r="C756" t="s">
        <v>3156</v>
      </c>
      <c r="D756">
        <v>3.85</v>
      </c>
      <c r="E756" t="s">
        <v>3169</v>
      </c>
    </row>
    <row r="757" spans="1:5" x14ac:dyDescent="0.25">
      <c r="A757" t="s">
        <v>2515</v>
      </c>
      <c r="B757" t="s">
        <v>2516</v>
      </c>
      <c r="C757" t="s">
        <v>3156</v>
      </c>
      <c r="D757">
        <v>4.75</v>
      </c>
      <c r="E757" t="s">
        <v>3169</v>
      </c>
    </row>
    <row r="758" spans="1:5" x14ac:dyDescent="0.25">
      <c r="A758" t="s">
        <v>2517</v>
      </c>
      <c r="B758" t="s">
        <v>2518</v>
      </c>
      <c r="C758" t="s">
        <v>3156</v>
      </c>
      <c r="D758">
        <v>4.75</v>
      </c>
      <c r="E758" t="s">
        <v>3169</v>
      </c>
    </row>
    <row r="759" spans="1:5" x14ac:dyDescent="0.25">
      <c r="A759" t="s">
        <v>2519</v>
      </c>
      <c r="B759" t="s">
        <v>2520</v>
      </c>
      <c r="C759" t="s">
        <v>3156</v>
      </c>
      <c r="D759">
        <v>2.1</v>
      </c>
      <c r="E759" t="s">
        <v>3169</v>
      </c>
    </row>
    <row r="760" spans="1:5" x14ac:dyDescent="0.25">
      <c r="A760" t="s">
        <v>2521</v>
      </c>
      <c r="B760" t="s">
        <v>2522</v>
      </c>
      <c r="C760" t="s">
        <v>3156</v>
      </c>
      <c r="D760">
        <v>2.1</v>
      </c>
      <c r="E760" t="s">
        <v>3169</v>
      </c>
    </row>
    <row r="761" spans="1:5" x14ac:dyDescent="0.25">
      <c r="A761" t="s">
        <v>2523</v>
      </c>
      <c r="B761" t="s">
        <v>2524</v>
      </c>
      <c r="C761" t="s">
        <v>3156</v>
      </c>
      <c r="D761">
        <v>2.1</v>
      </c>
      <c r="E761" t="s">
        <v>3169</v>
      </c>
    </row>
    <row r="762" spans="1:5" x14ac:dyDescent="0.25">
      <c r="A762" t="s">
        <v>2525</v>
      </c>
      <c r="B762" t="s">
        <v>2526</v>
      </c>
      <c r="C762" t="s">
        <v>3156</v>
      </c>
      <c r="D762">
        <v>4.75</v>
      </c>
      <c r="E762" t="s">
        <v>3169</v>
      </c>
    </row>
    <row r="763" spans="1:5" x14ac:dyDescent="0.25">
      <c r="A763" t="s">
        <v>2527</v>
      </c>
      <c r="B763" t="s">
        <v>2528</v>
      </c>
      <c r="C763" t="s">
        <v>3156</v>
      </c>
      <c r="D763">
        <v>8.5500000000000007</v>
      </c>
      <c r="E763" t="s">
        <v>3169</v>
      </c>
    </row>
    <row r="764" spans="1:5" x14ac:dyDescent="0.25">
      <c r="A764" t="s">
        <v>2529</v>
      </c>
      <c r="B764" t="s">
        <v>2530</v>
      </c>
      <c r="C764" t="s">
        <v>3156</v>
      </c>
      <c r="D764">
        <v>2.1</v>
      </c>
      <c r="E764" t="s">
        <v>3169</v>
      </c>
    </row>
    <row r="765" spans="1:5" x14ac:dyDescent="0.25">
      <c r="A765" t="s">
        <v>2531</v>
      </c>
      <c r="B765" t="s">
        <v>2532</v>
      </c>
      <c r="C765" t="s">
        <v>3156</v>
      </c>
      <c r="D765">
        <v>2.1</v>
      </c>
      <c r="E765" t="s">
        <v>3169</v>
      </c>
    </row>
    <row r="766" spans="1:5" x14ac:dyDescent="0.25">
      <c r="A766" t="s">
        <v>2533</v>
      </c>
      <c r="B766" t="s">
        <v>2534</v>
      </c>
      <c r="C766" t="s">
        <v>3156</v>
      </c>
      <c r="D766">
        <v>2.1</v>
      </c>
      <c r="E766" t="s">
        <v>3169</v>
      </c>
    </row>
    <row r="767" spans="1:5" x14ac:dyDescent="0.25">
      <c r="A767" t="s">
        <v>2535</v>
      </c>
      <c r="B767" t="s">
        <v>2536</v>
      </c>
      <c r="C767" t="s">
        <v>3156</v>
      </c>
      <c r="D767">
        <v>4.75</v>
      </c>
      <c r="E767" t="s">
        <v>3169</v>
      </c>
    </row>
    <row r="768" spans="1:5" x14ac:dyDescent="0.25">
      <c r="A768" t="s">
        <v>2537</v>
      </c>
      <c r="B768" t="s">
        <v>2538</v>
      </c>
      <c r="C768" t="s">
        <v>3156</v>
      </c>
      <c r="D768">
        <v>4.75</v>
      </c>
      <c r="E768" t="s">
        <v>3169</v>
      </c>
    </row>
    <row r="769" spans="1:5" x14ac:dyDescent="0.25">
      <c r="A769" t="s">
        <v>2539</v>
      </c>
      <c r="B769" t="s">
        <v>2540</v>
      </c>
      <c r="C769" t="s">
        <v>3156</v>
      </c>
      <c r="D769">
        <v>9.15</v>
      </c>
      <c r="E769" t="s">
        <v>3169</v>
      </c>
    </row>
    <row r="770" spans="1:5" x14ac:dyDescent="0.25">
      <c r="A770" t="s">
        <v>2541</v>
      </c>
      <c r="B770" t="s">
        <v>2542</v>
      </c>
      <c r="C770" t="s">
        <v>3156</v>
      </c>
      <c r="D770">
        <v>2.1</v>
      </c>
      <c r="E770" t="s">
        <v>3169</v>
      </c>
    </row>
    <row r="771" spans="1:5" x14ac:dyDescent="0.25">
      <c r="A771" t="s">
        <v>2543</v>
      </c>
      <c r="B771" t="s">
        <v>2544</v>
      </c>
      <c r="C771" t="s">
        <v>3156</v>
      </c>
      <c r="D771">
        <v>4.75</v>
      </c>
      <c r="E771" t="s">
        <v>3169</v>
      </c>
    </row>
    <row r="772" spans="1:5" x14ac:dyDescent="0.25">
      <c r="A772" t="s">
        <v>2545</v>
      </c>
      <c r="B772" t="s">
        <v>2546</v>
      </c>
      <c r="C772" t="s">
        <v>3156</v>
      </c>
      <c r="D772">
        <v>4.75</v>
      </c>
      <c r="E772" t="s">
        <v>3169</v>
      </c>
    </row>
    <row r="773" spans="1:5" x14ac:dyDescent="0.25">
      <c r="A773" t="s">
        <v>2547</v>
      </c>
      <c r="B773" t="s">
        <v>2548</v>
      </c>
      <c r="C773" t="s">
        <v>3156</v>
      </c>
      <c r="D773">
        <v>4.75</v>
      </c>
      <c r="E773" t="s">
        <v>3169</v>
      </c>
    </row>
    <row r="774" spans="1:5" x14ac:dyDescent="0.25">
      <c r="A774" t="s">
        <v>2549</v>
      </c>
      <c r="B774" t="s">
        <v>2550</v>
      </c>
      <c r="C774" t="s">
        <v>3156</v>
      </c>
      <c r="D774">
        <v>10.050000000000001</v>
      </c>
      <c r="E774" t="s">
        <v>3169</v>
      </c>
    </row>
    <row r="775" spans="1:5" x14ac:dyDescent="0.25">
      <c r="A775" t="s">
        <v>2551</v>
      </c>
      <c r="B775" t="s">
        <v>2552</v>
      </c>
      <c r="C775" t="s">
        <v>3156</v>
      </c>
      <c r="D775">
        <v>4.75</v>
      </c>
      <c r="E775" t="s">
        <v>3169</v>
      </c>
    </row>
    <row r="776" spans="1:5" x14ac:dyDescent="0.25">
      <c r="A776" t="s">
        <v>2553</v>
      </c>
      <c r="B776" t="s">
        <v>2554</v>
      </c>
      <c r="C776" t="s">
        <v>3156</v>
      </c>
      <c r="D776">
        <v>3.55</v>
      </c>
      <c r="E776" t="s">
        <v>3170</v>
      </c>
    </row>
    <row r="777" spans="1:5" x14ac:dyDescent="0.25">
      <c r="A777" t="s">
        <v>2555</v>
      </c>
      <c r="B777" t="s">
        <v>2556</v>
      </c>
      <c r="C777" t="s">
        <v>3156</v>
      </c>
      <c r="D777">
        <v>3.55</v>
      </c>
      <c r="E777" t="s">
        <v>3170</v>
      </c>
    </row>
    <row r="778" spans="1:5" x14ac:dyDescent="0.25">
      <c r="A778" t="s">
        <v>2557</v>
      </c>
      <c r="B778" t="s">
        <v>2558</v>
      </c>
      <c r="C778" t="s">
        <v>3156</v>
      </c>
      <c r="D778">
        <v>3.55</v>
      </c>
      <c r="E778" t="s">
        <v>3170</v>
      </c>
    </row>
    <row r="779" spans="1:5" x14ac:dyDescent="0.25">
      <c r="A779" t="s">
        <v>2559</v>
      </c>
      <c r="B779" t="s">
        <v>2560</v>
      </c>
      <c r="C779" t="s">
        <v>3156</v>
      </c>
      <c r="D779">
        <v>3.55</v>
      </c>
      <c r="E779" t="s">
        <v>3170</v>
      </c>
    </row>
    <row r="780" spans="1:5" x14ac:dyDescent="0.25">
      <c r="A780" t="s">
        <v>2561</v>
      </c>
      <c r="B780" t="s">
        <v>2562</v>
      </c>
      <c r="C780" t="s">
        <v>3156</v>
      </c>
      <c r="D780">
        <v>3.55</v>
      </c>
      <c r="E780" t="s">
        <v>3170</v>
      </c>
    </row>
    <row r="781" spans="1:5" x14ac:dyDescent="0.25">
      <c r="A781" t="s">
        <v>2563</v>
      </c>
      <c r="B781" t="s">
        <v>2564</v>
      </c>
      <c r="C781" t="s">
        <v>3156</v>
      </c>
      <c r="D781">
        <v>3.55</v>
      </c>
      <c r="E781" t="s">
        <v>3170</v>
      </c>
    </row>
    <row r="782" spans="1:5" x14ac:dyDescent="0.25">
      <c r="A782" t="s">
        <v>2565</v>
      </c>
      <c r="B782" t="s">
        <v>2566</v>
      </c>
      <c r="C782" t="s">
        <v>3156</v>
      </c>
      <c r="D782">
        <v>3.55</v>
      </c>
      <c r="E782" t="s">
        <v>3170</v>
      </c>
    </row>
    <row r="783" spans="1:5" x14ac:dyDescent="0.25">
      <c r="A783" t="s">
        <v>2567</v>
      </c>
      <c r="B783" t="s">
        <v>2568</v>
      </c>
      <c r="C783" t="s">
        <v>3156</v>
      </c>
      <c r="D783">
        <v>3.55</v>
      </c>
      <c r="E783" t="s">
        <v>3170</v>
      </c>
    </row>
    <row r="784" spans="1:5" x14ac:dyDescent="0.25">
      <c r="A784" t="s">
        <v>2569</v>
      </c>
      <c r="B784" t="s">
        <v>2570</v>
      </c>
      <c r="C784" t="s">
        <v>3156</v>
      </c>
      <c r="D784">
        <v>3.55</v>
      </c>
      <c r="E784" t="s">
        <v>3170</v>
      </c>
    </row>
    <row r="785" spans="1:5" x14ac:dyDescent="0.25">
      <c r="A785" t="s">
        <v>2571</v>
      </c>
      <c r="B785" t="s">
        <v>2572</v>
      </c>
      <c r="C785" t="s">
        <v>3156</v>
      </c>
      <c r="D785">
        <v>3.55</v>
      </c>
      <c r="E785" t="s">
        <v>3170</v>
      </c>
    </row>
    <row r="786" spans="1:5" x14ac:dyDescent="0.25">
      <c r="A786" t="s">
        <v>2573</v>
      </c>
      <c r="B786" t="s">
        <v>2574</v>
      </c>
      <c r="C786" t="s">
        <v>3156</v>
      </c>
      <c r="D786">
        <v>3.55</v>
      </c>
      <c r="E786" t="s">
        <v>3170</v>
      </c>
    </row>
    <row r="787" spans="1:5" x14ac:dyDescent="0.25">
      <c r="A787" t="s">
        <v>2575</v>
      </c>
      <c r="B787" t="s">
        <v>2576</v>
      </c>
      <c r="C787" t="s">
        <v>3156</v>
      </c>
      <c r="D787">
        <v>3.55</v>
      </c>
      <c r="E787" t="s">
        <v>3170</v>
      </c>
    </row>
    <row r="788" spans="1:5" x14ac:dyDescent="0.25">
      <c r="A788" t="s">
        <v>2577</v>
      </c>
      <c r="B788" t="s">
        <v>2578</v>
      </c>
      <c r="C788" t="s">
        <v>3156</v>
      </c>
      <c r="D788">
        <v>3.55</v>
      </c>
      <c r="E788" t="s">
        <v>3170</v>
      </c>
    </row>
    <row r="789" spans="1:5" x14ac:dyDescent="0.25">
      <c r="A789" t="s">
        <v>2579</v>
      </c>
      <c r="B789" t="s">
        <v>2580</v>
      </c>
      <c r="C789" t="s">
        <v>3156</v>
      </c>
      <c r="D789">
        <v>3.55</v>
      </c>
      <c r="E789" t="s">
        <v>3170</v>
      </c>
    </row>
    <row r="790" spans="1:5" x14ac:dyDescent="0.25">
      <c r="A790" t="s">
        <v>2581</v>
      </c>
      <c r="B790" t="s">
        <v>2582</v>
      </c>
      <c r="C790" t="s">
        <v>3156</v>
      </c>
      <c r="D790">
        <v>3.55</v>
      </c>
      <c r="E790" t="s">
        <v>3170</v>
      </c>
    </row>
    <row r="791" spans="1:5" x14ac:dyDescent="0.25">
      <c r="A791" t="s">
        <v>2583</v>
      </c>
      <c r="B791" t="s">
        <v>2584</v>
      </c>
      <c r="C791" t="s">
        <v>3156</v>
      </c>
      <c r="D791">
        <v>3.55</v>
      </c>
      <c r="E791" t="s">
        <v>3170</v>
      </c>
    </row>
    <row r="792" spans="1:5" x14ac:dyDescent="0.25">
      <c r="A792" t="s">
        <v>2585</v>
      </c>
      <c r="B792" t="s">
        <v>2586</v>
      </c>
      <c r="C792" t="s">
        <v>3156</v>
      </c>
      <c r="D792">
        <v>3.55</v>
      </c>
      <c r="E792" t="s">
        <v>3170</v>
      </c>
    </row>
    <row r="793" spans="1:5" x14ac:dyDescent="0.25">
      <c r="A793" t="s">
        <v>2587</v>
      </c>
      <c r="B793" t="s">
        <v>2588</v>
      </c>
      <c r="C793" t="s">
        <v>3156</v>
      </c>
      <c r="D793">
        <v>3.55</v>
      </c>
      <c r="E793" t="s">
        <v>3170</v>
      </c>
    </row>
    <row r="794" spans="1:5" x14ac:dyDescent="0.25">
      <c r="A794" t="s">
        <v>2589</v>
      </c>
      <c r="B794" t="s">
        <v>2590</v>
      </c>
      <c r="C794" t="s">
        <v>3156</v>
      </c>
      <c r="D794">
        <v>3.55</v>
      </c>
      <c r="E794" t="s">
        <v>3170</v>
      </c>
    </row>
    <row r="795" spans="1:5" x14ac:dyDescent="0.25">
      <c r="A795" t="s">
        <v>2591</v>
      </c>
      <c r="B795" t="s">
        <v>2592</v>
      </c>
      <c r="C795" t="s">
        <v>3156</v>
      </c>
      <c r="D795">
        <v>3.55</v>
      </c>
      <c r="E795" t="s">
        <v>3170</v>
      </c>
    </row>
    <row r="796" spans="1:5" x14ac:dyDescent="0.25">
      <c r="A796" t="s">
        <v>2593</v>
      </c>
      <c r="B796" t="s">
        <v>2594</v>
      </c>
      <c r="C796" t="s">
        <v>3156</v>
      </c>
      <c r="D796">
        <v>3.55</v>
      </c>
      <c r="E796" t="s">
        <v>3170</v>
      </c>
    </row>
    <row r="797" spans="1:5" x14ac:dyDescent="0.25">
      <c r="A797" t="s">
        <v>2595</v>
      </c>
      <c r="B797" t="s">
        <v>2596</v>
      </c>
      <c r="C797" t="s">
        <v>3156</v>
      </c>
      <c r="D797">
        <v>3.55</v>
      </c>
      <c r="E797" t="s">
        <v>3170</v>
      </c>
    </row>
    <row r="798" spans="1:5" x14ac:dyDescent="0.25">
      <c r="A798" t="s">
        <v>2597</v>
      </c>
      <c r="B798" t="s">
        <v>2598</v>
      </c>
      <c r="C798" t="s">
        <v>3156</v>
      </c>
      <c r="D798">
        <v>3.55</v>
      </c>
      <c r="E798" t="s">
        <v>3170</v>
      </c>
    </row>
    <row r="799" spans="1:5" x14ac:dyDescent="0.25">
      <c r="A799" t="s">
        <v>2599</v>
      </c>
      <c r="B799" t="s">
        <v>2600</v>
      </c>
      <c r="C799" t="s">
        <v>3156</v>
      </c>
      <c r="D799">
        <v>3.55</v>
      </c>
      <c r="E799" t="s">
        <v>3170</v>
      </c>
    </row>
    <row r="800" spans="1:5" x14ac:dyDescent="0.25">
      <c r="A800" t="s">
        <v>2601</v>
      </c>
      <c r="B800" t="s">
        <v>2602</v>
      </c>
      <c r="C800" t="s">
        <v>3156</v>
      </c>
      <c r="D800">
        <v>3.55</v>
      </c>
      <c r="E800" t="s">
        <v>3170</v>
      </c>
    </row>
    <row r="801" spans="1:5" x14ac:dyDescent="0.25">
      <c r="A801" t="s">
        <v>2603</v>
      </c>
      <c r="B801" t="s">
        <v>2604</v>
      </c>
      <c r="C801" t="s">
        <v>3156</v>
      </c>
      <c r="D801">
        <v>3.55</v>
      </c>
      <c r="E801" t="s">
        <v>3170</v>
      </c>
    </row>
    <row r="802" spans="1:5" x14ac:dyDescent="0.25">
      <c r="A802" t="s">
        <v>2605</v>
      </c>
      <c r="B802" t="s">
        <v>2606</v>
      </c>
      <c r="C802" t="s">
        <v>3156</v>
      </c>
      <c r="D802">
        <v>3.55</v>
      </c>
      <c r="E802" t="s">
        <v>3170</v>
      </c>
    </row>
    <row r="803" spans="1:5" x14ac:dyDescent="0.25">
      <c r="A803" t="s">
        <v>2607</v>
      </c>
      <c r="B803" t="s">
        <v>2608</v>
      </c>
      <c r="C803" t="s">
        <v>3156</v>
      </c>
      <c r="D803">
        <v>3.55</v>
      </c>
      <c r="E803" t="s">
        <v>3170</v>
      </c>
    </row>
    <row r="804" spans="1:5" x14ac:dyDescent="0.25">
      <c r="A804" t="s">
        <v>2609</v>
      </c>
      <c r="B804" t="s">
        <v>2610</v>
      </c>
      <c r="C804" t="s">
        <v>3156</v>
      </c>
      <c r="D804">
        <v>3.55</v>
      </c>
      <c r="E804" t="s">
        <v>3170</v>
      </c>
    </row>
    <row r="805" spans="1:5" x14ac:dyDescent="0.25">
      <c r="A805" t="s">
        <v>2611</v>
      </c>
      <c r="B805" t="s">
        <v>2612</v>
      </c>
      <c r="C805" t="s">
        <v>3156</v>
      </c>
      <c r="D805">
        <v>3.55</v>
      </c>
      <c r="E805" t="s">
        <v>3170</v>
      </c>
    </row>
    <row r="806" spans="1:5" x14ac:dyDescent="0.25">
      <c r="A806" t="s">
        <v>2613</v>
      </c>
      <c r="B806" t="s">
        <v>2614</v>
      </c>
      <c r="C806" t="s">
        <v>3156</v>
      </c>
      <c r="D806">
        <v>3.55</v>
      </c>
      <c r="E806" t="s">
        <v>3170</v>
      </c>
    </row>
    <row r="807" spans="1:5" x14ac:dyDescent="0.25">
      <c r="A807" t="s">
        <v>2615</v>
      </c>
      <c r="B807" t="s">
        <v>2616</v>
      </c>
      <c r="C807" t="s">
        <v>3156</v>
      </c>
      <c r="D807">
        <v>3.55</v>
      </c>
      <c r="E807" t="s">
        <v>3170</v>
      </c>
    </row>
    <row r="808" spans="1:5" x14ac:dyDescent="0.25">
      <c r="A808" t="s">
        <v>2617</v>
      </c>
      <c r="B808" t="s">
        <v>2618</v>
      </c>
      <c r="C808" t="s">
        <v>3156</v>
      </c>
      <c r="D808">
        <v>3.55</v>
      </c>
      <c r="E808" t="s">
        <v>3170</v>
      </c>
    </row>
    <row r="809" spans="1:5" x14ac:dyDescent="0.25">
      <c r="A809" t="s">
        <v>2619</v>
      </c>
      <c r="B809" t="s">
        <v>2620</v>
      </c>
      <c r="C809" t="s">
        <v>3156</v>
      </c>
      <c r="D809">
        <v>3.55</v>
      </c>
      <c r="E809" t="s">
        <v>3170</v>
      </c>
    </row>
    <row r="810" spans="1:5" x14ac:dyDescent="0.25">
      <c r="A810" t="s">
        <v>2621</v>
      </c>
      <c r="B810" t="s">
        <v>2622</v>
      </c>
      <c r="C810" t="s">
        <v>3156</v>
      </c>
      <c r="D810">
        <v>3.55</v>
      </c>
      <c r="E810" t="s">
        <v>3170</v>
      </c>
    </row>
    <row r="811" spans="1:5" x14ac:dyDescent="0.25">
      <c r="A811" t="s">
        <v>2623</v>
      </c>
      <c r="B811" t="s">
        <v>2624</v>
      </c>
      <c r="C811" t="s">
        <v>3156</v>
      </c>
      <c r="D811">
        <v>3.55</v>
      </c>
      <c r="E811" t="s">
        <v>3170</v>
      </c>
    </row>
    <row r="812" spans="1:5" x14ac:dyDescent="0.25">
      <c r="A812" t="s">
        <v>2625</v>
      </c>
      <c r="B812" t="s">
        <v>2626</v>
      </c>
      <c r="C812" t="s">
        <v>3156</v>
      </c>
      <c r="D812">
        <v>3.55</v>
      </c>
      <c r="E812" t="s">
        <v>3170</v>
      </c>
    </row>
    <row r="813" spans="1:5" x14ac:dyDescent="0.25">
      <c r="A813" t="s">
        <v>2627</v>
      </c>
      <c r="B813" t="s">
        <v>2628</v>
      </c>
      <c r="C813" t="s">
        <v>3156</v>
      </c>
      <c r="D813">
        <v>3.55</v>
      </c>
      <c r="E813" t="s">
        <v>3170</v>
      </c>
    </row>
    <row r="814" spans="1:5" x14ac:dyDescent="0.25">
      <c r="A814" t="s">
        <v>2629</v>
      </c>
      <c r="B814" t="s">
        <v>2630</v>
      </c>
      <c r="C814" t="s">
        <v>3156</v>
      </c>
      <c r="D814">
        <v>3.55</v>
      </c>
      <c r="E814" t="s">
        <v>3170</v>
      </c>
    </row>
    <row r="815" spans="1:5" x14ac:dyDescent="0.25">
      <c r="A815" t="s">
        <v>2631</v>
      </c>
      <c r="B815" t="s">
        <v>2632</v>
      </c>
      <c r="C815" t="s">
        <v>3156</v>
      </c>
      <c r="D815">
        <v>3.55</v>
      </c>
      <c r="E815" t="s">
        <v>3170</v>
      </c>
    </row>
    <row r="816" spans="1:5" x14ac:dyDescent="0.25">
      <c r="A816" t="s">
        <v>2633</v>
      </c>
      <c r="B816" t="s">
        <v>2634</v>
      </c>
      <c r="C816" t="s">
        <v>3156</v>
      </c>
      <c r="D816">
        <v>3.55</v>
      </c>
      <c r="E816" t="s">
        <v>3170</v>
      </c>
    </row>
    <row r="817" spans="1:5" x14ac:dyDescent="0.25">
      <c r="A817" t="s">
        <v>2635</v>
      </c>
      <c r="B817" t="s">
        <v>2636</v>
      </c>
      <c r="C817" t="s">
        <v>3156</v>
      </c>
      <c r="D817">
        <v>6.5</v>
      </c>
      <c r="E817" t="s">
        <v>3170</v>
      </c>
    </row>
    <row r="818" spans="1:5" x14ac:dyDescent="0.25">
      <c r="A818" t="s">
        <v>2637</v>
      </c>
      <c r="B818" t="s">
        <v>2638</v>
      </c>
      <c r="C818" t="s">
        <v>3156</v>
      </c>
      <c r="D818">
        <v>6.5</v>
      </c>
      <c r="E818" t="s">
        <v>3170</v>
      </c>
    </row>
    <row r="819" spans="1:5" x14ac:dyDescent="0.25">
      <c r="A819" t="s">
        <v>2639</v>
      </c>
      <c r="B819" t="s">
        <v>2640</v>
      </c>
      <c r="C819" t="s">
        <v>3156</v>
      </c>
      <c r="D819">
        <v>6.5</v>
      </c>
      <c r="E819" t="s">
        <v>3170</v>
      </c>
    </row>
    <row r="820" spans="1:5" x14ac:dyDescent="0.25">
      <c r="A820" t="s">
        <v>2641</v>
      </c>
      <c r="B820" t="s">
        <v>2642</v>
      </c>
      <c r="C820" t="s">
        <v>3156</v>
      </c>
      <c r="D820">
        <v>6.5</v>
      </c>
      <c r="E820" t="s">
        <v>3170</v>
      </c>
    </row>
    <row r="821" spans="1:5" x14ac:dyDescent="0.25">
      <c r="A821" t="s">
        <v>771</v>
      </c>
      <c r="B821" t="s">
        <v>772</v>
      </c>
      <c r="C821" t="s">
        <v>3156</v>
      </c>
      <c r="D821">
        <v>15.95</v>
      </c>
      <c r="E821" t="s">
        <v>3171</v>
      </c>
    </row>
    <row r="822" spans="1:5" x14ac:dyDescent="0.25">
      <c r="A822" t="s">
        <v>2643</v>
      </c>
      <c r="B822" t="s">
        <v>2644</v>
      </c>
      <c r="C822" t="s">
        <v>3156</v>
      </c>
      <c r="D822">
        <v>14.45</v>
      </c>
      <c r="E822" t="s">
        <v>3171</v>
      </c>
    </row>
    <row r="823" spans="1:5" x14ac:dyDescent="0.25">
      <c r="A823" t="s">
        <v>802</v>
      </c>
      <c r="B823" t="s">
        <v>803</v>
      </c>
      <c r="C823" t="s">
        <v>3156</v>
      </c>
      <c r="D823">
        <v>12.1</v>
      </c>
      <c r="E823" t="s">
        <v>3171</v>
      </c>
    </row>
    <row r="824" spans="1:5" x14ac:dyDescent="0.25">
      <c r="A824" t="s">
        <v>2645</v>
      </c>
      <c r="B824" t="s">
        <v>2646</v>
      </c>
      <c r="C824" t="s">
        <v>3156</v>
      </c>
      <c r="D824">
        <v>23.35</v>
      </c>
      <c r="E824" t="s">
        <v>3171</v>
      </c>
    </row>
    <row r="825" spans="1:5" x14ac:dyDescent="0.25">
      <c r="A825" t="s">
        <v>2647</v>
      </c>
      <c r="B825" t="s">
        <v>2648</v>
      </c>
      <c r="C825" t="s">
        <v>3156</v>
      </c>
      <c r="D825">
        <v>14.75</v>
      </c>
      <c r="E825" t="s">
        <v>3171</v>
      </c>
    </row>
    <row r="826" spans="1:5" x14ac:dyDescent="0.25">
      <c r="A826" t="s">
        <v>2649</v>
      </c>
      <c r="B826" t="s">
        <v>2650</v>
      </c>
      <c r="C826" t="s">
        <v>3156</v>
      </c>
      <c r="D826">
        <v>11.8</v>
      </c>
      <c r="E826" t="s">
        <v>3171</v>
      </c>
    </row>
    <row r="827" spans="1:5" x14ac:dyDescent="0.25">
      <c r="A827" t="s">
        <v>2651</v>
      </c>
      <c r="B827" t="s">
        <v>2652</v>
      </c>
      <c r="C827" t="s">
        <v>3156</v>
      </c>
      <c r="D827">
        <v>62.5</v>
      </c>
      <c r="E827" t="s">
        <v>3171</v>
      </c>
    </row>
    <row r="828" spans="1:5" x14ac:dyDescent="0.25">
      <c r="A828" t="s">
        <v>2679</v>
      </c>
      <c r="B828" t="s">
        <v>2680</v>
      </c>
      <c r="C828" t="s">
        <v>3156</v>
      </c>
      <c r="D828">
        <v>17.5</v>
      </c>
      <c r="E828" t="s">
        <v>3171</v>
      </c>
    </row>
    <row r="829" spans="1:5" x14ac:dyDescent="0.25">
      <c r="A829" t="s">
        <v>2681</v>
      </c>
      <c r="B829" t="s">
        <v>2682</v>
      </c>
      <c r="C829" t="s">
        <v>3156</v>
      </c>
      <c r="D829">
        <v>9.25</v>
      </c>
      <c r="E829" t="s">
        <v>3171</v>
      </c>
    </row>
    <row r="830" spans="1:5" x14ac:dyDescent="0.25">
      <c r="A830" t="s">
        <v>2683</v>
      </c>
      <c r="B830" t="s">
        <v>2684</v>
      </c>
      <c r="C830" t="s">
        <v>3156</v>
      </c>
      <c r="D830">
        <v>15.95</v>
      </c>
      <c r="E830" t="s">
        <v>3171</v>
      </c>
    </row>
    <row r="831" spans="1:5" x14ac:dyDescent="0.25">
      <c r="A831" t="s">
        <v>2653</v>
      </c>
      <c r="B831" t="s">
        <v>2654</v>
      </c>
      <c r="C831" t="s">
        <v>3156</v>
      </c>
      <c r="D831">
        <v>15.95</v>
      </c>
      <c r="E831" t="s">
        <v>3172</v>
      </c>
    </row>
    <row r="832" spans="1:5" x14ac:dyDescent="0.25">
      <c r="A832" t="s">
        <v>2655</v>
      </c>
      <c r="B832" t="s">
        <v>2656</v>
      </c>
      <c r="C832" t="s">
        <v>3156</v>
      </c>
      <c r="D832">
        <v>4.75</v>
      </c>
      <c r="E832" t="s">
        <v>3172</v>
      </c>
    </row>
    <row r="833" spans="1:5" x14ac:dyDescent="0.25">
      <c r="A833" t="s">
        <v>2803</v>
      </c>
      <c r="B833" t="s">
        <v>2804</v>
      </c>
      <c r="C833" t="s">
        <v>3156</v>
      </c>
      <c r="D833">
        <v>10.6</v>
      </c>
      <c r="E833" t="s">
        <v>3172</v>
      </c>
    </row>
    <row r="834" spans="1:5" x14ac:dyDescent="0.25">
      <c r="A834" t="s">
        <v>2805</v>
      </c>
      <c r="B834" t="s">
        <v>2806</v>
      </c>
      <c r="C834" t="s">
        <v>3156</v>
      </c>
      <c r="D834">
        <v>10.6</v>
      </c>
      <c r="E834" t="s">
        <v>3172</v>
      </c>
    </row>
    <row r="835" spans="1:5" x14ac:dyDescent="0.25">
      <c r="A835" t="s">
        <v>2807</v>
      </c>
      <c r="B835" t="s">
        <v>2808</v>
      </c>
      <c r="C835" t="s">
        <v>3156</v>
      </c>
      <c r="D835">
        <v>10.6</v>
      </c>
      <c r="E835" t="s">
        <v>3172</v>
      </c>
    </row>
    <row r="836" spans="1:5" x14ac:dyDescent="0.25">
      <c r="A836" t="s">
        <v>2809</v>
      </c>
      <c r="B836" t="s">
        <v>2810</v>
      </c>
      <c r="C836" t="s">
        <v>3156</v>
      </c>
      <c r="D836">
        <v>10.6</v>
      </c>
      <c r="E836" t="s">
        <v>3172</v>
      </c>
    </row>
    <row r="837" spans="1:5" x14ac:dyDescent="0.25">
      <c r="A837" t="s">
        <v>2811</v>
      </c>
      <c r="B837" t="s">
        <v>2812</v>
      </c>
      <c r="C837" t="s">
        <v>3156</v>
      </c>
      <c r="D837">
        <v>29.45</v>
      </c>
      <c r="E837" t="s">
        <v>3172</v>
      </c>
    </row>
    <row r="838" spans="1:5" x14ac:dyDescent="0.25">
      <c r="A838" t="s">
        <v>2657</v>
      </c>
      <c r="B838" t="s">
        <v>2658</v>
      </c>
      <c r="C838" t="s">
        <v>3156</v>
      </c>
      <c r="D838">
        <v>1.8</v>
      </c>
      <c r="E838" t="s">
        <v>3173</v>
      </c>
    </row>
    <row r="839" spans="1:5" x14ac:dyDescent="0.25">
      <c r="A839" t="s">
        <v>2659</v>
      </c>
      <c r="B839" t="s">
        <v>2660</v>
      </c>
      <c r="C839" t="s">
        <v>3156</v>
      </c>
      <c r="D839">
        <v>1.8</v>
      </c>
      <c r="E839" t="s">
        <v>3173</v>
      </c>
    </row>
    <row r="840" spans="1:5" x14ac:dyDescent="0.25">
      <c r="A840" t="s">
        <v>2661</v>
      </c>
      <c r="B840" t="s">
        <v>2662</v>
      </c>
      <c r="C840" t="s">
        <v>3156</v>
      </c>
      <c r="D840">
        <v>1.8</v>
      </c>
      <c r="E840" t="s">
        <v>3173</v>
      </c>
    </row>
    <row r="841" spans="1:5" x14ac:dyDescent="0.25">
      <c r="A841" t="s">
        <v>2663</v>
      </c>
      <c r="B841" t="s">
        <v>2664</v>
      </c>
      <c r="C841" t="s">
        <v>3156</v>
      </c>
      <c r="D841">
        <v>1.8</v>
      </c>
      <c r="E841" t="s">
        <v>3173</v>
      </c>
    </row>
    <row r="842" spans="1:5" x14ac:dyDescent="0.25">
      <c r="A842" t="s">
        <v>2665</v>
      </c>
      <c r="B842" t="s">
        <v>2666</v>
      </c>
      <c r="C842" t="s">
        <v>3156</v>
      </c>
      <c r="D842">
        <v>1.8</v>
      </c>
      <c r="E842" t="s">
        <v>3173</v>
      </c>
    </row>
    <row r="843" spans="1:5" x14ac:dyDescent="0.25">
      <c r="A843" t="s">
        <v>2667</v>
      </c>
      <c r="B843" t="s">
        <v>2668</v>
      </c>
      <c r="C843" t="s">
        <v>3156</v>
      </c>
      <c r="D843">
        <v>1.8</v>
      </c>
      <c r="E843" t="s">
        <v>3173</v>
      </c>
    </row>
    <row r="844" spans="1:5" x14ac:dyDescent="0.25">
      <c r="A844" t="s">
        <v>2669</v>
      </c>
      <c r="B844" t="s">
        <v>2670</v>
      </c>
      <c r="C844" t="s">
        <v>3156</v>
      </c>
      <c r="D844">
        <v>1.8</v>
      </c>
      <c r="E844" t="s">
        <v>3173</v>
      </c>
    </row>
    <row r="845" spans="1:5" x14ac:dyDescent="0.25">
      <c r="A845" t="s">
        <v>2671</v>
      </c>
      <c r="B845" t="s">
        <v>2672</v>
      </c>
      <c r="C845" t="s">
        <v>3156</v>
      </c>
      <c r="D845">
        <v>1.8</v>
      </c>
      <c r="E845" t="s">
        <v>3173</v>
      </c>
    </row>
    <row r="846" spans="1:5" x14ac:dyDescent="0.25">
      <c r="A846" t="s">
        <v>2673</v>
      </c>
      <c r="B846" t="s">
        <v>2674</v>
      </c>
      <c r="C846" t="s">
        <v>3156</v>
      </c>
      <c r="D846">
        <v>1.8</v>
      </c>
      <c r="E846" t="s">
        <v>3173</v>
      </c>
    </row>
    <row r="847" spans="1:5" x14ac:dyDescent="0.25">
      <c r="A847" t="s">
        <v>2675</v>
      </c>
      <c r="B847" t="s">
        <v>2676</v>
      </c>
      <c r="C847" t="s">
        <v>3156</v>
      </c>
      <c r="D847">
        <v>1.8</v>
      </c>
      <c r="E847" t="s">
        <v>3173</v>
      </c>
    </row>
    <row r="848" spans="1:5" x14ac:dyDescent="0.25">
      <c r="A848" t="s">
        <v>2677</v>
      </c>
      <c r="B848" t="s">
        <v>2678</v>
      </c>
      <c r="C848" t="s">
        <v>3156</v>
      </c>
      <c r="D848">
        <v>1.8</v>
      </c>
      <c r="E848" t="s">
        <v>3173</v>
      </c>
    </row>
    <row r="849" spans="1:5" x14ac:dyDescent="0.25">
      <c r="A849" t="s">
        <v>904</v>
      </c>
      <c r="B849" t="s">
        <v>905</v>
      </c>
      <c r="C849" t="s">
        <v>3156</v>
      </c>
      <c r="D849">
        <v>15.95</v>
      </c>
      <c r="E849" t="s">
        <v>3174</v>
      </c>
    </row>
    <row r="850" spans="1:5" x14ac:dyDescent="0.25">
      <c r="A850" t="s">
        <v>914</v>
      </c>
      <c r="B850" t="s">
        <v>915</v>
      </c>
      <c r="C850" t="s">
        <v>3156</v>
      </c>
      <c r="D850">
        <v>13.3</v>
      </c>
      <c r="E850" t="s">
        <v>3174</v>
      </c>
    </row>
    <row r="851" spans="1:5" x14ac:dyDescent="0.25">
      <c r="A851" t="s">
        <v>2685</v>
      </c>
      <c r="B851" t="s">
        <v>2686</v>
      </c>
      <c r="C851" t="s">
        <v>3156</v>
      </c>
      <c r="D851">
        <v>13.3</v>
      </c>
      <c r="E851" t="s">
        <v>3174</v>
      </c>
    </row>
    <row r="852" spans="1:5" x14ac:dyDescent="0.25">
      <c r="A852" t="s">
        <v>917</v>
      </c>
      <c r="B852" t="s">
        <v>918</v>
      </c>
      <c r="C852" t="s">
        <v>3156</v>
      </c>
      <c r="D852">
        <v>11.55</v>
      </c>
      <c r="E852" t="s">
        <v>3174</v>
      </c>
    </row>
    <row r="853" spans="1:5" x14ac:dyDescent="0.25">
      <c r="A853" t="s">
        <v>930</v>
      </c>
      <c r="B853" t="s">
        <v>931</v>
      </c>
      <c r="C853" t="s">
        <v>3156</v>
      </c>
      <c r="D853">
        <v>18.600000000000001</v>
      </c>
      <c r="E853" t="s">
        <v>3174</v>
      </c>
    </row>
    <row r="854" spans="1:5" x14ac:dyDescent="0.25">
      <c r="A854" t="s">
        <v>922</v>
      </c>
      <c r="B854" t="s">
        <v>923</v>
      </c>
      <c r="C854" t="s">
        <v>3156</v>
      </c>
      <c r="D854">
        <v>53.05</v>
      </c>
      <c r="E854" t="s">
        <v>3174</v>
      </c>
    </row>
    <row r="855" spans="1:5" x14ac:dyDescent="0.25">
      <c r="A855" t="s">
        <v>1058</v>
      </c>
      <c r="B855" t="s">
        <v>1059</v>
      </c>
      <c r="C855" t="s">
        <v>3156</v>
      </c>
      <c r="D855">
        <v>9.5</v>
      </c>
      <c r="E855" t="s">
        <v>3174</v>
      </c>
    </row>
    <row r="856" spans="1:5" x14ac:dyDescent="0.25">
      <c r="A856" t="s">
        <v>2687</v>
      </c>
      <c r="B856" t="s">
        <v>2688</v>
      </c>
      <c r="C856" t="s">
        <v>3156</v>
      </c>
      <c r="D856">
        <v>15.1</v>
      </c>
      <c r="E856" t="s">
        <v>3174</v>
      </c>
    </row>
    <row r="857" spans="1:5" x14ac:dyDescent="0.25">
      <c r="A857" t="s">
        <v>2689</v>
      </c>
      <c r="B857" t="s">
        <v>2690</v>
      </c>
      <c r="C857" t="s">
        <v>3156</v>
      </c>
      <c r="D857">
        <v>20.100000000000001</v>
      </c>
      <c r="E857" t="s">
        <v>3174</v>
      </c>
    </row>
    <row r="858" spans="1:5" x14ac:dyDescent="0.25">
      <c r="A858" t="s">
        <v>2691</v>
      </c>
      <c r="B858" t="s">
        <v>2692</v>
      </c>
      <c r="C858" t="s">
        <v>3156</v>
      </c>
      <c r="D858">
        <v>25.35</v>
      </c>
      <c r="E858" t="s">
        <v>3174</v>
      </c>
    </row>
    <row r="859" spans="1:5" x14ac:dyDescent="0.25">
      <c r="A859" t="s">
        <v>2693</v>
      </c>
      <c r="B859" t="s">
        <v>2694</v>
      </c>
      <c r="C859" t="s">
        <v>3156</v>
      </c>
      <c r="D859">
        <v>30.4</v>
      </c>
      <c r="E859" t="s">
        <v>3174</v>
      </c>
    </row>
    <row r="860" spans="1:5" x14ac:dyDescent="0.25">
      <c r="A860" t="s">
        <v>2695</v>
      </c>
      <c r="B860" t="s">
        <v>2696</v>
      </c>
      <c r="C860" t="s">
        <v>3156</v>
      </c>
      <c r="D860">
        <v>35.4</v>
      </c>
      <c r="E860" t="s">
        <v>3174</v>
      </c>
    </row>
    <row r="861" spans="1:5" x14ac:dyDescent="0.25">
      <c r="A861" t="s">
        <v>2697</v>
      </c>
      <c r="B861" t="s">
        <v>2698</v>
      </c>
      <c r="C861" t="s">
        <v>3156</v>
      </c>
      <c r="D861">
        <v>17.649999999999999</v>
      </c>
      <c r="E861" t="s">
        <v>3174</v>
      </c>
    </row>
    <row r="862" spans="1:5" x14ac:dyDescent="0.25">
      <c r="A862" t="s">
        <v>2699</v>
      </c>
      <c r="B862" t="s">
        <v>2700</v>
      </c>
      <c r="C862" t="s">
        <v>3156</v>
      </c>
      <c r="D862">
        <v>17.649999999999999</v>
      </c>
      <c r="E862" t="s">
        <v>3174</v>
      </c>
    </row>
    <row r="863" spans="1:5" x14ac:dyDescent="0.25">
      <c r="A863" t="s">
        <v>3175</v>
      </c>
      <c r="B863" t="s">
        <v>3176</v>
      </c>
      <c r="C863" t="s">
        <v>3156</v>
      </c>
      <c r="D863">
        <v>15.95</v>
      </c>
      <c r="E863" t="s">
        <v>3174</v>
      </c>
    </row>
    <row r="864" spans="1:5" x14ac:dyDescent="0.25">
      <c r="A864" t="s">
        <v>2701</v>
      </c>
      <c r="B864" t="s">
        <v>2702</v>
      </c>
      <c r="C864" t="s">
        <v>3156</v>
      </c>
      <c r="D864">
        <v>1.65</v>
      </c>
      <c r="E864" t="s">
        <v>3174</v>
      </c>
    </row>
    <row r="865" spans="1:5" x14ac:dyDescent="0.25">
      <c r="A865" t="s">
        <v>2703</v>
      </c>
      <c r="B865" t="s">
        <v>2704</v>
      </c>
      <c r="C865" t="s">
        <v>3156</v>
      </c>
      <c r="D865">
        <v>2.2000000000000002</v>
      </c>
      <c r="E865" t="s">
        <v>3174</v>
      </c>
    </row>
    <row r="866" spans="1:5" x14ac:dyDescent="0.25">
      <c r="A866" t="s">
        <v>2705</v>
      </c>
      <c r="B866" t="s">
        <v>2706</v>
      </c>
      <c r="C866" t="s">
        <v>3156</v>
      </c>
      <c r="D866">
        <v>3.55</v>
      </c>
      <c r="E866" t="s">
        <v>3022</v>
      </c>
    </row>
    <row r="867" spans="1:5" x14ac:dyDescent="0.25">
      <c r="A867" t="s">
        <v>2707</v>
      </c>
      <c r="B867" t="s">
        <v>2708</v>
      </c>
      <c r="C867" t="s">
        <v>3156</v>
      </c>
      <c r="D867">
        <v>3.55</v>
      </c>
      <c r="E867" t="s">
        <v>3022</v>
      </c>
    </row>
    <row r="868" spans="1:5" x14ac:dyDescent="0.25">
      <c r="A868" t="s">
        <v>2709</v>
      </c>
      <c r="B868" t="s">
        <v>2710</v>
      </c>
      <c r="C868" t="s">
        <v>3156</v>
      </c>
      <c r="D868">
        <v>3.55</v>
      </c>
      <c r="E868" t="s">
        <v>3022</v>
      </c>
    </row>
    <row r="869" spans="1:5" x14ac:dyDescent="0.25">
      <c r="A869" t="s">
        <v>2711</v>
      </c>
      <c r="B869" t="s">
        <v>2712</v>
      </c>
      <c r="C869" t="s">
        <v>3156</v>
      </c>
      <c r="D869">
        <v>3.55</v>
      </c>
      <c r="E869" t="s">
        <v>3022</v>
      </c>
    </row>
    <row r="870" spans="1:5" x14ac:dyDescent="0.25">
      <c r="A870" t="s">
        <v>2713</v>
      </c>
      <c r="B870" t="s">
        <v>2714</v>
      </c>
      <c r="C870" t="s">
        <v>3156</v>
      </c>
      <c r="D870">
        <v>3.55</v>
      </c>
      <c r="E870" t="s">
        <v>3022</v>
      </c>
    </row>
    <row r="871" spans="1:5" x14ac:dyDescent="0.25">
      <c r="A871" t="s">
        <v>2715</v>
      </c>
      <c r="B871" t="s">
        <v>2716</v>
      </c>
      <c r="C871" t="s">
        <v>3156</v>
      </c>
      <c r="D871">
        <v>3.55</v>
      </c>
      <c r="E871" t="s">
        <v>3022</v>
      </c>
    </row>
    <row r="872" spans="1:5" x14ac:dyDescent="0.25">
      <c r="A872" t="s">
        <v>2717</v>
      </c>
      <c r="B872" t="s">
        <v>2718</v>
      </c>
      <c r="C872" t="s">
        <v>3156</v>
      </c>
      <c r="D872">
        <v>3.55</v>
      </c>
      <c r="E872" t="s">
        <v>3022</v>
      </c>
    </row>
    <row r="873" spans="1:5" x14ac:dyDescent="0.25">
      <c r="A873" t="s">
        <v>2719</v>
      </c>
      <c r="B873" t="s">
        <v>2720</v>
      </c>
      <c r="C873" t="s">
        <v>3156</v>
      </c>
      <c r="D873">
        <v>3.55</v>
      </c>
      <c r="E873" t="s">
        <v>3022</v>
      </c>
    </row>
    <row r="874" spans="1:5" x14ac:dyDescent="0.25">
      <c r="A874" t="s">
        <v>2721</v>
      </c>
      <c r="B874" t="s">
        <v>2722</v>
      </c>
      <c r="C874" t="s">
        <v>3156</v>
      </c>
      <c r="D874">
        <v>3.55</v>
      </c>
      <c r="E874" t="s">
        <v>3022</v>
      </c>
    </row>
    <row r="875" spans="1:5" x14ac:dyDescent="0.25">
      <c r="A875" t="s">
        <v>2723</v>
      </c>
      <c r="B875" t="s">
        <v>2724</v>
      </c>
      <c r="C875" t="s">
        <v>3156</v>
      </c>
      <c r="D875">
        <v>3.55</v>
      </c>
      <c r="E875" t="s">
        <v>3022</v>
      </c>
    </row>
    <row r="876" spans="1:5" x14ac:dyDescent="0.25">
      <c r="A876" t="s">
        <v>2725</v>
      </c>
      <c r="B876" t="s">
        <v>2726</v>
      </c>
      <c r="C876" t="s">
        <v>3156</v>
      </c>
      <c r="D876">
        <v>3.55</v>
      </c>
      <c r="E876" t="s">
        <v>3022</v>
      </c>
    </row>
    <row r="877" spans="1:5" x14ac:dyDescent="0.25">
      <c r="A877" t="s">
        <v>2727</v>
      </c>
      <c r="B877" t="s">
        <v>2728</v>
      </c>
      <c r="C877" t="s">
        <v>3156</v>
      </c>
      <c r="D877">
        <v>3.55</v>
      </c>
      <c r="E877" t="s">
        <v>3022</v>
      </c>
    </row>
    <row r="878" spans="1:5" x14ac:dyDescent="0.25">
      <c r="A878" t="s">
        <v>2729</v>
      </c>
      <c r="B878" t="s">
        <v>2730</v>
      </c>
      <c r="C878" t="s">
        <v>3156</v>
      </c>
      <c r="D878">
        <v>3.55</v>
      </c>
      <c r="E878" t="s">
        <v>3022</v>
      </c>
    </row>
    <row r="879" spans="1:5" x14ac:dyDescent="0.25">
      <c r="A879" t="s">
        <v>2731</v>
      </c>
      <c r="B879" t="s">
        <v>2732</v>
      </c>
      <c r="C879" t="s">
        <v>3156</v>
      </c>
      <c r="D879">
        <v>3.55</v>
      </c>
      <c r="E879" t="s">
        <v>3022</v>
      </c>
    </row>
    <row r="880" spans="1:5" x14ac:dyDescent="0.25">
      <c r="A880" t="s">
        <v>2733</v>
      </c>
      <c r="B880" t="s">
        <v>2734</v>
      </c>
      <c r="C880" t="s">
        <v>3156</v>
      </c>
      <c r="D880">
        <v>3.55</v>
      </c>
      <c r="E880" t="s">
        <v>3022</v>
      </c>
    </row>
    <row r="881" spans="1:5" x14ac:dyDescent="0.25">
      <c r="A881" t="s">
        <v>2735</v>
      </c>
      <c r="B881" t="s">
        <v>2736</v>
      </c>
      <c r="C881" t="s">
        <v>3156</v>
      </c>
      <c r="D881">
        <v>3.55</v>
      </c>
      <c r="E881" t="s">
        <v>3022</v>
      </c>
    </row>
    <row r="882" spans="1:5" x14ac:dyDescent="0.25">
      <c r="A882" t="s">
        <v>2737</v>
      </c>
      <c r="B882" t="s">
        <v>2738</v>
      </c>
      <c r="C882" t="s">
        <v>3156</v>
      </c>
      <c r="D882">
        <v>3.55</v>
      </c>
      <c r="E882" t="s">
        <v>3022</v>
      </c>
    </row>
    <row r="883" spans="1:5" x14ac:dyDescent="0.25">
      <c r="A883" t="s">
        <v>2739</v>
      </c>
      <c r="B883" t="s">
        <v>2740</v>
      </c>
      <c r="C883" t="s">
        <v>3156</v>
      </c>
      <c r="D883">
        <v>3.55</v>
      </c>
      <c r="E883" t="s">
        <v>3022</v>
      </c>
    </row>
    <row r="884" spans="1:5" x14ac:dyDescent="0.25">
      <c r="A884" t="s">
        <v>2741</v>
      </c>
      <c r="B884" t="s">
        <v>2742</v>
      </c>
      <c r="C884" t="s">
        <v>3156</v>
      </c>
      <c r="D884">
        <v>3.55</v>
      </c>
      <c r="E884" t="s">
        <v>3022</v>
      </c>
    </row>
    <row r="885" spans="1:5" x14ac:dyDescent="0.25">
      <c r="A885" t="s">
        <v>2743</v>
      </c>
      <c r="B885" t="s">
        <v>2744</v>
      </c>
      <c r="C885" t="s">
        <v>3156</v>
      </c>
      <c r="D885">
        <v>3.55</v>
      </c>
      <c r="E885" t="s">
        <v>3022</v>
      </c>
    </row>
    <row r="886" spans="1:5" x14ac:dyDescent="0.25">
      <c r="A886" t="s">
        <v>2745</v>
      </c>
      <c r="B886" t="s">
        <v>2746</v>
      </c>
      <c r="C886" t="s">
        <v>3156</v>
      </c>
      <c r="D886">
        <v>3.55</v>
      </c>
      <c r="E886" t="s">
        <v>3022</v>
      </c>
    </row>
    <row r="887" spans="1:5" x14ac:dyDescent="0.25">
      <c r="A887" t="s">
        <v>2747</v>
      </c>
      <c r="B887" t="s">
        <v>2748</v>
      </c>
      <c r="C887" t="s">
        <v>3156</v>
      </c>
      <c r="D887">
        <v>3.55</v>
      </c>
      <c r="E887" t="s">
        <v>3022</v>
      </c>
    </row>
    <row r="888" spans="1:5" x14ac:dyDescent="0.25">
      <c r="A888" t="s">
        <v>1731</v>
      </c>
      <c r="B888" t="s">
        <v>1732</v>
      </c>
      <c r="C888" t="s">
        <v>3156</v>
      </c>
      <c r="D888">
        <v>19.8</v>
      </c>
      <c r="E888" t="s">
        <v>3177</v>
      </c>
    </row>
    <row r="889" spans="1:5" x14ac:dyDescent="0.25">
      <c r="A889" t="s">
        <v>1740</v>
      </c>
      <c r="B889" t="s">
        <v>1741</v>
      </c>
      <c r="C889" t="s">
        <v>3156</v>
      </c>
      <c r="D889">
        <v>10.050000000000001</v>
      </c>
      <c r="E889" t="s">
        <v>3177</v>
      </c>
    </row>
    <row r="890" spans="1:5" x14ac:dyDescent="0.25">
      <c r="A890" t="s">
        <v>1734</v>
      </c>
      <c r="B890" t="s">
        <v>1735</v>
      </c>
      <c r="C890" t="s">
        <v>3156</v>
      </c>
      <c r="D890">
        <v>3.55</v>
      </c>
      <c r="E890" t="s">
        <v>3177</v>
      </c>
    </row>
    <row r="891" spans="1:5" x14ac:dyDescent="0.25">
      <c r="A891" t="s">
        <v>1202</v>
      </c>
      <c r="B891" t="s">
        <v>1203</v>
      </c>
      <c r="C891" t="s">
        <v>3156</v>
      </c>
      <c r="D891">
        <v>20.65</v>
      </c>
      <c r="E891" t="s">
        <v>3178</v>
      </c>
    </row>
    <row r="892" spans="1:5" x14ac:dyDescent="0.25">
      <c r="A892" t="s">
        <v>2755</v>
      </c>
      <c r="B892" t="s">
        <v>2756</v>
      </c>
      <c r="C892" t="s">
        <v>3156</v>
      </c>
      <c r="D892">
        <v>14.75</v>
      </c>
      <c r="E892" t="s">
        <v>3178</v>
      </c>
    </row>
    <row r="893" spans="1:5" x14ac:dyDescent="0.25">
      <c r="A893" t="s">
        <v>1369</v>
      </c>
      <c r="B893" t="s">
        <v>1370</v>
      </c>
      <c r="C893" t="s">
        <v>3156</v>
      </c>
      <c r="D893">
        <v>10.050000000000001</v>
      </c>
      <c r="E893" t="s">
        <v>3024</v>
      </c>
    </row>
    <row r="894" spans="1:5" x14ac:dyDescent="0.25">
      <c r="A894" t="s">
        <v>1365</v>
      </c>
      <c r="B894" t="s">
        <v>1366</v>
      </c>
      <c r="C894" t="s">
        <v>3156</v>
      </c>
      <c r="D894">
        <v>8.5500000000000007</v>
      </c>
      <c r="E894" t="s">
        <v>3024</v>
      </c>
    </row>
    <row r="895" spans="1:5" x14ac:dyDescent="0.25">
      <c r="A895" t="s">
        <v>2765</v>
      </c>
      <c r="B895" t="s">
        <v>2766</v>
      </c>
      <c r="C895" t="s">
        <v>3156</v>
      </c>
      <c r="D895">
        <v>8.5500000000000007</v>
      </c>
      <c r="E895" t="s">
        <v>3024</v>
      </c>
    </row>
    <row r="896" spans="1:5" x14ac:dyDescent="0.25">
      <c r="A896" t="s">
        <v>2767</v>
      </c>
      <c r="B896" t="s">
        <v>2768</v>
      </c>
      <c r="C896" t="s">
        <v>3156</v>
      </c>
      <c r="D896">
        <v>8.5500000000000007</v>
      </c>
      <c r="E896" t="s">
        <v>3024</v>
      </c>
    </row>
    <row r="897" spans="1:5" x14ac:dyDescent="0.25">
      <c r="A897" t="s">
        <v>2769</v>
      </c>
      <c r="B897" t="s">
        <v>2770</v>
      </c>
      <c r="C897" t="s">
        <v>3156</v>
      </c>
      <c r="D897">
        <v>8.5500000000000007</v>
      </c>
      <c r="E897" t="s">
        <v>3024</v>
      </c>
    </row>
    <row r="898" spans="1:5" x14ac:dyDescent="0.25">
      <c r="A898" t="s">
        <v>2771</v>
      </c>
      <c r="B898" t="s">
        <v>2772</v>
      </c>
      <c r="C898" t="s">
        <v>3156</v>
      </c>
      <c r="D898">
        <v>8.5500000000000007</v>
      </c>
      <c r="E898" t="s">
        <v>3024</v>
      </c>
    </row>
    <row r="899" spans="1:5" x14ac:dyDescent="0.25">
      <c r="A899" t="s">
        <v>2773</v>
      </c>
      <c r="B899" t="s">
        <v>2774</v>
      </c>
      <c r="C899" t="s">
        <v>3156</v>
      </c>
      <c r="D899">
        <v>8.5500000000000007</v>
      </c>
      <c r="E899" t="s">
        <v>3024</v>
      </c>
    </row>
    <row r="900" spans="1:5" x14ac:dyDescent="0.25">
      <c r="A900" t="s">
        <v>2775</v>
      </c>
      <c r="B900" t="s">
        <v>2776</v>
      </c>
      <c r="C900" t="s">
        <v>3156</v>
      </c>
      <c r="D900">
        <v>8.5500000000000007</v>
      </c>
      <c r="E900" t="s">
        <v>3024</v>
      </c>
    </row>
    <row r="901" spans="1:5" x14ac:dyDescent="0.25">
      <c r="A901" t="s">
        <v>1375</v>
      </c>
      <c r="B901" t="s">
        <v>1376</v>
      </c>
      <c r="C901" t="s">
        <v>3156</v>
      </c>
      <c r="D901">
        <v>14.45</v>
      </c>
      <c r="E901" t="s">
        <v>3024</v>
      </c>
    </row>
    <row r="902" spans="1:5" x14ac:dyDescent="0.25">
      <c r="A902" t="s">
        <v>2777</v>
      </c>
      <c r="B902" t="s">
        <v>2778</v>
      </c>
      <c r="C902" t="s">
        <v>3156</v>
      </c>
      <c r="D902">
        <v>9.5</v>
      </c>
      <c r="E902" t="s">
        <v>3024</v>
      </c>
    </row>
    <row r="903" spans="1:5" x14ac:dyDescent="0.25">
      <c r="A903" t="s">
        <v>3179</v>
      </c>
      <c r="B903" t="s">
        <v>3180</v>
      </c>
      <c r="C903" t="s">
        <v>3156</v>
      </c>
      <c r="D903">
        <v>9.5</v>
      </c>
      <c r="E903" t="s">
        <v>3024</v>
      </c>
    </row>
    <row r="904" spans="1:5" x14ac:dyDescent="0.25">
      <c r="A904" t="s">
        <v>2779</v>
      </c>
      <c r="B904" t="s">
        <v>2780</v>
      </c>
      <c r="C904" t="s">
        <v>3156</v>
      </c>
      <c r="D904">
        <v>9.5</v>
      </c>
      <c r="E904" t="s">
        <v>3024</v>
      </c>
    </row>
    <row r="905" spans="1:5" x14ac:dyDescent="0.25">
      <c r="A905" t="s">
        <v>2781</v>
      </c>
      <c r="B905" t="s">
        <v>2782</v>
      </c>
      <c r="C905" t="s">
        <v>3156</v>
      </c>
      <c r="D905">
        <v>9.5</v>
      </c>
      <c r="E905" t="s">
        <v>3024</v>
      </c>
    </row>
    <row r="906" spans="1:5" x14ac:dyDescent="0.25">
      <c r="A906" t="s">
        <v>2783</v>
      </c>
      <c r="B906" t="s">
        <v>2784</v>
      </c>
      <c r="C906" t="s">
        <v>3156</v>
      </c>
      <c r="D906">
        <v>14.45</v>
      </c>
      <c r="E906" t="s">
        <v>3024</v>
      </c>
    </row>
    <row r="907" spans="1:5" x14ac:dyDescent="0.25">
      <c r="A907" t="s">
        <v>2785</v>
      </c>
      <c r="B907" t="s">
        <v>2786</v>
      </c>
      <c r="C907" t="s">
        <v>3156</v>
      </c>
      <c r="D907">
        <v>10.050000000000001</v>
      </c>
      <c r="E907" t="s">
        <v>3024</v>
      </c>
    </row>
    <row r="908" spans="1:5" x14ac:dyDescent="0.25">
      <c r="A908" t="s">
        <v>2787</v>
      </c>
      <c r="B908" t="s">
        <v>2788</v>
      </c>
      <c r="C908" t="s">
        <v>3156</v>
      </c>
      <c r="D908">
        <v>9.5</v>
      </c>
      <c r="E908" t="s">
        <v>3024</v>
      </c>
    </row>
    <row r="909" spans="1:5" x14ac:dyDescent="0.25">
      <c r="A909" t="s">
        <v>2789</v>
      </c>
      <c r="B909" t="s">
        <v>2790</v>
      </c>
      <c r="C909" t="s">
        <v>3156</v>
      </c>
      <c r="D909">
        <v>9.5</v>
      </c>
      <c r="E909" t="s">
        <v>3024</v>
      </c>
    </row>
    <row r="910" spans="1:5" x14ac:dyDescent="0.25">
      <c r="A910" t="s">
        <v>2791</v>
      </c>
      <c r="B910" t="s">
        <v>2792</v>
      </c>
      <c r="C910" t="s">
        <v>3156</v>
      </c>
      <c r="D910">
        <v>9.5</v>
      </c>
      <c r="E910" t="s">
        <v>3024</v>
      </c>
    </row>
    <row r="911" spans="1:5" x14ac:dyDescent="0.25">
      <c r="A911" t="s">
        <v>2793</v>
      </c>
      <c r="B911" t="s">
        <v>2794</v>
      </c>
      <c r="C911" t="s">
        <v>3156</v>
      </c>
      <c r="D911">
        <v>10.3</v>
      </c>
      <c r="E911" t="s">
        <v>3024</v>
      </c>
    </row>
    <row r="912" spans="1:5" x14ac:dyDescent="0.25">
      <c r="A912" t="s">
        <v>2795</v>
      </c>
      <c r="B912" t="s">
        <v>2796</v>
      </c>
      <c r="C912" t="s">
        <v>3156</v>
      </c>
      <c r="D912">
        <v>20.6</v>
      </c>
      <c r="E912" t="s">
        <v>3024</v>
      </c>
    </row>
    <row r="913" spans="1:5" x14ac:dyDescent="0.25">
      <c r="A913" t="s">
        <v>2797</v>
      </c>
      <c r="B913" t="s">
        <v>2798</v>
      </c>
      <c r="C913" t="s">
        <v>3156</v>
      </c>
      <c r="D913">
        <v>20.6</v>
      </c>
      <c r="E913" t="s">
        <v>3024</v>
      </c>
    </row>
    <row r="914" spans="1:5" x14ac:dyDescent="0.25">
      <c r="A914" t="s">
        <v>2002</v>
      </c>
      <c r="B914" t="s">
        <v>2003</v>
      </c>
      <c r="C914" t="s">
        <v>3156</v>
      </c>
      <c r="D914">
        <v>17.399999999999999</v>
      </c>
      <c r="E914" t="s">
        <v>3181</v>
      </c>
    </row>
    <row r="915" spans="1:5" x14ac:dyDescent="0.25">
      <c r="A915" t="s">
        <v>2799</v>
      </c>
      <c r="B915" t="s">
        <v>2800</v>
      </c>
      <c r="C915" t="s">
        <v>3156</v>
      </c>
      <c r="D915">
        <v>17.399999999999999</v>
      </c>
      <c r="E915" t="s">
        <v>3181</v>
      </c>
    </row>
    <row r="916" spans="1:5" x14ac:dyDescent="0.25">
      <c r="A916" t="s">
        <v>2801</v>
      </c>
      <c r="B916" t="s">
        <v>2802</v>
      </c>
      <c r="C916" t="s">
        <v>3156</v>
      </c>
      <c r="D916">
        <v>17.399999999999999</v>
      </c>
      <c r="E916" t="s">
        <v>3181</v>
      </c>
    </row>
    <row r="917" spans="1:5" x14ac:dyDescent="0.25">
      <c r="A917" t="s">
        <v>1951</v>
      </c>
      <c r="B917" t="s">
        <v>1952</v>
      </c>
      <c r="C917" t="s">
        <v>3156</v>
      </c>
      <c r="D917">
        <v>5.35</v>
      </c>
      <c r="E917" t="s">
        <v>3026</v>
      </c>
    </row>
    <row r="918" spans="1:5" x14ac:dyDescent="0.25">
      <c r="A918" t="s">
        <v>1945</v>
      </c>
      <c r="B918" t="s">
        <v>1946</v>
      </c>
      <c r="C918" t="s">
        <v>3156</v>
      </c>
      <c r="D918">
        <v>5.6</v>
      </c>
      <c r="E918" t="s">
        <v>3026</v>
      </c>
    </row>
    <row r="919" spans="1:5" x14ac:dyDescent="0.25">
      <c r="A919" t="s">
        <v>2813</v>
      </c>
      <c r="B919" t="s">
        <v>2814</v>
      </c>
      <c r="C919" t="s">
        <v>3156</v>
      </c>
      <c r="D919">
        <v>5.35</v>
      </c>
      <c r="E919" t="s">
        <v>3026</v>
      </c>
    </row>
    <row r="920" spans="1:5" x14ac:dyDescent="0.25">
      <c r="A920" t="s">
        <v>1948</v>
      </c>
      <c r="B920" t="s">
        <v>1949</v>
      </c>
      <c r="C920" t="s">
        <v>3156</v>
      </c>
      <c r="D920">
        <v>14</v>
      </c>
      <c r="E920" t="s">
        <v>3026</v>
      </c>
    </row>
    <row r="921" spans="1:5" x14ac:dyDescent="0.25">
      <c r="A921" t="s">
        <v>2815</v>
      </c>
      <c r="B921" t="s">
        <v>2816</v>
      </c>
      <c r="C921" t="s">
        <v>3156</v>
      </c>
      <c r="D921">
        <v>14</v>
      </c>
      <c r="E921" t="s">
        <v>3026</v>
      </c>
    </row>
    <row r="922" spans="1:5" x14ac:dyDescent="0.25">
      <c r="A922" t="s">
        <v>2817</v>
      </c>
      <c r="B922" t="s">
        <v>2818</v>
      </c>
      <c r="C922" t="s">
        <v>3156</v>
      </c>
      <c r="D922">
        <v>4.1500000000000004</v>
      </c>
      <c r="E922" t="s">
        <v>3026</v>
      </c>
    </row>
    <row r="923" spans="1:5" x14ac:dyDescent="0.25">
      <c r="A923" t="s">
        <v>2819</v>
      </c>
      <c r="B923" t="s">
        <v>2820</v>
      </c>
      <c r="C923" t="s">
        <v>3156</v>
      </c>
      <c r="D923">
        <v>9.0500000000000007</v>
      </c>
      <c r="E923" t="s">
        <v>3026</v>
      </c>
    </row>
    <row r="924" spans="1:5" x14ac:dyDescent="0.25">
      <c r="A924" t="s">
        <v>1953</v>
      </c>
      <c r="B924" t="s">
        <v>1954</v>
      </c>
      <c r="C924" t="s">
        <v>3156</v>
      </c>
      <c r="D924">
        <v>23.9</v>
      </c>
      <c r="E924" t="s">
        <v>3026</v>
      </c>
    </row>
    <row r="925" spans="1:5" x14ac:dyDescent="0.25">
      <c r="A925" t="s">
        <v>2821</v>
      </c>
      <c r="B925" t="s">
        <v>2822</v>
      </c>
      <c r="C925" t="s">
        <v>3156</v>
      </c>
      <c r="D925">
        <v>3.55</v>
      </c>
      <c r="E925" t="s">
        <v>3182</v>
      </c>
    </row>
    <row r="926" spans="1:5" x14ac:dyDescent="0.25">
      <c r="A926" t="s">
        <v>2823</v>
      </c>
      <c r="B926" t="s">
        <v>2824</v>
      </c>
      <c r="C926" t="s">
        <v>3156</v>
      </c>
      <c r="D926">
        <v>47.8</v>
      </c>
      <c r="E926" t="s">
        <v>3182</v>
      </c>
    </row>
    <row r="927" spans="1:5" x14ac:dyDescent="0.25">
      <c r="A927" t="s">
        <v>2825</v>
      </c>
      <c r="B927" t="s">
        <v>2826</v>
      </c>
      <c r="C927" t="s">
        <v>3156</v>
      </c>
      <c r="D927">
        <v>153.25</v>
      </c>
      <c r="E927" t="s">
        <v>3182</v>
      </c>
    </row>
    <row r="928" spans="1:5" x14ac:dyDescent="0.25">
      <c r="A928" t="s">
        <v>2827</v>
      </c>
      <c r="B928" t="s">
        <v>2828</v>
      </c>
      <c r="C928" t="s">
        <v>3156</v>
      </c>
      <c r="D928">
        <v>19.8</v>
      </c>
      <c r="E928" t="s">
        <v>3182</v>
      </c>
    </row>
    <row r="929" spans="1:5" x14ac:dyDescent="0.25">
      <c r="A929" t="s">
        <v>2829</v>
      </c>
      <c r="B929" t="s">
        <v>2830</v>
      </c>
      <c r="C929" t="s">
        <v>3156</v>
      </c>
      <c r="D929">
        <v>47.8</v>
      </c>
      <c r="E929" t="s">
        <v>3182</v>
      </c>
    </row>
    <row r="930" spans="1:5" x14ac:dyDescent="0.25">
      <c r="A930" t="s">
        <v>2831</v>
      </c>
      <c r="B930" t="s">
        <v>2832</v>
      </c>
      <c r="C930" t="s">
        <v>3156</v>
      </c>
      <c r="D930">
        <v>67.849999999999994</v>
      </c>
      <c r="E930" t="s">
        <v>3182</v>
      </c>
    </row>
    <row r="931" spans="1:5" x14ac:dyDescent="0.25">
      <c r="A931" t="s">
        <v>2833</v>
      </c>
      <c r="B931" t="s">
        <v>2834</v>
      </c>
      <c r="C931" t="s">
        <v>3156</v>
      </c>
      <c r="D931">
        <v>73.7</v>
      </c>
      <c r="E931" t="s">
        <v>3182</v>
      </c>
    </row>
    <row r="932" spans="1:5" x14ac:dyDescent="0.25">
      <c r="A932" t="s">
        <v>2835</v>
      </c>
      <c r="B932" t="s">
        <v>2836</v>
      </c>
      <c r="C932" t="s">
        <v>3156</v>
      </c>
      <c r="D932">
        <v>33.049999999999997</v>
      </c>
      <c r="E932" t="s">
        <v>3182</v>
      </c>
    </row>
    <row r="933" spans="1:5" x14ac:dyDescent="0.25">
      <c r="A933" t="s">
        <v>2302</v>
      </c>
      <c r="B933" t="s">
        <v>2303</v>
      </c>
      <c r="C933" t="s">
        <v>3156</v>
      </c>
      <c r="D933">
        <v>11.55</v>
      </c>
      <c r="E933" t="s">
        <v>3182</v>
      </c>
    </row>
    <row r="934" spans="1:5" x14ac:dyDescent="0.25">
      <c r="A934" t="s">
        <v>2837</v>
      </c>
      <c r="B934" t="s">
        <v>2838</v>
      </c>
      <c r="C934" t="s">
        <v>3156</v>
      </c>
      <c r="D934">
        <v>6.25</v>
      </c>
      <c r="E934" t="s">
        <v>3182</v>
      </c>
    </row>
    <row r="935" spans="1:5" x14ac:dyDescent="0.25">
      <c r="A935" t="s">
        <v>2839</v>
      </c>
      <c r="B935" t="s">
        <v>2840</v>
      </c>
      <c r="C935" t="s">
        <v>3156</v>
      </c>
      <c r="D935">
        <v>6.25</v>
      </c>
      <c r="E935" t="s">
        <v>3182</v>
      </c>
    </row>
    <row r="936" spans="1:5" x14ac:dyDescent="0.25">
      <c r="A936" t="s">
        <v>2841</v>
      </c>
      <c r="B936" t="s">
        <v>2842</v>
      </c>
      <c r="C936" t="s">
        <v>3156</v>
      </c>
      <c r="D936">
        <v>6.25</v>
      </c>
      <c r="E936" t="s">
        <v>3182</v>
      </c>
    </row>
    <row r="937" spans="1:5" x14ac:dyDescent="0.25">
      <c r="A937" t="s">
        <v>2843</v>
      </c>
      <c r="B937" t="s">
        <v>2844</v>
      </c>
      <c r="C937" t="s">
        <v>3156</v>
      </c>
      <c r="D937">
        <v>33.049999999999997</v>
      </c>
      <c r="E937" t="s">
        <v>3182</v>
      </c>
    </row>
    <row r="938" spans="1:5" x14ac:dyDescent="0.25">
      <c r="A938" t="s">
        <v>2845</v>
      </c>
      <c r="B938" t="s">
        <v>2846</v>
      </c>
      <c r="C938" t="s">
        <v>3156</v>
      </c>
      <c r="D938">
        <v>41</v>
      </c>
      <c r="E938" t="s">
        <v>3183</v>
      </c>
    </row>
    <row r="939" spans="1:5" x14ac:dyDescent="0.25">
      <c r="A939" t="s">
        <v>2405</v>
      </c>
      <c r="B939" t="s">
        <v>2406</v>
      </c>
      <c r="C939" t="s">
        <v>3156</v>
      </c>
      <c r="D939">
        <v>18.600000000000001</v>
      </c>
      <c r="E939" t="s">
        <v>3183</v>
      </c>
    </row>
    <row r="940" spans="1:5" x14ac:dyDescent="0.25">
      <c r="A940" t="s">
        <v>2848</v>
      </c>
      <c r="B940" t="s">
        <v>2849</v>
      </c>
      <c r="C940" t="s">
        <v>3156</v>
      </c>
      <c r="D940">
        <v>6.5</v>
      </c>
      <c r="E940" t="s">
        <v>3183</v>
      </c>
    </row>
    <row r="941" spans="1:5" x14ac:dyDescent="0.25">
      <c r="A941" t="s">
        <v>2850</v>
      </c>
      <c r="B941" t="s">
        <v>2851</v>
      </c>
      <c r="C941" t="s">
        <v>3156</v>
      </c>
      <c r="D941">
        <v>10.050000000000001</v>
      </c>
      <c r="E941" t="s">
        <v>3183</v>
      </c>
    </row>
    <row r="942" spans="1:5" x14ac:dyDescent="0.25">
      <c r="A942" t="s">
        <v>2852</v>
      </c>
      <c r="B942" t="s">
        <v>2853</v>
      </c>
      <c r="C942" t="s">
        <v>3156</v>
      </c>
      <c r="D942">
        <v>22.75</v>
      </c>
      <c r="E942" t="s">
        <v>3183</v>
      </c>
    </row>
    <row r="943" spans="1:5" x14ac:dyDescent="0.25">
      <c r="A943" t="s">
        <v>2854</v>
      </c>
      <c r="B943" t="s">
        <v>2855</v>
      </c>
      <c r="C943" t="s">
        <v>3156</v>
      </c>
      <c r="D943">
        <v>23</v>
      </c>
      <c r="E943" t="s">
        <v>3183</v>
      </c>
    </row>
    <row r="944" spans="1:5" x14ac:dyDescent="0.25">
      <c r="A944" t="s">
        <v>2409</v>
      </c>
      <c r="B944" t="s">
        <v>2410</v>
      </c>
      <c r="C944" t="s">
        <v>3156</v>
      </c>
      <c r="D944">
        <v>15.95</v>
      </c>
      <c r="E944" t="s">
        <v>3184</v>
      </c>
    </row>
    <row r="945" spans="1:5" x14ac:dyDescent="0.25">
      <c r="A945" t="s">
        <v>2411</v>
      </c>
      <c r="B945" t="s">
        <v>2412</v>
      </c>
      <c r="C945" t="s">
        <v>3156</v>
      </c>
      <c r="D945">
        <v>7.4</v>
      </c>
      <c r="E945" t="s">
        <v>3184</v>
      </c>
    </row>
    <row r="946" spans="1:5" x14ac:dyDescent="0.25">
      <c r="A946" t="s">
        <v>2856</v>
      </c>
      <c r="B946" t="s">
        <v>2857</v>
      </c>
      <c r="C946" t="s">
        <v>3156</v>
      </c>
      <c r="D946">
        <v>7.4</v>
      </c>
      <c r="E946" t="s">
        <v>3184</v>
      </c>
    </row>
    <row r="947" spans="1:5" x14ac:dyDescent="0.25">
      <c r="A947" t="s">
        <v>2858</v>
      </c>
      <c r="B947" t="s">
        <v>2859</v>
      </c>
      <c r="C947" t="s">
        <v>3156</v>
      </c>
      <c r="D947">
        <v>7.4</v>
      </c>
      <c r="E947" t="s">
        <v>3184</v>
      </c>
    </row>
    <row r="948" spans="1:5" x14ac:dyDescent="0.25">
      <c r="A948" t="s">
        <v>2860</v>
      </c>
      <c r="B948" t="s">
        <v>2861</v>
      </c>
      <c r="C948" t="s">
        <v>3156</v>
      </c>
      <c r="D948">
        <v>7.4</v>
      </c>
      <c r="E948" t="s">
        <v>3184</v>
      </c>
    </row>
    <row r="949" spans="1:5" x14ac:dyDescent="0.25">
      <c r="A949" t="s">
        <v>2862</v>
      </c>
      <c r="B949" t="s">
        <v>2863</v>
      </c>
      <c r="C949" t="s">
        <v>3156</v>
      </c>
      <c r="D949">
        <v>7.4</v>
      </c>
      <c r="E949" t="s">
        <v>3184</v>
      </c>
    </row>
    <row r="950" spans="1:5" x14ac:dyDescent="0.25">
      <c r="A950" t="s">
        <v>2414</v>
      </c>
      <c r="B950" t="s">
        <v>2415</v>
      </c>
      <c r="C950" t="s">
        <v>3156</v>
      </c>
      <c r="D950">
        <v>12.65</v>
      </c>
      <c r="E950" t="s">
        <v>3184</v>
      </c>
    </row>
    <row r="951" spans="1:5" x14ac:dyDescent="0.25">
      <c r="A951" t="s">
        <v>2864</v>
      </c>
      <c r="B951" t="s">
        <v>2865</v>
      </c>
      <c r="C951" t="s">
        <v>3156</v>
      </c>
      <c r="D951">
        <v>12.65</v>
      </c>
      <c r="E951" t="s">
        <v>3184</v>
      </c>
    </row>
    <row r="952" spans="1:5" x14ac:dyDescent="0.25">
      <c r="A952" t="s">
        <v>2866</v>
      </c>
      <c r="B952" t="s">
        <v>2867</v>
      </c>
      <c r="C952" t="s">
        <v>3156</v>
      </c>
      <c r="D952">
        <v>12.65</v>
      </c>
      <c r="E952" t="s">
        <v>3184</v>
      </c>
    </row>
    <row r="953" spans="1:5" x14ac:dyDescent="0.25">
      <c r="A953" t="s">
        <v>2868</v>
      </c>
      <c r="B953" t="s">
        <v>2869</v>
      </c>
      <c r="C953" t="s">
        <v>3156</v>
      </c>
      <c r="D953">
        <v>12.65</v>
      </c>
      <c r="E953" t="s">
        <v>3184</v>
      </c>
    </row>
    <row r="954" spans="1:5" x14ac:dyDescent="0.25">
      <c r="A954" t="s">
        <v>2870</v>
      </c>
      <c r="B954" t="s">
        <v>2871</v>
      </c>
      <c r="C954" t="s">
        <v>3156</v>
      </c>
      <c r="D954">
        <v>12.65</v>
      </c>
      <c r="E954" t="s">
        <v>3184</v>
      </c>
    </row>
    <row r="955" spans="1:5" x14ac:dyDescent="0.25">
      <c r="A955" t="s">
        <v>2417</v>
      </c>
      <c r="B955" t="s">
        <v>2418</v>
      </c>
      <c r="C955" t="s">
        <v>3156</v>
      </c>
      <c r="D955">
        <v>2.7</v>
      </c>
      <c r="E955" t="s">
        <v>3184</v>
      </c>
    </row>
    <row r="956" spans="1:5" x14ac:dyDescent="0.25">
      <c r="A956" t="s">
        <v>1850</v>
      </c>
      <c r="B956" t="s">
        <v>1851</v>
      </c>
      <c r="C956" t="s">
        <v>3156</v>
      </c>
      <c r="D956">
        <v>12.65</v>
      </c>
      <c r="E956" t="s">
        <v>3185</v>
      </c>
    </row>
    <row r="957" spans="1:5" x14ac:dyDescent="0.25">
      <c r="A957" t="s">
        <v>1847</v>
      </c>
      <c r="B957" t="s">
        <v>1848</v>
      </c>
      <c r="C957" t="s">
        <v>3156</v>
      </c>
      <c r="D957">
        <v>12.65</v>
      </c>
      <c r="E957" t="s">
        <v>3185</v>
      </c>
    </row>
    <row r="958" spans="1:5" x14ac:dyDescent="0.25">
      <c r="A958" t="s">
        <v>2872</v>
      </c>
      <c r="B958" t="s">
        <v>2873</v>
      </c>
      <c r="C958" t="s">
        <v>3156</v>
      </c>
      <c r="D958">
        <v>12.65</v>
      </c>
      <c r="E958" t="s">
        <v>3185</v>
      </c>
    </row>
    <row r="959" spans="1:5" x14ac:dyDescent="0.25">
      <c r="A959" t="s">
        <v>2874</v>
      </c>
      <c r="B959" t="s">
        <v>2875</v>
      </c>
      <c r="C959" t="s">
        <v>3156</v>
      </c>
      <c r="D959">
        <v>12.65</v>
      </c>
      <c r="E959" t="s">
        <v>3185</v>
      </c>
    </row>
    <row r="960" spans="1:5" x14ac:dyDescent="0.25">
      <c r="A960" t="s">
        <v>1852</v>
      </c>
      <c r="B960" t="s">
        <v>1853</v>
      </c>
      <c r="C960" t="s">
        <v>3156</v>
      </c>
      <c r="D960">
        <v>6.5</v>
      </c>
      <c r="E960" t="s">
        <v>3185</v>
      </c>
    </row>
    <row r="961" spans="1:5" x14ac:dyDescent="0.25">
      <c r="A961" t="s">
        <v>2876</v>
      </c>
      <c r="B961" t="s">
        <v>2877</v>
      </c>
      <c r="C961" t="s">
        <v>3156</v>
      </c>
      <c r="D961">
        <v>6.5</v>
      </c>
      <c r="E961" t="s">
        <v>3185</v>
      </c>
    </row>
    <row r="962" spans="1:5" x14ac:dyDescent="0.25">
      <c r="A962" t="s">
        <v>1854</v>
      </c>
      <c r="B962" t="s">
        <v>1855</v>
      </c>
      <c r="C962" t="s">
        <v>3156</v>
      </c>
      <c r="D962">
        <v>4.1500000000000004</v>
      </c>
      <c r="E962" t="s">
        <v>3185</v>
      </c>
    </row>
    <row r="963" spans="1:5" x14ac:dyDescent="0.25">
      <c r="A963" t="s">
        <v>2878</v>
      </c>
      <c r="B963" t="s">
        <v>2879</v>
      </c>
      <c r="C963" t="s">
        <v>3156</v>
      </c>
      <c r="D963">
        <v>4.1500000000000004</v>
      </c>
      <c r="E963" t="s">
        <v>3185</v>
      </c>
    </row>
    <row r="964" spans="1:5" x14ac:dyDescent="0.25">
      <c r="A964" t="s">
        <v>2880</v>
      </c>
      <c r="B964" t="s">
        <v>2881</v>
      </c>
      <c r="C964" t="s">
        <v>3156</v>
      </c>
      <c r="D964">
        <v>4.1500000000000004</v>
      </c>
      <c r="E964" t="s">
        <v>3185</v>
      </c>
    </row>
    <row r="965" spans="1:5" x14ac:dyDescent="0.25">
      <c r="A965" t="s">
        <v>2882</v>
      </c>
      <c r="B965" t="s">
        <v>2883</v>
      </c>
      <c r="C965" t="s">
        <v>3156</v>
      </c>
      <c r="D965">
        <v>4.1500000000000004</v>
      </c>
      <c r="E965" t="s">
        <v>3185</v>
      </c>
    </row>
    <row r="966" spans="1:5" x14ac:dyDescent="0.25">
      <c r="A966" t="s">
        <v>1842</v>
      </c>
      <c r="B966" t="s">
        <v>1843</v>
      </c>
      <c r="C966" t="s">
        <v>3156</v>
      </c>
      <c r="D966">
        <v>14.45</v>
      </c>
      <c r="E966" t="s">
        <v>3185</v>
      </c>
    </row>
    <row r="967" spans="1:5" x14ac:dyDescent="0.25">
      <c r="A967" t="s">
        <v>1857</v>
      </c>
      <c r="B967" t="s">
        <v>1858</v>
      </c>
      <c r="C967" t="s">
        <v>3156</v>
      </c>
      <c r="D967">
        <v>13.9</v>
      </c>
      <c r="E967" t="s">
        <v>3185</v>
      </c>
    </row>
    <row r="968" spans="1:5" x14ac:dyDescent="0.25">
      <c r="A968" t="s">
        <v>2884</v>
      </c>
      <c r="B968" t="s">
        <v>2885</v>
      </c>
      <c r="C968" t="s">
        <v>3156</v>
      </c>
      <c r="D968">
        <v>13.9</v>
      </c>
      <c r="E968" t="s">
        <v>3185</v>
      </c>
    </row>
    <row r="969" spans="1:5" x14ac:dyDescent="0.25">
      <c r="A969" t="s">
        <v>1860</v>
      </c>
      <c r="B969" t="s">
        <v>1861</v>
      </c>
      <c r="C969" t="s">
        <v>3156</v>
      </c>
      <c r="D969">
        <v>18.600000000000001</v>
      </c>
      <c r="E969" t="s">
        <v>3185</v>
      </c>
    </row>
    <row r="970" spans="1:5" x14ac:dyDescent="0.25">
      <c r="A970" t="s">
        <v>1845</v>
      </c>
      <c r="B970" t="s">
        <v>1846</v>
      </c>
      <c r="C970" t="s">
        <v>3156</v>
      </c>
      <c r="D970">
        <v>13.9</v>
      </c>
      <c r="E970" t="s">
        <v>3185</v>
      </c>
    </row>
    <row r="971" spans="1:5" x14ac:dyDescent="0.25">
      <c r="A971" t="s">
        <v>1789</v>
      </c>
      <c r="B971" t="s">
        <v>1790</v>
      </c>
      <c r="C971" t="s">
        <v>3156</v>
      </c>
      <c r="D971">
        <v>31.9</v>
      </c>
      <c r="E971" t="s">
        <v>3186</v>
      </c>
    </row>
    <row r="972" spans="1:5" x14ac:dyDescent="0.25">
      <c r="A972" t="s">
        <v>2886</v>
      </c>
      <c r="B972" t="s">
        <v>2887</v>
      </c>
      <c r="C972" t="s">
        <v>3156</v>
      </c>
      <c r="D972">
        <v>49.3</v>
      </c>
      <c r="E972" t="s">
        <v>3186</v>
      </c>
    </row>
    <row r="973" spans="1:5" x14ac:dyDescent="0.25">
      <c r="A973" t="s">
        <v>2888</v>
      </c>
      <c r="B973" t="s">
        <v>2889</v>
      </c>
      <c r="C973" t="s">
        <v>3156</v>
      </c>
      <c r="D973">
        <v>10.050000000000001</v>
      </c>
      <c r="E973" t="s">
        <v>3186</v>
      </c>
    </row>
    <row r="974" spans="1:5" x14ac:dyDescent="0.25">
      <c r="A974" t="s">
        <v>2890</v>
      </c>
      <c r="B974" t="s">
        <v>2891</v>
      </c>
      <c r="C974" t="s">
        <v>3156</v>
      </c>
      <c r="D974">
        <v>10.050000000000001</v>
      </c>
      <c r="E974" t="s">
        <v>3186</v>
      </c>
    </row>
    <row r="975" spans="1:5" x14ac:dyDescent="0.25">
      <c r="A975" t="s">
        <v>2892</v>
      </c>
      <c r="B975" t="s">
        <v>2893</v>
      </c>
      <c r="C975" t="s">
        <v>3156</v>
      </c>
      <c r="D975">
        <v>10.050000000000001</v>
      </c>
      <c r="E975" t="s">
        <v>3186</v>
      </c>
    </row>
    <row r="976" spans="1:5" x14ac:dyDescent="0.25">
      <c r="A976" t="s">
        <v>2894</v>
      </c>
      <c r="B976" t="s">
        <v>2895</v>
      </c>
      <c r="C976" t="s">
        <v>3156</v>
      </c>
      <c r="D976">
        <v>10.050000000000001</v>
      </c>
      <c r="E976" t="s">
        <v>3186</v>
      </c>
    </row>
    <row r="977" spans="1:5" x14ac:dyDescent="0.25">
      <c r="A977" t="s">
        <v>2896</v>
      </c>
      <c r="B977" t="s">
        <v>2897</v>
      </c>
      <c r="C977" t="s">
        <v>3156</v>
      </c>
      <c r="D977">
        <v>15.1</v>
      </c>
      <c r="E977" t="s">
        <v>3186</v>
      </c>
    </row>
    <row r="978" spans="1:5" x14ac:dyDescent="0.25">
      <c r="A978" t="s">
        <v>2898</v>
      </c>
      <c r="B978" t="s">
        <v>2899</v>
      </c>
      <c r="C978" t="s">
        <v>3156</v>
      </c>
      <c r="D978">
        <v>7.65</v>
      </c>
      <c r="E978" t="s">
        <v>3186</v>
      </c>
    </row>
    <row r="979" spans="1:5" x14ac:dyDescent="0.25">
      <c r="A979" t="s">
        <v>2900</v>
      </c>
      <c r="B979" t="s">
        <v>2901</v>
      </c>
      <c r="C979" t="s">
        <v>3156</v>
      </c>
      <c r="D979">
        <v>7.65</v>
      </c>
      <c r="E979" t="s">
        <v>3186</v>
      </c>
    </row>
    <row r="980" spans="1:5" x14ac:dyDescent="0.25">
      <c r="A980" t="s">
        <v>2902</v>
      </c>
      <c r="B980" t="s">
        <v>2903</v>
      </c>
      <c r="C980" t="s">
        <v>3156</v>
      </c>
      <c r="D980">
        <v>7.65</v>
      </c>
      <c r="E980" t="s">
        <v>3186</v>
      </c>
    </row>
    <row r="981" spans="1:5" x14ac:dyDescent="0.25">
      <c r="A981" t="s">
        <v>2904</v>
      </c>
      <c r="B981" t="s">
        <v>2905</v>
      </c>
      <c r="C981" t="s">
        <v>3156</v>
      </c>
      <c r="D981">
        <v>7.65</v>
      </c>
      <c r="E981" t="s">
        <v>3186</v>
      </c>
    </row>
    <row r="982" spans="1:5" x14ac:dyDescent="0.25">
      <c r="A982" t="s">
        <v>2906</v>
      </c>
      <c r="B982" t="s">
        <v>2907</v>
      </c>
      <c r="C982" t="s">
        <v>3156</v>
      </c>
      <c r="D982">
        <v>7.65</v>
      </c>
      <c r="E982" t="s">
        <v>3186</v>
      </c>
    </row>
    <row r="983" spans="1:5" x14ac:dyDescent="0.25">
      <c r="A983" t="s">
        <v>2908</v>
      </c>
      <c r="B983" t="s">
        <v>2909</v>
      </c>
      <c r="C983" t="s">
        <v>3156</v>
      </c>
      <c r="D983">
        <v>7.65</v>
      </c>
      <c r="E983" t="s">
        <v>3186</v>
      </c>
    </row>
    <row r="984" spans="1:5" x14ac:dyDescent="0.25">
      <c r="A984" t="s">
        <v>2910</v>
      </c>
      <c r="B984" t="s">
        <v>2911</v>
      </c>
      <c r="C984" t="s">
        <v>3156</v>
      </c>
      <c r="D984">
        <v>7.65</v>
      </c>
      <c r="E984" t="s">
        <v>3186</v>
      </c>
    </row>
    <row r="985" spans="1:5" x14ac:dyDescent="0.25">
      <c r="A985" t="s">
        <v>2912</v>
      </c>
      <c r="B985" t="s">
        <v>2913</v>
      </c>
      <c r="C985" t="s">
        <v>3156</v>
      </c>
      <c r="D985">
        <v>7.65</v>
      </c>
      <c r="E985" t="s">
        <v>3186</v>
      </c>
    </row>
    <row r="986" spans="1:5" x14ac:dyDescent="0.25">
      <c r="A986" t="s">
        <v>2914</v>
      </c>
      <c r="B986" t="s">
        <v>2915</v>
      </c>
      <c r="C986" t="s">
        <v>3156</v>
      </c>
      <c r="D986">
        <v>7.65</v>
      </c>
      <c r="E986" t="s">
        <v>3186</v>
      </c>
    </row>
    <row r="987" spans="1:5" x14ac:dyDescent="0.25">
      <c r="A987" t="s">
        <v>2916</v>
      </c>
      <c r="B987" t="s">
        <v>2917</v>
      </c>
      <c r="C987" t="s">
        <v>3156</v>
      </c>
      <c r="D987">
        <v>7.65</v>
      </c>
      <c r="E987" t="s">
        <v>3186</v>
      </c>
    </row>
    <row r="988" spans="1:5" x14ac:dyDescent="0.25">
      <c r="A988" t="s">
        <v>2918</v>
      </c>
      <c r="B988" t="s">
        <v>2919</v>
      </c>
      <c r="C988" t="s">
        <v>3156</v>
      </c>
      <c r="D988">
        <v>7.65</v>
      </c>
      <c r="E988" t="s">
        <v>3186</v>
      </c>
    </row>
    <row r="989" spans="1:5" x14ac:dyDescent="0.25">
      <c r="A989" t="s">
        <v>2920</v>
      </c>
      <c r="B989" t="s">
        <v>2921</v>
      </c>
      <c r="C989" t="s">
        <v>3156</v>
      </c>
      <c r="D989">
        <v>7.65</v>
      </c>
      <c r="E989" t="s">
        <v>3186</v>
      </c>
    </row>
    <row r="990" spans="1:5" x14ac:dyDescent="0.25">
      <c r="A990" t="s">
        <v>2922</v>
      </c>
      <c r="B990" t="s">
        <v>2923</v>
      </c>
      <c r="C990" t="s">
        <v>3156</v>
      </c>
      <c r="D990">
        <v>7.65</v>
      </c>
      <c r="E990" t="s">
        <v>3186</v>
      </c>
    </row>
    <row r="991" spans="1:5" x14ac:dyDescent="0.25">
      <c r="A991" t="s">
        <v>1928</v>
      </c>
      <c r="B991" t="s">
        <v>1929</v>
      </c>
      <c r="C991" t="s">
        <v>3156</v>
      </c>
      <c r="D991">
        <v>43.95</v>
      </c>
      <c r="E991" t="s">
        <v>3187</v>
      </c>
    </row>
    <row r="992" spans="1:5" x14ac:dyDescent="0.25">
      <c r="A992" t="s">
        <v>1925</v>
      </c>
      <c r="B992" t="s">
        <v>1926</v>
      </c>
      <c r="C992" t="s">
        <v>3156</v>
      </c>
      <c r="D992">
        <v>31.55</v>
      </c>
      <c r="E992" t="s">
        <v>3187</v>
      </c>
    </row>
    <row r="993" spans="1:5" x14ac:dyDescent="0.25">
      <c r="A993" t="s">
        <v>2924</v>
      </c>
      <c r="B993" t="s">
        <v>2925</v>
      </c>
      <c r="C993" t="s">
        <v>3156</v>
      </c>
      <c r="D993">
        <v>47.8</v>
      </c>
      <c r="E993" t="s">
        <v>3188</v>
      </c>
    </row>
    <row r="994" spans="1:5" x14ac:dyDescent="0.25">
      <c r="A994" t="s">
        <v>1820</v>
      </c>
      <c r="B994" t="s">
        <v>1821</v>
      </c>
      <c r="C994" t="s">
        <v>3156</v>
      </c>
      <c r="D994">
        <v>22.4</v>
      </c>
      <c r="E994" t="s">
        <v>3188</v>
      </c>
    </row>
    <row r="995" spans="1:5" x14ac:dyDescent="0.25">
      <c r="A995" t="s">
        <v>1822</v>
      </c>
      <c r="B995" t="s">
        <v>1823</v>
      </c>
      <c r="C995" t="s">
        <v>3156</v>
      </c>
      <c r="D995">
        <v>27.15</v>
      </c>
      <c r="E995" t="s">
        <v>3188</v>
      </c>
    </row>
    <row r="996" spans="1:5" x14ac:dyDescent="0.25">
      <c r="A996" t="s">
        <v>1824</v>
      </c>
      <c r="B996" t="s">
        <v>1825</v>
      </c>
      <c r="C996" t="s">
        <v>3156</v>
      </c>
      <c r="D996">
        <v>35.700000000000003</v>
      </c>
      <c r="E996" t="s">
        <v>3188</v>
      </c>
    </row>
    <row r="997" spans="1:5" x14ac:dyDescent="0.25">
      <c r="A997" t="s">
        <v>2057</v>
      </c>
      <c r="B997" t="s">
        <v>2058</v>
      </c>
      <c r="C997" t="s">
        <v>3156</v>
      </c>
      <c r="D997">
        <v>10.050000000000001</v>
      </c>
      <c r="E997" t="s">
        <v>3189</v>
      </c>
    </row>
    <row r="998" spans="1:5" x14ac:dyDescent="0.25">
      <c r="A998" t="s">
        <v>2926</v>
      </c>
      <c r="B998" t="s">
        <v>2927</v>
      </c>
      <c r="C998" t="s">
        <v>3156</v>
      </c>
      <c r="D998">
        <v>10.050000000000001</v>
      </c>
      <c r="E998" t="s">
        <v>3189</v>
      </c>
    </row>
    <row r="999" spans="1:5" x14ac:dyDescent="0.25">
      <c r="A999" t="s">
        <v>2928</v>
      </c>
      <c r="B999" t="s">
        <v>2929</v>
      </c>
      <c r="C999" t="s">
        <v>3156</v>
      </c>
      <c r="D999">
        <v>10.050000000000001</v>
      </c>
      <c r="E999" t="s">
        <v>3189</v>
      </c>
    </row>
    <row r="1000" spans="1:5" x14ac:dyDescent="0.25">
      <c r="A1000" t="s">
        <v>2930</v>
      </c>
      <c r="B1000" t="s">
        <v>2931</v>
      </c>
      <c r="C1000" t="s">
        <v>3156</v>
      </c>
      <c r="D1000">
        <v>10.050000000000001</v>
      </c>
      <c r="E1000" t="s">
        <v>3189</v>
      </c>
    </row>
    <row r="1001" spans="1:5" x14ac:dyDescent="0.25">
      <c r="A1001" t="s">
        <v>2932</v>
      </c>
      <c r="B1001" t="s">
        <v>2933</v>
      </c>
      <c r="C1001" t="s">
        <v>3156</v>
      </c>
      <c r="D1001">
        <v>10.050000000000001</v>
      </c>
      <c r="E1001" t="s">
        <v>3189</v>
      </c>
    </row>
    <row r="1002" spans="1:5" x14ac:dyDescent="0.25">
      <c r="A1002" t="s">
        <v>2934</v>
      </c>
      <c r="B1002" t="s">
        <v>2935</v>
      </c>
      <c r="C1002" t="s">
        <v>3156</v>
      </c>
      <c r="D1002">
        <v>10.050000000000001</v>
      </c>
      <c r="E1002" t="s">
        <v>3189</v>
      </c>
    </row>
    <row r="1003" spans="1:5" x14ac:dyDescent="0.25">
      <c r="A1003" t="s">
        <v>2936</v>
      </c>
      <c r="B1003" t="s">
        <v>2937</v>
      </c>
      <c r="C1003" t="s">
        <v>3156</v>
      </c>
      <c r="D1003">
        <v>10.050000000000001</v>
      </c>
      <c r="E1003" t="s">
        <v>3189</v>
      </c>
    </row>
    <row r="1004" spans="1:5" x14ac:dyDescent="0.25">
      <c r="A1004" t="s">
        <v>2938</v>
      </c>
      <c r="B1004" t="s">
        <v>2939</v>
      </c>
      <c r="C1004" t="s">
        <v>3156</v>
      </c>
      <c r="D1004">
        <v>48.95</v>
      </c>
      <c r="E1004" t="s">
        <v>3189</v>
      </c>
    </row>
    <row r="1005" spans="1:5" x14ac:dyDescent="0.25">
      <c r="A1005" t="s">
        <v>2940</v>
      </c>
      <c r="B1005" t="s">
        <v>2941</v>
      </c>
      <c r="C1005" t="s">
        <v>3156</v>
      </c>
      <c r="D1005">
        <v>55.45</v>
      </c>
      <c r="E1005" t="s">
        <v>3189</v>
      </c>
    </row>
    <row r="1006" spans="1:5" x14ac:dyDescent="0.25">
      <c r="A1006" t="s">
        <v>2053</v>
      </c>
      <c r="B1006" t="s">
        <v>2054</v>
      </c>
      <c r="C1006" t="s">
        <v>3156</v>
      </c>
      <c r="D1006">
        <v>12.1</v>
      </c>
      <c r="E1006" t="s">
        <v>3189</v>
      </c>
    </row>
    <row r="1007" spans="1:5" x14ac:dyDescent="0.25">
      <c r="A1007" t="s">
        <v>2942</v>
      </c>
      <c r="B1007" t="s">
        <v>2943</v>
      </c>
      <c r="C1007" t="s">
        <v>3156</v>
      </c>
      <c r="D1007">
        <v>12.1</v>
      </c>
      <c r="E1007" t="s">
        <v>3189</v>
      </c>
    </row>
    <row r="1008" spans="1:5" x14ac:dyDescent="0.25">
      <c r="A1008" t="s">
        <v>2171</v>
      </c>
      <c r="B1008" t="s">
        <v>2172</v>
      </c>
      <c r="C1008" t="s">
        <v>3156</v>
      </c>
      <c r="D1008">
        <v>10.050000000000001</v>
      </c>
      <c r="E1008" t="s">
        <v>3189</v>
      </c>
    </row>
    <row r="1009" spans="1:5" x14ac:dyDescent="0.25">
      <c r="A1009" t="s">
        <v>2005</v>
      </c>
      <c r="B1009" t="s">
        <v>2006</v>
      </c>
      <c r="C1009" t="s">
        <v>3156</v>
      </c>
      <c r="D1009">
        <v>8.0500000000000007</v>
      </c>
      <c r="E1009" t="s">
        <v>3028</v>
      </c>
    </row>
    <row r="1010" spans="1:5" x14ac:dyDescent="0.25">
      <c r="A1010" t="s">
        <v>2944</v>
      </c>
      <c r="B1010" t="s">
        <v>2945</v>
      </c>
      <c r="C1010" t="s">
        <v>3156</v>
      </c>
      <c r="D1010">
        <v>8.0500000000000007</v>
      </c>
      <c r="E1010" t="s">
        <v>3028</v>
      </c>
    </row>
    <row r="1011" spans="1:5" x14ac:dyDescent="0.25">
      <c r="A1011" t="s">
        <v>2009</v>
      </c>
      <c r="B1011" t="s">
        <v>2010</v>
      </c>
      <c r="C1011" t="s">
        <v>3156</v>
      </c>
      <c r="D1011">
        <v>3.55</v>
      </c>
      <c r="E1011" t="s">
        <v>3028</v>
      </c>
    </row>
    <row r="1012" spans="1:5" x14ac:dyDescent="0.25">
      <c r="A1012" t="s">
        <v>2011</v>
      </c>
      <c r="B1012" t="s">
        <v>2012</v>
      </c>
      <c r="C1012" t="s">
        <v>3156</v>
      </c>
      <c r="D1012">
        <v>4.1500000000000004</v>
      </c>
      <c r="E1012" t="s">
        <v>3028</v>
      </c>
    </row>
    <row r="1013" spans="1:5" x14ac:dyDescent="0.25">
      <c r="A1013" t="s">
        <v>2017</v>
      </c>
      <c r="B1013" t="s">
        <v>2018</v>
      </c>
      <c r="C1013" t="s">
        <v>3156</v>
      </c>
      <c r="D1013">
        <v>2.7</v>
      </c>
      <c r="E1013" t="s">
        <v>3028</v>
      </c>
    </row>
    <row r="1014" spans="1:5" x14ac:dyDescent="0.25">
      <c r="A1014" t="s">
        <v>2015</v>
      </c>
      <c r="B1014" t="s">
        <v>2016</v>
      </c>
      <c r="C1014" t="s">
        <v>3156</v>
      </c>
      <c r="D1014">
        <v>8.0500000000000007</v>
      </c>
      <c r="E1014" t="s">
        <v>3028</v>
      </c>
    </row>
    <row r="1015" spans="1:5" x14ac:dyDescent="0.25">
      <c r="A1015" t="s">
        <v>2013</v>
      </c>
      <c r="B1015" t="s">
        <v>2014</v>
      </c>
      <c r="C1015" t="s">
        <v>3156</v>
      </c>
      <c r="D1015">
        <v>4.1500000000000004</v>
      </c>
      <c r="E1015" t="s">
        <v>3028</v>
      </c>
    </row>
    <row r="1016" spans="1:5" x14ac:dyDescent="0.25">
      <c r="A1016" t="s">
        <v>2019</v>
      </c>
      <c r="B1016" t="s">
        <v>2020</v>
      </c>
      <c r="C1016" t="s">
        <v>3156</v>
      </c>
      <c r="D1016">
        <v>5.35</v>
      </c>
      <c r="E1016" t="s">
        <v>3028</v>
      </c>
    </row>
    <row r="1017" spans="1:5" x14ac:dyDescent="0.25">
      <c r="A1017" t="s">
        <v>2022</v>
      </c>
      <c r="B1017" t="s">
        <v>2023</v>
      </c>
      <c r="C1017" t="s">
        <v>3156</v>
      </c>
      <c r="D1017">
        <v>6.5</v>
      </c>
      <c r="E1017" t="s">
        <v>3028</v>
      </c>
    </row>
    <row r="1018" spans="1:5" x14ac:dyDescent="0.25">
      <c r="A1018" t="s">
        <v>2025</v>
      </c>
      <c r="B1018" t="s">
        <v>2026</v>
      </c>
      <c r="C1018" t="s">
        <v>3156</v>
      </c>
      <c r="D1018">
        <v>8.0500000000000007</v>
      </c>
      <c r="E1018" t="s">
        <v>3028</v>
      </c>
    </row>
    <row r="1019" spans="1:5" x14ac:dyDescent="0.25">
      <c r="A1019" t="s">
        <v>2028</v>
      </c>
      <c r="B1019" t="s">
        <v>2029</v>
      </c>
      <c r="C1019" t="s">
        <v>3156</v>
      </c>
      <c r="D1019">
        <v>13.3</v>
      </c>
      <c r="E1019" t="s">
        <v>3028</v>
      </c>
    </row>
    <row r="1020" spans="1:5" x14ac:dyDescent="0.25">
      <c r="A1020" t="s">
        <v>2031</v>
      </c>
      <c r="B1020" t="s">
        <v>2032</v>
      </c>
      <c r="C1020" t="s">
        <v>3156</v>
      </c>
      <c r="D1020">
        <v>13.3</v>
      </c>
      <c r="E1020" t="s">
        <v>3028</v>
      </c>
    </row>
    <row r="1021" spans="1:5" x14ac:dyDescent="0.25">
      <c r="A1021" t="s">
        <v>2946</v>
      </c>
      <c r="B1021" t="s">
        <v>2947</v>
      </c>
      <c r="C1021" t="s">
        <v>3156</v>
      </c>
      <c r="D1021">
        <v>13.3</v>
      </c>
      <c r="E1021" t="s">
        <v>3028</v>
      </c>
    </row>
    <row r="1022" spans="1:5" x14ac:dyDescent="0.25">
      <c r="A1022" t="s">
        <v>2034</v>
      </c>
      <c r="B1022" t="s">
        <v>2035</v>
      </c>
      <c r="C1022" t="s">
        <v>3156</v>
      </c>
      <c r="D1022">
        <v>13.3</v>
      </c>
      <c r="E1022" t="s">
        <v>3028</v>
      </c>
    </row>
    <row r="1023" spans="1:5" x14ac:dyDescent="0.25">
      <c r="A1023" t="s">
        <v>2948</v>
      </c>
      <c r="B1023" t="s">
        <v>2949</v>
      </c>
      <c r="C1023" t="s">
        <v>3156</v>
      </c>
      <c r="D1023">
        <v>10.050000000000001</v>
      </c>
      <c r="E1023" t="s">
        <v>3028</v>
      </c>
    </row>
    <row r="1024" spans="1:5" x14ac:dyDescent="0.25">
      <c r="A1024" t="s">
        <v>3190</v>
      </c>
      <c r="B1024" t="s">
        <v>3191</v>
      </c>
      <c r="C1024" t="s">
        <v>3156</v>
      </c>
      <c r="D1024">
        <v>10.050000000000001</v>
      </c>
      <c r="E1024" t="s">
        <v>3028</v>
      </c>
    </row>
    <row r="1025" spans="1:5" x14ac:dyDescent="0.25">
      <c r="A1025" t="s">
        <v>3192</v>
      </c>
      <c r="B1025" t="s">
        <v>3193</v>
      </c>
      <c r="C1025" t="s">
        <v>3156</v>
      </c>
      <c r="D1025">
        <v>15</v>
      </c>
      <c r="E1025" t="s">
        <v>3028</v>
      </c>
    </row>
    <row r="1026" spans="1:5" x14ac:dyDescent="0.25">
      <c r="A1026" t="s">
        <v>2950</v>
      </c>
      <c r="B1026" t="s">
        <v>2951</v>
      </c>
      <c r="C1026" t="s">
        <v>3156</v>
      </c>
      <c r="D1026">
        <v>7.5</v>
      </c>
      <c r="E1026" t="s">
        <v>3028</v>
      </c>
    </row>
    <row r="1027" spans="1:5" x14ac:dyDescent="0.25">
      <c r="A1027" t="s">
        <v>2040</v>
      </c>
      <c r="B1027" t="s">
        <v>2041</v>
      </c>
      <c r="C1027" t="s">
        <v>3156</v>
      </c>
      <c r="D1027">
        <v>10.050000000000001</v>
      </c>
      <c r="E1027" t="s">
        <v>3028</v>
      </c>
    </row>
    <row r="1028" spans="1:5" x14ac:dyDescent="0.25">
      <c r="A1028" t="s">
        <v>2045</v>
      </c>
      <c r="B1028" t="s">
        <v>2046</v>
      </c>
      <c r="C1028" t="s">
        <v>3156</v>
      </c>
      <c r="D1028">
        <v>2.7</v>
      </c>
      <c r="E1028" t="s">
        <v>3028</v>
      </c>
    </row>
    <row r="1029" spans="1:5" x14ac:dyDescent="0.25">
      <c r="A1029" t="s">
        <v>2043</v>
      </c>
      <c r="B1029" t="s">
        <v>2044</v>
      </c>
      <c r="C1029" t="s">
        <v>3156</v>
      </c>
      <c r="D1029">
        <v>2.7</v>
      </c>
      <c r="E1029" t="s">
        <v>3028</v>
      </c>
    </row>
    <row r="1030" spans="1:5" x14ac:dyDescent="0.25">
      <c r="A1030" t="s">
        <v>2173</v>
      </c>
      <c r="B1030" t="s">
        <v>2174</v>
      </c>
      <c r="C1030" t="s">
        <v>3156</v>
      </c>
      <c r="D1030">
        <v>1.5</v>
      </c>
      <c r="E1030" t="s">
        <v>3028</v>
      </c>
    </row>
    <row r="1031" spans="1:5" x14ac:dyDescent="0.25">
      <c r="A1031" t="s">
        <v>2047</v>
      </c>
      <c r="B1031" t="s">
        <v>2048</v>
      </c>
      <c r="C1031" t="s">
        <v>3156</v>
      </c>
      <c r="D1031">
        <v>14.45</v>
      </c>
      <c r="E1031" t="s">
        <v>3028</v>
      </c>
    </row>
    <row r="1032" spans="1:5" x14ac:dyDescent="0.25">
      <c r="A1032" t="s">
        <v>2050</v>
      </c>
      <c r="B1032" t="s">
        <v>2051</v>
      </c>
      <c r="C1032" t="s">
        <v>3156</v>
      </c>
      <c r="D1032">
        <v>14.45</v>
      </c>
      <c r="E1032" t="s">
        <v>3028</v>
      </c>
    </row>
    <row r="1033" spans="1:5" x14ac:dyDescent="0.25">
      <c r="A1033" t="s">
        <v>2060</v>
      </c>
      <c r="B1033" t="s">
        <v>2061</v>
      </c>
      <c r="C1033" t="s">
        <v>3156</v>
      </c>
      <c r="D1033">
        <v>20.65</v>
      </c>
      <c r="E1033" t="s">
        <v>3028</v>
      </c>
    </row>
    <row r="1034" spans="1:5" x14ac:dyDescent="0.25">
      <c r="A1034" t="s">
        <v>2952</v>
      </c>
      <c r="B1034" t="s">
        <v>2953</v>
      </c>
      <c r="C1034" t="s">
        <v>3156</v>
      </c>
      <c r="D1034">
        <v>13.3</v>
      </c>
      <c r="E1034" t="s">
        <v>3028</v>
      </c>
    </row>
    <row r="1035" spans="1:5" x14ac:dyDescent="0.25">
      <c r="A1035" t="s">
        <v>2038</v>
      </c>
      <c r="B1035" t="s">
        <v>2039</v>
      </c>
      <c r="C1035" t="s">
        <v>3156</v>
      </c>
      <c r="D1035">
        <v>28.35</v>
      </c>
      <c r="E1035" t="s">
        <v>3028</v>
      </c>
    </row>
    <row r="1036" spans="1:5" x14ac:dyDescent="0.25">
      <c r="A1036" t="s">
        <v>2954</v>
      </c>
      <c r="B1036" t="s">
        <v>2955</v>
      </c>
      <c r="C1036" t="s">
        <v>3156</v>
      </c>
      <c r="D1036">
        <v>18.850000000000001</v>
      </c>
      <c r="E1036" t="s">
        <v>3028</v>
      </c>
    </row>
    <row r="1037" spans="1:5" x14ac:dyDescent="0.25">
      <c r="A1037" t="s">
        <v>2956</v>
      </c>
      <c r="B1037" t="s">
        <v>2957</v>
      </c>
      <c r="C1037" t="s">
        <v>3156</v>
      </c>
      <c r="D1037">
        <v>7.75</v>
      </c>
      <c r="E1037" t="s">
        <v>3028</v>
      </c>
    </row>
    <row r="1038" spans="1:5" x14ac:dyDescent="0.25">
      <c r="A1038" t="s">
        <v>2958</v>
      </c>
      <c r="B1038" t="s">
        <v>2959</v>
      </c>
      <c r="C1038" t="s">
        <v>3156</v>
      </c>
      <c r="D1038">
        <v>5.15</v>
      </c>
      <c r="E1038" t="s">
        <v>3028</v>
      </c>
    </row>
    <row r="1039" spans="1:5" x14ac:dyDescent="0.25">
      <c r="A1039" t="s">
        <v>3194</v>
      </c>
      <c r="B1039" t="s">
        <v>3195</v>
      </c>
      <c r="C1039" t="s">
        <v>3156</v>
      </c>
      <c r="D1039">
        <v>5.15</v>
      </c>
      <c r="E1039" t="s">
        <v>3028</v>
      </c>
    </row>
    <row r="1040" spans="1:5" x14ac:dyDescent="0.25">
      <c r="A1040" t="s">
        <v>3196</v>
      </c>
      <c r="B1040" t="s">
        <v>3197</v>
      </c>
      <c r="C1040" t="s">
        <v>3156</v>
      </c>
      <c r="D1040">
        <v>5.15</v>
      </c>
      <c r="E1040" t="s">
        <v>3028</v>
      </c>
    </row>
    <row r="1041" spans="1:5" x14ac:dyDescent="0.25">
      <c r="A1041" t="s">
        <v>3198</v>
      </c>
      <c r="B1041" t="s">
        <v>3199</v>
      </c>
      <c r="C1041" t="s">
        <v>3156</v>
      </c>
      <c r="D1041">
        <v>5.15</v>
      </c>
      <c r="E1041" t="s">
        <v>3028</v>
      </c>
    </row>
    <row r="1042" spans="1:5" x14ac:dyDescent="0.25">
      <c r="A1042" t="s">
        <v>3200</v>
      </c>
      <c r="B1042" t="s">
        <v>3201</v>
      </c>
      <c r="C1042" t="s">
        <v>3156</v>
      </c>
      <c r="D1042">
        <v>5.15</v>
      </c>
      <c r="E1042" t="s">
        <v>3028</v>
      </c>
    </row>
    <row r="1043" spans="1:5" x14ac:dyDescent="0.25">
      <c r="A1043" t="s">
        <v>3202</v>
      </c>
      <c r="B1043" t="s">
        <v>3203</v>
      </c>
      <c r="C1043" t="s">
        <v>3156</v>
      </c>
      <c r="D1043">
        <v>5.15</v>
      </c>
      <c r="E1043" t="s">
        <v>3028</v>
      </c>
    </row>
    <row r="1044" spans="1:5" x14ac:dyDescent="0.25">
      <c r="A1044" t="s">
        <v>3204</v>
      </c>
      <c r="B1044" t="s">
        <v>3205</v>
      </c>
      <c r="C1044" t="s">
        <v>3156</v>
      </c>
      <c r="D1044">
        <v>5.15</v>
      </c>
      <c r="E1044" t="s">
        <v>3028</v>
      </c>
    </row>
    <row r="1045" spans="1:5" x14ac:dyDescent="0.25">
      <c r="A1045" t="s">
        <v>3206</v>
      </c>
      <c r="B1045" t="s">
        <v>3207</v>
      </c>
      <c r="C1045" t="s">
        <v>3156</v>
      </c>
      <c r="D1045">
        <v>5.15</v>
      </c>
      <c r="E1045" t="s">
        <v>3028</v>
      </c>
    </row>
    <row r="1046" spans="1:5" x14ac:dyDescent="0.25">
      <c r="A1046" t="s">
        <v>3208</v>
      </c>
      <c r="B1046" t="s">
        <v>3209</v>
      </c>
      <c r="C1046" t="s">
        <v>3156</v>
      </c>
      <c r="D1046">
        <v>5.15</v>
      </c>
      <c r="E1046" t="s">
        <v>3028</v>
      </c>
    </row>
    <row r="1047" spans="1:5" x14ac:dyDescent="0.25">
      <c r="A1047" t="s">
        <v>3210</v>
      </c>
      <c r="B1047" t="s">
        <v>3211</v>
      </c>
      <c r="C1047" t="s">
        <v>3156</v>
      </c>
      <c r="D1047">
        <v>5.15</v>
      </c>
      <c r="E1047" t="s">
        <v>3028</v>
      </c>
    </row>
    <row r="1048" spans="1:5" x14ac:dyDescent="0.25">
      <c r="A1048" t="s">
        <v>3212</v>
      </c>
      <c r="B1048" t="s">
        <v>3213</v>
      </c>
      <c r="C1048" t="s">
        <v>3156</v>
      </c>
      <c r="D1048">
        <v>5.15</v>
      </c>
      <c r="E1048" t="s">
        <v>3028</v>
      </c>
    </row>
    <row r="1049" spans="1:5" x14ac:dyDescent="0.25">
      <c r="A1049" t="s">
        <v>3214</v>
      </c>
      <c r="B1049" t="s">
        <v>3215</v>
      </c>
      <c r="C1049" t="s">
        <v>3156</v>
      </c>
      <c r="D1049">
        <v>5.15</v>
      </c>
      <c r="E1049" t="s">
        <v>3028</v>
      </c>
    </row>
    <row r="1050" spans="1:5" x14ac:dyDescent="0.25">
      <c r="A1050" t="s">
        <v>3216</v>
      </c>
      <c r="B1050" t="s">
        <v>3217</v>
      </c>
      <c r="C1050" t="s">
        <v>3156</v>
      </c>
      <c r="D1050">
        <v>5.15</v>
      </c>
      <c r="E1050" t="s">
        <v>3028</v>
      </c>
    </row>
    <row r="1051" spans="1:5" x14ac:dyDescent="0.25">
      <c r="A1051" t="s">
        <v>3218</v>
      </c>
      <c r="B1051" t="s">
        <v>3219</v>
      </c>
      <c r="C1051" t="s">
        <v>3156</v>
      </c>
      <c r="D1051">
        <v>5.15</v>
      </c>
      <c r="E1051" t="s">
        <v>3028</v>
      </c>
    </row>
    <row r="1052" spans="1:5" x14ac:dyDescent="0.25">
      <c r="A1052" t="s">
        <v>3220</v>
      </c>
      <c r="B1052" t="s">
        <v>3221</v>
      </c>
      <c r="C1052" t="s">
        <v>3156</v>
      </c>
      <c r="D1052">
        <v>5.15</v>
      </c>
      <c r="E1052" t="s">
        <v>3028</v>
      </c>
    </row>
    <row r="1053" spans="1:5" x14ac:dyDescent="0.25">
      <c r="A1053" t="s">
        <v>3222</v>
      </c>
      <c r="B1053" t="s">
        <v>3223</v>
      </c>
      <c r="C1053" t="s">
        <v>3156</v>
      </c>
      <c r="D1053">
        <v>5.15</v>
      </c>
      <c r="E1053" t="s">
        <v>3028</v>
      </c>
    </row>
    <row r="1054" spans="1:5" x14ac:dyDescent="0.25">
      <c r="A1054" t="s">
        <v>2215</v>
      </c>
      <c r="B1054" t="s">
        <v>2216</v>
      </c>
      <c r="C1054" t="s">
        <v>3156</v>
      </c>
      <c r="D1054">
        <v>41.6</v>
      </c>
      <c r="E1054" t="s">
        <v>3224</v>
      </c>
    </row>
    <row r="1055" spans="1:5" x14ac:dyDescent="0.25">
      <c r="A1055" t="s">
        <v>2960</v>
      </c>
      <c r="B1055" t="s">
        <v>2961</v>
      </c>
      <c r="C1055" t="s">
        <v>3156</v>
      </c>
      <c r="D1055">
        <v>14.15</v>
      </c>
      <c r="E1055" t="s">
        <v>3224</v>
      </c>
    </row>
    <row r="1056" spans="1:5" x14ac:dyDescent="0.25">
      <c r="A1056" t="s">
        <v>2962</v>
      </c>
      <c r="B1056" t="s">
        <v>2963</v>
      </c>
      <c r="C1056" t="s">
        <v>3156</v>
      </c>
      <c r="D1056">
        <v>5.55</v>
      </c>
      <c r="E1056" t="s">
        <v>3224</v>
      </c>
    </row>
    <row r="1057" spans="1:5" x14ac:dyDescent="0.25">
      <c r="A1057" t="s">
        <v>2222</v>
      </c>
      <c r="B1057" t="s">
        <v>2223</v>
      </c>
      <c r="C1057" t="s">
        <v>3156</v>
      </c>
      <c r="D1057">
        <v>3.55</v>
      </c>
      <c r="E1057" t="s">
        <v>3225</v>
      </c>
    </row>
    <row r="1058" spans="1:5" x14ac:dyDescent="0.25">
      <c r="A1058" t="s">
        <v>2229</v>
      </c>
      <c r="B1058" t="s">
        <v>2230</v>
      </c>
      <c r="C1058" t="s">
        <v>3156</v>
      </c>
      <c r="D1058">
        <v>5.85</v>
      </c>
      <c r="E1058" t="s">
        <v>3225</v>
      </c>
    </row>
    <row r="1059" spans="1:5" x14ac:dyDescent="0.25">
      <c r="A1059" t="s">
        <v>2226</v>
      </c>
      <c r="B1059" t="s">
        <v>2227</v>
      </c>
      <c r="C1059" t="s">
        <v>3156</v>
      </c>
      <c r="D1059">
        <v>13.3</v>
      </c>
      <c r="E1059" t="s">
        <v>3225</v>
      </c>
    </row>
    <row r="1060" spans="1:5" x14ac:dyDescent="0.25">
      <c r="A1060" t="s">
        <v>2986</v>
      </c>
      <c r="B1060" t="s">
        <v>2987</v>
      </c>
      <c r="C1060" t="s">
        <v>3156</v>
      </c>
      <c r="D1060">
        <v>13.3</v>
      </c>
      <c r="E1060" t="s">
        <v>3225</v>
      </c>
    </row>
    <row r="1061" spans="1:5" x14ac:dyDescent="0.25">
      <c r="A1061" t="s">
        <v>2988</v>
      </c>
      <c r="B1061" t="s">
        <v>2989</v>
      </c>
      <c r="C1061" t="s">
        <v>3156</v>
      </c>
      <c r="D1061">
        <v>59.6</v>
      </c>
      <c r="E1061" t="s">
        <v>3225</v>
      </c>
    </row>
    <row r="1062" spans="1:5" x14ac:dyDescent="0.25">
      <c r="A1062" t="s">
        <v>2238</v>
      </c>
      <c r="B1062" t="s">
        <v>2239</v>
      </c>
      <c r="C1062" t="s">
        <v>3156</v>
      </c>
      <c r="D1062">
        <v>26.5</v>
      </c>
      <c r="E1062" t="s">
        <v>3225</v>
      </c>
    </row>
    <row r="1063" spans="1:5" x14ac:dyDescent="0.25">
      <c r="A1063" t="s">
        <v>2236</v>
      </c>
      <c r="B1063" t="s">
        <v>2237</v>
      </c>
      <c r="C1063" t="s">
        <v>3156</v>
      </c>
      <c r="D1063">
        <v>12.1</v>
      </c>
      <c r="E1063" t="s">
        <v>3225</v>
      </c>
    </row>
    <row r="1064" spans="1:5" x14ac:dyDescent="0.25">
      <c r="A1064" t="s">
        <v>2243</v>
      </c>
      <c r="B1064" t="s">
        <v>2244</v>
      </c>
      <c r="C1064" t="s">
        <v>3156</v>
      </c>
      <c r="D1064">
        <v>189.25</v>
      </c>
      <c r="E1064" t="s">
        <v>3225</v>
      </c>
    </row>
    <row r="1065" spans="1:5" x14ac:dyDescent="0.25">
      <c r="A1065" t="s">
        <v>2246</v>
      </c>
      <c r="B1065" t="s">
        <v>2247</v>
      </c>
      <c r="C1065" t="s">
        <v>3156</v>
      </c>
      <c r="D1065">
        <v>126.25</v>
      </c>
      <c r="E1065" t="s">
        <v>3225</v>
      </c>
    </row>
    <row r="1066" spans="1:5" x14ac:dyDescent="0.25">
      <c r="A1066" t="s">
        <v>2990</v>
      </c>
      <c r="B1066" t="s">
        <v>2991</v>
      </c>
      <c r="C1066" t="s">
        <v>3156</v>
      </c>
      <c r="D1066">
        <v>10</v>
      </c>
      <c r="E1066" t="s">
        <v>3225</v>
      </c>
    </row>
    <row r="1067" spans="1:5" x14ac:dyDescent="0.25">
      <c r="A1067" t="s">
        <v>2258</v>
      </c>
      <c r="B1067" t="s">
        <v>2259</v>
      </c>
      <c r="C1067" t="s">
        <v>3156</v>
      </c>
      <c r="D1067">
        <v>22.4</v>
      </c>
      <c r="E1067" t="s">
        <v>3226</v>
      </c>
    </row>
    <row r="1068" spans="1:5" x14ac:dyDescent="0.25">
      <c r="A1068" t="s">
        <v>2249</v>
      </c>
      <c r="B1068" t="s">
        <v>2250</v>
      </c>
      <c r="C1068" t="s">
        <v>3156</v>
      </c>
      <c r="D1068">
        <v>18.600000000000001</v>
      </c>
      <c r="E1068" t="s">
        <v>3226</v>
      </c>
    </row>
    <row r="1069" spans="1:5" x14ac:dyDescent="0.25">
      <c r="A1069" t="s">
        <v>2253</v>
      </c>
      <c r="B1069" t="s">
        <v>2254</v>
      </c>
      <c r="C1069" t="s">
        <v>3156</v>
      </c>
      <c r="D1069">
        <v>6.5</v>
      </c>
      <c r="E1069" t="s">
        <v>3226</v>
      </c>
    </row>
    <row r="1070" spans="1:5" x14ac:dyDescent="0.25">
      <c r="A1070" t="s">
        <v>2255</v>
      </c>
      <c r="B1070" t="s">
        <v>2256</v>
      </c>
      <c r="C1070" t="s">
        <v>3156</v>
      </c>
      <c r="D1070">
        <v>18.600000000000001</v>
      </c>
      <c r="E1070" t="s">
        <v>3226</v>
      </c>
    </row>
    <row r="1071" spans="1:5" x14ac:dyDescent="0.25">
      <c r="A1071" t="s">
        <v>2264</v>
      </c>
      <c r="B1071" t="s">
        <v>2265</v>
      </c>
      <c r="C1071" t="s">
        <v>3156</v>
      </c>
      <c r="D1071">
        <v>37.15</v>
      </c>
      <c r="E1071" t="s">
        <v>3226</v>
      </c>
    </row>
    <row r="1072" spans="1:5" x14ac:dyDescent="0.25">
      <c r="A1072" t="s">
        <v>2261</v>
      </c>
      <c r="B1072" t="s">
        <v>2262</v>
      </c>
      <c r="C1072" t="s">
        <v>3156</v>
      </c>
      <c r="D1072">
        <v>39.799999999999997</v>
      </c>
      <c r="E1072" t="s">
        <v>3226</v>
      </c>
    </row>
    <row r="1073" spans="1:5" x14ac:dyDescent="0.25">
      <c r="A1073" t="s">
        <v>2273</v>
      </c>
      <c r="B1073" t="s">
        <v>2274</v>
      </c>
      <c r="C1073" t="s">
        <v>3156</v>
      </c>
      <c r="D1073">
        <v>21.25</v>
      </c>
      <c r="E1073" t="s">
        <v>3226</v>
      </c>
    </row>
    <row r="1074" spans="1:5" x14ac:dyDescent="0.25">
      <c r="A1074" t="s">
        <v>2270</v>
      </c>
      <c r="B1074" t="s">
        <v>2271</v>
      </c>
      <c r="C1074" t="s">
        <v>3156</v>
      </c>
      <c r="D1074">
        <v>26.5</v>
      </c>
      <c r="E1074" t="s">
        <v>3226</v>
      </c>
    </row>
    <row r="1075" spans="1:5" x14ac:dyDescent="0.25">
      <c r="A1075" t="s">
        <v>2267</v>
      </c>
      <c r="B1075" t="s">
        <v>2268</v>
      </c>
      <c r="C1075" t="s">
        <v>3156</v>
      </c>
      <c r="D1075">
        <v>31.9</v>
      </c>
      <c r="E1075" t="s">
        <v>3226</v>
      </c>
    </row>
    <row r="1076" spans="1:5" x14ac:dyDescent="0.25">
      <c r="A1076" t="s">
        <v>2276</v>
      </c>
      <c r="B1076" t="s">
        <v>2277</v>
      </c>
      <c r="C1076" t="s">
        <v>3156</v>
      </c>
      <c r="D1076">
        <v>59.6</v>
      </c>
      <c r="E1076" t="s">
        <v>3226</v>
      </c>
    </row>
    <row r="1077" spans="1:5" x14ac:dyDescent="0.25">
      <c r="A1077" t="s">
        <v>2279</v>
      </c>
      <c r="B1077" t="s">
        <v>2280</v>
      </c>
      <c r="C1077" t="s">
        <v>3156</v>
      </c>
      <c r="D1077">
        <v>7.4</v>
      </c>
      <c r="E1077" t="s">
        <v>3226</v>
      </c>
    </row>
    <row r="1078" spans="1:5" x14ac:dyDescent="0.25">
      <c r="A1078" t="s">
        <v>2282</v>
      </c>
      <c r="B1078" t="s">
        <v>2283</v>
      </c>
      <c r="C1078" t="s">
        <v>3156</v>
      </c>
      <c r="D1078">
        <v>15.95</v>
      </c>
      <c r="E1078" t="s">
        <v>3226</v>
      </c>
    </row>
    <row r="1079" spans="1:5" x14ac:dyDescent="0.25">
      <c r="A1079" t="s">
        <v>2285</v>
      </c>
      <c r="B1079" t="s">
        <v>2286</v>
      </c>
      <c r="C1079" t="s">
        <v>3156</v>
      </c>
      <c r="D1079">
        <v>22.4</v>
      </c>
      <c r="E1079" t="s">
        <v>3226</v>
      </c>
    </row>
    <row r="1080" spans="1:5" x14ac:dyDescent="0.25">
      <c r="A1080" t="s">
        <v>2287</v>
      </c>
      <c r="B1080" t="s">
        <v>2288</v>
      </c>
      <c r="C1080" t="s">
        <v>3156</v>
      </c>
      <c r="D1080">
        <v>22.4</v>
      </c>
      <c r="E1080" t="s">
        <v>3226</v>
      </c>
    </row>
    <row r="1081" spans="1:5" x14ac:dyDescent="0.25">
      <c r="A1081" t="s">
        <v>2992</v>
      </c>
      <c r="B1081" t="s">
        <v>2993</v>
      </c>
      <c r="C1081" t="s">
        <v>3156</v>
      </c>
      <c r="D1081">
        <v>7.65</v>
      </c>
      <c r="E1081" t="s">
        <v>3226</v>
      </c>
    </row>
    <row r="1082" spans="1:5" x14ac:dyDescent="0.25">
      <c r="A1082" t="s">
        <v>2994</v>
      </c>
      <c r="B1082" t="s">
        <v>2995</v>
      </c>
      <c r="C1082" t="s">
        <v>3156</v>
      </c>
      <c r="D1082">
        <v>16.2</v>
      </c>
      <c r="E1082" t="s">
        <v>3226</v>
      </c>
    </row>
    <row r="1083" spans="1:5" x14ac:dyDescent="0.25">
      <c r="A1083" t="s">
        <v>1552</v>
      </c>
      <c r="B1083" t="s">
        <v>1553</v>
      </c>
      <c r="C1083" t="s">
        <v>3156</v>
      </c>
      <c r="D1083">
        <v>26.5</v>
      </c>
      <c r="E1083" t="s">
        <v>3227</v>
      </c>
    </row>
    <row r="1084" spans="1:5" x14ac:dyDescent="0.25">
      <c r="A1084" t="s">
        <v>1550</v>
      </c>
      <c r="B1084" t="s">
        <v>1551</v>
      </c>
      <c r="C1084" t="s">
        <v>3156</v>
      </c>
      <c r="D1084">
        <v>53.05</v>
      </c>
      <c r="E1084" t="s">
        <v>3227</v>
      </c>
    </row>
    <row r="1085" spans="1:5" x14ac:dyDescent="0.25">
      <c r="A1085" t="s">
        <v>1554</v>
      </c>
      <c r="B1085" t="s">
        <v>1555</v>
      </c>
      <c r="C1085" t="s">
        <v>3156</v>
      </c>
      <c r="D1085">
        <v>53.05</v>
      </c>
      <c r="E1085" t="s">
        <v>3227</v>
      </c>
    </row>
    <row r="1086" spans="1:5" x14ac:dyDescent="0.25">
      <c r="A1086" t="s">
        <v>1556</v>
      </c>
      <c r="B1086" t="s">
        <v>1557</v>
      </c>
      <c r="C1086" t="s">
        <v>3156</v>
      </c>
      <c r="D1086">
        <v>28.95</v>
      </c>
      <c r="E1086" t="s">
        <v>3227</v>
      </c>
    </row>
    <row r="1087" spans="1:5" x14ac:dyDescent="0.25">
      <c r="A1087" t="s">
        <v>1558</v>
      </c>
      <c r="B1087" t="s">
        <v>1559</v>
      </c>
      <c r="C1087" t="s">
        <v>3156</v>
      </c>
      <c r="D1087">
        <v>28.35</v>
      </c>
      <c r="E1087" t="s">
        <v>3227</v>
      </c>
    </row>
    <row r="1088" spans="1:5" x14ac:dyDescent="0.25">
      <c r="A1088" t="s">
        <v>1560</v>
      </c>
      <c r="B1088" t="s">
        <v>1561</v>
      </c>
      <c r="C1088" t="s">
        <v>3156</v>
      </c>
      <c r="D1088">
        <v>28.35</v>
      </c>
      <c r="E1088" t="s">
        <v>3227</v>
      </c>
    </row>
    <row r="1089" spans="1:5" x14ac:dyDescent="0.25">
      <c r="A1089" t="s">
        <v>1563</v>
      </c>
      <c r="B1089" t="s">
        <v>1564</v>
      </c>
      <c r="C1089" t="s">
        <v>3156</v>
      </c>
      <c r="D1089">
        <v>22.4</v>
      </c>
      <c r="E1089" t="s">
        <v>3227</v>
      </c>
    </row>
    <row r="1090" spans="1:5" x14ac:dyDescent="0.25">
      <c r="A1090" t="s">
        <v>2996</v>
      </c>
      <c r="B1090" t="s">
        <v>2997</v>
      </c>
      <c r="C1090" t="s">
        <v>3156</v>
      </c>
      <c r="D1090">
        <v>12.65</v>
      </c>
      <c r="E1090" t="s">
        <v>3228</v>
      </c>
    </row>
    <row r="1091" spans="1:5" x14ac:dyDescent="0.25">
      <c r="A1091" t="s">
        <v>1493</v>
      </c>
      <c r="B1091" t="s">
        <v>1494</v>
      </c>
      <c r="C1091" t="s">
        <v>3156</v>
      </c>
      <c r="D1091">
        <v>18.05</v>
      </c>
      <c r="E1091" t="s">
        <v>3228</v>
      </c>
    </row>
    <row r="1092" spans="1:5" x14ac:dyDescent="0.25">
      <c r="A1092" t="s">
        <v>1496</v>
      </c>
      <c r="B1092" t="s">
        <v>1497</v>
      </c>
      <c r="C1092" t="s">
        <v>3156</v>
      </c>
      <c r="D1092">
        <v>8.0500000000000007</v>
      </c>
      <c r="E1092" t="s">
        <v>3228</v>
      </c>
    </row>
    <row r="1093" spans="1:5" x14ac:dyDescent="0.25">
      <c r="A1093" t="s">
        <v>1499</v>
      </c>
      <c r="B1093" t="s">
        <v>1500</v>
      </c>
      <c r="C1093" t="s">
        <v>3156</v>
      </c>
      <c r="D1093">
        <v>22.4</v>
      </c>
      <c r="E1093" t="s">
        <v>3228</v>
      </c>
    </row>
    <row r="1094" spans="1:5" x14ac:dyDescent="0.25">
      <c r="A1094" t="s">
        <v>1502</v>
      </c>
      <c r="B1094" t="s">
        <v>1503</v>
      </c>
      <c r="C1094" t="s">
        <v>3156</v>
      </c>
      <c r="D1094">
        <v>27.15</v>
      </c>
      <c r="E1094" t="s">
        <v>3228</v>
      </c>
    </row>
    <row r="1095" spans="1:5" x14ac:dyDescent="0.25">
      <c r="A1095" t="s">
        <v>1629</v>
      </c>
      <c r="B1095" t="s">
        <v>1630</v>
      </c>
      <c r="C1095" t="s">
        <v>3156</v>
      </c>
      <c r="D1095">
        <v>17.399999999999999</v>
      </c>
      <c r="E1095" t="s">
        <v>3228</v>
      </c>
    </row>
    <row r="1096" spans="1:5" x14ac:dyDescent="0.25">
      <c r="A1096" t="s">
        <v>1483</v>
      </c>
      <c r="B1096" t="s">
        <v>1484</v>
      </c>
      <c r="C1096" t="s">
        <v>3156</v>
      </c>
      <c r="D1096">
        <v>15.95</v>
      </c>
      <c r="E1096" t="s">
        <v>3228</v>
      </c>
    </row>
    <row r="1097" spans="1:5" x14ac:dyDescent="0.25">
      <c r="A1097" t="s">
        <v>1486</v>
      </c>
      <c r="B1097" t="s">
        <v>1487</v>
      </c>
      <c r="C1097" t="s">
        <v>3156</v>
      </c>
      <c r="D1097">
        <v>22.4</v>
      </c>
      <c r="E1097" t="s">
        <v>3228</v>
      </c>
    </row>
    <row r="1098" spans="1:5" x14ac:dyDescent="0.25">
      <c r="A1098" t="s">
        <v>1480</v>
      </c>
      <c r="B1098" t="s">
        <v>1481</v>
      </c>
      <c r="C1098" t="s">
        <v>3156</v>
      </c>
      <c r="D1098">
        <v>15.1</v>
      </c>
      <c r="E1098" t="s">
        <v>3228</v>
      </c>
    </row>
    <row r="1099" spans="1:5" x14ac:dyDescent="0.25">
      <c r="A1099" t="s">
        <v>1517</v>
      </c>
      <c r="B1099" t="s">
        <v>1518</v>
      </c>
      <c r="C1099" t="s">
        <v>3156</v>
      </c>
      <c r="D1099">
        <v>23.9</v>
      </c>
      <c r="E1099" t="s">
        <v>3228</v>
      </c>
    </row>
    <row r="1100" spans="1:5" x14ac:dyDescent="0.25">
      <c r="A1100" t="s">
        <v>2998</v>
      </c>
      <c r="B1100" t="s">
        <v>2999</v>
      </c>
      <c r="C1100" t="s">
        <v>3156</v>
      </c>
      <c r="D1100">
        <v>26.5</v>
      </c>
      <c r="E1100" t="s">
        <v>3228</v>
      </c>
    </row>
    <row r="1101" spans="1:5" x14ac:dyDescent="0.25">
      <c r="A1101" t="s">
        <v>3000</v>
      </c>
      <c r="B1101" t="s">
        <v>3001</v>
      </c>
      <c r="C1101" t="s">
        <v>3156</v>
      </c>
      <c r="D1101">
        <v>34.5</v>
      </c>
      <c r="E1101" t="s">
        <v>3228</v>
      </c>
    </row>
    <row r="1102" spans="1:5" x14ac:dyDescent="0.25">
      <c r="A1102" t="s">
        <v>1477</v>
      </c>
      <c r="B1102" t="s">
        <v>1478</v>
      </c>
      <c r="C1102" t="s">
        <v>3156</v>
      </c>
      <c r="D1102">
        <v>7.4</v>
      </c>
      <c r="E1102" t="s">
        <v>3229</v>
      </c>
    </row>
    <row r="1103" spans="1:5" x14ac:dyDescent="0.25">
      <c r="A1103" t="s">
        <v>3002</v>
      </c>
      <c r="B1103" t="s">
        <v>3003</v>
      </c>
      <c r="C1103" t="s">
        <v>3156</v>
      </c>
      <c r="D1103">
        <v>7.4</v>
      </c>
      <c r="E1103" t="s">
        <v>3229</v>
      </c>
    </row>
    <row r="1104" spans="1:5" x14ac:dyDescent="0.25">
      <c r="A1104" t="s">
        <v>3004</v>
      </c>
      <c r="B1104" t="s">
        <v>3005</v>
      </c>
      <c r="C1104" t="s">
        <v>3156</v>
      </c>
      <c r="D1104">
        <v>7.4</v>
      </c>
      <c r="E1104" t="s">
        <v>3229</v>
      </c>
    </row>
    <row r="1105" spans="1:5" x14ac:dyDescent="0.25">
      <c r="A1105" t="s">
        <v>3006</v>
      </c>
      <c r="B1105" t="s">
        <v>3007</v>
      </c>
      <c r="C1105" t="s">
        <v>3156</v>
      </c>
      <c r="D1105">
        <v>7.4</v>
      </c>
      <c r="E1105" t="s">
        <v>3229</v>
      </c>
    </row>
    <row r="1106" spans="1:5" x14ac:dyDescent="0.25">
      <c r="A1106" t="s">
        <v>3008</v>
      </c>
      <c r="B1106" t="s">
        <v>3009</v>
      </c>
      <c r="C1106" t="s">
        <v>3156</v>
      </c>
      <c r="D1106">
        <v>14.45</v>
      </c>
      <c r="E1106" t="s">
        <v>3229</v>
      </c>
    </row>
    <row r="1107" spans="1:5" x14ac:dyDescent="0.25">
      <c r="A1107" t="s">
        <v>3010</v>
      </c>
      <c r="B1107" t="s">
        <v>3011</v>
      </c>
      <c r="C1107" t="s">
        <v>3156</v>
      </c>
      <c r="D1107">
        <v>7.4</v>
      </c>
      <c r="E1107" t="s">
        <v>3229</v>
      </c>
    </row>
    <row r="1108" spans="1:5" x14ac:dyDescent="0.25">
      <c r="A1108" t="s">
        <v>3012</v>
      </c>
      <c r="B1108" t="s">
        <v>3013</v>
      </c>
      <c r="C1108" t="s">
        <v>3156</v>
      </c>
      <c r="D1108">
        <v>7.4</v>
      </c>
      <c r="E1108" t="s">
        <v>3229</v>
      </c>
    </row>
    <row r="1109" spans="1:5" x14ac:dyDescent="0.25">
      <c r="A1109" t="s">
        <v>3014</v>
      </c>
      <c r="B1109" t="s">
        <v>3015</v>
      </c>
      <c r="C1109" t="s">
        <v>3156</v>
      </c>
      <c r="D1109">
        <v>7.4</v>
      </c>
      <c r="E1109" t="s">
        <v>3229</v>
      </c>
    </row>
    <row r="1110" spans="1:5" x14ac:dyDescent="0.25">
      <c r="A1110" t="s">
        <v>3016</v>
      </c>
      <c r="B1110" t="s">
        <v>3017</v>
      </c>
      <c r="C1110" t="s">
        <v>3156</v>
      </c>
      <c r="D1110">
        <v>7.4</v>
      </c>
      <c r="E1110" t="s">
        <v>3229</v>
      </c>
    </row>
    <row r="1111" spans="1:5" x14ac:dyDescent="0.25">
      <c r="A1111" t="s">
        <v>3018</v>
      </c>
      <c r="B1111" t="s">
        <v>3019</v>
      </c>
      <c r="C1111" t="s">
        <v>3156</v>
      </c>
      <c r="D1111">
        <v>14.45</v>
      </c>
      <c r="E1111" t="s">
        <v>3229</v>
      </c>
    </row>
    <row r="1112" spans="1:5" x14ac:dyDescent="0.25">
      <c r="A1112" t="s">
        <v>3020</v>
      </c>
      <c r="B1112" t="s">
        <v>3021</v>
      </c>
      <c r="C1112" t="s">
        <v>3156</v>
      </c>
      <c r="D1112">
        <v>14.45</v>
      </c>
      <c r="E1112" t="s">
        <v>3229</v>
      </c>
    </row>
    <row r="1113" spans="1:5" x14ac:dyDescent="0.25">
      <c r="A1113" t="s">
        <v>1378</v>
      </c>
      <c r="B1113" t="s">
        <v>1379</v>
      </c>
      <c r="C1113" t="s">
        <v>3156</v>
      </c>
      <c r="D1113">
        <v>20.65</v>
      </c>
      <c r="E1113" t="s">
        <v>3229</v>
      </c>
    </row>
    <row r="1114" spans="1:5" x14ac:dyDescent="0.25">
      <c r="A1114" t="s">
        <v>1654</v>
      </c>
      <c r="B1114" t="s">
        <v>1655</v>
      </c>
      <c r="C1114" t="s">
        <v>3156</v>
      </c>
      <c r="D1114">
        <v>13.3</v>
      </c>
      <c r="E1114" t="s">
        <v>3230</v>
      </c>
    </row>
    <row r="1115" spans="1:5" x14ac:dyDescent="0.25">
      <c r="A1115" t="s">
        <v>1656</v>
      </c>
      <c r="B1115" t="s">
        <v>1657</v>
      </c>
      <c r="C1115" t="s">
        <v>3156</v>
      </c>
      <c r="D1115">
        <v>15.95</v>
      </c>
      <c r="E1115" t="s">
        <v>3230</v>
      </c>
    </row>
    <row r="1116" spans="1:5" x14ac:dyDescent="0.25">
      <c r="A1116" t="s">
        <v>1642</v>
      </c>
      <c r="B1116" t="s">
        <v>1643</v>
      </c>
      <c r="C1116" t="s">
        <v>3156</v>
      </c>
      <c r="D1116">
        <v>13.3</v>
      </c>
      <c r="E1116" t="s">
        <v>3230</v>
      </c>
    </row>
    <row r="1117" spans="1:5" x14ac:dyDescent="0.25">
      <c r="A1117" t="s">
        <v>1646</v>
      </c>
      <c r="B1117" t="s">
        <v>3231</v>
      </c>
      <c r="C1117" t="s">
        <v>3156</v>
      </c>
      <c r="D1117">
        <v>24.45</v>
      </c>
      <c r="E1117" t="s">
        <v>3230</v>
      </c>
    </row>
    <row r="1118" spans="1:5" x14ac:dyDescent="0.25">
      <c r="A1118" t="s">
        <v>1648</v>
      </c>
      <c r="B1118" t="s">
        <v>3232</v>
      </c>
      <c r="C1118" t="s">
        <v>3156</v>
      </c>
      <c r="D1118">
        <v>23.9</v>
      </c>
      <c r="E1118" t="s">
        <v>3230</v>
      </c>
    </row>
    <row r="1119" spans="1:5" x14ac:dyDescent="0.25">
      <c r="A1119" t="s">
        <v>1381</v>
      </c>
      <c r="B1119" t="s">
        <v>1382</v>
      </c>
      <c r="C1119" t="s">
        <v>3156</v>
      </c>
      <c r="D1119">
        <v>23.9</v>
      </c>
      <c r="E1119" t="s">
        <v>3230</v>
      </c>
    </row>
    <row r="1120" spans="1:5" x14ac:dyDescent="0.25">
      <c r="A1120" t="s">
        <v>1650</v>
      </c>
      <c r="B1120" t="s">
        <v>3233</v>
      </c>
      <c r="C1120" t="s">
        <v>3156</v>
      </c>
      <c r="D1120">
        <v>23.9</v>
      </c>
      <c r="E1120" t="s">
        <v>3230</v>
      </c>
    </row>
    <row r="1121" spans="1:5" x14ac:dyDescent="0.25">
      <c r="A1121" t="s">
        <v>1652</v>
      </c>
      <c r="B1121" t="s">
        <v>3234</v>
      </c>
      <c r="C1121" t="s">
        <v>3156</v>
      </c>
      <c r="D1121">
        <v>27.75</v>
      </c>
      <c r="E1121" t="s">
        <v>3230</v>
      </c>
    </row>
    <row r="1122" spans="1:5" x14ac:dyDescent="0.25">
      <c r="A1122" t="s">
        <v>3235</v>
      </c>
      <c r="B1122" t="s">
        <v>3236</v>
      </c>
      <c r="C1122" t="s">
        <v>3156</v>
      </c>
      <c r="D1122">
        <v>14.15</v>
      </c>
      <c r="E1122" t="s">
        <v>3046</v>
      </c>
    </row>
    <row r="1123" spans="1:5" x14ac:dyDescent="0.25">
      <c r="A1123" t="s">
        <v>1383</v>
      </c>
      <c r="B1123" t="s">
        <v>1384</v>
      </c>
      <c r="C1123" t="s">
        <v>3156</v>
      </c>
      <c r="D1123">
        <v>11.1</v>
      </c>
      <c r="E1123" t="s">
        <v>3237</v>
      </c>
    </row>
    <row r="1124" spans="1:5" x14ac:dyDescent="0.25">
      <c r="A1124" t="s">
        <v>2964</v>
      </c>
      <c r="B1124" t="s">
        <v>2965</v>
      </c>
      <c r="C1124" t="s">
        <v>3156</v>
      </c>
      <c r="D1124">
        <v>18.649999999999999</v>
      </c>
      <c r="E1124" t="s">
        <v>3048</v>
      </c>
    </row>
    <row r="1125" spans="1:5" x14ac:dyDescent="0.25">
      <c r="A1125" t="s">
        <v>2165</v>
      </c>
      <c r="B1125" t="s">
        <v>2166</v>
      </c>
      <c r="C1125" t="s">
        <v>3156</v>
      </c>
      <c r="D1125">
        <v>18.649999999999999</v>
      </c>
      <c r="E1125" t="s">
        <v>3048</v>
      </c>
    </row>
    <row r="1126" spans="1:5" x14ac:dyDescent="0.25">
      <c r="A1126" t="s">
        <v>2966</v>
      </c>
      <c r="B1126" t="s">
        <v>2967</v>
      </c>
      <c r="C1126" t="s">
        <v>3156</v>
      </c>
      <c r="D1126">
        <v>18.649999999999999</v>
      </c>
      <c r="E1126" t="s">
        <v>3048</v>
      </c>
    </row>
    <row r="1127" spans="1:5" x14ac:dyDescent="0.25">
      <c r="A1127" t="s">
        <v>2968</v>
      </c>
      <c r="B1127" t="s">
        <v>2969</v>
      </c>
      <c r="C1127" t="s">
        <v>3156</v>
      </c>
      <c r="D1127">
        <v>19.8</v>
      </c>
      <c r="E1127" t="s">
        <v>3048</v>
      </c>
    </row>
    <row r="1128" spans="1:5" x14ac:dyDescent="0.25">
      <c r="A1128" t="s">
        <v>2167</v>
      </c>
      <c r="B1128" t="s">
        <v>2168</v>
      </c>
      <c r="C1128" t="s">
        <v>3156</v>
      </c>
      <c r="D1128">
        <v>25.35</v>
      </c>
      <c r="E1128" t="s">
        <v>3048</v>
      </c>
    </row>
    <row r="1129" spans="1:5" x14ac:dyDescent="0.25">
      <c r="A1129" t="s">
        <v>2077</v>
      </c>
      <c r="B1129" t="s">
        <v>2078</v>
      </c>
      <c r="C1129" t="s">
        <v>3156</v>
      </c>
      <c r="D1129">
        <v>5.6</v>
      </c>
      <c r="E1129" t="s">
        <v>3048</v>
      </c>
    </row>
    <row r="1130" spans="1:5" x14ac:dyDescent="0.25">
      <c r="A1130" t="s">
        <v>2081</v>
      </c>
      <c r="B1130" t="s">
        <v>2082</v>
      </c>
      <c r="C1130" t="s">
        <v>3156</v>
      </c>
      <c r="D1130">
        <v>5.6</v>
      </c>
      <c r="E1130" t="s">
        <v>3048</v>
      </c>
    </row>
    <row r="1131" spans="1:5" x14ac:dyDescent="0.25">
      <c r="A1131" t="s">
        <v>2084</v>
      </c>
      <c r="B1131" t="s">
        <v>2085</v>
      </c>
      <c r="C1131" t="s">
        <v>3156</v>
      </c>
      <c r="D1131">
        <v>5.6</v>
      </c>
      <c r="E1131" t="s">
        <v>3048</v>
      </c>
    </row>
    <row r="1132" spans="1:5" x14ac:dyDescent="0.25">
      <c r="A1132" t="s">
        <v>2087</v>
      </c>
      <c r="B1132" t="s">
        <v>2088</v>
      </c>
      <c r="C1132" t="s">
        <v>3156</v>
      </c>
      <c r="D1132">
        <v>5.6</v>
      </c>
      <c r="E1132" t="s">
        <v>3048</v>
      </c>
    </row>
    <row r="1133" spans="1:5" x14ac:dyDescent="0.25">
      <c r="A1133" t="s">
        <v>2090</v>
      </c>
      <c r="B1133" t="s">
        <v>2091</v>
      </c>
      <c r="C1133" t="s">
        <v>3156</v>
      </c>
      <c r="D1133">
        <v>5.6</v>
      </c>
      <c r="E1133" t="s">
        <v>3048</v>
      </c>
    </row>
    <row r="1134" spans="1:5" x14ac:dyDescent="0.25">
      <c r="A1134" t="s">
        <v>2093</v>
      </c>
      <c r="B1134" t="s">
        <v>2094</v>
      </c>
      <c r="C1134" t="s">
        <v>3156</v>
      </c>
      <c r="D1134">
        <v>6.5</v>
      </c>
      <c r="E1134" t="s">
        <v>3048</v>
      </c>
    </row>
    <row r="1135" spans="1:5" x14ac:dyDescent="0.25">
      <c r="A1135" t="s">
        <v>2096</v>
      </c>
      <c r="B1135" t="s">
        <v>2097</v>
      </c>
      <c r="C1135" t="s">
        <v>3156</v>
      </c>
      <c r="D1135">
        <v>14.45</v>
      </c>
      <c r="E1135" t="s">
        <v>3048</v>
      </c>
    </row>
    <row r="1136" spans="1:5" x14ac:dyDescent="0.25">
      <c r="A1136" t="s">
        <v>2104</v>
      </c>
      <c r="B1136" t="s">
        <v>2105</v>
      </c>
      <c r="C1136" t="s">
        <v>3156</v>
      </c>
      <c r="D1136">
        <v>4.75</v>
      </c>
      <c r="E1136" t="s">
        <v>3048</v>
      </c>
    </row>
    <row r="1137" spans="1:5" x14ac:dyDescent="0.25">
      <c r="A1137" t="s">
        <v>2107</v>
      </c>
      <c r="B1137" t="s">
        <v>2108</v>
      </c>
      <c r="C1137" t="s">
        <v>3156</v>
      </c>
      <c r="D1137">
        <v>4.75</v>
      </c>
      <c r="E1137" t="s">
        <v>3048</v>
      </c>
    </row>
    <row r="1138" spans="1:5" x14ac:dyDescent="0.25">
      <c r="A1138" t="s">
        <v>2110</v>
      </c>
      <c r="B1138" t="s">
        <v>2111</v>
      </c>
      <c r="C1138" t="s">
        <v>3156</v>
      </c>
      <c r="D1138">
        <v>4.75</v>
      </c>
      <c r="E1138" t="s">
        <v>3048</v>
      </c>
    </row>
    <row r="1139" spans="1:5" x14ac:dyDescent="0.25">
      <c r="A1139" t="s">
        <v>2113</v>
      </c>
      <c r="B1139" t="s">
        <v>2114</v>
      </c>
      <c r="C1139" t="s">
        <v>3156</v>
      </c>
      <c r="D1139">
        <v>4.75</v>
      </c>
      <c r="E1139" t="s">
        <v>3048</v>
      </c>
    </row>
    <row r="1140" spans="1:5" x14ac:dyDescent="0.25">
      <c r="A1140" t="s">
        <v>2970</v>
      </c>
      <c r="B1140" t="s">
        <v>2971</v>
      </c>
      <c r="C1140" t="s">
        <v>3156</v>
      </c>
      <c r="D1140">
        <v>10.6</v>
      </c>
      <c r="E1140" t="s">
        <v>3048</v>
      </c>
    </row>
    <row r="1141" spans="1:5" x14ac:dyDescent="0.25">
      <c r="A1141" t="s">
        <v>2099</v>
      </c>
      <c r="B1141" t="s">
        <v>2100</v>
      </c>
      <c r="C1141" t="s">
        <v>3156</v>
      </c>
      <c r="D1141">
        <v>19.05</v>
      </c>
      <c r="E1141" t="s">
        <v>3048</v>
      </c>
    </row>
    <row r="1142" spans="1:5" x14ac:dyDescent="0.25">
      <c r="A1142" t="s">
        <v>2102</v>
      </c>
      <c r="B1142" t="s">
        <v>2103</v>
      </c>
      <c r="C1142" t="s">
        <v>3156</v>
      </c>
      <c r="D1142">
        <v>36.049999999999997</v>
      </c>
      <c r="E1142" t="s">
        <v>3048</v>
      </c>
    </row>
    <row r="1143" spans="1:5" x14ac:dyDescent="0.25">
      <c r="A1143" t="s">
        <v>2972</v>
      </c>
      <c r="B1143" t="s">
        <v>2973</v>
      </c>
      <c r="C1143" t="s">
        <v>3156</v>
      </c>
      <c r="D1143">
        <v>25.35</v>
      </c>
      <c r="E1143" t="s">
        <v>3048</v>
      </c>
    </row>
    <row r="1144" spans="1:5" x14ac:dyDescent="0.25">
      <c r="A1144" t="s">
        <v>2142</v>
      </c>
      <c r="B1144" t="s">
        <v>2143</v>
      </c>
      <c r="C1144" t="s">
        <v>3156</v>
      </c>
      <c r="D1144">
        <v>15.95</v>
      </c>
      <c r="E1144" t="s">
        <v>3048</v>
      </c>
    </row>
    <row r="1145" spans="1:5" x14ac:dyDescent="0.25">
      <c r="A1145" t="s">
        <v>2145</v>
      </c>
      <c r="B1145" t="s">
        <v>2146</v>
      </c>
      <c r="C1145" t="s">
        <v>3156</v>
      </c>
      <c r="D1145">
        <v>15.95</v>
      </c>
      <c r="E1145" t="s">
        <v>3048</v>
      </c>
    </row>
    <row r="1146" spans="1:5" x14ac:dyDescent="0.25">
      <c r="A1146" t="s">
        <v>2974</v>
      </c>
      <c r="B1146" t="s">
        <v>2975</v>
      </c>
      <c r="C1146" t="s">
        <v>3156</v>
      </c>
      <c r="D1146">
        <v>15.95</v>
      </c>
      <c r="E1146" t="s">
        <v>3048</v>
      </c>
    </row>
    <row r="1147" spans="1:5" x14ac:dyDescent="0.25">
      <c r="A1147" t="s">
        <v>2151</v>
      </c>
      <c r="B1147" t="s">
        <v>2152</v>
      </c>
      <c r="C1147" t="s">
        <v>3156</v>
      </c>
      <c r="D1147">
        <v>15.95</v>
      </c>
      <c r="E1147" t="s">
        <v>3048</v>
      </c>
    </row>
    <row r="1148" spans="1:5" x14ac:dyDescent="0.25">
      <c r="A1148" t="s">
        <v>2153</v>
      </c>
      <c r="B1148" t="s">
        <v>2154</v>
      </c>
      <c r="C1148" t="s">
        <v>3156</v>
      </c>
      <c r="D1148">
        <v>19.8</v>
      </c>
      <c r="E1148" t="s">
        <v>3048</v>
      </c>
    </row>
    <row r="1149" spans="1:5" x14ac:dyDescent="0.25">
      <c r="A1149" t="s">
        <v>2148</v>
      </c>
      <c r="B1149" t="s">
        <v>2149</v>
      </c>
      <c r="C1149" t="s">
        <v>3156</v>
      </c>
      <c r="D1149">
        <v>15.95</v>
      </c>
      <c r="E1149" t="s">
        <v>3048</v>
      </c>
    </row>
    <row r="1150" spans="1:5" x14ac:dyDescent="0.25">
      <c r="A1150" t="s">
        <v>2976</v>
      </c>
      <c r="B1150" t="s">
        <v>2977</v>
      </c>
      <c r="C1150" t="s">
        <v>3156</v>
      </c>
      <c r="D1150">
        <v>15.95</v>
      </c>
      <c r="E1150" t="s">
        <v>3048</v>
      </c>
    </row>
    <row r="1151" spans="1:5" x14ac:dyDescent="0.25">
      <c r="A1151" t="s">
        <v>2155</v>
      </c>
      <c r="B1151" t="s">
        <v>2156</v>
      </c>
      <c r="C1151" t="s">
        <v>3156</v>
      </c>
      <c r="D1151">
        <v>40.450000000000003</v>
      </c>
      <c r="E1151" t="s">
        <v>3048</v>
      </c>
    </row>
    <row r="1152" spans="1:5" x14ac:dyDescent="0.25">
      <c r="A1152" t="s">
        <v>2978</v>
      </c>
      <c r="B1152" t="s">
        <v>2979</v>
      </c>
      <c r="C1152" t="s">
        <v>3156</v>
      </c>
      <c r="D1152">
        <v>15.95</v>
      </c>
      <c r="E1152" t="s">
        <v>3048</v>
      </c>
    </row>
    <row r="1153" spans="1:5" x14ac:dyDescent="0.25">
      <c r="A1153" t="s">
        <v>2980</v>
      </c>
      <c r="B1153" t="s">
        <v>2981</v>
      </c>
      <c r="C1153" t="s">
        <v>3156</v>
      </c>
      <c r="D1153">
        <v>0.9</v>
      </c>
      <c r="E1153" t="s">
        <v>3048</v>
      </c>
    </row>
    <row r="1154" spans="1:5" x14ac:dyDescent="0.25">
      <c r="A1154" t="s">
        <v>2176</v>
      </c>
      <c r="B1154" t="s">
        <v>2177</v>
      </c>
      <c r="C1154" t="s">
        <v>3156</v>
      </c>
      <c r="D1154">
        <v>5.6</v>
      </c>
      <c r="E1154" t="s">
        <v>3048</v>
      </c>
    </row>
    <row r="1155" spans="1:5" x14ac:dyDescent="0.25">
      <c r="A1155" t="s">
        <v>2186</v>
      </c>
      <c r="B1155" t="s">
        <v>2187</v>
      </c>
      <c r="C1155" t="s">
        <v>3156</v>
      </c>
      <c r="D1155">
        <v>15.95</v>
      </c>
      <c r="E1155" t="s">
        <v>3048</v>
      </c>
    </row>
    <row r="1156" spans="1:5" x14ac:dyDescent="0.25">
      <c r="A1156" t="s">
        <v>2178</v>
      </c>
      <c r="B1156" t="s">
        <v>2179</v>
      </c>
      <c r="C1156" t="s">
        <v>3156</v>
      </c>
      <c r="D1156">
        <v>3.75</v>
      </c>
      <c r="E1156" t="s">
        <v>3048</v>
      </c>
    </row>
    <row r="1157" spans="1:5" x14ac:dyDescent="0.25">
      <c r="A1157" t="s">
        <v>2181</v>
      </c>
      <c r="B1157" t="s">
        <v>2182</v>
      </c>
      <c r="C1157" t="s">
        <v>3156</v>
      </c>
      <c r="D1157">
        <v>9.15</v>
      </c>
      <c r="E1157" t="s">
        <v>3048</v>
      </c>
    </row>
    <row r="1158" spans="1:5" x14ac:dyDescent="0.25">
      <c r="A1158" t="s">
        <v>2183</v>
      </c>
      <c r="B1158" t="s">
        <v>2184</v>
      </c>
      <c r="C1158" t="s">
        <v>3156</v>
      </c>
      <c r="D1158">
        <v>9.6999999999999993</v>
      </c>
      <c r="E1158" t="s">
        <v>3048</v>
      </c>
    </row>
    <row r="1159" spans="1:5" x14ac:dyDescent="0.25">
      <c r="A1159" t="s">
        <v>3238</v>
      </c>
      <c r="B1159" t="s">
        <v>3239</v>
      </c>
      <c r="C1159" t="s">
        <v>3156</v>
      </c>
      <c r="D1159">
        <v>41.25</v>
      </c>
      <c r="E1159" t="s">
        <v>3048</v>
      </c>
    </row>
    <row r="1160" spans="1:5" x14ac:dyDescent="0.25">
      <c r="A1160" t="s">
        <v>2982</v>
      </c>
      <c r="B1160" t="s">
        <v>2983</v>
      </c>
      <c r="C1160" t="s">
        <v>3156</v>
      </c>
      <c r="D1160">
        <v>10</v>
      </c>
      <c r="E1160" t="s">
        <v>3048</v>
      </c>
    </row>
    <row r="1161" spans="1:5" x14ac:dyDescent="0.25">
      <c r="A1161" t="s">
        <v>2984</v>
      </c>
      <c r="B1161" t="s">
        <v>2985</v>
      </c>
      <c r="C1161" t="s">
        <v>3156</v>
      </c>
      <c r="D1161">
        <v>3.55</v>
      </c>
      <c r="E1161" t="s">
        <v>3048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3066</v>
      </c>
      <c r="B1" s="6" t="s">
        <v>3067</v>
      </c>
      <c r="C1" s="6" t="s">
        <v>3</v>
      </c>
      <c r="D1" s="6" t="s">
        <v>2</v>
      </c>
      <c r="E1" s="6" t="s">
        <v>3068</v>
      </c>
      <c r="F1" s="6" t="s">
        <v>3069</v>
      </c>
      <c r="G1" s="6" t="s">
        <v>3070</v>
      </c>
    </row>
    <row r="2" spans="1:7" x14ac:dyDescent="0.25">
      <c r="A2" t="s">
        <v>187</v>
      </c>
      <c r="B2" t="s">
        <v>188</v>
      </c>
      <c r="C2" t="s">
        <v>3071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190</v>
      </c>
      <c r="B3" t="s">
        <v>191</v>
      </c>
      <c r="C3" t="s">
        <v>3071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255</v>
      </c>
      <c r="B4" t="s">
        <v>256</v>
      </c>
      <c r="C4" t="s">
        <v>3071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270</v>
      </c>
      <c r="B5" t="s">
        <v>271</v>
      </c>
      <c r="C5" t="s">
        <v>3071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258</v>
      </c>
      <c r="B6" t="s">
        <v>259</v>
      </c>
      <c r="C6" t="s">
        <v>3071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303</v>
      </c>
      <c r="B7" t="s">
        <v>304</v>
      </c>
      <c r="C7" t="s">
        <v>3071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306</v>
      </c>
      <c r="B8" t="s">
        <v>307</v>
      </c>
      <c r="C8" t="s">
        <v>3071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309</v>
      </c>
      <c r="B9" t="s">
        <v>310</v>
      </c>
      <c r="C9" t="s">
        <v>3071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312</v>
      </c>
      <c r="B10" t="s">
        <v>313</v>
      </c>
      <c r="C10" t="s">
        <v>3071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315</v>
      </c>
      <c r="B11" t="s">
        <v>316</v>
      </c>
      <c r="C11" t="s">
        <v>3071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318</v>
      </c>
      <c r="B12" t="s">
        <v>319</v>
      </c>
      <c r="C12" t="s">
        <v>3071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358</v>
      </c>
      <c r="B13" t="s">
        <v>359</v>
      </c>
      <c r="C13" t="s">
        <v>3071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361</v>
      </c>
      <c r="B14" t="s">
        <v>362</v>
      </c>
      <c r="C14" t="s">
        <v>3071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364</v>
      </c>
      <c r="B15" t="s">
        <v>365</v>
      </c>
      <c r="C15" t="s">
        <v>3071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294</v>
      </c>
      <c r="B16" t="s">
        <v>295</v>
      </c>
      <c r="C16" t="s">
        <v>3071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297</v>
      </c>
      <c r="B17" t="s">
        <v>298</v>
      </c>
      <c r="C17" t="s">
        <v>3071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300</v>
      </c>
      <c r="B18" t="s">
        <v>301</v>
      </c>
      <c r="C18" t="s">
        <v>3071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321</v>
      </c>
      <c r="B19" t="s">
        <v>322</v>
      </c>
      <c r="C19" t="s">
        <v>3071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324</v>
      </c>
      <c r="B20" t="s">
        <v>325</v>
      </c>
      <c r="C20" t="s">
        <v>3071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327</v>
      </c>
      <c r="B21" t="s">
        <v>328</v>
      </c>
      <c r="C21" t="s">
        <v>3071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330</v>
      </c>
      <c r="B22" t="s">
        <v>331</v>
      </c>
      <c r="C22" t="s">
        <v>3071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338</v>
      </c>
      <c r="B23" t="s">
        <v>339</v>
      </c>
      <c r="C23" t="s">
        <v>3071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340</v>
      </c>
      <c r="B24" t="s">
        <v>341</v>
      </c>
      <c r="C24" t="s">
        <v>3071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343</v>
      </c>
      <c r="B25" t="s">
        <v>344</v>
      </c>
      <c r="C25" t="s">
        <v>3071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346</v>
      </c>
      <c r="B26" t="s">
        <v>347</v>
      </c>
      <c r="C26" t="s">
        <v>3071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273</v>
      </c>
      <c r="B27" t="s">
        <v>274</v>
      </c>
      <c r="C27" t="s">
        <v>3071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276</v>
      </c>
      <c r="B28" t="s">
        <v>277</v>
      </c>
      <c r="C28" t="s">
        <v>3071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291</v>
      </c>
      <c r="B29" t="s">
        <v>292</v>
      </c>
      <c r="C29" t="s">
        <v>3071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261</v>
      </c>
      <c r="B30" t="s">
        <v>262</v>
      </c>
      <c r="C30" t="s">
        <v>3071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279</v>
      </c>
      <c r="B31" t="s">
        <v>280</v>
      </c>
      <c r="C31" t="s">
        <v>3071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249</v>
      </c>
      <c r="B32" t="s">
        <v>250</v>
      </c>
      <c r="C32" t="s">
        <v>3071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244</v>
      </c>
      <c r="B33" t="s">
        <v>245</v>
      </c>
      <c r="C33" t="s">
        <v>3071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264</v>
      </c>
      <c r="B34" t="s">
        <v>265</v>
      </c>
      <c r="C34" t="s">
        <v>3071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282</v>
      </c>
      <c r="B35" t="s">
        <v>3072</v>
      </c>
      <c r="C35" t="s">
        <v>3071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285</v>
      </c>
      <c r="B36" t="s">
        <v>286</v>
      </c>
      <c r="C36" t="s">
        <v>3071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252</v>
      </c>
      <c r="B37" t="s">
        <v>253</v>
      </c>
      <c r="C37" t="s">
        <v>3071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247</v>
      </c>
      <c r="B38" t="s">
        <v>248</v>
      </c>
      <c r="C38" t="s">
        <v>3071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267</v>
      </c>
      <c r="B39" t="s">
        <v>268</v>
      </c>
      <c r="C39" t="s">
        <v>3071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288</v>
      </c>
      <c r="B40" t="s">
        <v>289</v>
      </c>
      <c r="C40" t="s">
        <v>3071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349</v>
      </c>
      <c r="B41" t="s">
        <v>350</v>
      </c>
      <c r="C41" t="s">
        <v>3071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352</v>
      </c>
      <c r="B42" t="s">
        <v>353</v>
      </c>
      <c r="C42" t="s">
        <v>3071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355</v>
      </c>
      <c r="B43" t="s">
        <v>356</v>
      </c>
      <c r="C43" t="s">
        <v>3071</v>
      </c>
      <c r="F43">
        <v>0.90249999999999997</v>
      </c>
    </row>
    <row r="44" spans="1:7" x14ac:dyDescent="0.25">
      <c r="A44" t="s">
        <v>241</v>
      </c>
      <c r="B44" t="s">
        <v>242</v>
      </c>
      <c r="C44" t="s">
        <v>3071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212</v>
      </c>
      <c r="B45" t="s">
        <v>213</v>
      </c>
      <c r="C45" t="s">
        <v>3071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3071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3071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3071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210</v>
      </c>
      <c r="B49" t="s">
        <v>211</v>
      </c>
      <c r="C49" t="s">
        <v>3071</v>
      </c>
      <c r="D49">
        <v>54.85</v>
      </c>
      <c r="E49">
        <v>1</v>
      </c>
      <c r="F49">
        <v>0</v>
      </c>
    </row>
    <row r="50" spans="1:7" x14ac:dyDescent="0.25">
      <c r="A50" t="s">
        <v>238</v>
      </c>
      <c r="B50" t="s">
        <v>239</v>
      </c>
      <c r="C50" t="s">
        <v>3071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229</v>
      </c>
      <c r="B51" t="s">
        <v>230</v>
      </c>
      <c r="C51" t="s">
        <v>3071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232</v>
      </c>
      <c r="B52" t="s">
        <v>233</v>
      </c>
      <c r="C52" t="s">
        <v>3071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235</v>
      </c>
      <c r="B53" t="s">
        <v>236</v>
      </c>
      <c r="C53" t="s">
        <v>3071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3071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3071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196</v>
      </c>
      <c r="B56" t="s">
        <v>197</v>
      </c>
      <c r="C56" t="s">
        <v>3071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411</v>
      </c>
      <c r="B57" t="s">
        <v>412</v>
      </c>
      <c r="C57" t="s">
        <v>3071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414</v>
      </c>
      <c r="B58" t="s">
        <v>415</v>
      </c>
      <c r="C58" t="s">
        <v>3071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416</v>
      </c>
      <c r="B59" t="s">
        <v>417</v>
      </c>
      <c r="C59" t="s">
        <v>3071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418</v>
      </c>
      <c r="B60" t="s">
        <v>419</v>
      </c>
      <c r="C60" t="s">
        <v>3071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421</v>
      </c>
      <c r="B61" t="s">
        <v>422</v>
      </c>
      <c r="C61" t="s">
        <v>3071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424</v>
      </c>
      <c r="B62" t="s">
        <v>425</v>
      </c>
      <c r="C62" t="s">
        <v>3071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427</v>
      </c>
      <c r="B63" t="s">
        <v>428</v>
      </c>
      <c r="C63" t="s">
        <v>3071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193</v>
      </c>
      <c r="B64" t="s">
        <v>194</v>
      </c>
      <c r="C64" t="s">
        <v>3071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185</v>
      </c>
      <c r="B65" t="s">
        <v>186</v>
      </c>
      <c r="C65" t="s">
        <v>3071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3071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3073</v>
      </c>
      <c r="C67" t="s">
        <v>3071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3071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3071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217</v>
      </c>
      <c r="B70" t="s">
        <v>218</v>
      </c>
      <c r="C70" t="s">
        <v>3071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202</v>
      </c>
      <c r="B71" t="s">
        <v>203</v>
      </c>
      <c r="C71" t="s">
        <v>3071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199</v>
      </c>
      <c r="B72" t="s">
        <v>200</v>
      </c>
      <c r="C72" t="s">
        <v>3071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220</v>
      </c>
      <c r="B73" t="s">
        <v>221</v>
      </c>
      <c r="C73" t="s">
        <v>3071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223</v>
      </c>
      <c r="B74" t="s">
        <v>224</v>
      </c>
      <c r="C74" t="s">
        <v>3071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204</v>
      </c>
      <c r="B75" t="s">
        <v>205</v>
      </c>
      <c r="C75" t="s">
        <v>3071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208</v>
      </c>
      <c r="B76" t="s">
        <v>209</v>
      </c>
      <c r="C76" t="s">
        <v>3071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226</v>
      </c>
      <c r="B77" t="s">
        <v>227</v>
      </c>
      <c r="C77" t="s">
        <v>3071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214</v>
      </c>
      <c r="B78" t="s">
        <v>215</v>
      </c>
      <c r="C78" t="s">
        <v>3071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429</v>
      </c>
      <c r="B79" t="s">
        <v>430</v>
      </c>
      <c r="C79" t="s">
        <v>3071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431</v>
      </c>
      <c r="B80" t="s">
        <v>432</v>
      </c>
      <c r="C80" t="s">
        <v>3071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433</v>
      </c>
      <c r="B81" t="s">
        <v>434</v>
      </c>
      <c r="C81" t="s">
        <v>3071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435</v>
      </c>
      <c r="B82" t="s">
        <v>436</v>
      </c>
      <c r="C82" t="s">
        <v>3071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510</v>
      </c>
      <c r="B83" t="s">
        <v>511</v>
      </c>
      <c r="C83" t="s">
        <v>3074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527</v>
      </c>
      <c r="B84" t="s">
        <v>3075</v>
      </c>
      <c r="C84" t="s">
        <v>3074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513</v>
      </c>
      <c r="B85" t="s">
        <v>514</v>
      </c>
      <c r="C85" t="s">
        <v>3074</v>
      </c>
      <c r="F85">
        <v>0</v>
      </c>
    </row>
    <row r="86" spans="1:7" x14ac:dyDescent="0.25">
      <c r="A86" t="s">
        <v>517</v>
      </c>
      <c r="B86" t="s">
        <v>518</v>
      </c>
      <c r="C86" t="s">
        <v>3074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498</v>
      </c>
      <c r="B87" t="s">
        <v>499</v>
      </c>
      <c r="C87" t="s">
        <v>3074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482</v>
      </c>
      <c r="B88" t="s">
        <v>483</v>
      </c>
      <c r="C88" t="s">
        <v>3074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486</v>
      </c>
      <c r="B89" t="s">
        <v>487</v>
      </c>
      <c r="C89" t="s">
        <v>3074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492</v>
      </c>
      <c r="B90" t="s">
        <v>493</v>
      </c>
      <c r="C90" t="s">
        <v>3074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523</v>
      </c>
      <c r="B91" t="s">
        <v>524</v>
      </c>
      <c r="C91" t="s">
        <v>3074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531</v>
      </c>
      <c r="B92" t="s">
        <v>532</v>
      </c>
      <c r="C92" t="s">
        <v>3074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520</v>
      </c>
      <c r="B93" t="s">
        <v>521</v>
      </c>
      <c r="C93" t="s">
        <v>3074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533</v>
      </c>
      <c r="B94" t="s">
        <v>534</v>
      </c>
      <c r="C94" t="s">
        <v>3074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495</v>
      </c>
      <c r="B95" t="s">
        <v>496</v>
      </c>
      <c r="C95" t="s">
        <v>3074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508</v>
      </c>
      <c r="B96" t="s">
        <v>509</v>
      </c>
      <c r="C96" t="s">
        <v>3074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472</v>
      </c>
      <c r="B97" t="s">
        <v>473</v>
      </c>
      <c r="C97" t="s">
        <v>3074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501</v>
      </c>
      <c r="B98" t="s">
        <v>502</v>
      </c>
      <c r="C98" t="s">
        <v>3074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525</v>
      </c>
      <c r="B99" t="s">
        <v>3076</v>
      </c>
      <c r="C99" t="s">
        <v>3074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489</v>
      </c>
      <c r="B100" t="s">
        <v>490</v>
      </c>
      <c r="C100" t="s">
        <v>3074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505</v>
      </c>
      <c r="B101" t="s">
        <v>506</v>
      </c>
      <c r="C101" t="s">
        <v>3074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543</v>
      </c>
      <c r="B102" t="s">
        <v>544</v>
      </c>
      <c r="C102" t="s">
        <v>3077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677</v>
      </c>
      <c r="B103" t="s">
        <v>678</v>
      </c>
      <c r="C103" t="s">
        <v>3077</v>
      </c>
      <c r="D103">
        <v>336</v>
      </c>
      <c r="E103">
        <v>3</v>
      </c>
      <c r="G103">
        <v>1005</v>
      </c>
    </row>
    <row r="104" spans="1:7" x14ac:dyDescent="0.25">
      <c r="A104" t="s">
        <v>681</v>
      </c>
      <c r="B104" t="s">
        <v>682</v>
      </c>
      <c r="C104" t="s">
        <v>3077</v>
      </c>
      <c r="D104">
        <v>388.20000000000005</v>
      </c>
      <c r="E104">
        <v>3</v>
      </c>
      <c r="G104">
        <v>1290</v>
      </c>
    </row>
    <row r="105" spans="1:7" x14ac:dyDescent="0.25">
      <c r="A105" t="s">
        <v>554</v>
      </c>
      <c r="B105" t="s">
        <v>555</v>
      </c>
      <c r="C105" t="s">
        <v>3077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557</v>
      </c>
      <c r="B106" t="s">
        <v>558</v>
      </c>
      <c r="C106" t="s">
        <v>3077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689</v>
      </c>
      <c r="B107" t="s">
        <v>690</v>
      </c>
      <c r="C107" t="s">
        <v>3077</v>
      </c>
      <c r="D107">
        <v>258.8</v>
      </c>
      <c r="E107">
        <v>2</v>
      </c>
      <c r="G107">
        <v>0</v>
      </c>
    </row>
    <row r="108" spans="1:7" x14ac:dyDescent="0.25">
      <c r="A108" t="s">
        <v>566</v>
      </c>
      <c r="B108" t="s">
        <v>567</v>
      </c>
      <c r="C108" t="s">
        <v>3077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539</v>
      </c>
      <c r="B109" t="s">
        <v>540</v>
      </c>
      <c r="C109" t="s">
        <v>3077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548</v>
      </c>
      <c r="B110" t="s">
        <v>549</v>
      </c>
      <c r="C110" t="s">
        <v>3077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571</v>
      </c>
      <c r="B111" t="s">
        <v>572</v>
      </c>
      <c r="C111" t="s">
        <v>3077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569</v>
      </c>
      <c r="B112" t="s">
        <v>570</v>
      </c>
      <c r="C112" t="s">
        <v>3077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679</v>
      </c>
      <c r="B113" t="s">
        <v>680</v>
      </c>
      <c r="C113" t="s">
        <v>3077</v>
      </c>
      <c r="F113">
        <v>0.125</v>
      </c>
    </row>
    <row r="114" spans="1:7" x14ac:dyDescent="0.25">
      <c r="A114" t="s">
        <v>683</v>
      </c>
      <c r="B114" t="s">
        <v>684</v>
      </c>
      <c r="C114" t="s">
        <v>3077</v>
      </c>
      <c r="F114">
        <v>0.14749999999999999</v>
      </c>
    </row>
    <row r="115" spans="1:7" x14ac:dyDescent="0.25">
      <c r="A115" t="s">
        <v>545</v>
      </c>
      <c r="B115" t="s">
        <v>546</v>
      </c>
      <c r="C115" t="s">
        <v>3077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551</v>
      </c>
      <c r="B116" t="s">
        <v>552</v>
      </c>
      <c r="C116" t="s">
        <v>3077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686</v>
      </c>
      <c r="B117" t="s">
        <v>687</v>
      </c>
      <c r="C117" t="s">
        <v>3077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560</v>
      </c>
      <c r="B118" t="s">
        <v>561</v>
      </c>
      <c r="C118" t="s">
        <v>3077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563</v>
      </c>
      <c r="B119" t="s">
        <v>564</v>
      </c>
      <c r="C119" t="s">
        <v>3077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791</v>
      </c>
      <c r="B120" t="s">
        <v>792</v>
      </c>
      <c r="C120" t="s">
        <v>3078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832</v>
      </c>
      <c r="B121" t="s">
        <v>749</v>
      </c>
      <c r="C121" t="s">
        <v>3078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747</v>
      </c>
      <c r="B122" t="s">
        <v>748</v>
      </c>
      <c r="C122" t="s">
        <v>3078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795</v>
      </c>
      <c r="B123" t="s">
        <v>796</v>
      </c>
      <c r="C123" t="s">
        <v>3078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793</v>
      </c>
      <c r="B124" t="s">
        <v>3079</v>
      </c>
      <c r="C124" t="s">
        <v>3078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765</v>
      </c>
      <c r="B125" t="s">
        <v>766</v>
      </c>
      <c r="C125" t="s">
        <v>3078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761</v>
      </c>
      <c r="B126" t="s">
        <v>762</v>
      </c>
      <c r="C126" t="s">
        <v>3078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808</v>
      </c>
      <c r="B127" t="s">
        <v>809</v>
      </c>
      <c r="C127" t="s">
        <v>3078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816</v>
      </c>
      <c r="B128" t="s">
        <v>817</v>
      </c>
      <c r="C128" t="s">
        <v>3078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988</v>
      </c>
      <c r="B129" t="s">
        <v>989</v>
      </c>
      <c r="C129" t="s">
        <v>3078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2305</v>
      </c>
      <c r="B130" t="s">
        <v>2306</v>
      </c>
      <c r="C130" t="s">
        <v>3078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753</v>
      </c>
      <c r="B131" t="s">
        <v>754</v>
      </c>
      <c r="C131" t="s">
        <v>3078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750</v>
      </c>
      <c r="B132" t="s">
        <v>751</v>
      </c>
      <c r="C132" t="s">
        <v>3078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755</v>
      </c>
      <c r="B133" t="s">
        <v>756</v>
      </c>
      <c r="C133" t="s">
        <v>3078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805</v>
      </c>
      <c r="B134" t="s">
        <v>806</v>
      </c>
      <c r="C134" t="s">
        <v>3078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769</v>
      </c>
      <c r="B135" t="s">
        <v>770</v>
      </c>
      <c r="C135" t="s">
        <v>3078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828</v>
      </c>
      <c r="B136" t="s">
        <v>829</v>
      </c>
      <c r="C136" t="s">
        <v>3078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758</v>
      </c>
      <c r="B137" t="s">
        <v>759</v>
      </c>
      <c r="C137" t="s">
        <v>3078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826</v>
      </c>
      <c r="B138" t="s">
        <v>827</v>
      </c>
      <c r="C138" t="s">
        <v>3078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830</v>
      </c>
      <c r="B139" t="s">
        <v>3080</v>
      </c>
      <c r="C139" t="s">
        <v>3078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774</v>
      </c>
      <c r="B140" t="s">
        <v>775</v>
      </c>
      <c r="C140" t="s">
        <v>3078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783</v>
      </c>
      <c r="B141" t="s">
        <v>784</v>
      </c>
      <c r="C141" t="s">
        <v>3078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789</v>
      </c>
      <c r="B142" t="s">
        <v>790</v>
      </c>
      <c r="C142" t="s">
        <v>3078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786</v>
      </c>
      <c r="B143" t="s">
        <v>787</v>
      </c>
      <c r="C143" t="s">
        <v>3078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781</v>
      </c>
      <c r="B144" t="s">
        <v>782</v>
      </c>
      <c r="C144" t="s">
        <v>3078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767</v>
      </c>
      <c r="B145" t="s">
        <v>768</v>
      </c>
      <c r="C145" t="s">
        <v>3078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824</v>
      </c>
      <c r="B146" t="s">
        <v>3081</v>
      </c>
      <c r="C146" t="s">
        <v>3078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814</v>
      </c>
      <c r="B147" t="s">
        <v>815</v>
      </c>
      <c r="C147" t="s">
        <v>3078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741</v>
      </c>
      <c r="B148" t="s">
        <v>742</v>
      </c>
      <c r="C148" t="s">
        <v>3078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799</v>
      </c>
      <c r="B149" t="s">
        <v>800</v>
      </c>
      <c r="C149" t="s">
        <v>3078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778</v>
      </c>
      <c r="B150" t="s">
        <v>779</v>
      </c>
      <c r="C150" t="s">
        <v>3078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810</v>
      </c>
      <c r="B151" t="s">
        <v>811</v>
      </c>
      <c r="C151" t="s">
        <v>3078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736</v>
      </c>
      <c r="B152" t="s">
        <v>737</v>
      </c>
      <c r="C152" t="s">
        <v>3078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818</v>
      </c>
      <c r="B153" t="s">
        <v>819</v>
      </c>
      <c r="C153" t="s">
        <v>3078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744</v>
      </c>
      <c r="B154" t="s">
        <v>745</v>
      </c>
      <c r="C154" t="s">
        <v>3078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822</v>
      </c>
      <c r="B155" t="s">
        <v>823</v>
      </c>
      <c r="C155" t="s">
        <v>3078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797</v>
      </c>
      <c r="B156" t="s">
        <v>798</v>
      </c>
      <c r="C156" t="s">
        <v>3078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881</v>
      </c>
      <c r="B157" t="s">
        <v>852</v>
      </c>
      <c r="C157" t="s">
        <v>3082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877</v>
      </c>
      <c r="B158" t="s">
        <v>878</v>
      </c>
      <c r="C158" t="s">
        <v>3082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846</v>
      </c>
      <c r="B159" t="s">
        <v>847</v>
      </c>
      <c r="C159" t="s">
        <v>3082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861</v>
      </c>
      <c r="B160" t="s">
        <v>862</v>
      </c>
      <c r="C160" t="s">
        <v>3082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865</v>
      </c>
      <c r="B161" t="s">
        <v>866</v>
      </c>
      <c r="C161" t="s">
        <v>3082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848</v>
      </c>
      <c r="B162" t="s">
        <v>849</v>
      </c>
      <c r="C162" t="s">
        <v>3082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868</v>
      </c>
      <c r="B163" t="s">
        <v>869</v>
      </c>
      <c r="C163" t="s">
        <v>3082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837</v>
      </c>
      <c r="B164" t="s">
        <v>838</v>
      </c>
      <c r="C164" t="s">
        <v>3082</v>
      </c>
      <c r="D164">
        <v>200</v>
      </c>
      <c r="E164">
        <v>1</v>
      </c>
      <c r="F164">
        <v>0</v>
      </c>
    </row>
    <row r="165" spans="1:7" x14ac:dyDescent="0.25">
      <c r="A165" t="s">
        <v>850</v>
      </c>
      <c r="B165" t="s">
        <v>851</v>
      </c>
      <c r="C165" t="s">
        <v>3082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882</v>
      </c>
      <c r="B166" t="s">
        <v>883</v>
      </c>
      <c r="C166" t="s">
        <v>3082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908</v>
      </c>
      <c r="B167" t="s">
        <v>909</v>
      </c>
      <c r="C167" t="s">
        <v>3082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912</v>
      </c>
      <c r="B168" t="s">
        <v>913</v>
      </c>
      <c r="C168" t="s">
        <v>3082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844</v>
      </c>
      <c r="B169" t="s">
        <v>3083</v>
      </c>
      <c r="C169" t="s">
        <v>3082</v>
      </c>
      <c r="D169">
        <v>500</v>
      </c>
      <c r="E169">
        <v>1</v>
      </c>
    </row>
    <row r="170" spans="1:7" x14ac:dyDescent="0.25">
      <c r="A170" t="s">
        <v>855</v>
      </c>
      <c r="B170" t="s">
        <v>856</v>
      </c>
      <c r="C170" t="s">
        <v>3082</v>
      </c>
      <c r="D170">
        <v>150</v>
      </c>
      <c r="E170">
        <v>1</v>
      </c>
    </row>
    <row r="171" spans="1:7" x14ac:dyDescent="0.25">
      <c r="A171" t="s">
        <v>859</v>
      </c>
      <c r="B171" t="s">
        <v>860</v>
      </c>
      <c r="C171" t="s">
        <v>3082</v>
      </c>
      <c r="D171">
        <v>50</v>
      </c>
      <c r="E171">
        <v>1</v>
      </c>
    </row>
    <row r="172" spans="1:7" x14ac:dyDescent="0.25">
      <c r="A172" t="s">
        <v>888</v>
      </c>
      <c r="B172" t="s">
        <v>889</v>
      </c>
      <c r="C172" t="s">
        <v>3082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890</v>
      </c>
      <c r="B173" t="s">
        <v>891</v>
      </c>
      <c r="C173" t="s">
        <v>3082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906</v>
      </c>
      <c r="B174" t="s">
        <v>907</v>
      </c>
      <c r="C174" t="s">
        <v>3082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885</v>
      </c>
      <c r="B175" t="s">
        <v>886</v>
      </c>
      <c r="C175" t="s">
        <v>3082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872</v>
      </c>
      <c r="B176" t="s">
        <v>873</v>
      </c>
      <c r="C176" t="s">
        <v>3082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874</v>
      </c>
      <c r="B177" t="s">
        <v>875</v>
      </c>
      <c r="C177" t="s">
        <v>3082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870</v>
      </c>
      <c r="B178" t="s">
        <v>871</v>
      </c>
      <c r="C178" t="s">
        <v>3082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935</v>
      </c>
      <c r="B179" t="s">
        <v>936</v>
      </c>
      <c r="C179" t="s">
        <v>3082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937</v>
      </c>
      <c r="B180" t="s">
        <v>938</v>
      </c>
      <c r="C180" t="s">
        <v>3082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910</v>
      </c>
      <c r="B181" t="s">
        <v>911</v>
      </c>
      <c r="C181" t="s">
        <v>3082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924</v>
      </c>
      <c r="B182" t="s">
        <v>925</v>
      </c>
      <c r="C182" t="s">
        <v>3082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927</v>
      </c>
      <c r="B183" t="s">
        <v>928</v>
      </c>
      <c r="C183" t="s">
        <v>3082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933</v>
      </c>
      <c r="B184" t="s">
        <v>934</v>
      </c>
      <c r="C184" t="s">
        <v>3082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833</v>
      </c>
      <c r="B185" t="s">
        <v>834</v>
      </c>
      <c r="C185" t="s">
        <v>3082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892</v>
      </c>
      <c r="B186" t="s">
        <v>893</v>
      </c>
      <c r="C186" t="s">
        <v>3082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894</v>
      </c>
      <c r="B187" t="s">
        <v>895</v>
      </c>
      <c r="C187" t="s">
        <v>3082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853</v>
      </c>
      <c r="B188" t="s">
        <v>854</v>
      </c>
      <c r="C188" t="s">
        <v>3082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896</v>
      </c>
      <c r="B189" t="s">
        <v>897</v>
      </c>
      <c r="C189" t="s">
        <v>3082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839</v>
      </c>
      <c r="B190" t="s">
        <v>840</v>
      </c>
      <c r="C190" t="s">
        <v>3082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902</v>
      </c>
      <c r="B191" t="s">
        <v>903</v>
      </c>
      <c r="C191" t="s">
        <v>3082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919</v>
      </c>
      <c r="B192" t="s">
        <v>920</v>
      </c>
      <c r="C192" t="s">
        <v>3082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842</v>
      </c>
      <c r="B193" t="s">
        <v>923</v>
      </c>
      <c r="C193" t="s">
        <v>3082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898</v>
      </c>
      <c r="B194" t="s">
        <v>899</v>
      </c>
      <c r="C194" t="s">
        <v>3082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940</v>
      </c>
      <c r="B195" t="s">
        <v>941</v>
      </c>
      <c r="C195" t="s">
        <v>3082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1311</v>
      </c>
      <c r="B196" t="s">
        <v>3084</v>
      </c>
      <c r="C196" t="s">
        <v>3085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1298</v>
      </c>
      <c r="B197" t="s">
        <v>3086</v>
      </c>
      <c r="C197" t="s">
        <v>3085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1301</v>
      </c>
      <c r="B198" t="s">
        <v>1302</v>
      </c>
      <c r="C198" t="s">
        <v>3085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1253</v>
      </c>
      <c r="B199" t="s">
        <v>1254</v>
      </c>
      <c r="C199" t="s">
        <v>3085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1318</v>
      </c>
      <c r="B200" t="s">
        <v>3087</v>
      </c>
      <c r="C200" t="s">
        <v>3085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1320</v>
      </c>
      <c r="B201" t="s">
        <v>1321</v>
      </c>
      <c r="C201" t="s">
        <v>3085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1305</v>
      </c>
      <c r="B202" t="s">
        <v>1306</v>
      </c>
      <c r="C202" t="s">
        <v>3085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1308</v>
      </c>
      <c r="B203" t="s">
        <v>1309</v>
      </c>
      <c r="C203" t="s">
        <v>3085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1303</v>
      </c>
      <c r="B204" t="s">
        <v>1304</v>
      </c>
      <c r="C204" t="s">
        <v>3085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1324</v>
      </c>
      <c r="B205" t="s">
        <v>1325</v>
      </c>
      <c r="C205" t="s">
        <v>3085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1322</v>
      </c>
      <c r="B206" t="s">
        <v>1323</v>
      </c>
      <c r="C206" t="s">
        <v>3085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946</v>
      </c>
      <c r="B207" t="s">
        <v>947</v>
      </c>
      <c r="C207" t="s">
        <v>3088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1050</v>
      </c>
      <c r="B208" t="s">
        <v>1051</v>
      </c>
      <c r="C208" t="s">
        <v>3088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978</v>
      </c>
      <c r="B209" t="s">
        <v>979</v>
      </c>
      <c r="C209" t="s">
        <v>3088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980</v>
      </c>
      <c r="B210" t="s">
        <v>981</v>
      </c>
      <c r="C210" t="s">
        <v>3088</v>
      </c>
      <c r="D210">
        <v>204.6</v>
      </c>
      <c r="E210">
        <v>1</v>
      </c>
      <c r="G210">
        <v>605</v>
      </c>
    </row>
    <row r="211" spans="1:7" x14ac:dyDescent="0.25">
      <c r="A211" t="s">
        <v>1000</v>
      </c>
      <c r="B211" t="s">
        <v>1001</v>
      </c>
      <c r="C211" t="s">
        <v>3088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990</v>
      </c>
      <c r="B212" t="s">
        <v>991</v>
      </c>
      <c r="C212" t="s">
        <v>3088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967</v>
      </c>
      <c r="B213" t="s">
        <v>968</v>
      </c>
      <c r="C213" t="s">
        <v>3088</v>
      </c>
      <c r="D213">
        <v>41.25</v>
      </c>
      <c r="E213">
        <v>1</v>
      </c>
      <c r="G213">
        <v>341.6</v>
      </c>
    </row>
    <row r="214" spans="1:7" x14ac:dyDescent="0.25">
      <c r="A214" t="s">
        <v>986</v>
      </c>
      <c r="B214" t="s">
        <v>987</v>
      </c>
      <c r="C214" t="s">
        <v>3088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1009</v>
      </c>
      <c r="B215" t="s">
        <v>1010</v>
      </c>
      <c r="C215" t="s">
        <v>3088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1011</v>
      </c>
      <c r="B216" t="s">
        <v>1012</v>
      </c>
      <c r="C216" t="s">
        <v>3088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1021</v>
      </c>
      <c r="B217" t="s">
        <v>1022</v>
      </c>
      <c r="C217" t="s">
        <v>3088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972</v>
      </c>
      <c r="B218" t="s">
        <v>973</v>
      </c>
      <c r="C218" t="s">
        <v>3088</v>
      </c>
      <c r="F218">
        <v>0</v>
      </c>
    </row>
    <row r="219" spans="1:7" x14ac:dyDescent="0.25">
      <c r="A219" t="s">
        <v>1134</v>
      </c>
      <c r="B219" t="s">
        <v>1135</v>
      </c>
      <c r="C219" t="s">
        <v>3088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1032</v>
      </c>
      <c r="B220" t="s">
        <v>3089</v>
      </c>
      <c r="C220" t="s">
        <v>3088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1069</v>
      </c>
      <c r="B221" t="s">
        <v>1070</v>
      </c>
      <c r="C221" t="s">
        <v>3088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1002</v>
      </c>
      <c r="B222" t="s">
        <v>1003</v>
      </c>
      <c r="C222" t="s">
        <v>3088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1013</v>
      </c>
      <c r="B223" t="s">
        <v>1014</v>
      </c>
      <c r="C223" t="s">
        <v>3088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1039</v>
      </c>
      <c r="B224" t="s">
        <v>1040</v>
      </c>
      <c r="C224" t="s">
        <v>3088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1055</v>
      </c>
      <c r="B225" t="s">
        <v>1056</v>
      </c>
      <c r="C225" t="s">
        <v>3088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1053</v>
      </c>
      <c r="B226" t="s">
        <v>1054</v>
      </c>
      <c r="C226" t="s">
        <v>3088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1091</v>
      </c>
      <c r="B227" t="s">
        <v>1092</v>
      </c>
      <c r="C227" t="s">
        <v>3088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1023</v>
      </c>
      <c r="B228" t="s">
        <v>1024</v>
      </c>
      <c r="C228" t="s">
        <v>3088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1030</v>
      </c>
      <c r="B229" t="s">
        <v>1031</v>
      </c>
      <c r="C229" t="s">
        <v>3088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984</v>
      </c>
      <c r="B230" t="s">
        <v>985</v>
      </c>
      <c r="C230" t="s">
        <v>3088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1141</v>
      </c>
      <c r="B231" t="s">
        <v>1142</v>
      </c>
      <c r="C231" t="s">
        <v>3088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1139</v>
      </c>
      <c r="B232" t="s">
        <v>1140</v>
      </c>
      <c r="C232" t="s">
        <v>3088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1034</v>
      </c>
      <c r="B233" t="s">
        <v>1035</v>
      </c>
      <c r="C233" t="s">
        <v>3088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1007</v>
      </c>
      <c r="B234" t="s">
        <v>950</v>
      </c>
      <c r="C234" t="s">
        <v>3088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948</v>
      </c>
      <c r="B235" t="s">
        <v>949</v>
      </c>
      <c r="C235" t="s">
        <v>3088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942</v>
      </c>
      <c r="B236" t="s">
        <v>943</v>
      </c>
      <c r="C236" t="s">
        <v>3088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951</v>
      </c>
      <c r="B237" t="s">
        <v>952</v>
      </c>
      <c r="C237" t="s">
        <v>3088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1018</v>
      </c>
      <c r="B238" t="s">
        <v>1019</v>
      </c>
      <c r="C238" t="s">
        <v>3088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1027</v>
      </c>
      <c r="B239" t="s">
        <v>1028</v>
      </c>
      <c r="C239" t="s">
        <v>3088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993</v>
      </c>
      <c r="B240" t="s">
        <v>994</v>
      </c>
      <c r="C240" t="s">
        <v>3088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982</v>
      </c>
      <c r="B241" t="s">
        <v>983</v>
      </c>
      <c r="C241" t="s">
        <v>3088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970</v>
      </c>
      <c r="B242" t="s">
        <v>971</v>
      </c>
      <c r="C242" t="s">
        <v>3088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1015</v>
      </c>
      <c r="B243" t="s">
        <v>1016</v>
      </c>
      <c r="C243" t="s">
        <v>3088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1004</v>
      </c>
      <c r="B244" t="s">
        <v>1005</v>
      </c>
      <c r="C244" t="s">
        <v>3088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1041</v>
      </c>
      <c r="B245" t="s">
        <v>3090</v>
      </c>
      <c r="C245" t="s">
        <v>3088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1065</v>
      </c>
      <c r="B246" t="s">
        <v>1066</v>
      </c>
      <c r="C246" t="s">
        <v>3088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1046</v>
      </c>
      <c r="B247" t="s">
        <v>1047</v>
      </c>
      <c r="C247" t="s">
        <v>3088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1048</v>
      </c>
      <c r="B248" t="s">
        <v>1049</v>
      </c>
      <c r="C248" t="s">
        <v>3088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1044</v>
      </c>
      <c r="B249" t="s">
        <v>1045</v>
      </c>
      <c r="C249" t="s">
        <v>3088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1082</v>
      </c>
      <c r="B250" t="s">
        <v>1083</v>
      </c>
      <c r="C250" t="s">
        <v>3088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1085</v>
      </c>
      <c r="B251" t="s">
        <v>1086</v>
      </c>
      <c r="C251" t="s">
        <v>3088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1088</v>
      </c>
      <c r="B252" t="s">
        <v>1089</v>
      </c>
      <c r="C252" t="s">
        <v>3088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1163</v>
      </c>
      <c r="B253" t="s">
        <v>1164</v>
      </c>
      <c r="C253" t="s">
        <v>3088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1076</v>
      </c>
      <c r="B254" t="s">
        <v>1077</v>
      </c>
      <c r="C254" t="s">
        <v>3088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1079</v>
      </c>
      <c r="B255" t="s">
        <v>1080</v>
      </c>
      <c r="C255" t="s">
        <v>3088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1131</v>
      </c>
      <c r="B256" t="s">
        <v>1132</v>
      </c>
      <c r="C256" t="s">
        <v>3088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1073</v>
      </c>
      <c r="B257" t="s">
        <v>1074</v>
      </c>
      <c r="C257" t="s">
        <v>3088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1067</v>
      </c>
      <c r="B258" t="s">
        <v>1068</v>
      </c>
      <c r="C258" t="s">
        <v>3088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1060</v>
      </c>
      <c r="B259" t="s">
        <v>1061</v>
      </c>
      <c r="C259" t="s">
        <v>3088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1063</v>
      </c>
      <c r="B260" t="s">
        <v>1064</v>
      </c>
      <c r="C260" t="s">
        <v>3088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976</v>
      </c>
      <c r="B261" t="s">
        <v>977</v>
      </c>
      <c r="C261" t="s">
        <v>3088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1037</v>
      </c>
      <c r="B262" t="s">
        <v>1038</v>
      </c>
      <c r="C262" t="s">
        <v>3088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615</v>
      </c>
      <c r="B263" t="s">
        <v>616</v>
      </c>
      <c r="C263" t="s">
        <v>593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734</v>
      </c>
      <c r="B264" t="s">
        <v>735</v>
      </c>
      <c r="C264" t="s">
        <v>593</v>
      </c>
      <c r="D264">
        <v>756</v>
      </c>
      <c r="E264">
        <v>4</v>
      </c>
      <c r="G264">
        <v>1072</v>
      </c>
    </row>
    <row r="265" spans="1:7" x14ac:dyDescent="0.25">
      <c r="A265" t="s">
        <v>606</v>
      </c>
      <c r="B265" t="s">
        <v>607</v>
      </c>
      <c r="C265" t="s">
        <v>593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708</v>
      </c>
      <c r="B266" t="s">
        <v>709</v>
      </c>
      <c r="C266" t="s">
        <v>593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628</v>
      </c>
      <c r="B267" t="s">
        <v>629</v>
      </c>
      <c r="C267" t="s">
        <v>593</v>
      </c>
      <c r="F267">
        <v>0.17124999999999999</v>
      </c>
    </row>
    <row r="268" spans="1:7" x14ac:dyDescent="0.25">
      <c r="A268" t="s">
        <v>612</v>
      </c>
      <c r="B268" t="s">
        <v>613</v>
      </c>
      <c r="C268" t="s">
        <v>593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609</v>
      </c>
      <c r="B269" t="s">
        <v>610</v>
      </c>
      <c r="C269" t="s">
        <v>593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706</v>
      </c>
      <c r="B270" t="s">
        <v>707</v>
      </c>
      <c r="C270" t="s">
        <v>593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617</v>
      </c>
      <c r="B271" t="s">
        <v>618</v>
      </c>
      <c r="C271" t="s">
        <v>593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594</v>
      </c>
      <c r="B272" t="s">
        <v>595</v>
      </c>
      <c r="C272" t="s">
        <v>593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590</v>
      </c>
      <c r="B273" t="s">
        <v>591</v>
      </c>
      <c r="C273" t="s">
        <v>593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730</v>
      </c>
      <c r="B274" t="s">
        <v>731</v>
      </c>
      <c r="C274" t="s">
        <v>593</v>
      </c>
      <c r="D274">
        <v>200</v>
      </c>
      <c r="E274">
        <v>1</v>
      </c>
      <c r="F274">
        <v>0</v>
      </c>
    </row>
    <row r="275" spans="1:7" x14ac:dyDescent="0.25">
      <c r="A275" t="s">
        <v>597</v>
      </c>
      <c r="B275" t="s">
        <v>598</v>
      </c>
      <c r="C275" t="s">
        <v>593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698</v>
      </c>
      <c r="B276" t="s">
        <v>699</v>
      </c>
      <c r="C276" t="s">
        <v>593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602</v>
      </c>
      <c r="B277" t="s">
        <v>3091</v>
      </c>
      <c r="C277" t="s">
        <v>593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653</v>
      </c>
      <c r="B278" t="s">
        <v>654</v>
      </c>
      <c r="C278" t="s">
        <v>593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647</v>
      </c>
      <c r="B279" t="s">
        <v>648</v>
      </c>
      <c r="C279" t="s">
        <v>593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650</v>
      </c>
      <c r="B280" t="s">
        <v>651</v>
      </c>
      <c r="C280" t="s">
        <v>593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726</v>
      </c>
      <c r="B281" t="s">
        <v>727</v>
      </c>
      <c r="C281" t="s">
        <v>593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656</v>
      </c>
      <c r="B282" t="s">
        <v>657</v>
      </c>
      <c r="C282" t="s">
        <v>593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716</v>
      </c>
      <c r="B283" t="s">
        <v>717</v>
      </c>
      <c r="C283" t="s">
        <v>593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700</v>
      </c>
      <c r="B284" t="s">
        <v>701</v>
      </c>
      <c r="C284" t="s">
        <v>593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620</v>
      </c>
      <c r="B285" t="s">
        <v>621</v>
      </c>
      <c r="C285" t="s">
        <v>593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625</v>
      </c>
      <c r="B286" t="s">
        <v>626</v>
      </c>
      <c r="C286" t="s">
        <v>593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574</v>
      </c>
      <c r="B287" t="s">
        <v>575</v>
      </c>
      <c r="C287" t="s">
        <v>593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639</v>
      </c>
      <c r="B288" t="s">
        <v>640</v>
      </c>
      <c r="C288" t="s">
        <v>593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642</v>
      </c>
      <c r="B289" t="s">
        <v>643</v>
      </c>
      <c r="C289" t="s">
        <v>593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694</v>
      </c>
      <c r="B290" t="s">
        <v>695</v>
      </c>
      <c r="C290" t="s">
        <v>593</v>
      </c>
      <c r="D290">
        <v>130</v>
      </c>
      <c r="E290">
        <v>2</v>
      </c>
      <c r="G290">
        <v>0</v>
      </c>
    </row>
    <row r="291" spans="1:7" x14ac:dyDescent="0.25">
      <c r="A291" t="s">
        <v>631</v>
      </c>
      <c r="B291" t="s">
        <v>632</v>
      </c>
      <c r="C291" t="s">
        <v>593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587</v>
      </c>
      <c r="B292" t="s">
        <v>588</v>
      </c>
      <c r="C292" t="s">
        <v>593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696</v>
      </c>
      <c r="B293" t="s">
        <v>697</v>
      </c>
      <c r="C293" t="s">
        <v>593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713</v>
      </c>
      <c r="B294" t="s">
        <v>714</v>
      </c>
      <c r="C294" t="s">
        <v>593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710</v>
      </c>
      <c r="B295" t="s">
        <v>711</v>
      </c>
      <c r="C295" t="s">
        <v>593</v>
      </c>
      <c r="F295">
        <v>2.1999999999999999E-2</v>
      </c>
    </row>
    <row r="296" spans="1:7" x14ac:dyDescent="0.25">
      <c r="A296" t="s">
        <v>671</v>
      </c>
      <c r="B296" t="s">
        <v>672</v>
      </c>
      <c r="C296" t="s">
        <v>593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673</v>
      </c>
      <c r="B297" t="s">
        <v>674</v>
      </c>
      <c r="C297" t="s">
        <v>593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636</v>
      </c>
      <c r="B298" t="s">
        <v>637</v>
      </c>
      <c r="C298" t="s">
        <v>593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692</v>
      </c>
      <c r="B299" t="s">
        <v>693</v>
      </c>
      <c r="C299" t="s">
        <v>593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581</v>
      </c>
      <c r="B300" t="s">
        <v>582</v>
      </c>
      <c r="C300" t="s">
        <v>593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584</v>
      </c>
      <c r="B301" t="s">
        <v>585</v>
      </c>
      <c r="C301" t="s">
        <v>593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600</v>
      </c>
      <c r="B302" t="s">
        <v>3092</v>
      </c>
      <c r="C302" t="s">
        <v>593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702</v>
      </c>
      <c r="B303" t="s">
        <v>3093</v>
      </c>
      <c r="C303" t="s">
        <v>593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604</v>
      </c>
      <c r="B304" t="s">
        <v>3094</v>
      </c>
      <c r="C304" t="s">
        <v>593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718</v>
      </c>
      <c r="B305" t="s">
        <v>719</v>
      </c>
      <c r="C305" t="s">
        <v>593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728</v>
      </c>
      <c r="B306" t="s">
        <v>729</v>
      </c>
      <c r="C306" t="s">
        <v>593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665</v>
      </c>
      <c r="B307" t="s">
        <v>666</v>
      </c>
      <c r="C307" t="s">
        <v>593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668</v>
      </c>
      <c r="B308" t="s">
        <v>669</v>
      </c>
      <c r="C308" t="s">
        <v>593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662</v>
      </c>
      <c r="B309" t="s">
        <v>663</v>
      </c>
      <c r="C309" t="s">
        <v>593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723</v>
      </c>
      <c r="B310" t="s">
        <v>724</v>
      </c>
      <c r="C310" t="s">
        <v>593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732</v>
      </c>
      <c r="B311" t="s">
        <v>733</v>
      </c>
      <c r="C311" t="s">
        <v>593</v>
      </c>
      <c r="D311">
        <v>100</v>
      </c>
      <c r="E311">
        <v>1</v>
      </c>
      <c r="F311">
        <v>0</v>
      </c>
    </row>
    <row r="312" spans="1:7" x14ac:dyDescent="0.25">
      <c r="A312" t="s">
        <v>1193</v>
      </c>
      <c r="B312" t="s">
        <v>1194</v>
      </c>
      <c r="C312" t="s">
        <v>3095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1191</v>
      </c>
      <c r="B313" t="s">
        <v>1192</v>
      </c>
      <c r="C313" t="s">
        <v>3095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1236</v>
      </c>
      <c r="B314" t="s">
        <v>1237</v>
      </c>
      <c r="C314" t="s">
        <v>3095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1178</v>
      </c>
      <c r="B315" t="s">
        <v>1179</v>
      </c>
      <c r="C315" t="s">
        <v>3095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1239</v>
      </c>
      <c r="B316" t="s">
        <v>1240</v>
      </c>
      <c r="C316" t="s">
        <v>3095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1242</v>
      </c>
      <c r="B317" t="s">
        <v>1243</v>
      </c>
      <c r="C317" t="s">
        <v>3095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1248</v>
      </c>
      <c r="B318" t="s">
        <v>1249</v>
      </c>
      <c r="C318" t="s">
        <v>3095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1224</v>
      </c>
      <c r="B319" t="s">
        <v>1225</v>
      </c>
      <c r="C319" t="s">
        <v>3095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1199</v>
      </c>
      <c r="B320" t="s">
        <v>1200</v>
      </c>
      <c r="C320" t="s">
        <v>3095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1189</v>
      </c>
      <c r="B321" t="s">
        <v>1190</v>
      </c>
      <c r="C321" t="s">
        <v>3095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1227</v>
      </c>
      <c r="B322" t="s">
        <v>1228</v>
      </c>
      <c r="C322" t="s">
        <v>3095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1204</v>
      </c>
      <c r="B323" t="s">
        <v>1205</v>
      </c>
      <c r="C323" t="s">
        <v>3095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1216</v>
      </c>
      <c r="B324" t="s">
        <v>1217</v>
      </c>
      <c r="C324" t="s">
        <v>3095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1233</v>
      </c>
      <c r="B325" t="s">
        <v>1234</v>
      </c>
      <c r="C325" t="s">
        <v>3095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1195</v>
      </c>
      <c r="B326" t="s">
        <v>1196</v>
      </c>
      <c r="C326" t="s">
        <v>3095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1245</v>
      </c>
      <c r="B327" t="s">
        <v>1246</v>
      </c>
      <c r="C327" t="s">
        <v>3095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1182</v>
      </c>
      <c r="B328" t="s">
        <v>1183</v>
      </c>
      <c r="C328" t="s">
        <v>3095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1251</v>
      </c>
      <c r="B329" t="s">
        <v>1252</v>
      </c>
      <c r="C329" t="s">
        <v>3095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1187</v>
      </c>
      <c r="B330" t="s">
        <v>1188</v>
      </c>
      <c r="C330" t="s">
        <v>3095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1230</v>
      </c>
      <c r="B331" t="s">
        <v>1231</v>
      </c>
      <c r="C331" t="s">
        <v>3095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1197</v>
      </c>
      <c r="B332" t="s">
        <v>1198</v>
      </c>
      <c r="C332" t="s">
        <v>3095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1207</v>
      </c>
      <c r="B333" t="s">
        <v>1208</v>
      </c>
      <c r="C333" t="s">
        <v>3095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1210</v>
      </c>
      <c r="B334" t="s">
        <v>1211</v>
      </c>
      <c r="C334" t="s">
        <v>3095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1184</v>
      </c>
      <c r="B335" t="s">
        <v>3096</v>
      </c>
      <c r="C335" t="s">
        <v>3095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1221</v>
      </c>
      <c r="B336" t="s">
        <v>1222</v>
      </c>
      <c r="C336" t="s">
        <v>3095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1276</v>
      </c>
      <c r="B337" t="s">
        <v>1277</v>
      </c>
      <c r="C337" t="s">
        <v>3097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1314</v>
      </c>
      <c r="B338" t="s">
        <v>1315</v>
      </c>
      <c r="C338" t="s">
        <v>3097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1294</v>
      </c>
      <c r="B339" t="s">
        <v>1295</v>
      </c>
      <c r="C339" t="s">
        <v>3097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1264</v>
      </c>
      <c r="B340" t="s">
        <v>1265</v>
      </c>
      <c r="C340" t="s">
        <v>3097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1274</v>
      </c>
      <c r="B341" t="s">
        <v>3098</v>
      </c>
      <c r="C341" t="s">
        <v>3097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1279</v>
      </c>
      <c r="B342" t="s">
        <v>1280</v>
      </c>
      <c r="C342" t="s">
        <v>3097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1292</v>
      </c>
      <c r="B343" t="s">
        <v>1293</v>
      </c>
      <c r="C343" t="s">
        <v>3097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1289</v>
      </c>
      <c r="B344" t="s">
        <v>1290</v>
      </c>
      <c r="C344" t="s">
        <v>3097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1257</v>
      </c>
      <c r="B345" t="s">
        <v>1258</v>
      </c>
      <c r="C345" t="s">
        <v>3097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1282</v>
      </c>
      <c r="B346" t="s">
        <v>1283</v>
      </c>
      <c r="C346" t="s">
        <v>3097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1286</v>
      </c>
      <c r="B347" t="s">
        <v>1287</v>
      </c>
      <c r="C347" t="s">
        <v>3097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1266</v>
      </c>
      <c r="B348" t="s">
        <v>1267</v>
      </c>
      <c r="C348" t="s">
        <v>3097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1296</v>
      </c>
      <c r="B349" t="s">
        <v>1297</v>
      </c>
      <c r="C349" t="s">
        <v>3097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1260</v>
      </c>
      <c r="B350" t="s">
        <v>3099</v>
      </c>
      <c r="C350" t="s">
        <v>3097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1270</v>
      </c>
      <c r="B351" t="s">
        <v>1271</v>
      </c>
      <c r="C351" t="s">
        <v>3097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1262</v>
      </c>
      <c r="B352" t="s">
        <v>3100</v>
      </c>
      <c r="C352" t="s">
        <v>3097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3065</v>
      </c>
      <c r="B353" t="s">
        <v>3101</v>
      </c>
      <c r="C353" t="s">
        <v>3102</v>
      </c>
      <c r="E353">
        <v>47</v>
      </c>
      <c r="F353">
        <v>0</v>
      </c>
      <c r="G353">
        <v>0</v>
      </c>
    </row>
    <row r="354" spans="1:7" x14ac:dyDescent="0.25">
      <c r="A354" t="s">
        <v>3051</v>
      </c>
      <c r="B354" t="s">
        <v>3052</v>
      </c>
      <c r="C354" t="s">
        <v>3102</v>
      </c>
      <c r="E354">
        <v>2</v>
      </c>
    </row>
    <row r="355" spans="1:7" x14ac:dyDescent="0.25">
      <c r="A355" t="s">
        <v>3055</v>
      </c>
      <c r="B355" t="s">
        <v>3056</v>
      </c>
      <c r="C355" t="s">
        <v>3102</v>
      </c>
      <c r="E355">
        <v>3</v>
      </c>
    </row>
    <row r="356" spans="1:7" x14ac:dyDescent="0.25">
      <c r="A356" t="s">
        <v>3057</v>
      </c>
      <c r="B356" t="s">
        <v>3058</v>
      </c>
      <c r="C356" t="s">
        <v>3102</v>
      </c>
      <c r="E356">
        <v>2</v>
      </c>
    </row>
    <row r="357" spans="1:7" x14ac:dyDescent="0.25">
      <c r="A357" t="s">
        <v>3059</v>
      </c>
      <c r="B357" t="s">
        <v>3060</v>
      </c>
      <c r="C357" t="s">
        <v>3102</v>
      </c>
      <c r="E357">
        <v>3</v>
      </c>
    </row>
    <row r="358" spans="1:7" x14ac:dyDescent="0.25">
      <c r="A358" t="s">
        <v>3061</v>
      </c>
      <c r="B358" t="s">
        <v>3103</v>
      </c>
      <c r="C358" t="s">
        <v>3102</v>
      </c>
      <c r="E358">
        <v>2</v>
      </c>
    </row>
    <row r="359" spans="1:7" x14ac:dyDescent="0.25">
      <c r="A359" t="s">
        <v>3063</v>
      </c>
      <c r="B359" t="s">
        <v>3064</v>
      </c>
      <c r="C359" t="s">
        <v>3102</v>
      </c>
      <c r="E359">
        <v>2</v>
      </c>
    </row>
    <row r="360" spans="1:7" x14ac:dyDescent="0.25">
      <c r="A360" t="s">
        <v>1326</v>
      </c>
      <c r="B360" t="s">
        <v>1327</v>
      </c>
      <c r="C360" t="s">
        <v>3104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1342</v>
      </c>
      <c r="B361" t="s">
        <v>1343</v>
      </c>
      <c r="C361" t="s">
        <v>3104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1347</v>
      </c>
      <c r="B362" t="s">
        <v>1348</v>
      </c>
      <c r="C362" t="s">
        <v>3104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1330</v>
      </c>
      <c r="B363" t="s">
        <v>1331</v>
      </c>
      <c r="C363" t="s">
        <v>3104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1340</v>
      </c>
      <c r="B364" t="s">
        <v>1341</v>
      </c>
      <c r="C364" t="s">
        <v>3104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1361</v>
      </c>
      <c r="B365" t="s">
        <v>3105</v>
      </c>
      <c r="C365" t="s">
        <v>3104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1351</v>
      </c>
      <c r="B366" t="s">
        <v>1352</v>
      </c>
      <c r="C366" t="s">
        <v>3104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1353</v>
      </c>
      <c r="B367" t="s">
        <v>1354</v>
      </c>
      <c r="C367" t="s">
        <v>3104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1363</v>
      </c>
      <c r="B368" t="s">
        <v>1364</v>
      </c>
      <c r="C368" t="s">
        <v>3104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1358</v>
      </c>
      <c r="B369" t="s">
        <v>1359</v>
      </c>
      <c r="C369" t="s">
        <v>3104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1345</v>
      </c>
      <c r="B370" t="s">
        <v>1346</v>
      </c>
      <c r="C370" t="s">
        <v>3104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1349</v>
      </c>
      <c r="B371" t="s">
        <v>1350</v>
      </c>
      <c r="C371" t="s">
        <v>3104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1372</v>
      </c>
      <c r="B372" t="s">
        <v>1373</v>
      </c>
      <c r="C372" t="s">
        <v>3104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1355</v>
      </c>
      <c r="B373" t="s">
        <v>1356</v>
      </c>
      <c r="C373" t="s">
        <v>3104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1337</v>
      </c>
      <c r="B374" t="s">
        <v>1338</v>
      </c>
      <c r="C374" t="s">
        <v>3104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1332</v>
      </c>
      <c r="B375" t="s">
        <v>1333</v>
      </c>
      <c r="C375" t="s">
        <v>3104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1596</v>
      </c>
      <c r="B376" t="s">
        <v>1597</v>
      </c>
      <c r="C376" t="s">
        <v>3106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1390</v>
      </c>
      <c r="B377" t="s">
        <v>3107</v>
      </c>
      <c r="C377" t="s">
        <v>3106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1392</v>
      </c>
      <c r="B378" t="s">
        <v>1393</v>
      </c>
      <c r="C378" t="s">
        <v>3106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1412</v>
      </c>
      <c r="B379" t="s">
        <v>3108</v>
      </c>
      <c r="C379" t="s">
        <v>3106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1385</v>
      </c>
      <c r="B380" t="s">
        <v>3109</v>
      </c>
      <c r="C380" t="s">
        <v>3106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1388</v>
      </c>
      <c r="B381" t="s">
        <v>3110</v>
      </c>
      <c r="C381" t="s">
        <v>3106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1594</v>
      </c>
      <c r="B382" t="s">
        <v>1595</v>
      </c>
      <c r="C382" t="s">
        <v>3106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1460</v>
      </c>
      <c r="B383" t="s">
        <v>1461</v>
      </c>
      <c r="C383" t="s">
        <v>3106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1584</v>
      </c>
      <c r="B384" t="s">
        <v>1585</v>
      </c>
      <c r="C384" t="s">
        <v>3106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1587</v>
      </c>
      <c r="B385" t="s">
        <v>1588</v>
      </c>
      <c r="C385" t="s">
        <v>3106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1589</v>
      </c>
      <c r="B386" t="s">
        <v>1590</v>
      </c>
      <c r="C386" t="s">
        <v>3106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1398</v>
      </c>
      <c r="B387" t="s">
        <v>3111</v>
      </c>
      <c r="C387" t="s">
        <v>3106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1466</v>
      </c>
      <c r="B388" t="s">
        <v>3112</v>
      </c>
      <c r="C388" t="s">
        <v>3106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1394</v>
      </c>
      <c r="B389" t="s">
        <v>3113</v>
      </c>
      <c r="C389" t="s">
        <v>3106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1396</v>
      </c>
      <c r="B390" t="s">
        <v>3114</v>
      </c>
      <c r="C390" t="s">
        <v>3106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1592</v>
      </c>
      <c r="B391" t="s">
        <v>1593</v>
      </c>
      <c r="C391" t="s">
        <v>3106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1420</v>
      </c>
      <c r="B392" t="s">
        <v>1421</v>
      </c>
      <c r="C392" t="s">
        <v>3106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1599</v>
      </c>
      <c r="B393" t="s">
        <v>1419</v>
      </c>
      <c r="C393" t="s">
        <v>3106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1418</v>
      </c>
      <c r="B394" t="s">
        <v>1419</v>
      </c>
      <c r="C394" t="s">
        <v>3106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1581</v>
      </c>
      <c r="B395" t="s">
        <v>1582</v>
      </c>
      <c r="C395" t="s">
        <v>3106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1402</v>
      </c>
      <c r="B396" t="s">
        <v>1403</v>
      </c>
      <c r="C396" t="s">
        <v>3106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1400</v>
      </c>
      <c r="B397" t="s">
        <v>3115</v>
      </c>
      <c r="C397" t="s">
        <v>3106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1404</v>
      </c>
      <c r="B398" t="s">
        <v>1405</v>
      </c>
      <c r="C398" t="s">
        <v>3106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1534</v>
      </c>
      <c r="B399" t="s">
        <v>1535</v>
      </c>
      <c r="C399" t="s">
        <v>3106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1473</v>
      </c>
      <c r="B400" t="s">
        <v>1474</v>
      </c>
      <c r="C400" t="s">
        <v>3106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1408</v>
      </c>
      <c r="B401" t="s">
        <v>1409</v>
      </c>
      <c r="C401" t="s">
        <v>3106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1575</v>
      </c>
      <c r="B402" t="s">
        <v>1576</v>
      </c>
      <c r="C402" t="s">
        <v>3106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1571</v>
      </c>
      <c r="B403" t="s">
        <v>1572</v>
      </c>
      <c r="C403" t="s">
        <v>3106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1406</v>
      </c>
      <c r="B404" t="s">
        <v>1407</v>
      </c>
      <c r="C404" t="s">
        <v>3106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1410</v>
      </c>
      <c r="B405" t="s">
        <v>1411</v>
      </c>
      <c r="C405" t="s">
        <v>3106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1545</v>
      </c>
      <c r="B406" t="s">
        <v>1546</v>
      </c>
      <c r="C406" t="s">
        <v>3106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1579</v>
      </c>
      <c r="B407" t="s">
        <v>1580</v>
      </c>
      <c r="C407" t="s">
        <v>3106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1568</v>
      </c>
      <c r="B408" t="s">
        <v>1569</v>
      </c>
      <c r="C408" t="s">
        <v>3106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1565</v>
      </c>
      <c r="B409" t="s">
        <v>1566</v>
      </c>
      <c r="C409" t="s">
        <v>3106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1525</v>
      </c>
      <c r="B410" t="s">
        <v>1526</v>
      </c>
      <c r="C410" t="s">
        <v>3106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1422</v>
      </c>
      <c r="B411" t="s">
        <v>1423</v>
      </c>
      <c r="C411" t="s">
        <v>3106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1424</v>
      </c>
      <c r="B412" t="s">
        <v>1425</v>
      </c>
      <c r="C412" t="s">
        <v>3106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3116</v>
      </c>
      <c r="B413" t="s">
        <v>1630</v>
      </c>
      <c r="C413" t="s">
        <v>3106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1462</v>
      </c>
      <c r="B414" t="s">
        <v>1463</v>
      </c>
      <c r="C414" t="s">
        <v>3106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1523</v>
      </c>
      <c r="B415" t="s">
        <v>1524</v>
      </c>
      <c r="C415" t="s">
        <v>3106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1504</v>
      </c>
      <c r="B416" t="s">
        <v>1505</v>
      </c>
      <c r="C416" t="s">
        <v>3106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1511</v>
      </c>
      <c r="B417" t="s">
        <v>1512</v>
      </c>
      <c r="C417" t="s">
        <v>3106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1514</v>
      </c>
      <c r="B418" t="s">
        <v>1515</v>
      </c>
      <c r="C418" t="s">
        <v>3106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1491</v>
      </c>
      <c r="B419" t="s">
        <v>1492</v>
      </c>
      <c r="C419" t="s">
        <v>3106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1542</v>
      </c>
      <c r="B420" t="s">
        <v>1543</v>
      </c>
      <c r="C420" t="s">
        <v>3106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1627</v>
      </c>
      <c r="B421" t="s">
        <v>1628</v>
      </c>
      <c r="C421" t="s">
        <v>3106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1527</v>
      </c>
      <c r="B422" t="s">
        <v>1528</v>
      </c>
      <c r="C422" t="s">
        <v>3106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1547</v>
      </c>
      <c r="B423" t="s">
        <v>1548</v>
      </c>
      <c r="C423" t="s">
        <v>3106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1618</v>
      </c>
      <c r="B424" t="s">
        <v>1619</v>
      </c>
      <c r="C424" t="s">
        <v>3106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1621</v>
      </c>
      <c r="B425" t="s">
        <v>1622</v>
      </c>
      <c r="C425" t="s">
        <v>3106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1640</v>
      </c>
      <c r="B426" t="s">
        <v>1641</v>
      </c>
      <c r="C426" t="s">
        <v>3106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1426</v>
      </c>
      <c r="B427" t="s">
        <v>3117</v>
      </c>
      <c r="C427" t="s">
        <v>3106</v>
      </c>
      <c r="D427">
        <v>14860</v>
      </c>
      <c r="E427">
        <v>30</v>
      </c>
    </row>
    <row r="428" spans="1:7" x14ac:dyDescent="0.25">
      <c r="A428" t="s">
        <v>1520</v>
      </c>
      <c r="B428" t="s">
        <v>1521</v>
      </c>
      <c r="C428" t="s">
        <v>3106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1603</v>
      </c>
      <c r="B429" t="s">
        <v>1604</v>
      </c>
      <c r="C429" t="s">
        <v>3106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1605</v>
      </c>
      <c r="B430" t="s">
        <v>1606</v>
      </c>
      <c r="C430" t="s">
        <v>3106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1601</v>
      </c>
      <c r="B431" t="s">
        <v>1602</v>
      </c>
      <c r="C431" t="s">
        <v>3106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1457</v>
      </c>
      <c r="B432" t="s">
        <v>1458</v>
      </c>
      <c r="C432" t="s">
        <v>3106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1415</v>
      </c>
      <c r="B433" t="s">
        <v>1416</v>
      </c>
      <c r="C433" t="s">
        <v>3106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1607</v>
      </c>
      <c r="B434" t="s">
        <v>1608</v>
      </c>
      <c r="C434" t="s">
        <v>3106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1614</v>
      </c>
      <c r="B435" t="s">
        <v>1615</v>
      </c>
      <c r="C435" t="s">
        <v>3106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1624</v>
      </c>
      <c r="B436" t="s">
        <v>1625</v>
      </c>
      <c r="C436" t="s">
        <v>3106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1464</v>
      </c>
      <c r="B437" t="s">
        <v>1465</v>
      </c>
      <c r="C437" t="s">
        <v>3106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1609</v>
      </c>
      <c r="B438" t="s">
        <v>1610</v>
      </c>
      <c r="C438" t="s">
        <v>3106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1536</v>
      </c>
      <c r="B439" t="s">
        <v>3118</v>
      </c>
      <c r="C439" t="s">
        <v>3106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1489</v>
      </c>
      <c r="B440" t="s">
        <v>1490</v>
      </c>
      <c r="C440" t="s">
        <v>3106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3119</v>
      </c>
      <c r="B441" t="s">
        <v>3001</v>
      </c>
      <c r="C441" t="s">
        <v>3106</v>
      </c>
      <c r="D441">
        <v>69</v>
      </c>
      <c r="E441">
        <v>2</v>
      </c>
      <c r="G441">
        <v>380</v>
      </c>
    </row>
    <row r="442" spans="1:7" x14ac:dyDescent="0.25">
      <c r="A442" t="s">
        <v>1508</v>
      </c>
      <c r="B442" t="s">
        <v>1509</v>
      </c>
      <c r="C442" t="s">
        <v>3106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1616</v>
      </c>
      <c r="B443" t="s">
        <v>1617</v>
      </c>
      <c r="C443" t="s">
        <v>3106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1611</v>
      </c>
      <c r="B444" t="s">
        <v>1612</v>
      </c>
      <c r="C444" t="s">
        <v>3106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1633</v>
      </c>
      <c r="B445" t="s">
        <v>1634</v>
      </c>
      <c r="C445" t="s">
        <v>3106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1539</v>
      </c>
      <c r="B446" t="s">
        <v>1540</v>
      </c>
      <c r="C446" t="s">
        <v>3106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1577</v>
      </c>
      <c r="B447" t="s">
        <v>1578</v>
      </c>
      <c r="C447" t="s">
        <v>3106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1631</v>
      </c>
      <c r="B448" t="s">
        <v>1632</v>
      </c>
      <c r="C448" t="s">
        <v>3106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1531</v>
      </c>
      <c r="B449" t="s">
        <v>1532</v>
      </c>
      <c r="C449" t="s">
        <v>3106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1658</v>
      </c>
      <c r="B450" t="s">
        <v>1659</v>
      </c>
      <c r="C450" t="s">
        <v>3120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1699</v>
      </c>
      <c r="B451" t="s">
        <v>1700</v>
      </c>
      <c r="C451" t="s">
        <v>3120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1719</v>
      </c>
      <c r="B452" t="s">
        <v>3121</v>
      </c>
      <c r="C452" t="s">
        <v>3120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1710</v>
      </c>
      <c r="B453" t="s">
        <v>1711</v>
      </c>
      <c r="C453" t="s">
        <v>3120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1693</v>
      </c>
      <c r="B454" t="s">
        <v>1694</v>
      </c>
      <c r="C454" t="s">
        <v>3120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1662</v>
      </c>
      <c r="B455" t="s">
        <v>1663</v>
      </c>
      <c r="C455" t="s">
        <v>3120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1687</v>
      </c>
      <c r="B456" t="s">
        <v>1688</v>
      </c>
      <c r="C456" t="s">
        <v>3120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1684</v>
      </c>
      <c r="B457" t="s">
        <v>1685</v>
      </c>
      <c r="C457" t="s">
        <v>3120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1716</v>
      </c>
      <c r="B458" t="s">
        <v>1717</v>
      </c>
      <c r="C458" t="s">
        <v>3120</v>
      </c>
      <c r="F458">
        <v>0.95374999999999999</v>
      </c>
    </row>
    <row r="459" spans="1:7" x14ac:dyDescent="0.25">
      <c r="A459" t="s">
        <v>1713</v>
      </c>
      <c r="B459" t="s">
        <v>1714</v>
      </c>
      <c r="C459" t="s">
        <v>3120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1664</v>
      </c>
      <c r="B460" t="s">
        <v>1665</v>
      </c>
      <c r="C460" t="s">
        <v>3120</v>
      </c>
      <c r="F460">
        <v>0.95374999999999999</v>
      </c>
    </row>
    <row r="461" spans="1:7" x14ac:dyDescent="0.25">
      <c r="A461" t="s">
        <v>1666</v>
      </c>
      <c r="B461" t="s">
        <v>1667</v>
      </c>
      <c r="C461" t="s">
        <v>3120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1672</v>
      </c>
      <c r="B462" t="s">
        <v>1673</v>
      </c>
      <c r="C462" t="s">
        <v>3120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1674</v>
      </c>
      <c r="B463" t="s">
        <v>3122</v>
      </c>
      <c r="C463" t="s">
        <v>3120</v>
      </c>
      <c r="D463">
        <v>1000</v>
      </c>
      <c r="E463">
        <v>2</v>
      </c>
    </row>
    <row r="464" spans="1:7" x14ac:dyDescent="0.25">
      <c r="A464" t="s">
        <v>1677</v>
      </c>
      <c r="B464" t="s">
        <v>1678</v>
      </c>
      <c r="C464" t="s">
        <v>3120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1690</v>
      </c>
      <c r="B465" t="s">
        <v>1691</v>
      </c>
      <c r="C465" t="s">
        <v>3120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1668</v>
      </c>
      <c r="B466" t="s">
        <v>1669</v>
      </c>
      <c r="C466" t="s">
        <v>3120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1681</v>
      </c>
      <c r="B467" t="s">
        <v>1682</v>
      </c>
      <c r="C467" t="s">
        <v>3120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1708</v>
      </c>
      <c r="B468" t="s">
        <v>1709</v>
      </c>
      <c r="C468" t="s">
        <v>3120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1701</v>
      </c>
      <c r="B469" t="s">
        <v>1702</v>
      </c>
      <c r="C469" t="s">
        <v>3120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1705</v>
      </c>
      <c r="B470" t="s">
        <v>1706</v>
      </c>
      <c r="C470" t="s">
        <v>3120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1696</v>
      </c>
      <c r="B471" t="s">
        <v>1697</v>
      </c>
      <c r="C471" t="s">
        <v>3120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1745</v>
      </c>
      <c r="B472" t="s">
        <v>1746</v>
      </c>
      <c r="C472" t="s">
        <v>3123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1728</v>
      </c>
      <c r="B473" t="s">
        <v>1729</v>
      </c>
      <c r="C473" t="s">
        <v>3123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1747</v>
      </c>
      <c r="B474" t="s">
        <v>1748</v>
      </c>
      <c r="C474" t="s">
        <v>3123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1750</v>
      </c>
      <c r="B475" t="s">
        <v>1751</v>
      </c>
      <c r="C475" t="s">
        <v>3123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1722</v>
      </c>
      <c r="B476" t="s">
        <v>1723</v>
      </c>
      <c r="C476" t="s">
        <v>3123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1743</v>
      </c>
      <c r="B477" t="s">
        <v>1744</v>
      </c>
      <c r="C477" t="s">
        <v>3123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1736</v>
      </c>
      <c r="B478" t="s">
        <v>1737</v>
      </c>
      <c r="C478" t="s">
        <v>3123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1726</v>
      </c>
      <c r="B479" t="s">
        <v>1727</v>
      </c>
      <c r="C479" t="s">
        <v>3123</v>
      </c>
      <c r="F479">
        <v>0.28000000000000003</v>
      </c>
    </row>
    <row r="480" spans="1:7" x14ac:dyDescent="0.25">
      <c r="A480" t="s">
        <v>1922</v>
      </c>
      <c r="B480" t="s">
        <v>1923</v>
      </c>
      <c r="C480" t="s">
        <v>3124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1830</v>
      </c>
      <c r="B481" t="s">
        <v>1831</v>
      </c>
      <c r="C481" t="s">
        <v>3124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1816</v>
      </c>
      <c r="B482" t="s">
        <v>1817</v>
      </c>
      <c r="C482" t="s">
        <v>3124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1803</v>
      </c>
      <c r="B483" t="s">
        <v>1804</v>
      </c>
      <c r="C483" t="s">
        <v>3124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1800</v>
      </c>
      <c r="B484" t="s">
        <v>1801</v>
      </c>
      <c r="C484" t="s">
        <v>3124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1839</v>
      </c>
      <c r="B485" t="s">
        <v>1840</v>
      </c>
      <c r="C485" t="s">
        <v>3124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1832</v>
      </c>
      <c r="B486" t="s">
        <v>1833</v>
      </c>
      <c r="C486" t="s">
        <v>3124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1793</v>
      </c>
      <c r="B487" t="s">
        <v>1794</v>
      </c>
      <c r="C487" t="s">
        <v>3124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1795</v>
      </c>
      <c r="B488" t="s">
        <v>1796</v>
      </c>
      <c r="C488" t="s">
        <v>3124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1809</v>
      </c>
      <c r="B489" t="s">
        <v>1810</v>
      </c>
      <c r="C489" t="s">
        <v>3124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1807</v>
      </c>
      <c r="B490" t="s">
        <v>1808</v>
      </c>
      <c r="C490" t="s">
        <v>3124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1797</v>
      </c>
      <c r="B491" t="s">
        <v>1798</v>
      </c>
      <c r="C491" t="s">
        <v>3124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1784</v>
      </c>
      <c r="B492" t="s">
        <v>1785</v>
      </c>
      <c r="C492" t="s">
        <v>3124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1899</v>
      </c>
      <c r="B493" t="s">
        <v>3125</v>
      </c>
      <c r="C493" t="s">
        <v>3124</v>
      </c>
      <c r="D493">
        <v>1000</v>
      </c>
      <c r="E493">
        <v>2</v>
      </c>
    </row>
    <row r="494" spans="1:7" x14ac:dyDescent="0.25">
      <c r="A494" t="s">
        <v>1781</v>
      </c>
      <c r="B494" t="s">
        <v>1782</v>
      </c>
      <c r="C494" t="s">
        <v>3124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1836</v>
      </c>
      <c r="B495" t="s">
        <v>1837</v>
      </c>
      <c r="C495" t="s">
        <v>3124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1774</v>
      </c>
      <c r="B496" t="s">
        <v>1775</v>
      </c>
      <c r="C496" t="s">
        <v>3124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1778</v>
      </c>
      <c r="B497" t="s">
        <v>1779</v>
      </c>
      <c r="C497" t="s">
        <v>3124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1787</v>
      </c>
      <c r="B498" t="s">
        <v>1788</v>
      </c>
      <c r="C498" t="s">
        <v>3124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1814</v>
      </c>
      <c r="B499" t="s">
        <v>1815</v>
      </c>
      <c r="C499" t="s">
        <v>3124</v>
      </c>
      <c r="F499">
        <v>0.39800000000000002</v>
      </c>
    </row>
    <row r="500" spans="1:7" x14ac:dyDescent="0.25">
      <c r="A500" t="s">
        <v>1812</v>
      </c>
      <c r="B500" t="s">
        <v>1813</v>
      </c>
      <c r="C500" t="s">
        <v>3124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1826</v>
      </c>
      <c r="B501" t="s">
        <v>1827</v>
      </c>
      <c r="C501" t="s">
        <v>3124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1828</v>
      </c>
      <c r="B502" t="s">
        <v>1829</v>
      </c>
      <c r="C502" t="s">
        <v>3124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3126</v>
      </c>
      <c r="C509" t="s">
        <v>55</v>
      </c>
      <c r="D509">
        <v>8500</v>
      </c>
      <c r="E509">
        <v>17</v>
      </c>
    </row>
    <row r="510" spans="1:7" x14ac:dyDescent="0.25">
      <c r="A510" t="s">
        <v>1993</v>
      </c>
      <c r="B510" t="s">
        <v>1994</v>
      </c>
      <c r="C510" t="s">
        <v>1979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1996</v>
      </c>
      <c r="B511" t="s">
        <v>1997</v>
      </c>
      <c r="C511" t="s">
        <v>1979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1980</v>
      </c>
      <c r="B512" t="s">
        <v>1981</v>
      </c>
      <c r="C512" t="s">
        <v>1979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1999</v>
      </c>
      <c r="B513" t="s">
        <v>2000</v>
      </c>
      <c r="C513" t="s">
        <v>1979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1987</v>
      </c>
      <c r="B514" t="s">
        <v>1988</v>
      </c>
      <c r="C514" t="s">
        <v>1979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1990</v>
      </c>
      <c r="B515" t="s">
        <v>1991</v>
      </c>
      <c r="C515" t="s">
        <v>1979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1984</v>
      </c>
      <c r="B516" t="s">
        <v>1985</v>
      </c>
      <c r="C516" t="s">
        <v>1979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1976</v>
      </c>
      <c r="B517" t="s">
        <v>1977</v>
      </c>
      <c r="C517" t="s">
        <v>1979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1982</v>
      </c>
      <c r="B518" t="s">
        <v>1983</v>
      </c>
      <c r="C518" t="s">
        <v>1979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1863</v>
      </c>
      <c r="B519" t="s">
        <v>1864</v>
      </c>
      <c r="C519" t="s">
        <v>3127</v>
      </c>
      <c r="F519">
        <v>0.2857142857142857</v>
      </c>
    </row>
    <row r="520" spans="1:7" x14ac:dyDescent="0.25">
      <c r="A520" t="s">
        <v>1866</v>
      </c>
      <c r="B520" t="s">
        <v>1867</v>
      </c>
      <c r="C520" t="s">
        <v>3127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1868</v>
      </c>
      <c r="B521" t="s">
        <v>1869</v>
      </c>
      <c r="C521" t="s">
        <v>3127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2212</v>
      </c>
      <c r="B522" t="s">
        <v>2213</v>
      </c>
      <c r="C522" t="s">
        <v>3128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2161</v>
      </c>
      <c r="B523" t="s">
        <v>2162</v>
      </c>
      <c r="C523" t="s">
        <v>3128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2203</v>
      </c>
      <c r="B524" t="s">
        <v>2204</v>
      </c>
      <c r="C524" t="s">
        <v>3128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2062</v>
      </c>
      <c r="B525" t="s">
        <v>2063</v>
      </c>
      <c r="C525" t="s">
        <v>3128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2158</v>
      </c>
      <c r="B526" t="s">
        <v>2159</v>
      </c>
      <c r="C526" t="s">
        <v>3128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2206</v>
      </c>
      <c r="B527" t="s">
        <v>2207</v>
      </c>
      <c r="C527" t="s">
        <v>3128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2073</v>
      </c>
      <c r="B528" t="s">
        <v>2074</v>
      </c>
      <c r="C528" t="s">
        <v>3128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2200</v>
      </c>
      <c r="B529" t="s">
        <v>2201</v>
      </c>
      <c r="C529" t="s">
        <v>3128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2209</v>
      </c>
      <c r="B530" t="s">
        <v>2210</v>
      </c>
      <c r="C530" t="s">
        <v>3128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2068</v>
      </c>
      <c r="B531" t="s">
        <v>2069</v>
      </c>
      <c r="C531" t="s">
        <v>3128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2066</v>
      </c>
      <c r="B532" t="s">
        <v>2067</v>
      </c>
      <c r="C532" t="s">
        <v>3128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2169</v>
      </c>
      <c r="B533" t="s">
        <v>2170</v>
      </c>
      <c r="C533" t="s">
        <v>3128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2075</v>
      </c>
      <c r="B534" t="s">
        <v>2076</v>
      </c>
      <c r="C534" t="s">
        <v>3128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2071</v>
      </c>
      <c r="B535" t="s">
        <v>2072</v>
      </c>
      <c r="C535" t="s">
        <v>3128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2195</v>
      </c>
      <c r="B536" t="s">
        <v>2196</v>
      </c>
      <c r="C536" t="s">
        <v>3128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2189</v>
      </c>
      <c r="B537" t="s">
        <v>2190</v>
      </c>
      <c r="C537" t="s">
        <v>3128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2192</v>
      </c>
      <c r="B538" t="s">
        <v>2193</v>
      </c>
      <c r="C538" t="s">
        <v>3128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2198</v>
      </c>
      <c r="B539" t="s">
        <v>2199</v>
      </c>
      <c r="C539" t="s">
        <v>3128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3129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3130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3131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2240</v>
      </c>
      <c r="B546" t="s">
        <v>2241</v>
      </c>
      <c r="C546" t="s">
        <v>3132</v>
      </c>
      <c r="F546">
        <v>0</v>
      </c>
    </row>
    <row r="547" spans="1:7" x14ac:dyDescent="0.25">
      <c r="A547" t="s">
        <v>2218</v>
      </c>
      <c r="B547" t="s">
        <v>3133</v>
      </c>
      <c r="C547" t="s">
        <v>3132</v>
      </c>
      <c r="D547">
        <v>1000</v>
      </c>
      <c r="E547">
        <v>2</v>
      </c>
    </row>
    <row r="548" spans="1:7" x14ac:dyDescent="0.25">
      <c r="A548" t="s">
        <v>2231</v>
      </c>
      <c r="B548" t="s">
        <v>2232</v>
      </c>
      <c r="C548" t="s">
        <v>3132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1942</v>
      </c>
      <c r="B549" t="s">
        <v>1943</v>
      </c>
      <c r="C549" t="s">
        <v>3134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1914</v>
      </c>
      <c r="B550" t="s">
        <v>3135</v>
      </c>
      <c r="C550" t="s">
        <v>3134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1939</v>
      </c>
      <c r="B551" t="s">
        <v>1940</v>
      </c>
      <c r="C551" t="s">
        <v>3134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1956</v>
      </c>
      <c r="B552" t="s">
        <v>1957</v>
      </c>
      <c r="C552" t="s">
        <v>3134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1918</v>
      </c>
      <c r="B553" t="s">
        <v>3136</v>
      </c>
      <c r="C553" t="s">
        <v>3134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1870</v>
      </c>
      <c r="B554" t="s">
        <v>1871</v>
      </c>
      <c r="C554" t="s">
        <v>3134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1874</v>
      </c>
      <c r="B555" t="s">
        <v>1875</v>
      </c>
      <c r="C555" t="s">
        <v>3134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1920</v>
      </c>
      <c r="B556" t="s">
        <v>3137</v>
      </c>
      <c r="C556" t="s">
        <v>3134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1973</v>
      </c>
      <c r="B557" t="s">
        <v>1974</v>
      </c>
      <c r="C557" t="s">
        <v>3134</v>
      </c>
      <c r="F557">
        <v>3.875E-2</v>
      </c>
    </row>
    <row r="558" spans="1:7" x14ac:dyDescent="0.25">
      <c r="A558" t="s">
        <v>1879</v>
      </c>
      <c r="B558" t="s">
        <v>1880</v>
      </c>
      <c r="C558" t="s">
        <v>3134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1930</v>
      </c>
      <c r="B559" t="s">
        <v>1931</v>
      </c>
      <c r="C559" t="s">
        <v>3134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1934</v>
      </c>
      <c r="B560" t="s">
        <v>1935</v>
      </c>
      <c r="C560" t="s">
        <v>3134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1932</v>
      </c>
      <c r="B561" t="s">
        <v>1933</v>
      </c>
      <c r="C561" t="s">
        <v>3134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1896</v>
      </c>
      <c r="B562" t="s">
        <v>1897</v>
      </c>
      <c r="C562" t="s">
        <v>3134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1903</v>
      </c>
      <c r="B563" t="s">
        <v>3138</v>
      </c>
      <c r="C563" t="s">
        <v>3134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1907</v>
      </c>
      <c r="B564" t="s">
        <v>3139</v>
      </c>
      <c r="C564" t="s">
        <v>3134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1961</v>
      </c>
      <c r="B565" t="s">
        <v>1962</v>
      </c>
      <c r="C565" t="s">
        <v>3134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1967</v>
      </c>
      <c r="B566" t="s">
        <v>1968</v>
      </c>
      <c r="C566" t="s">
        <v>3134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1964</v>
      </c>
      <c r="B567" t="s">
        <v>1965</v>
      </c>
      <c r="C567" t="s">
        <v>3134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1936</v>
      </c>
      <c r="B568" t="s">
        <v>1937</v>
      </c>
      <c r="C568" t="s">
        <v>3134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1909</v>
      </c>
      <c r="B569" t="s">
        <v>3140</v>
      </c>
      <c r="C569" t="s">
        <v>3134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1970</v>
      </c>
      <c r="B570" t="s">
        <v>1971</v>
      </c>
      <c r="C570" t="s">
        <v>3134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1905</v>
      </c>
      <c r="B571" t="s">
        <v>3141</v>
      </c>
      <c r="C571" t="s">
        <v>3134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1912</v>
      </c>
      <c r="B572" t="s">
        <v>3142</v>
      </c>
      <c r="C572" t="s">
        <v>3134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475</v>
      </c>
      <c r="B573" t="s">
        <v>476</v>
      </c>
      <c r="C573" t="s">
        <v>3134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1959</v>
      </c>
      <c r="B574" t="s">
        <v>1960</v>
      </c>
      <c r="C574" t="s">
        <v>3134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1883</v>
      </c>
      <c r="B575" t="s">
        <v>3143</v>
      </c>
      <c r="C575" t="s">
        <v>3134</v>
      </c>
      <c r="D575">
        <v>6000</v>
      </c>
      <c r="E575">
        <v>12</v>
      </c>
    </row>
    <row r="576" spans="1:7" x14ac:dyDescent="0.25">
      <c r="A576" t="s">
        <v>1916</v>
      </c>
      <c r="B576" t="s">
        <v>3144</v>
      </c>
      <c r="C576" t="s">
        <v>3134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1881</v>
      </c>
      <c r="B577" t="s">
        <v>1882</v>
      </c>
      <c r="C577" t="s">
        <v>3134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470</v>
      </c>
      <c r="B578" t="s">
        <v>471</v>
      </c>
      <c r="C578" t="s">
        <v>3134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465</v>
      </c>
      <c r="B579" t="s">
        <v>466</v>
      </c>
      <c r="C579" t="s">
        <v>3134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3145</v>
      </c>
      <c r="B580" t="s">
        <v>2941</v>
      </c>
      <c r="C580" t="s">
        <v>3146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2314</v>
      </c>
      <c r="B581" t="s">
        <v>2315</v>
      </c>
      <c r="C581" t="s">
        <v>3146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2289</v>
      </c>
      <c r="B582" t="s">
        <v>2290</v>
      </c>
      <c r="C582" t="s">
        <v>3146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2319</v>
      </c>
      <c r="B583" t="s">
        <v>2320</v>
      </c>
      <c r="C583" t="s">
        <v>3146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2317</v>
      </c>
      <c r="B584" t="s">
        <v>2318</v>
      </c>
      <c r="C584" t="s">
        <v>3146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2293</v>
      </c>
      <c r="B585" t="s">
        <v>2294</v>
      </c>
      <c r="C585" t="s">
        <v>3146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2311</v>
      </c>
      <c r="B586" t="s">
        <v>2312</v>
      </c>
      <c r="C586" t="s">
        <v>3146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2308</v>
      </c>
      <c r="B587" t="s">
        <v>2309</v>
      </c>
      <c r="C587" t="s">
        <v>3146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2296</v>
      </c>
      <c r="B588" t="s">
        <v>2297</v>
      </c>
      <c r="C588" t="s">
        <v>3146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2299</v>
      </c>
      <c r="B589" t="s">
        <v>2300</v>
      </c>
      <c r="C589" t="s">
        <v>3146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2336</v>
      </c>
      <c r="B590" t="s">
        <v>2337</v>
      </c>
      <c r="C590" t="s">
        <v>3147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2375</v>
      </c>
      <c r="B591" t="s">
        <v>2376</v>
      </c>
      <c r="C591" t="s">
        <v>3147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2357</v>
      </c>
      <c r="B592" t="s">
        <v>2358</v>
      </c>
      <c r="C592" t="s">
        <v>3147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2329</v>
      </c>
      <c r="B593" t="s">
        <v>2330</v>
      </c>
      <c r="C593" t="s">
        <v>3147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2350</v>
      </c>
      <c r="B594" t="s">
        <v>2351</v>
      </c>
      <c r="C594" t="s">
        <v>3147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2371</v>
      </c>
      <c r="B595" t="s">
        <v>2372</v>
      </c>
      <c r="C595" t="s">
        <v>3147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2322</v>
      </c>
      <c r="B596" t="s">
        <v>2323</v>
      </c>
      <c r="C596" t="s">
        <v>3147</v>
      </c>
      <c r="D596">
        <v>682.8</v>
      </c>
      <c r="E596">
        <v>4</v>
      </c>
      <c r="G596">
        <v>1533.88</v>
      </c>
    </row>
    <row r="597" spans="1:7" x14ac:dyDescent="0.25">
      <c r="A597" t="s">
        <v>2377</v>
      </c>
      <c r="B597" t="s">
        <v>3148</v>
      </c>
      <c r="C597" t="s">
        <v>3147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2379</v>
      </c>
      <c r="B598" t="s">
        <v>2380</v>
      </c>
      <c r="C598" t="s">
        <v>3147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2355</v>
      </c>
      <c r="B599" t="s">
        <v>2356</v>
      </c>
      <c r="C599" t="s">
        <v>3147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2327</v>
      </c>
      <c r="B600" t="s">
        <v>2328</v>
      </c>
      <c r="C600" t="s">
        <v>3147</v>
      </c>
      <c r="D600">
        <v>190</v>
      </c>
      <c r="E600">
        <v>2</v>
      </c>
      <c r="G600">
        <v>357.5</v>
      </c>
    </row>
    <row r="601" spans="1:7" x14ac:dyDescent="0.25">
      <c r="A601" t="s">
        <v>2345</v>
      </c>
      <c r="B601" t="s">
        <v>2346</v>
      </c>
      <c r="C601" t="s">
        <v>3147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2342</v>
      </c>
      <c r="B602" t="s">
        <v>2343</v>
      </c>
      <c r="C602" t="s">
        <v>3147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2340</v>
      </c>
      <c r="B603" t="s">
        <v>2341</v>
      </c>
      <c r="C603" t="s">
        <v>3147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2348</v>
      </c>
      <c r="B604" t="s">
        <v>2349</v>
      </c>
      <c r="C604" t="s">
        <v>3147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2360</v>
      </c>
      <c r="B605" t="s">
        <v>2361</v>
      </c>
      <c r="C605" t="s">
        <v>3147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2353</v>
      </c>
      <c r="B606" t="s">
        <v>3149</v>
      </c>
      <c r="C606" t="s">
        <v>3147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2333</v>
      </c>
      <c r="B607" t="s">
        <v>3150</v>
      </c>
      <c r="C607" t="s">
        <v>3147</v>
      </c>
      <c r="D607">
        <v>1000</v>
      </c>
      <c r="E607">
        <v>2</v>
      </c>
    </row>
    <row r="608" spans="1:7" x14ac:dyDescent="0.25">
      <c r="A608" t="s">
        <v>2382</v>
      </c>
      <c r="B608" t="s">
        <v>2383</v>
      </c>
      <c r="C608" t="s">
        <v>3147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2364</v>
      </c>
      <c r="B609" t="s">
        <v>2365</v>
      </c>
      <c r="C609" t="s">
        <v>3147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2362</v>
      </c>
      <c r="B610" t="s">
        <v>2363</v>
      </c>
      <c r="C610" t="s">
        <v>3147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1120</v>
      </c>
      <c r="B611" t="s">
        <v>1121</v>
      </c>
      <c r="C611" t="s">
        <v>3151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1146</v>
      </c>
      <c r="B612" t="s">
        <v>1147</v>
      </c>
      <c r="C612" t="s">
        <v>3151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998</v>
      </c>
      <c r="B613" t="s">
        <v>999</v>
      </c>
      <c r="C613" t="s">
        <v>3151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2398</v>
      </c>
      <c r="B614" t="s">
        <v>2399</v>
      </c>
      <c r="C614" t="s">
        <v>3151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1151</v>
      </c>
      <c r="B615" t="s">
        <v>1152</v>
      </c>
      <c r="C615" t="s">
        <v>3151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953</v>
      </c>
      <c r="B616" t="s">
        <v>954</v>
      </c>
      <c r="C616" t="s">
        <v>3151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1097</v>
      </c>
      <c r="B617" t="s">
        <v>1098</v>
      </c>
      <c r="C617" t="s">
        <v>3151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1102</v>
      </c>
      <c r="B618" t="s">
        <v>3152</v>
      </c>
      <c r="C618" t="s">
        <v>3151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1100</v>
      </c>
      <c r="B619" t="s">
        <v>3152</v>
      </c>
      <c r="C619" t="s">
        <v>3151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1108</v>
      </c>
      <c r="B620" t="s">
        <v>1109</v>
      </c>
      <c r="C620" t="s">
        <v>3151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962</v>
      </c>
      <c r="B621" t="s">
        <v>963</v>
      </c>
      <c r="C621" t="s">
        <v>3151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958</v>
      </c>
      <c r="B622" t="s">
        <v>959</v>
      </c>
      <c r="C622" t="s">
        <v>3151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1123</v>
      </c>
      <c r="B623" t="s">
        <v>1124</v>
      </c>
      <c r="C623" t="s">
        <v>3151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956</v>
      </c>
      <c r="B624" t="s">
        <v>957</v>
      </c>
      <c r="C624" t="s">
        <v>3151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1160</v>
      </c>
      <c r="B625" t="s">
        <v>1161</v>
      </c>
      <c r="C625" t="s">
        <v>3151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1129</v>
      </c>
      <c r="B626" t="s">
        <v>1130</v>
      </c>
      <c r="C626" t="s">
        <v>3151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1168</v>
      </c>
      <c r="B627" t="s">
        <v>1169</v>
      </c>
      <c r="C627" t="s">
        <v>3151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2430</v>
      </c>
      <c r="B628" t="s">
        <v>2431</v>
      </c>
      <c r="C628" t="s">
        <v>3151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1176</v>
      </c>
      <c r="B629" t="s">
        <v>1177</v>
      </c>
      <c r="C629" t="s">
        <v>3151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1111</v>
      </c>
      <c r="B630" t="s">
        <v>1112</v>
      </c>
      <c r="C630" t="s">
        <v>3151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1114</v>
      </c>
      <c r="B631" t="s">
        <v>1115</v>
      </c>
      <c r="C631" t="s">
        <v>3151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1117</v>
      </c>
      <c r="B632" t="s">
        <v>1118</v>
      </c>
      <c r="C632" t="s">
        <v>3151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1093</v>
      </c>
      <c r="B633" t="s">
        <v>1094</v>
      </c>
      <c r="C633" t="s">
        <v>3151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2428</v>
      </c>
      <c r="B634" t="s">
        <v>2429</v>
      </c>
      <c r="C634" t="s">
        <v>3151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1165</v>
      </c>
      <c r="B635" t="s">
        <v>1166</v>
      </c>
      <c r="C635" t="s">
        <v>3151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960</v>
      </c>
      <c r="B636" t="s">
        <v>961</v>
      </c>
      <c r="C636" t="s">
        <v>3151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2436</v>
      </c>
      <c r="B637" t="s">
        <v>2437</v>
      </c>
      <c r="C637" t="s">
        <v>3151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2433</v>
      </c>
      <c r="B638" t="s">
        <v>2434</v>
      </c>
      <c r="C638" t="s">
        <v>3151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2441</v>
      </c>
      <c r="B639" t="s">
        <v>2442</v>
      </c>
      <c r="C639" t="s">
        <v>3151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1157</v>
      </c>
      <c r="B640" t="s">
        <v>3153</v>
      </c>
      <c r="C640" t="s">
        <v>3151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1154</v>
      </c>
      <c r="B641" t="s">
        <v>1155</v>
      </c>
      <c r="C641" t="s">
        <v>3151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1143</v>
      </c>
      <c r="B642" t="s">
        <v>1144</v>
      </c>
      <c r="C642" t="s">
        <v>3151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1174</v>
      </c>
      <c r="B643" t="s">
        <v>1175</v>
      </c>
      <c r="C643" t="s">
        <v>3151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2439</v>
      </c>
      <c r="B644" t="s">
        <v>2440</v>
      </c>
      <c r="C644" t="s">
        <v>3151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2422</v>
      </c>
      <c r="B645" t="s">
        <v>2423</v>
      </c>
      <c r="C645" t="s">
        <v>3151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2419</v>
      </c>
      <c r="B646" t="s">
        <v>2420</v>
      </c>
      <c r="C646" t="s">
        <v>3151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2395</v>
      </c>
      <c r="B647" t="s">
        <v>2396</v>
      </c>
      <c r="C647" t="s">
        <v>3151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1126</v>
      </c>
      <c r="B648" t="s">
        <v>1127</v>
      </c>
      <c r="C648" t="s">
        <v>3151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2425</v>
      </c>
      <c r="B649" t="s">
        <v>2426</v>
      </c>
      <c r="C649" t="s">
        <v>3151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2385</v>
      </c>
      <c r="B650" t="s">
        <v>2386</v>
      </c>
      <c r="C650" t="s">
        <v>3151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1149</v>
      </c>
      <c r="B651" t="s">
        <v>1150</v>
      </c>
      <c r="C651" t="s">
        <v>3151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2393</v>
      </c>
      <c r="B652" t="s">
        <v>2394</v>
      </c>
      <c r="C652" t="s">
        <v>3151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2390</v>
      </c>
      <c r="B653" t="s">
        <v>2391</v>
      </c>
      <c r="C653" t="s">
        <v>3151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995</v>
      </c>
      <c r="B654" t="s">
        <v>996</v>
      </c>
      <c r="C654" t="s">
        <v>3151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1136</v>
      </c>
      <c r="B655" t="s">
        <v>1137</v>
      </c>
      <c r="C655" t="s">
        <v>3151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1105</v>
      </c>
      <c r="B656" t="s">
        <v>3154</v>
      </c>
      <c r="C656" t="s">
        <v>3151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2403</v>
      </c>
      <c r="B657" t="s">
        <v>2404</v>
      </c>
      <c r="C657" t="s">
        <v>3151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2401</v>
      </c>
      <c r="B658" t="s">
        <v>2402</v>
      </c>
      <c r="C658" t="s">
        <v>3151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1171</v>
      </c>
      <c r="B659" t="s">
        <v>1172</v>
      </c>
      <c r="C659" t="s">
        <v>3151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2139</v>
      </c>
      <c r="B660" t="s">
        <v>2140</v>
      </c>
      <c r="C660" t="s">
        <v>3155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2123</v>
      </c>
      <c r="B661" t="s">
        <v>2124</v>
      </c>
      <c r="C661" t="s">
        <v>3155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2126</v>
      </c>
      <c r="B662" t="s">
        <v>2127</v>
      </c>
      <c r="C662" t="s">
        <v>3155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2120</v>
      </c>
      <c r="B663" t="s">
        <v>2121</v>
      </c>
      <c r="C663" t="s">
        <v>3155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2129</v>
      </c>
      <c r="B664" t="s">
        <v>2130</v>
      </c>
      <c r="C664" t="s">
        <v>3155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2134</v>
      </c>
      <c r="B665" t="s">
        <v>2135</v>
      </c>
      <c r="C665" t="s">
        <v>3155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2136</v>
      </c>
      <c r="B666" t="s">
        <v>2137</v>
      </c>
      <c r="C666" t="s">
        <v>3155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2116</v>
      </c>
      <c r="B667" t="s">
        <v>2117</v>
      </c>
      <c r="C667" t="s">
        <v>3155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2132</v>
      </c>
      <c r="B668" t="s">
        <v>2133</v>
      </c>
      <c r="C668" t="s">
        <v>3155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3240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3242</v>
      </c>
      <c r="B1" t="s">
        <v>3243</v>
      </c>
      <c r="C1" t="s">
        <v>3</v>
      </c>
      <c r="D1" s="8" t="s">
        <v>2</v>
      </c>
      <c r="E1" t="s">
        <v>3066</v>
      </c>
    </row>
    <row r="2" spans="1:5" x14ac:dyDescent="0.25">
      <c r="A2" t="s">
        <v>333</v>
      </c>
      <c r="B2" t="s">
        <v>334</v>
      </c>
      <c r="C2" t="s">
        <v>3156</v>
      </c>
      <c r="D2" s="8">
        <v>10.050000000000001</v>
      </c>
      <c r="E2" t="s">
        <v>3157</v>
      </c>
    </row>
    <row r="3" spans="1:5" x14ac:dyDescent="0.25">
      <c r="A3" t="s">
        <v>390</v>
      </c>
      <c r="B3" t="s">
        <v>391</v>
      </c>
      <c r="C3" t="s">
        <v>3156</v>
      </c>
      <c r="D3" s="8">
        <v>6.25</v>
      </c>
      <c r="E3" t="s">
        <v>3157</v>
      </c>
    </row>
    <row r="4" spans="1:5" x14ac:dyDescent="0.25">
      <c r="A4" t="s">
        <v>393</v>
      </c>
      <c r="B4" t="s">
        <v>394</v>
      </c>
      <c r="C4" t="s">
        <v>3156</v>
      </c>
      <c r="D4" s="8">
        <v>6.25</v>
      </c>
      <c r="E4" t="s">
        <v>3157</v>
      </c>
    </row>
    <row r="5" spans="1:5" x14ac:dyDescent="0.25">
      <c r="A5" t="s">
        <v>396</v>
      </c>
      <c r="B5" t="s">
        <v>397</v>
      </c>
      <c r="C5" t="s">
        <v>3156</v>
      </c>
      <c r="D5" s="8">
        <v>6.25</v>
      </c>
      <c r="E5" t="s">
        <v>3157</v>
      </c>
    </row>
    <row r="6" spans="1:5" x14ac:dyDescent="0.25">
      <c r="A6" t="s">
        <v>367</v>
      </c>
      <c r="B6" t="s">
        <v>368</v>
      </c>
      <c r="C6" t="s">
        <v>3156</v>
      </c>
      <c r="D6" s="8">
        <v>6.25</v>
      </c>
      <c r="E6" t="s">
        <v>3157</v>
      </c>
    </row>
    <row r="7" spans="1:5" x14ac:dyDescent="0.25">
      <c r="A7" t="s">
        <v>399</v>
      </c>
      <c r="B7" t="s">
        <v>400</v>
      </c>
      <c r="C7" t="s">
        <v>3156</v>
      </c>
      <c r="D7" s="8">
        <v>2.85</v>
      </c>
      <c r="E7" t="s">
        <v>3157</v>
      </c>
    </row>
    <row r="8" spans="1:5" x14ac:dyDescent="0.25">
      <c r="A8" t="s">
        <v>402</v>
      </c>
      <c r="B8" t="s">
        <v>403</v>
      </c>
      <c r="C8" t="s">
        <v>3156</v>
      </c>
      <c r="D8" s="8">
        <v>2.85</v>
      </c>
      <c r="E8" t="s">
        <v>3157</v>
      </c>
    </row>
    <row r="9" spans="1:5" x14ac:dyDescent="0.25">
      <c r="A9" t="s">
        <v>405</v>
      </c>
      <c r="B9" t="s">
        <v>406</v>
      </c>
      <c r="C9" t="s">
        <v>3156</v>
      </c>
      <c r="D9" s="8">
        <v>2.85</v>
      </c>
      <c r="E9" t="s">
        <v>3157</v>
      </c>
    </row>
    <row r="10" spans="1:5" x14ac:dyDescent="0.25">
      <c r="A10" t="s">
        <v>408</v>
      </c>
      <c r="B10" t="s">
        <v>409</v>
      </c>
      <c r="C10" t="s">
        <v>3156</v>
      </c>
      <c r="D10" s="8">
        <v>2.85</v>
      </c>
      <c r="E10" t="s">
        <v>3157</v>
      </c>
    </row>
    <row r="11" spans="1:5" x14ac:dyDescent="0.25">
      <c r="A11" t="s">
        <v>388</v>
      </c>
      <c r="B11" t="s">
        <v>389</v>
      </c>
      <c r="C11" t="s">
        <v>3156</v>
      </c>
      <c r="D11" s="8">
        <v>1.25</v>
      </c>
      <c r="E11" t="s">
        <v>3157</v>
      </c>
    </row>
    <row r="12" spans="1:5" x14ac:dyDescent="0.25">
      <c r="A12" t="s">
        <v>336</v>
      </c>
      <c r="B12" t="s">
        <v>337</v>
      </c>
      <c r="C12" t="s">
        <v>3156</v>
      </c>
      <c r="D12" s="8">
        <v>6.25</v>
      </c>
      <c r="E12" t="s">
        <v>3157</v>
      </c>
    </row>
    <row r="13" spans="1:5" x14ac:dyDescent="0.25">
      <c r="A13" t="s">
        <v>370</v>
      </c>
      <c r="B13" t="s">
        <v>371</v>
      </c>
      <c r="C13" t="s">
        <v>3156</v>
      </c>
      <c r="D13" s="8">
        <v>2.7</v>
      </c>
      <c r="E13" t="s">
        <v>3157</v>
      </c>
    </row>
    <row r="14" spans="1:5" x14ac:dyDescent="0.25">
      <c r="A14" t="s">
        <v>372</v>
      </c>
      <c r="B14" t="s">
        <v>373</v>
      </c>
      <c r="C14" t="s">
        <v>3156</v>
      </c>
      <c r="D14" s="8">
        <v>5.9</v>
      </c>
      <c r="E14" t="s">
        <v>3158</v>
      </c>
    </row>
    <row r="15" spans="1:5" x14ac:dyDescent="0.25">
      <c r="A15" t="s">
        <v>374</v>
      </c>
      <c r="B15" t="s">
        <v>375</v>
      </c>
      <c r="C15" t="s">
        <v>3156</v>
      </c>
      <c r="D15" s="8">
        <v>1.85</v>
      </c>
      <c r="E15" t="s">
        <v>3158</v>
      </c>
    </row>
    <row r="16" spans="1:5" x14ac:dyDescent="0.25">
      <c r="A16" t="s">
        <v>376</v>
      </c>
      <c r="B16" t="s">
        <v>377</v>
      </c>
      <c r="C16" t="s">
        <v>3156</v>
      </c>
      <c r="D16" s="8">
        <v>2.2000000000000002</v>
      </c>
      <c r="E16" t="s">
        <v>3158</v>
      </c>
    </row>
    <row r="17" spans="1:5" x14ac:dyDescent="0.25">
      <c r="A17" t="s">
        <v>378</v>
      </c>
      <c r="B17" t="s">
        <v>379</v>
      </c>
      <c r="C17" t="s">
        <v>3156</v>
      </c>
      <c r="D17" s="8">
        <v>2.85</v>
      </c>
      <c r="E17" t="s">
        <v>3158</v>
      </c>
    </row>
    <row r="18" spans="1:5" x14ac:dyDescent="0.25">
      <c r="A18" t="s">
        <v>380</v>
      </c>
      <c r="B18" t="s">
        <v>381</v>
      </c>
      <c r="C18" t="s">
        <v>3156</v>
      </c>
      <c r="D18" s="8">
        <v>3.1</v>
      </c>
      <c r="E18" t="s">
        <v>3158</v>
      </c>
    </row>
    <row r="19" spans="1:5" x14ac:dyDescent="0.25">
      <c r="A19" t="s">
        <v>382</v>
      </c>
      <c r="B19" t="s">
        <v>383</v>
      </c>
      <c r="C19" t="s">
        <v>3156</v>
      </c>
      <c r="D19" s="8">
        <v>3.45</v>
      </c>
      <c r="E19" t="s">
        <v>3158</v>
      </c>
    </row>
    <row r="20" spans="1:5" x14ac:dyDescent="0.25">
      <c r="A20" t="s">
        <v>384</v>
      </c>
      <c r="B20" t="s">
        <v>385</v>
      </c>
      <c r="C20" t="s">
        <v>3156</v>
      </c>
      <c r="D20" s="8">
        <v>3.75</v>
      </c>
      <c r="E20" t="s">
        <v>3158</v>
      </c>
    </row>
    <row r="21" spans="1:5" x14ac:dyDescent="0.25">
      <c r="A21" t="s">
        <v>386</v>
      </c>
      <c r="B21" t="s">
        <v>387</v>
      </c>
      <c r="C21" t="s">
        <v>3156</v>
      </c>
      <c r="D21" s="8">
        <v>4.45</v>
      </c>
      <c r="E21" t="s">
        <v>3158</v>
      </c>
    </row>
    <row r="22" spans="1:5" x14ac:dyDescent="0.25">
      <c r="A22" t="s">
        <v>437</v>
      </c>
      <c r="B22" t="s">
        <v>438</v>
      </c>
      <c r="C22" t="s">
        <v>3156</v>
      </c>
      <c r="D22" s="8">
        <v>13.75</v>
      </c>
      <c r="E22" t="s">
        <v>3159</v>
      </c>
    </row>
    <row r="23" spans="1:5" x14ac:dyDescent="0.25">
      <c r="A23" t="s">
        <v>451</v>
      </c>
      <c r="B23" t="s">
        <v>452</v>
      </c>
      <c r="C23" t="s">
        <v>3156</v>
      </c>
      <c r="D23" s="8">
        <v>24</v>
      </c>
      <c r="E23" t="s">
        <v>3159</v>
      </c>
    </row>
    <row r="24" spans="1:5" x14ac:dyDescent="0.25">
      <c r="A24" t="s">
        <v>439</v>
      </c>
      <c r="B24" t="s">
        <v>440</v>
      </c>
      <c r="C24" t="s">
        <v>3156</v>
      </c>
      <c r="D24" s="8">
        <v>17.149999999999999</v>
      </c>
      <c r="E24" t="s">
        <v>3159</v>
      </c>
    </row>
    <row r="25" spans="1:5" x14ac:dyDescent="0.25">
      <c r="A25" t="s">
        <v>441</v>
      </c>
      <c r="B25" t="s">
        <v>442</v>
      </c>
      <c r="C25" t="s">
        <v>3156</v>
      </c>
      <c r="D25" s="8">
        <v>20.25</v>
      </c>
      <c r="E25" t="s">
        <v>3159</v>
      </c>
    </row>
    <row r="26" spans="1:5" x14ac:dyDescent="0.25">
      <c r="A26" t="s">
        <v>453</v>
      </c>
      <c r="B26" t="s">
        <v>454</v>
      </c>
      <c r="C26" t="s">
        <v>3156</v>
      </c>
      <c r="D26" s="8">
        <v>29.85</v>
      </c>
      <c r="E26" t="s">
        <v>3159</v>
      </c>
    </row>
    <row r="27" spans="1:5" x14ac:dyDescent="0.25">
      <c r="A27" t="s">
        <v>455</v>
      </c>
      <c r="B27" t="s">
        <v>456</v>
      </c>
      <c r="C27" t="s">
        <v>3156</v>
      </c>
      <c r="D27" s="8">
        <v>36.1</v>
      </c>
      <c r="E27" t="s">
        <v>3159</v>
      </c>
    </row>
    <row r="28" spans="1:5" x14ac:dyDescent="0.25">
      <c r="A28" t="s">
        <v>443</v>
      </c>
      <c r="B28" t="s">
        <v>444</v>
      </c>
      <c r="C28" t="s">
        <v>3156</v>
      </c>
      <c r="D28" s="8">
        <v>23.65</v>
      </c>
      <c r="E28" t="s">
        <v>3159</v>
      </c>
    </row>
    <row r="29" spans="1:5" x14ac:dyDescent="0.25">
      <c r="A29" t="s">
        <v>457</v>
      </c>
      <c r="B29" t="s">
        <v>458</v>
      </c>
      <c r="C29" t="s">
        <v>3156</v>
      </c>
      <c r="D29" s="8">
        <v>42</v>
      </c>
      <c r="E29" t="s">
        <v>3159</v>
      </c>
    </row>
    <row r="30" spans="1:5" x14ac:dyDescent="0.25">
      <c r="A30" t="s">
        <v>445</v>
      </c>
      <c r="B30" t="s">
        <v>446</v>
      </c>
      <c r="C30" t="s">
        <v>3156</v>
      </c>
      <c r="D30" s="8">
        <v>27.15</v>
      </c>
      <c r="E30" t="s">
        <v>3159</v>
      </c>
    </row>
    <row r="31" spans="1:5" x14ac:dyDescent="0.25">
      <c r="A31" t="s">
        <v>459</v>
      </c>
      <c r="B31" t="s">
        <v>460</v>
      </c>
      <c r="C31" t="s">
        <v>3156</v>
      </c>
      <c r="D31" s="8">
        <v>47.95</v>
      </c>
      <c r="E31" t="s">
        <v>3159</v>
      </c>
    </row>
    <row r="32" spans="1:5" x14ac:dyDescent="0.25">
      <c r="A32" t="s">
        <v>447</v>
      </c>
      <c r="B32" t="s">
        <v>448</v>
      </c>
      <c r="C32" t="s">
        <v>3156</v>
      </c>
      <c r="D32" s="8">
        <v>30.55</v>
      </c>
      <c r="E32" t="s">
        <v>3159</v>
      </c>
    </row>
    <row r="33" spans="1:5" x14ac:dyDescent="0.25">
      <c r="A33" t="s">
        <v>461</v>
      </c>
      <c r="B33" t="s">
        <v>462</v>
      </c>
      <c r="C33" t="s">
        <v>3156</v>
      </c>
      <c r="D33" s="8">
        <v>53.8</v>
      </c>
      <c r="E33" t="s">
        <v>3159</v>
      </c>
    </row>
    <row r="34" spans="1:5" x14ac:dyDescent="0.25">
      <c r="A34" t="s">
        <v>449</v>
      </c>
      <c r="B34" t="s">
        <v>450</v>
      </c>
      <c r="C34" t="s">
        <v>3156</v>
      </c>
      <c r="D34" s="8">
        <v>33.950000000000003</v>
      </c>
      <c r="E34" t="s">
        <v>3159</v>
      </c>
    </row>
    <row r="35" spans="1:5" x14ac:dyDescent="0.25">
      <c r="A35" t="s">
        <v>463</v>
      </c>
      <c r="B35" t="s">
        <v>464</v>
      </c>
      <c r="C35" t="s">
        <v>3156</v>
      </c>
      <c r="D35" s="8">
        <v>60.05</v>
      </c>
      <c r="E35" t="s">
        <v>3159</v>
      </c>
    </row>
    <row r="36" spans="1:5" x14ac:dyDescent="0.25">
      <c r="A36" t="s">
        <v>477</v>
      </c>
      <c r="B36" t="s">
        <v>478</v>
      </c>
      <c r="C36" t="s">
        <v>3156</v>
      </c>
      <c r="D36" s="8">
        <v>9.15</v>
      </c>
      <c r="E36" t="s">
        <v>3160</v>
      </c>
    </row>
    <row r="37" spans="1:5" x14ac:dyDescent="0.25">
      <c r="A37" t="s">
        <v>480</v>
      </c>
      <c r="B37" t="s">
        <v>481</v>
      </c>
      <c r="C37" t="s">
        <v>3156</v>
      </c>
      <c r="D37" s="8">
        <v>14.45</v>
      </c>
      <c r="E37" t="s">
        <v>3160</v>
      </c>
    </row>
    <row r="38" spans="1:5" x14ac:dyDescent="0.25">
      <c r="A38" t="s">
        <v>2443</v>
      </c>
      <c r="B38" t="s">
        <v>2444</v>
      </c>
      <c r="C38" t="s">
        <v>3156</v>
      </c>
      <c r="D38" s="8">
        <v>5.35</v>
      </c>
      <c r="E38" t="s">
        <v>3160</v>
      </c>
    </row>
    <row r="39" spans="1:5" x14ac:dyDescent="0.25">
      <c r="A39" t="s">
        <v>2445</v>
      </c>
      <c r="B39" t="s">
        <v>2446</v>
      </c>
      <c r="C39" t="s">
        <v>3156</v>
      </c>
      <c r="D39" s="8">
        <v>5.35</v>
      </c>
      <c r="E39" t="s">
        <v>3160</v>
      </c>
    </row>
    <row r="40" spans="1:5" x14ac:dyDescent="0.25">
      <c r="A40" t="s">
        <v>578</v>
      </c>
      <c r="B40" t="s">
        <v>579</v>
      </c>
      <c r="C40" t="s">
        <v>3156</v>
      </c>
      <c r="D40" s="8">
        <v>25.7</v>
      </c>
      <c r="E40" t="s">
        <v>3161</v>
      </c>
    </row>
    <row r="41" spans="1:5" x14ac:dyDescent="0.25">
      <c r="A41" t="s">
        <v>2447</v>
      </c>
      <c r="B41" t="s">
        <v>2448</v>
      </c>
      <c r="C41" t="s">
        <v>3156</v>
      </c>
      <c r="D41" s="8">
        <v>3.55</v>
      </c>
      <c r="E41" t="s">
        <v>3161</v>
      </c>
    </row>
    <row r="42" spans="1:5" x14ac:dyDescent="0.25">
      <c r="A42" t="s">
        <v>659</v>
      </c>
      <c r="B42" t="s">
        <v>660</v>
      </c>
      <c r="C42" t="s">
        <v>3156</v>
      </c>
      <c r="D42" s="8">
        <v>16.55</v>
      </c>
      <c r="E42" t="s">
        <v>3161</v>
      </c>
    </row>
    <row r="43" spans="1:5" x14ac:dyDescent="0.25">
      <c r="A43" t="s">
        <v>535</v>
      </c>
      <c r="B43" t="s">
        <v>536</v>
      </c>
      <c r="C43" t="s">
        <v>3156</v>
      </c>
      <c r="D43" s="8">
        <v>10.6</v>
      </c>
      <c r="E43" t="s">
        <v>3161</v>
      </c>
    </row>
    <row r="44" spans="1:5" x14ac:dyDescent="0.25">
      <c r="A44" t="s">
        <v>2449</v>
      </c>
      <c r="B44" t="s">
        <v>2450</v>
      </c>
      <c r="C44" t="s">
        <v>3156</v>
      </c>
      <c r="D44" s="8">
        <v>2.7</v>
      </c>
      <c r="E44" t="s">
        <v>3161</v>
      </c>
    </row>
    <row r="45" spans="1:5" x14ac:dyDescent="0.25">
      <c r="A45" t="s">
        <v>2451</v>
      </c>
      <c r="B45" t="s">
        <v>2452</v>
      </c>
      <c r="C45" t="s">
        <v>3156</v>
      </c>
      <c r="D45" s="8">
        <v>4.1500000000000004</v>
      </c>
      <c r="E45" t="s">
        <v>3161</v>
      </c>
    </row>
    <row r="46" spans="1:5" x14ac:dyDescent="0.25">
      <c r="A46" t="s">
        <v>2453</v>
      </c>
      <c r="B46" t="s">
        <v>2454</v>
      </c>
      <c r="C46" t="s">
        <v>3156</v>
      </c>
      <c r="D46" s="8">
        <v>3.85</v>
      </c>
      <c r="E46" t="s">
        <v>3161</v>
      </c>
    </row>
    <row r="47" spans="1:5" x14ac:dyDescent="0.25">
      <c r="A47" t="s">
        <v>2455</v>
      </c>
      <c r="B47" t="s">
        <v>2456</v>
      </c>
      <c r="C47" t="s">
        <v>3156</v>
      </c>
      <c r="D47" s="8">
        <v>3.85</v>
      </c>
      <c r="E47" t="s">
        <v>3161</v>
      </c>
    </row>
    <row r="48" spans="1:5" x14ac:dyDescent="0.25">
      <c r="A48" t="s">
        <v>2457</v>
      </c>
      <c r="B48" t="s">
        <v>2458</v>
      </c>
      <c r="C48" t="s">
        <v>3156</v>
      </c>
      <c r="D48" s="8">
        <v>3.85</v>
      </c>
      <c r="E48" t="s">
        <v>3161</v>
      </c>
    </row>
    <row r="49" spans="1:5" x14ac:dyDescent="0.25">
      <c r="A49" t="s">
        <v>2459</v>
      </c>
      <c r="B49" t="s">
        <v>2460</v>
      </c>
      <c r="C49" t="s">
        <v>3156</v>
      </c>
      <c r="D49" s="8">
        <v>11.8</v>
      </c>
      <c r="E49" t="s">
        <v>3161</v>
      </c>
    </row>
    <row r="50" spans="1:5" x14ac:dyDescent="0.25">
      <c r="A50" t="s">
        <v>2461</v>
      </c>
      <c r="B50" t="s">
        <v>2462</v>
      </c>
      <c r="C50" t="s">
        <v>3156</v>
      </c>
      <c r="D50" s="8">
        <v>11.8</v>
      </c>
      <c r="E50" t="s">
        <v>3161</v>
      </c>
    </row>
    <row r="51" spans="1:5" x14ac:dyDescent="0.25">
      <c r="A51" t="s">
        <v>2463</v>
      </c>
      <c r="B51" t="s">
        <v>2464</v>
      </c>
      <c r="C51" t="s">
        <v>3156</v>
      </c>
      <c r="D51" s="8">
        <v>31.55</v>
      </c>
      <c r="E51" t="s">
        <v>3161</v>
      </c>
    </row>
    <row r="52" spans="1:5" x14ac:dyDescent="0.25">
      <c r="A52" t="s">
        <v>2465</v>
      </c>
      <c r="B52" t="s">
        <v>2466</v>
      </c>
      <c r="C52" t="s">
        <v>3156</v>
      </c>
      <c r="D52" s="8">
        <v>18.899999999999999</v>
      </c>
      <c r="E52" t="s">
        <v>3161</v>
      </c>
    </row>
    <row r="53" spans="1:5" x14ac:dyDescent="0.25">
      <c r="A53" t="s">
        <v>2467</v>
      </c>
      <c r="B53" t="s">
        <v>2468</v>
      </c>
      <c r="C53" t="s">
        <v>3156</v>
      </c>
      <c r="D53" s="8">
        <v>9.85</v>
      </c>
      <c r="E53" t="s">
        <v>720</v>
      </c>
    </row>
    <row r="54" spans="1:5" x14ac:dyDescent="0.25">
      <c r="A54" t="s">
        <v>2469</v>
      </c>
      <c r="B54" t="s">
        <v>2470</v>
      </c>
      <c r="C54" t="s">
        <v>3156</v>
      </c>
      <c r="D54" s="8">
        <v>9.85</v>
      </c>
      <c r="E54" t="s">
        <v>720</v>
      </c>
    </row>
    <row r="55" spans="1:5" x14ac:dyDescent="0.25">
      <c r="A55" t="s">
        <v>623</v>
      </c>
      <c r="B55" t="s">
        <v>3162</v>
      </c>
      <c r="C55" t="s">
        <v>3156</v>
      </c>
      <c r="D55" s="8">
        <v>9.85</v>
      </c>
      <c r="E55" t="s">
        <v>720</v>
      </c>
    </row>
    <row r="56" spans="1:5" x14ac:dyDescent="0.25">
      <c r="A56" t="s">
        <v>634</v>
      </c>
      <c r="B56" t="s">
        <v>3163</v>
      </c>
      <c r="C56" t="s">
        <v>3156</v>
      </c>
      <c r="D56" s="8">
        <v>14.8</v>
      </c>
      <c r="E56" t="s">
        <v>720</v>
      </c>
    </row>
    <row r="57" spans="1:5" x14ac:dyDescent="0.25">
      <c r="A57" t="s">
        <v>2471</v>
      </c>
      <c r="B57" t="s">
        <v>2472</v>
      </c>
      <c r="C57" t="s">
        <v>3156</v>
      </c>
      <c r="D57" s="8">
        <v>14.8</v>
      </c>
      <c r="E57" t="s">
        <v>720</v>
      </c>
    </row>
    <row r="58" spans="1:5" x14ac:dyDescent="0.25">
      <c r="A58" t="s">
        <v>2473</v>
      </c>
      <c r="B58" t="s">
        <v>2474</v>
      </c>
      <c r="C58" t="s">
        <v>3156</v>
      </c>
      <c r="D58" s="8">
        <v>9.85</v>
      </c>
      <c r="E58" t="s">
        <v>720</v>
      </c>
    </row>
    <row r="59" spans="1:5" x14ac:dyDescent="0.25">
      <c r="A59" t="s">
        <v>645</v>
      </c>
      <c r="B59" t="s">
        <v>646</v>
      </c>
      <c r="C59" t="s">
        <v>3156</v>
      </c>
      <c r="D59" s="8">
        <v>14.8</v>
      </c>
      <c r="E59" t="s">
        <v>720</v>
      </c>
    </row>
    <row r="60" spans="1:5" x14ac:dyDescent="0.25">
      <c r="A60" t="s">
        <v>2475</v>
      </c>
      <c r="B60" t="s">
        <v>2476</v>
      </c>
      <c r="C60" t="s">
        <v>3156</v>
      </c>
      <c r="D60" s="8">
        <v>21.85</v>
      </c>
      <c r="E60" t="s">
        <v>720</v>
      </c>
    </row>
    <row r="61" spans="1:5" x14ac:dyDescent="0.25">
      <c r="A61" t="s">
        <v>2477</v>
      </c>
      <c r="B61" t="s">
        <v>2478</v>
      </c>
      <c r="C61" t="s">
        <v>3156</v>
      </c>
      <c r="D61" s="8">
        <v>9.85</v>
      </c>
      <c r="E61" t="s">
        <v>720</v>
      </c>
    </row>
    <row r="62" spans="1:5" x14ac:dyDescent="0.25">
      <c r="A62" t="s">
        <v>2479</v>
      </c>
      <c r="B62" t="s">
        <v>2480</v>
      </c>
      <c r="C62" t="s">
        <v>3156</v>
      </c>
      <c r="D62" s="8">
        <v>21.85</v>
      </c>
      <c r="E62" t="s">
        <v>720</v>
      </c>
    </row>
    <row r="63" spans="1:5" x14ac:dyDescent="0.25">
      <c r="A63" t="s">
        <v>2481</v>
      </c>
      <c r="B63" t="s">
        <v>2482</v>
      </c>
      <c r="C63" t="s">
        <v>3156</v>
      </c>
      <c r="D63" s="8">
        <v>21.85</v>
      </c>
      <c r="E63" t="s">
        <v>720</v>
      </c>
    </row>
    <row r="64" spans="1:5" x14ac:dyDescent="0.25">
      <c r="A64" t="s">
        <v>3164</v>
      </c>
      <c r="B64" t="s">
        <v>3165</v>
      </c>
      <c r="C64" t="s">
        <v>3156</v>
      </c>
      <c r="D64" s="8">
        <v>14.35</v>
      </c>
      <c r="E64" t="s">
        <v>720</v>
      </c>
    </row>
    <row r="65" spans="1:5" x14ac:dyDescent="0.25">
      <c r="A65" t="s">
        <v>1213</v>
      </c>
      <c r="B65" t="s">
        <v>1214</v>
      </c>
      <c r="C65" t="s">
        <v>3156</v>
      </c>
      <c r="D65" s="8">
        <v>9.85</v>
      </c>
      <c r="E65" t="s">
        <v>720</v>
      </c>
    </row>
    <row r="66" spans="1:5" x14ac:dyDescent="0.25">
      <c r="A66" t="s">
        <v>2749</v>
      </c>
      <c r="B66" t="s">
        <v>2750</v>
      </c>
      <c r="C66" t="s">
        <v>3156</v>
      </c>
      <c r="D66" s="8">
        <v>9.85</v>
      </c>
      <c r="E66" t="s">
        <v>720</v>
      </c>
    </row>
    <row r="67" spans="1:5" x14ac:dyDescent="0.25">
      <c r="A67" t="s">
        <v>2751</v>
      </c>
      <c r="B67" t="s">
        <v>2752</v>
      </c>
      <c r="C67" t="s">
        <v>3156</v>
      </c>
      <c r="D67" s="8">
        <v>9.85</v>
      </c>
      <c r="E67" t="s">
        <v>720</v>
      </c>
    </row>
    <row r="68" spans="1:5" x14ac:dyDescent="0.25">
      <c r="A68" t="s">
        <v>2753</v>
      </c>
      <c r="B68" t="s">
        <v>2754</v>
      </c>
      <c r="C68" t="s">
        <v>3156</v>
      </c>
      <c r="D68" s="8">
        <v>21.85</v>
      </c>
      <c r="E68" t="s">
        <v>720</v>
      </c>
    </row>
    <row r="69" spans="1:5" x14ac:dyDescent="0.25">
      <c r="A69" t="s">
        <v>2757</v>
      </c>
      <c r="B69" t="s">
        <v>2758</v>
      </c>
      <c r="C69" t="s">
        <v>3156</v>
      </c>
      <c r="D69" s="8">
        <v>9.85</v>
      </c>
      <c r="E69" t="s">
        <v>720</v>
      </c>
    </row>
    <row r="70" spans="1:5" x14ac:dyDescent="0.25">
      <c r="A70" t="s">
        <v>2759</v>
      </c>
      <c r="B70" t="s">
        <v>2760</v>
      </c>
      <c r="C70" t="s">
        <v>3156</v>
      </c>
      <c r="D70" s="8">
        <v>9.85</v>
      </c>
      <c r="E70" t="s">
        <v>720</v>
      </c>
    </row>
    <row r="71" spans="1:5" x14ac:dyDescent="0.25">
      <c r="A71" t="s">
        <v>3166</v>
      </c>
      <c r="B71" t="s">
        <v>3167</v>
      </c>
      <c r="C71" t="s">
        <v>3156</v>
      </c>
      <c r="D71" s="8">
        <v>9.85</v>
      </c>
      <c r="E71" t="s">
        <v>720</v>
      </c>
    </row>
    <row r="72" spans="1:5" x14ac:dyDescent="0.25">
      <c r="A72" t="s">
        <v>2761</v>
      </c>
      <c r="B72" t="s">
        <v>2762</v>
      </c>
      <c r="C72" t="s">
        <v>3156</v>
      </c>
      <c r="D72" s="8">
        <v>9.85</v>
      </c>
      <c r="E72" t="s">
        <v>720</v>
      </c>
    </row>
    <row r="73" spans="1:5" x14ac:dyDescent="0.25">
      <c r="A73" t="s">
        <v>2763</v>
      </c>
      <c r="B73" t="s">
        <v>2764</v>
      </c>
      <c r="C73" t="s">
        <v>3156</v>
      </c>
      <c r="D73" s="8">
        <v>9.85</v>
      </c>
      <c r="E73" t="s">
        <v>720</v>
      </c>
    </row>
    <row r="74" spans="1:5" x14ac:dyDescent="0.25">
      <c r="A74" t="s">
        <v>2483</v>
      </c>
      <c r="B74" t="s">
        <v>2484</v>
      </c>
      <c r="C74" t="s">
        <v>3156</v>
      </c>
      <c r="D74" s="8">
        <v>3.55</v>
      </c>
      <c r="E74" t="s">
        <v>3168</v>
      </c>
    </row>
    <row r="75" spans="1:5" x14ac:dyDescent="0.25">
      <c r="A75" t="s">
        <v>2485</v>
      </c>
      <c r="B75" t="s">
        <v>2486</v>
      </c>
      <c r="C75" t="s">
        <v>3156</v>
      </c>
      <c r="D75" s="8">
        <v>3.55</v>
      </c>
      <c r="E75" t="s">
        <v>3168</v>
      </c>
    </row>
    <row r="76" spans="1:5" x14ac:dyDescent="0.25">
      <c r="A76" t="s">
        <v>2487</v>
      </c>
      <c r="B76" t="s">
        <v>2488</v>
      </c>
      <c r="C76" t="s">
        <v>3156</v>
      </c>
      <c r="D76" s="8">
        <v>3.55</v>
      </c>
      <c r="E76" t="s">
        <v>3168</v>
      </c>
    </row>
    <row r="77" spans="1:5" x14ac:dyDescent="0.25">
      <c r="A77" t="s">
        <v>2489</v>
      </c>
      <c r="B77" t="s">
        <v>2490</v>
      </c>
      <c r="C77" t="s">
        <v>3156</v>
      </c>
      <c r="D77" s="8">
        <v>3.55</v>
      </c>
      <c r="E77" t="s">
        <v>3168</v>
      </c>
    </row>
    <row r="78" spans="1:5" x14ac:dyDescent="0.25">
      <c r="A78" t="s">
        <v>2491</v>
      </c>
      <c r="B78" t="s">
        <v>2492</v>
      </c>
      <c r="C78" t="s">
        <v>3156</v>
      </c>
      <c r="D78" s="8">
        <v>3.55</v>
      </c>
      <c r="E78" t="s">
        <v>3168</v>
      </c>
    </row>
    <row r="79" spans="1:5" x14ac:dyDescent="0.25">
      <c r="A79" t="s">
        <v>2493</v>
      </c>
      <c r="B79" t="s">
        <v>2494</v>
      </c>
      <c r="C79" t="s">
        <v>3156</v>
      </c>
      <c r="D79" s="8">
        <v>3.55</v>
      </c>
      <c r="E79" t="s">
        <v>3168</v>
      </c>
    </row>
    <row r="80" spans="1:5" x14ac:dyDescent="0.25">
      <c r="A80" t="s">
        <v>2495</v>
      </c>
      <c r="B80" t="s">
        <v>2496</v>
      </c>
      <c r="C80" t="s">
        <v>3156</v>
      </c>
      <c r="D80" s="8">
        <v>3.55</v>
      </c>
      <c r="E80" t="s">
        <v>3168</v>
      </c>
    </row>
    <row r="81" spans="1:5" x14ac:dyDescent="0.25">
      <c r="A81" t="s">
        <v>2497</v>
      </c>
      <c r="B81" t="s">
        <v>2498</v>
      </c>
      <c r="C81" t="s">
        <v>3156</v>
      </c>
      <c r="D81" s="8">
        <v>3.55</v>
      </c>
      <c r="E81" t="s">
        <v>3168</v>
      </c>
    </row>
    <row r="82" spans="1:5" x14ac:dyDescent="0.25">
      <c r="A82" t="s">
        <v>2499</v>
      </c>
      <c r="B82" t="s">
        <v>2500</v>
      </c>
      <c r="C82" t="s">
        <v>3156</v>
      </c>
      <c r="D82" s="8">
        <v>3.55</v>
      </c>
      <c r="E82" t="s">
        <v>3168</v>
      </c>
    </row>
    <row r="83" spans="1:5" x14ac:dyDescent="0.25">
      <c r="A83" t="s">
        <v>2501</v>
      </c>
      <c r="B83" t="s">
        <v>2502</v>
      </c>
      <c r="C83" t="s">
        <v>3156</v>
      </c>
      <c r="D83" s="8">
        <v>3.55</v>
      </c>
      <c r="E83" t="s">
        <v>3168</v>
      </c>
    </row>
    <row r="84" spans="1:5" x14ac:dyDescent="0.25">
      <c r="A84" t="s">
        <v>2503</v>
      </c>
      <c r="B84" t="s">
        <v>2504</v>
      </c>
      <c r="C84" t="s">
        <v>3156</v>
      </c>
      <c r="D84" s="8">
        <v>3.55</v>
      </c>
      <c r="E84" t="s">
        <v>3168</v>
      </c>
    </row>
    <row r="85" spans="1:5" x14ac:dyDescent="0.25">
      <c r="A85" t="s">
        <v>2505</v>
      </c>
      <c r="B85" t="s">
        <v>2506</v>
      </c>
      <c r="C85" t="s">
        <v>3156</v>
      </c>
      <c r="D85" s="8">
        <v>3.55</v>
      </c>
      <c r="E85" t="s">
        <v>3168</v>
      </c>
    </row>
    <row r="86" spans="1:5" x14ac:dyDescent="0.25">
      <c r="A86" t="s">
        <v>2507</v>
      </c>
      <c r="B86" t="s">
        <v>2508</v>
      </c>
      <c r="C86" t="s">
        <v>3156</v>
      </c>
      <c r="D86" s="8">
        <v>3.55</v>
      </c>
      <c r="E86" t="s">
        <v>3168</v>
      </c>
    </row>
    <row r="87" spans="1:5" x14ac:dyDescent="0.25">
      <c r="A87" t="s">
        <v>2509</v>
      </c>
      <c r="B87" t="s">
        <v>2510</v>
      </c>
      <c r="C87" t="s">
        <v>3156</v>
      </c>
      <c r="D87" s="8">
        <v>3.55</v>
      </c>
      <c r="E87" t="s">
        <v>3168</v>
      </c>
    </row>
    <row r="88" spans="1:5" x14ac:dyDescent="0.25">
      <c r="A88" t="s">
        <v>2511</v>
      </c>
      <c r="B88" t="s">
        <v>2512</v>
      </c>
      <c r="C88" t="s">
        <v>3156</v>
      </c>
      <c r="D88" s="8">
        <v>3.55</v>
      </c>
      <c r="E88" t="s">
        <v>3168</v>
      </c>
    </row>
    <row r="89" spans="1:5" x14ac:dyDescent="0.25">
      <c r="A89" t="s">
        <v>2513</v>
      </c>
      <c r="B89" t="s">
        <v>2514</v>
      </c>
      <c r="C89" t="s">
        <v>3156</v>
      </c>
      <c r="D89" s="8">
        <v>3.85</v>
      </c>
      <c r="E89" t="s">
        <v>3169</v>
      </c>
    </row>
    <row r="90" spans="1:5" x14ac:dyDescent="0.25">
      <c r="A90" t="s">
        <v>2515</v>
      </c>
      <c r="B90" t="s">
        <v>2516</v>
      </c>
      <c r="C90" t="s">
        <v>3156</v>
      </c>
      <c r="D90" s="8">
        <v>4.75</v>
      </c>
      <c r="E90" t="s">
        <v>3169</v>
      </c>
    </row>
    <row r="91" spans="1:5" x14ac:dyDescent="0.25">
      <c r="A91" t="s">
        <v>2517</v>
      </c>
      <c r="B91" t="s">
        <v>2518</v>
      </c>
      <c r="C91" t="s">
        <v>3156</v>
      </c>
      <c r="D91" s="8">
        <v>4.75</v>
      </c>
      <c r="E91" t="s">
        <v>3169</v>
      </c>
    </row>
    <row r="92" spans="1:5" x14ac:dyDescent="0.25">
      <c r="A92" t="s">
        <v>2519</v>
      </c>
      <c r="B92" t="s">
        <v>2520</v>
      </c>
      <c r="C92" t="s">
        <v>3156</v>
      </c>
      <c r="D92" s="8">
        <v>2.1</v>
      </c>
      <c r="E92" t="s">
        <v>3169</v>
      </c>
    </row>
    <row r="93" spans="1:5" x14ac:dyDescent="0.25">
      <c r="A93" t="s">
        <v>2521</v>
      </c>
      <c r="B93" t="s">
        <v>2522</v>
      </c>
      <c r="C93" t="s">
        <v>3156</v>
      </c>
      <c r="D93" s="8">
        <v>2.1</v>
      </c>
      <c r="E93" t="s">
        <v>3169</v>
      </c>
    </row>
    <row r="94" spans="1:5" x14ac:dyDescent="0.25">
      <c r="A94" t="s">
        <v>2523</v>
      </c>
      <c r="B94" t="s">
        <v>2524</v>
      </c>
      <c r="C94" t="s">
        <v>3156</v>
      </c>
      <c r="D94" s="8">
        <v>2.1</v>
      </c>
      <c r="E94" t="s">
        <v>3169</v>
      </c>
    </row>
    <row r="95" spans="1:5" x14ac:dyDescent="0.25">
      <c r="A95" t="s">
        <v>2525</v>
      </c>
      <c r="B95" t="s">
        <v>2526</v>
      </c>
      <c r="C95" t="s">
        <v>3156</v>
      </c>
      <c r="D95" s="8">
        <v>4.75</v>
      </c>
      <c r="E95" t="s">
        <v>3169</v>
      </c>
    </row>
    <row r="96" spans="1:5" x14ac:dyDescent="0.25">
      <c r="A96" t="s">
        <v>2527</v>
      </c>
      <c r="B96" t="s">
        <v>2528</v>
      </c>
      <c r="C96" t="s">
        <v>3156</v>
      </c>
      <c r="D96" s="8">
        <v>8.5500000000000007</v>
      </c>
      <c r="E96" t="s">
        <v>3169</v>
      </c>
    </row>
    <row r="97" spans="1:5" x14ac:dyDescent="0.25">
      <c r="A97" t="s">
        <v>2529</v>
      </c>
      <c r="B97" t="s">
        <v>2530</v>
      </c>
      <c r="C97" t="s">
        <v>3156</v>
      </c>
      <c r="D97" s="8">
        <v>2.1</v>
      </c>
      <c r="E97" t="s">
        <v>3169</v>
      </c>
    </row>
    <row r="98" spans="1:5" x14ac:dyDescent="0.25">
      <c r="A98" t="s">
        <v>2531</v>
      </c>
      <c r="B98" t="s">
        <v>2532</v>
      </c>
      <c r="C98" t="s">
        <v>3156</v>
      </c>
      <c r="D98" s="8">
        <v>2.1</v>
      </c>
      <c r="E98" t="s">
        <v>3169</v>
      </c>
    </row>
    <row r="99" spans="1:5" x14ac:dyDescent="0.25">
      <c r="A99" t="s">
        <v>2533</v>
      </c>
      <c r="B99" t="s">
        <v>2534</v>
      </c>
      <c r="C99" t="s">
        <v>3156</v>
      </c>
      <c r="D99" s="8">
        <v>2.1</v>
      </c>
      <c r="E99" t="s">
        <v>3169</v>
      </c>
    </row>
    <row r="100" spans="1:5" x14ac:dyDescent="0.25">
      <c r="A100" t="s">
        <v>2535</v>
      </c>
      <c r="B100" t="s">
        <v>2536</v>
      </c>
      <c r="C100" t="s">
        <v>3156</v>
      </c>
      <c r="D100" s="8">
        <v>4.75</v>
      </c>
      <c r="E100" t="s">
        <v>3169</v>
      </c>
    </row>
    <row r="101" spans="1:5" x14ac:dyDescent="0.25">
      <c r="A101" t="s">
        <v>2537</v>
      </c>
      <c r="B101" t="s">
        <v>2538</v>
      </c>
      <c r="C101" t="s">
        <v>3156</v>
      </c>
      <c r="D101" s="8">
        <v>4.75</v>
      </c>
      <c r="E101" t="s">
        <v>3169</v>
      </c>
    </row>
    <row r="102" spans="1:5" x14ac:dyDescent="0.25">
      <c r="A102" t="s">
        <v>2539</v>
      </c>
      <c r="B102" t="s">
        <v>2540</v>
      </c>
      <c r="C102" t="s">
        <v>3156</v>
      </c>
      <c r="D102" s="8">
        <v>9.15</v>
      </c>
      <c r="E102" t="s">
        <v>3169</v>
      </c>
    </row>
    <row r="103" spans="1:5" x14ac:dyDescent="0.25">
      <c r="A103" t="s">
        <v>2541</v>
      </c>
      <c r="B103" t="s">
        <v>2542</v>
      </c>
      <c r="C103" t="s">
        <v>3156</v>
      </c>
      <c r="D103" s="8">
        <v>2.1</v>
      </c>
      <c r="E103" t="s">
        <v>3169</v>
      </c>
    </row>
    <row r="104" spans="1:5" x14ac:dyDescent="0.25">
      <c r="A104" t="s">
        <v>2543</v>
      </c>
      <c r="B104" t="s">
        <v>2544</v>
      </c>
      <c r="C104" t="s">
        <v>3156</v>
      </c>
      <c r="D104" s="8">
        <v>4.75</v>
      </c>
      <c r="E104" t="s">
        <v>3169</v>
      </c>
    </row>
    <row r="105" spans="1:5" x14ac:dyDescent="0.25">
      <c r="A105" t="s">
        <v>2545</v>
      </c>
      <c r="B105" t="s">
        <v>2546</v>
      </c>
      <c r="C105" t="s">
        <v>3156</v>
      </c>
      <c r="D105" s="8">
        <v>4.75</v>
      </c>
      <c r="E105" t="s">
        <v>3169</v>
      </c>
    </row>
    <row r="106" spans="1:5" x14ac:dyDescent="0.25">
      <c r="A106" t="s">
        <v>2547</v>
      </c>
      <c r="B106" t="s">
        <v>2548</v>
      </c>
      <c r="C106" t="s">
        <v>3156</v>
      </c>
      <c r="D106" s="8">
        <v>4.75</v>
      </c>
      <c r="E106" t="s">
        <v>3169</v>
      </c>
    </row>
    <row r="107" spans="1:5" x14ac:dyDescent="0.25">
      <c r="A107" t="s">
        <v>2549</v>
      </c>
      <c r="B107" t="s">
        <v>2550</v>
      </c>
      <c r="C107" t="s">
        <v>3156</v>
      </c>
      <c r="D107" s="8">
        <v>10.050000000000001</v>
      </c>
      <c r="E107" t="s">
        <v>3169</v>
      </c>
    </row>
    <row r="108" spans="1:5" x14ac:dyDescent="0.25">
      <c r="A108" t="s">
        <v>2551</v>
      </c>
      <c r="B108" t="s">
        <v>2552</v>
      </c>
      <c r="C108" t="s">
        <v>3156</v>
      </c>
      <c r="D108" s="8">
        <v>4.75</v>
      </c>
      <c r="E108" t="s">
        <v>3169</v>
      </c>
    </row>
    <row r="109" spans="1:5" x14ac:dyDescent="0.25">
      <c r="A109" t="s">
        <v>2553</v>
      </c>
      <c r="B109" t="s">
        <v>2554</v>
      </c>
      <c r="C109" t="s">
        <v>3156</v>
      </c>
      <c r="D109" s="8">
        <v>3.55</v>
      </c>
      <c r="E109" t="s">
        <v>3170</v>
      </c>
    </row>
    <row r="110" spans="1:5" x14ac:dyDescent="0.25">
      <c r="A110" t="s">
        <v>2555</v>
      </c>
      <c r="B110" t="s">
        <v>2556</v>
      </c>
      <c r="C110" t="s">
        <v>3156</v>
      </c>
      <c r="D110" s="8">
        <v>3.55</v>
      </c>
      <c r="E110" t="s">
        <v>3170</v>
      </c>
    </row>
    <row r="111" spans="1:5" x14ac:dyDescent="0.25">
      <c r="A111" t="s">
        <v>2557</v>
      </c>
      <c r="B111" t="s">
        <v>2558</v>
      </c>
      <c r="C111" t="s">
        <v>3156</v>
      </c>
      <c r="D111" s="8">
        <v>3.55</v>
      </c>
      <c r="E111" t="s">
        <v>3170</v>
      </c>
    </row>
    <row r="112" spans="1:5" x14ac:dyDescent="0.25">
      <c r="A112" t="s">
        <v>2559</v>
      </c>
      <c r="B112" t="s">
        <v>2560</v>
      </c>
      <c r="C112" t="s">
        <v>3156</v>
      </c>
      <c r="D112" s="8">
        <v>3.55</v>
      </c>
      <c r="E112" t="s">
        <v>3170</v>
      </c>
    </row>
    <row r="113" spans="1:5" x14ac:dyDescent="0.25">
      <c r="A113" t="s">
        <v>2561</v>
      </c>
      <c r="B113" t="s">
        <v>2562</v>
      </c>
      <c r="C113" t="s">
        <v>3156</v>
      </c>
      <c r="D113" s="8">
        <v>3.55</v>
      </c>
      <c r="E113" t="s">
        <v>3170</v>
      </c>
    </row>
    <row r="114" spans="1:5" x14ac:dyDescent="0.25">
      <c r="A114" t="s">
        <v>2563</v>
      </c>
      <c r="B114" t="s">
        <v>2564</v>
      </c>
      <c r="C114" t="s">
        <v>3156</v>
      </c>
      <c r="D114" s="8">
        <v>3.55</v>
      </c>
      <c r="E114" t="s">
        <v>3170</v>
      </c>
    </row>
    <row r="115" spans="1:5" x14ac:dyDescent="0.25">
      <c r="A115" t="s">
        <v>2565</v>
      </c>
      <c r="B115" t="s">
        <v>2566</v>
      </c>
      <c r="C115" t="s">
        <v>3156</v>
      </c>
      <c r="D115" s="8">
        <v>3.55</v>
      </c>
      <c r="E115" t="s">
        <v>3170</v>
      </c>
    </row>
    <row r="116" spans="1:5" x14ac:dyDescent="0.25">
      <c r="A116" t="s">
        <v>2567</v>
      </c>
      <c r="B116" t="s">
        <v>2568</v>
      </c>
      <c r="C116" t="s">
        <v>3156</v>
      </c>
      <c r="D116" s="8">
        <v>3.55</v>
      </c>
      <c r="E116" t="s">
        <v>3170</v>
      </c>
    </row>
    <row r="117" spans="1:5" x14ac:dyDescent="0.25">
      <c r="A117" t="s">
        <v>2569</v>
      </c>
      <c r="B117" t="s">
        <v>2570</v>
      </c>
      <c r="C117" t="s">
        <v>3156</v>
      </c>
      <c r="D117" s="8">
        <v>3.55</v>
      </c>
      <c r="E117" t="s">
        <v>3170</v>
      </c>
    </row>
    <row r="118" spans="1:5" x14ac:dyDescent="0.25">
      <c r="A118" t="s">
        <v>2571</v>
      </c>
      <c r="B118" t="s">
        <v>2572</v>
      </c>
      <c r="C118" t="s">
        <v>3156</v>
      </c>
      <c r="D118" s="8">
        <v>3.55</v>
      </c>
      <c r="E118" t="s">
        <v>3170</v>
      </c>
    </row>
    <row r="119" spans="1:5" x14ac:dyDescent="0.25">
      <c r="A119" t="s">
        <v>2573</v>
      </c>
      <c r="B119" t="s">
        <v>2574</v>
      </c>
      <c r="C119" t="s">
        <v>3156</v>
      </c>
      <c r="D119" s="8">
        <v>3.55</v>
      </c>
      <c r="E119" t="s">
        <v>3170</v>
      </c>
    </row>
    <row r="120" spans="1:5" x14ac:dyDescent="0.25">
      <c r="A120" t="s">
        <v>2575</v>
      </c>
      <c r="B120" t="s">
        <v>2576</v>
      </c>
      <c r="C120" t="s">
        <v>3156</v>
      </c>
      <c r="D120" s="8">
        <v>3.55</v>
      </c>
      <c r="E120" t="s">
        <v>3170</v>
      </c>
    </row>
    <row r="121" spans="1:5" x14ac:dyDescent="0.25">
      <c r="A121" t="s">
        <v>2577</v>
      </c>
      <c r="B121" t="s">
        <v>2578</v>
      </c>
      <c r="C121" t="s">
        <v>3156</v>
      </c>
      <c r="D121" s="8">
        <v>3.55</v>
      </c>
      <c r="E121" t="s">
        <v>3170</v>
      </c>
    </row>
    <row r="122" spans="1:5" x14ac:dyDescent="0.25">
      <c r="A122" t="s">
        <v>2579</v>
      </c>
      <c r="B122" t="s">
        <v>2580</v>
      </c>
      <c r="C122" t="s">
        <v>3156</v>
      </c>
      <c r="D122" s="8">
        <v>3.55</v>
      </c>
      <c r="E122" t="s">
        <v>3170</v>
      </c>
    </row>
    <row r="123" spans="1:5" x14ac:dyDescent="0.25">
      <c r="A123" t="s">
        <v>2581</v>
      </c>
      <c r="B123" t="s">
        <v>2582</v>
      </c>
      <c r="C123" t="s">
        <v>3156</v>
      </c>
      <c r="D123" s="8">
        <v>3.55</v>
      </c>
      <c r="E123" t="s">
        <v>3170</v>
      </c>
    </row>
    <row r="124" spans="1:5" x14ac:dyDescent="0.25">
      <c r="A124" t="s">
        <v>2583</v>
      </c>
      <c r="B124" t="s">
        <v>2584</v>
      </c>
      <c r="C124" t="s">
        <v>3156</v>
      </c>
      <c r="D124" s="8">
        <v>3.55</v>
      </c>
      <c r="E124" t="s">
        <v>3170</v>
      </c>
    </row>
    <row r="125" spans="1:5" x14ac:dyDescent="0.25">
      <c r="A125" t="s">
        <v>2585</v>
      </c>
      <c r="B125" t="s">
        <v>2586</v>
      </c>
      <c r="C125" t="s">
        <v>3156</v>
      </c>
      <c r="D125" s="8">
        <v>3.55</v>
      </c>
      <c r="E125" t="s">
        <v>3170</v>
      </c>
    </row>
    <row r="126" spans="1:5" x14ac:dyDescent="0.25">
      <c r="A126" t="s">
        <v>2587</v>
      </c>
      <c r="B126" t="s">
        <v>2588</v>
      </c>
      <c r="C126" t="s">
        <v>3156</v>
      </c>
      <c r="D126" s="8">
        <v>3.55</v>
      </c>
      <c r="E126" t="s">
        <v>3170</v>
      </c>
    </row>
    <row r="127" spans="1:5" x14ac:dyDescent="0.25">
      <c r="A127" t="s">
        <v>2589</v>
      </c>
      <c r="B127" t="s">
        <v>2590</v>
      </c>
      <c r="C127" t="s">
        <v>3156</v>
      </c>
      <c r="D127" s="8">
        <v>3.55</v>
      </c>
      <c r="E127" t="s">
        <v>3170</v>
      </c>
    </row>
    <row r="128" spans="1:5" x14ac:dyDescent="0.25">
      <c r="A128" t="s">
        <v>2591</v>
      </c>
      <c r="B128" t="s">
        <v>2592</v>
      </c>
      <c r="C128" t="s">
        <v>3156</v>
      </c>
      <c r="D128" s="8">
        <v>3.55</v>
      </c>
      <c r="E128" t="s">
        <v>3170</v>
      </c>
    </row>
    <row r="129" spans="1:5" x14ac:dyDescent="0.25">
      <c r="A129" t="s">
        <v>2593</v>
      </c>
      <c r="B129" t="s">
        <v>2594</v>
      </c>
      <c r="C129" t="s">
        <v>3156</v>
      </c>
      <c r="D129" s="8">
        <v>3.55</v>
      </c>
      <c r="E129" t="s">
        <v>3170</v>
      </c>
    </row>
    <row r="130" spans="1:5" x14ac:dyDescent="0.25">
      <c r="A130" t="s">
        <v>2595</v>
      </c>
      <c r="B130" t="s">
        <v>2596</v>
      </c>
      <c r="C130" t="s">
        <v>3156</v>
      </c>
      <c r="D130" s="8">
        <v>3.55</v>
      </c>
      <c r="E130" t="s">
        <v>3170</v>
      </c>
    </row>
    <row r="131" spans="1:5" x14ac:dyDescent="0.25">
      <c r="A131" t="s">
        <v>2597</v>
      </c>
      <c r="B131" t="s">
        <v>2598</v>
      </c>
      <c r="C131" t="s">
        <v>3156</v>
      </c>
      <c r="D131" s="8">
        <v>3.55</v>
      </c>
      <c r="E131" t="s">
        <v>3170</v>
      </c>
    </row>
    <row r="132" spans="1:5" x14ac:dyDescent="0.25">
      <c r="A132" t="s">
        <v>2599</v>
      </c>
      <c r="B132" t="s">
        <v>2600</v>
      </c>
      <c r="C132" t="s">
        <v>3156</v>
      </c>
      <c r="D132" s="8">
        <v>3.55</v>
      </c>
      <c r="E132" t="s">
        <v>3170</v>
      </c>
    </row>
    <row r="133" spans="1:5" x14ac:dyDescent="0.25">
      <c r="A133" t="s">
        <v>2601</v>
      </c>
      <c r="B133" t="s">
        <v>2602</v>
      </c>
      <c r="C133" t="s">
        <v>3156</v>
      </c>
      <c r="D133" s="8">
        <v>3.55</v>
      </c>
      <c r="E133" t="s">
        <v>3170</v>
      </c>
    </row>
    <row r="134" spans="1:5" x14ac:dyDescent="0.25">
      <c r="A134" t="s">
        <v>2603</v>
      </c>
      <c r="B134" t="s">
        <v>2604</v>
      </c>
      <c r="C134" t="s">
        <v>3156</v>
      </c>
      <c r="D134" s="8">
        <v>3.55</v>
      </c>
      <c r="E134" t="s">
        <v>3170</v>
      </c>
    </row>
    <row r="135" spans="1:5" x14ac:dyDescent="0.25">
      <c r="A135" t="s">
        <v>2605</v>
      </c>
      <c r="B135" t="s">
        <v>2606</v>
      </c>
      <c r="C135" t="s">
        <v>3156</v>
      </c>
      <c r="D135" s="8">
        <v>3.55</v>
      </c>
      <c r="E135" t="s">
        <v>3170</v>
      </c>
    </row>
    <row r="136" spans="1:5" x14ac:dyDescent="0.25">
      <c r="A136" t="s">
        <v>2607</v>
      </c>
      <c r="B136" t="s">
        <v>2608</v>
      </c>
      <c r="C136" t="s">
        <v>3156</v>
      </c>
      <c r="D136" s="8">
        <v>3.55</v>
      </c>
      <c r="E136" t="s">
        <v>3170</v>
      </c>
    </row>
    <row r="137" spans="1:5" x14ac:dyDescent="0.25">
      <c r="A137" t="s">
        <v>2609</v>
      </c>
      <c r="B137" t="s">
        <v>2610</v>
      </c>
      <c r="C137" t="s">
        <v>3156</v>
      </c>
      <c r="D137" s="8">
        <v>3.55</v>
      </c>
      <c r="E137" t="s">
        <v>3170</v>
      </c>
    </row>
    <row r="138" spans="1:5" x14ac:dyDescent="0.25">
      <c r="A138" t="s">
        <v>2611</v>
      </c>
      <c r="B138" t="s">
        <v>2612</v>
      </c>
      <c r="C138" t="s">
        <v>3156</v>
      </c>
      <c r="D138" s="8">
        <v>3.55</v>
      </c>
      <c r="E138" t="s">
        <v>3170</v>
      </c>
    </row>
    <row r="139" spans="1:5" x14ac:dyDescent="0.25">
      <c r="A139" t="s">
        <v>2613</v>
      </c>
      <c r="B139" t="s">
        <v>2614</v>
      </c>
      <c r="C139" t="s">
        <v>3156</v>
      </c>
      <c r="D139" s="8">
        <v>3.55</v>
      </c>
      <c r="E139" t="s">
        <v>3170</v>
      </c>
    </row>
    <row r="140" spans="1:5" x14ac:dyDescent="0.25">
      <c r="A140" t="s">
        <v>2615</v>
      </c>
      <c r="B140" t="s">
        <v>2616</v>
      </c>
      <c r="C140" t="s">
        <v>3156</v>
      </c>
      <c r="D140" s="8">
        <v>3.55</v>
      </c>
      <c r="E140" t="s">
        <v>3170</v>
      </c>
    </row>
    <row r="141" spans="1:5" x14ac:dyDescent="0.25">
      <c r="A141" t="s">
        <v>2617</v>
      </c>
      <c r="B141" t="s">
        <v>2618</v>
      </c>
      <c r="C141" t="s">
        <v>3156</v>
      </c>
      <c r="D141" s="8">
        <v>3.55</v>
      </c>
      <c r="E141" t="s">
        <v>3170</v>
      </c>
    </row>
    <row r="142" spans="1:5" x14ac:dyDescent="0.25">
      <c r="A142" t="s">
        <v>2619</v>
      </c>
      <c r="B142" t="s">
        <v>2620</v>
      </c>
      <c r="C142" t="s">
        <v>3156</v>
      </c>
      <c r="D142" s="8">
        <v>3.55</v>
      </c>
      <c r="E142" t="s">
        <v>3170</v>
      </c>
    </row>
    <row r="143" spans="1:5" x14ac:dyDescent="0.25">
      <c r="A143" t="s">
        <v>2621</v>
      </c>
      <c r="B143" t="s">
        <v>2622</v>
      </c>
      <c r="C143" t="s">
        <v>3156</v>
      </c>
      <c r="D143" s="8">
        <v>3.55</v>
      </c>
      <c r="E143" t="s">
        <v>3170</v>
      </c>
    </row>
    <row r="144" spans="1:5" x14ac:dyDescent="0.25">
      <c r="A144" t="s">
        <v>2623</v>
      </c>
      <c r="B144" t="s">
        <v>2624</v>
      </c>
      <c r="C144" t="s">
        <v>3156</v>
      </c>
      <c r="D144" s="8">
        <v>3.55</v>
      </c>
      <c r="E144" t="s">
        <v>3170</v>
      </c>
    </row>
    <row r="145" spans="1:5" x14ac:dyDescent="0.25">
      <c r="A145" t="s">
        <v>2625</v>
      </c>
      <c r="B145" t="s">
        <v>2626</v>
      </c>
      <c r="C145" t="s">
        <v>3156</v>
      </c>
      <c r="D145" s="8">
        <v>3.55</v>
      </c>
      <c r="E145" t="s">
        <v>3170</v>
      </c>
    </row>
    <row r="146" spans="1:5" x14ac:dyDescent="0.25">
      <c r="A146" t="s">
        <v>2627</v>
      </c>
      <c r="B146" t="s">
        <v>2628</v>
      </c>
      <c r="C146" t="s">
        <v>3156</v>
      </c>
      <c r="D146" s="8">
        <v>3.55</v>
      </c>
      <c r="E146" t="s">
        <v>3170</v>
      </c>
    </row>
    <row r="147" spans="1:5" x14ac:dyDescent="0.25">
      <c r="A147" t="s">
        <v>2629</v>
      </c>
      <c r="B147" t="s">
        <v>2630</v>
      </c>
      <c r="C147" t="s">
        <v>3156</v>
      </c>
      <c r="D147" s="8">
        <v>3.55</v>
      </c>
      <c r="E147" t="s">
        <v>3170</v>
      </c>
    </row>
    <row r="148" spans="1:5" x14ac:dyDescent="0.25">
      <c r="A148" t="s">
        <v>2631</v>
      </c>
      <c r="B148" t="s">
        <v>2632</v>
      </c>
      <c r="C148" t="s">
        <v>3156</v>
      </c>
      <c r="D148" s="8">
        <v>3.55</v>
      </c>
      <c r="E148" t="s">
        <v>3170</v>
      </c>
    </row>
    <row r="149" spans="1:5" x14ac:dyDescent="0.25">
      <c r="A149" t="s">
        <v>2633</v>
      </c>
      <c r="B149" t="s">
        <v>2634</v>
      </c>
      <c r="C149" t="s">
        <v>3156</v>
      </c>
      <c r="D149" s="8">
        <v>3.55</v>
      </c>
      <c r="E149" t="s">
        <v>3170</v>
      </c>
    </row>
    <row r="150" spans="1:5" x14ac:dyDescent="0.25">
      <c r="A150" t="s">
        <v>2635</v>
      </c>
      <c r="B150" t="s">
        <v>2636</v>
      </c>
      <c r="C150" t="s">
        <v>3156</v>
      </c>
      <c r="D150" s="8">
        <v>6.5</v>
      </c>
      <c r="E150" t="s">
        <v>3170</v>
      </c>
    </row>
    <row r="151" spans="1:5" x14ac:dyDescent="0.25">
      <c r="A151" t="s">
        <v>2637</v>
      </c>
      <c r="B151" t="s">
        <v>2638</v>
      </c>
      <c r="C151" t="s">
        <v>3156</v>
      </c>
      <c r="D151" s="8">
        <v>6.5</v>
      </c>
      <c r="E151" t="s">
        <v>3170</v>
      </c>
    </row>
    <row r="152" spans="1:5" x14ac:dyDescent="0.25">
      <c r="A152" t="s">
        <v>2639</v>
      </c>
      <c r="B152" t="s">
        <v>2640</v>
      </c>
      <c r="C152" t="s">
        <v>3156</v>
      </c>
      <c r="D152" s="8">
        <v>6.5</v>
      </c>
      <c r="E152" t="s">
        <v>3170</v>
      </c>
    </row>
    <row r="153" spans="1:5" x14ac:dyDescent="0.25">
      <c r="A153" t="s">
        <v>2641</v>
      </c>
      <c r="B153" t="s">
        <v>2642</v>
      </c>
      <c r="C153" t="s">
        <v>3156</v>
      </c>
      <c r="D153" s="8">
        <v>6.5</v>
      </c>
      <c r="E153" t="s">
        <v>3170</v>
      </c>
    </row>
    <row r="154" spans="1:5" x14ac:dyDescent="0.25">
      <c r="A154" t="s">
        <v>771</v>
      </c>
      <c r="B154" t="s">
        <v>772</v>
      </c>
      <c r="C154" t="s">
        <v>3156</v>
      </c>
      <c r="D154" s="8">
        <v>15.95</v>
      </c>
      <c r="E154" t="s">
        <v>3171</v>
      </c>
    </row>
    <row r="155" spans="1:5" x14ac:dyDescent="0.25">
      <c r="A155" t="s">
        <v>2643</v>
      </c>
      <c r="B155" t="s">
        <v>2644</v>
      </c>
      <c r="C155" t="s">
        <v>3156</v>
      </c>
      <c r="D155" s="8">
        <v>14.45</v>
      </c>
      <c r="E155" t="s">
        <v>3171</v>
      </c>
    </row>
    <row r="156" spans="1:5" x14ac:dyDescent="0.25">
      <c r="A156" t="s">
        <v>802</v>
      </c>
      <c r="B156" t="s">
        <v>803</v>
      </c>
      <c r="C156" t="s">
        <v>3156</v>
      </c>
      <c r="D156" s="8">
        <v>12.1</v>
      </c>
      <c r="E156" t="s">
        <v>3171</v>
      </c>
    </row>
    <row r="157" spans="1:5" x14ac:dyDescent="0.25">
      <c r="A157" t="s">
        <v>2645</v>
      </c>
      <c r="B157" t="s">
        <v>2646</v>
      </c>
      <c r="C157" t="s">
        <v>3156</v>
      </c>
      <c r="D157" s="8">
        <v>23.35</v>
      </c>
      <c r="E157" t="s">
        <v>3171</v>
      </c>
    </row>
    <row r="158" spans="1:5" x14ac:dyDescent="0.25">
      <c r="A158" t="s">
        <v>2647</v>
      </c>
      <c r="B158" t="s">
        <v>2648</v>
      </c>
      <c r="C158" t="s">
        <v>3156</v>
      </c>
      <c r="D158" s="8">
        <v>14.75</v>
      </c>
      <c r="E158" t="s">
        <v>3171</v>
      </c>
    </row>
    <row r="159" spans="1:5" x14ac:dyDescent="0.25">
      <c r="A159" t="s">
        <v>2649</v>
      </c>
      <c r="B159" t="s">
        <v>2650</v>
      </c>
      <c r="C159" t="s">
        <v>3156</v>
      </c>
      <c r="D159" s="8">
        <v>11.8</v>
      </c>
      <c r="E159" t="s">
        <v>3171</v>
      </c>
    </row>
    <row r="160" spans="1:5" x14ac:dyDescent="0.25">
      <c r="A160" t="s">
        <v>2651</v>
      </c>
      <c r="B160" t="s">
        <v>2652</v>
      </c>
      <c r="C160" t="s">
        <v>3156</v>
      </c>
      <c r="D160" s="8">
        <v>62.5</v>
      </c>
      <c r="E160" t="s">
        <v>3171</v>
      </c>
    </row>
    <row r="161" spans="1:5" x14ac:dyDescent="0.25">
      <c r="A161" t="s">
        <v>2679</v>
      </c>
      <c r="B161" t="s">
        <v>2680</v>
      </c>
      <c r="C161" t="s">
        <v>3156</v>
      </c>
      <c r="D161" s="8">
        <v>17.5</v>
      </c>
      <c r="E161" t="s">
        <v>3171</v>
      </c>
    </row>
    <row r="162" spans="1:5" x14ac:dyDescent="0.25">
      <c r="A162" t="s">
        <v>2681</v>
      </c>
      <c r="B162" t="s">
        <v>2682</v>
      </c>
      <c r="C162" t="s">
        <v>3156</v>
      </c>
      <c r="D162" s="8">
        <v>9.25</v>
      </c>
      <c r="E162" t="s">
        <v>3171</v>
      </c>
    </row>
    <row r="163" spans="1:5" x14ac:dyDescent="0.25">
      <c r="A163" t="s">
        <v>2683</v>
      </c>
      <c r="B163" t="s">
        <v>2684</v>
      </c>
      <c r="C163" t="s">
        <v>3156</v>
      </c>
      <c r="D163" s="8">
        <v>15.95</v>
      </c>
      <c r="E163" t="s">
        <v>3171</v>
      </c>
    </row>
    <row r="164" spans="1:5" x14ac:dyDescent="0.25">
      <c r="A164" t="s">
        <v>2653</v>
      </c>
      <c r="B164" t="s">
        <v>2654</v>
      </c>
      <c r="C164" t="s">
        <v>3156</v>
      </c>
      <c r="D164" s="8">
        <v>15.95</v>
      </c>
      <c r="E164" t="s">
        <v>3172</v>
      </c>
    </row>
    <row r="165" spans="1:5" x14ac:dyDescent="0.25">
      <c r="A165" t="s">
        <v>2655</v>
      </c>
      <c r="B165" t="s">
        <v>2656</v>
      </c>
      <c r="C165" t="s">
        <v>3156</v>
      </c>
      <c r="D165" s="8">
        <v>4.75</v>
      </c>
      <c r="E165" t="s">
        <v>3172</v>
      </c>
    </row>
    <row r="166" spans="1:5" x14ac:dyDescent="0.25">
      <c r="A166" t="s">
        <v>2803</v>
      </c>
      <c r="B166" t="s">
        <v>2804</v>
      </c>
      <c r="C166" t="s">
        <v>3156</v>
      </c>
      <c r="D166" s="8">
        <v>10.6</v>
      </c>
      <c r="E166" t="s">
        <v>3172</v>
      </c>
    </row>
    <row r="167" spans="1:5" x14ac:dyDescent="0.25">
      <c r="A167" t="s">
        <v>2805</v>
      </c>
      <c r="B167" t="s">
        <v>2806</v>
      </c>
      <c r="C167" t="s">
        <v>3156</v>
      </c>
      <c r="D167" s="8">
        <v>10.6</v>
      </c>
      <c r="E167" t="s">
        <v>3172</v>
      </c>
    </row>
    <row r="168" spans="1:5" x14ac:dyDescent="0.25">
      <c r="A168" t="s">
        <v>2807</v>
      </c>
      <c r="B168" t="s">
        <v>2808</v>
      </c>
      <c r="C168" t="s">
        <v>3156</v>
      </c>
      <c r="D168" s="8">
        <v>10.6</v>
      </c>
      <c r="E168" t="s">
        <v>3172</v>
      </c>
    </row>
    <row r="169" spans="1:5" x14ac:dyDescent="0.25">
      <c r="A169" t="s">
        <v>2809</v>
      </c>
      <c r="B169" t="s">
        <v>2810</v>
      </c>
      <c r="C169" t="s">
        <v>3156</v>
      </c>
      <c r="D169" s="8">
        <v>10.6</v>
      </c>
      <c r="E169" t="s">
        <v>3172</v>
      </c>
    </row>
    <row r="170" spans="1:5" x14ac:dyDescent="0.25">
      <c r="A170" t="s">
        <v>2811</v>
      </c>
      <c r="B170" t="s">
        <v>2812</v>
      </c>
      <c r="C170" t="s">
        <v>3156</v>
      </c>
      <c r="D170" s="8">
        <v>29.45</v>
      </c>
      <c r="E170" t="s">
        <v>3172</v>
      </c>
    </row>
    <row r="171" spans="1:5" x14ac:dyDescent="0.25">
      <c r="A171" t="s">
        <v>2657</v>
      </c>
      <c r="B171" t="s">
        <v>2658</v>
      </c>
      <c r="C171" t="s">
        <v>3156</v>
      </c>
      <c r="D171" s="8">
        <v>1.8</v>
      </c>
      <c r="E171" t="s">
        <v>3173</v>
      </c>
    </row>
    <row r="172" spans="1:5" x14ac:dyDescent="0.25">
      <c r="A172" t="s">
        <v>2659</v>
      </c>
      <c r="B172" t="s">
        <v>2660</v>
      </c>
      <c r="C172" t="s">
        <v>3156</v>
      </c>
      <c r="D172" s="8">
        <v>1.8</v>
      </c>
      <c r="E172" t="s">
        <v>3173</v>
      </c>
    </row>
    <row r="173" spans="1:5" x14ac:dyDescent="0.25">
      <c r="A173" t="s">
        <v>2661</v>
      </c>
      <c r="B173" t="s">
        <v>2662</v>
      </c>
      <c r="C173" t="s">
        <v>3156</v>
      </c>
      <c r="D173" s="8">
        <v>1.8</v>
      </c>
      <c r="E173" t="s">
        <v>3173</v>
      </c>
    </row>
    <row r="174" spans="1:5" x14ac:dyDescent="0.25">
      <c r="A174" t="s">
        <v>2663</v>
      </c>
      <c r="B174" t="s">
        <v>2664</v>
      </c>
      <c r="C174" t="s">
        <v>3156</v>
      </c>
      <c r="D174" s="8">
        <v>1.8</v>
      </c>
      <c r="E174" t="s">
        <v>3173</v>
      </c>
    </row>
    <row r="175" spans="1:5" x14ac:dyDescent="0.25">
      <c r="A175" t="s">
        <v>2665</v>
      </c>
      <c r="B175" t="s">
        <v>2666</v>
      </c>
      <c r="C175" t="s">
        <v>3156</v>
      </c>
      <c r="D175" s="8">
        <v>1.8</v>
      </c>
      <c r="E175" t="s">
        <v>3173</v>
      </c>
    </row>
    <row r="176" spans="1:5" x14ac:dyDescent="0.25">
      <c r="A176" t="s">
        <v>2667</v>
      </c>
      <c r="B176" t="s">
        <v>2668</v>
      </c>
      <c r="C176" t="s">
        <v>3156</v>
      </c>
      <c r="D176" s="8">
        <v>1.8</v>
      </c>
      <c r="E176" t="s">
        <v>3173</v>
      </c>
    </row>
    <row r="177" spans="1:5" x14ac:dyDescent="0.25">
      <c r="A177" t="s">
        <v>2669</v>
      </c>
      <c r="B177" t="s">
        <v>2670</v>
      </c>
      <c r="C177" t="s">
        <v>3156</v>
      </c>
      <c r="D177" s="8">
        <v>1.8</v>
      </c>
      <c r="E177" t="s">
        <v>3173</v>
      </c>
    </row>
    <row r="178" spans="1:5" x14ac:dyDescent="0.25">
      <c r="A178" t="s">
        <v>2671</v>
      </c>
      <c r="B178" t="s">
        <v>2672</v>
      </c>
      <c r="C178" t="s">
        <v>3156</v>
      </c>
      <c r="D178" s="8">
        <v>1.8</v>
      </c>
      <c r="E178" t="s">
        <v>3173</v>
      </c>
    </row>
    <row r="179" spans="1:5" x14ac:dyDescent="0.25">
      <c r="A179" t="s">
        <v>2673</v>
      </c>
      <c r="B179" t="s">
        <v>2674</v>
      </c>
      <c r="C179" t="s">
        <v>3156</v>
      </c>
      <c r="D179" s="8">
        <v>1.8</v>
      </c>
      <c r="E179" t="s">
        <v>3173</v>
      </c>
    </row>
    <row r="180" spans="1:5" x14ac:dyDescent="0.25">
      <c r="A180" t="s">
        <v>2675</v>
      </c>
      <c r="B180" t="s">
        <v>2676</v>
      </c>
      <c r="C180" t="s">
        <v>3156</v>
      </c>
      <c r="D180" s="8">
        <v>1.8</v>
      </c>
      <c r="E180" t="s">
        <v>3173</v>
      </c>
    </row>
    <row r="181" spans="1:5" x14ac:dyDescent="0.25">
      <c r="A181" t="s">
        <v>2677</v>
      </c>
      <c r="B181" t="s">
        <v>2678</v>
      </c>
      <c r="C181" t="s">
        <v>3156</v>
      </c>
      <c r="D181" s="8">
        <v>1.8</v>
      </c>
      <c r="E181" t="s">
        <v>3173</v>
      </c>
    </row>
    <row r="182" spans="1:5" x14ac:dyDescent="0.25">
      <c r="A182" t="s">
        <v>904</v>
      </c>
      <c r="B182" t="s">
        <v>905</v>
      </c>
      <c r="C182" t="s">
        <v>3156</v>
      </c>
      <c r="D182" s="8">
        <v>15.95</v>
      </c>
      <c r="E182" t="s">
        <v>3174</v>
      </c>
    </row>
    <row r="183" spans="1:5" x14ac:dyDescent="0.25">
      <c r="A183" t="s">
        <v>914</v>
      </c>
      <c r="B183" t="s">
        <v>915</v>
      </c>
      <c r="C183" t="s">
        <v>3156</v>
      </c>
      <c r="D183" s="8">
        <v>13.3</v>
      </c>
      <c r="E183" t="s">
        <v>3174</v>
      </c>
    </row>
    <row r="184" spans="1:5" x14ac:dyDescent="0.25">
      <c r="A184" t="s">
        <v>2685</v>
      </c>
      <c r="B184" t="s">
        <v>2686</v>
      </c>
      <c r="C184" t="s">
        <v>3156</v>
      </c>
      <c r="D184" s="8">
        <v>13.3</v>
      </c>
      <c r="E184" t="s">
        <v>3174</v>
      </c>
    </row>
    <row r="185" spans="1:5" x14ac:dyDescent="0.25">
      <c r="A185" t="s">
        <v>917</v>
      </c>
      <c r="B185" t="s">
        <v>918</v>
      </c>
      <c r="C185" t="s">
        <v>3156</v>
      </c>
      <c r="D185" s="8">
        <v>11.55</v>
      </c>
      <c r="E185" t="s">
        <v>3174</v>
      </c>
    </row>
    <row r="186" spans="1:5" x14ac:dyDescent="0.25">
      <c r="A186" t="s">
        <v>930</v>
      </c>
      <c r="B186" t="s">
        <v>931</v>
      </c>
      <c r="C186" t="s">
        <v>3156</v>
      </c>
      <c r="D186" s="8">
        <v>18.600000000000001</v>
      </c>
      <c r="E186" t="s">
        <v>3174</v>
      </c>
    </row>
    <row r="187" spans="1:5" x14ac:dyDescent="0.25">
      <c r="A187" t="s">
        <v>922</v>
      </c>
      <c r="B187" t="s">
        <v>923</v>
      </c>
      <c r="C187" t="s">
        <v>3156</v>
      </c>
      <c r="D187" s="8">
        <v>53.05</v>
      </c>
      <c r="E187" t="s">
        <v>3174</v>
      </c>
    </row>
    <row r="188" spans="1:5" x14ac:dyDescent="0.25">
      <c r="A188" t="s">
        <v>1058</v>
      </c>
      <c r="B188" t="s">
        <v>1059</v>
      </c>
      <c r="C188" t="s">
        <v>3156</v>
      </c>
      <c r="D188" s="8">
        <v>9.5</v>
      </c>
      <c r="E188" t="s">
        <v>3174</v>
      </c>
    </row>
    <row r="189" spans="1:5" x14ac:dyDescent="0.25">
      <c r="A189" t="s">
        <v>2687</v>
      </c>
      <c r="B189" t="s">
        <v>2688</v>
      </c>
      <c r="C189" t="s">
        <v>3156</v>
      </c>
      <c r="D189" s="8">
        <v>15.1</v>
      </c>
      <c r="E189" t="s">
        <v>3174</v>
      </c>
    </row>
    <row r="190" spans="1:5" x14ac:dyDescent="0.25">
      <c r="A190" t="s">
        <v>2689</v>
      </c>
      <c r="B190" t="s">
        <v>2690</v>
      </c>
      <c r="C190" t="s">
        <v>3156</v>
      </c>
      <c r="D190" s="8">
        <v>20.100000000000001</v>
      </c>
      <c r="E190" t="s">
        <v>3174</v>
      </c>
    </row>
    <row r="191" spans="1:5" x14ac:dyDescent="0.25">
      <c r="A191" t="s">
        <v>2691</v>
      </c>
      <c r="B191" t="s">
        <v>2692</v>
      </c>
      <c r="C191" t="s">
        <v>3156</v>
      </c>
      <c r="D191" s="8">
        <v>25.35</v>
      </c>
      <c r="E191" t="s">
        <v>3174</v>
      </c>
    </row>
    <row r="192" spans="1:5" x14ac:dyDescent="0.25">
      <c r="A192" t="s">
        <v>2693</v>
      </c>
      <c r="B192" t="s">
        <v>2694</v>
      </c>
      <c r="C192" t="s">
        <v>3156</v>
      </c>
      <c r="D192" s="8">
        <v>30.4</v>
      </c>
      <c r="E192" t="s">
        <v>3174</v>
      </c>
    </row>
    <row r="193" spans="1:5" x14ac:dyDescent="0.25">
      <c r="A193" t="s">
        <v>2695</v>
      </c>
      <c r="B193" t="s">
        <v>2696</v>
      </c>
      <c r="C193" t="s">
        <v>3156</v>
      </c>
      <c r="D193" s="8">
        <v>35.4</v>
      </c>
      <c r="E193" t="s">
        <v>3174</v>
      </c>
    </row>
    <row r="194" spans="1:5" x14ac:dyDescent="0.25">
      <c r="A194" t="s">
        <v>2697</v>
      </c>
      <c r="B194" t="s">
        <v>2698</v>
      </c>
      <c r="C194" t="s">
        <v>3156</v>
      </c>
      <c r="D194" s="8">
        <v>17.649999999999999</v>
      </c>
      <c r="E194" t="s">
        <v>3174</v>
      </c>
    </row>
    <row r="195" spans="1:5" x14ac:dyDescent="0.25">
      <c r="A195" t="s">
        <v>2699</v>
      </c>
      <c r="B195" t="s">
        <v>2700</v>
      </c>
      <c r="C195" t="s">
        <v>3156</v>
      </c>
      <c r="D195" s="8">
        <v>17.649999999999999</v>
      </c>
      <c r="E195" t="s">
        <v>3174</v>
      </c>
    </row>
    <row r="196" spans="1:5" x14ac:dyDescent="0.25">
      <c r="A196" t="s">
        <v>3175</v>
      </c>
      <c r="B196" t="s">
        <v>3176</v>
      </c>
      <c r="C196" t="s">
        <v>3156</v>
      </c>
      <c r="D196" s="8">
        <v>15.95</v>
      </c>
      <c r="E196" t="s">
        <v>3174</v>
      </c>
    </row>
    <row r="197" spans="1:5" x14ac:dyDescent="0.25">
      <c r="A197" t="s">
        <v>2701</v>
      </c>
      <c r="B197" t="s">
        <v>2702</v>
      </c>
      <c r="C197" t="s">
        <v>3156</v>
      </c>
      <c r="D197" s="8">
        <v>1.65</v>
      </c>
      <c r="E197" t="s">
        <v>3174</v>
      </c>
    </row>
    <row r="198" spans="1:5" x14ac:dyDescent="0.25">
      <c r="A198" t="s">
        <v>2703</v>
      </c>
      <c r="B198" t="s">
        <v>2704</v>
      </c>
      <c r="C198" t="s">
        <v>3156</v>
      </c>
      <c r="D198" s="8">
        <v>2.2000000000000002</v>
      </c>
      <c r="E198" t="s">
        <v>3174</v>
      </c>
    </row>
    <row r="199" spans="1:5" x14ac:dyDescent="0.25">
      <c r="A199" t="s">
        <v>2705</v>
      </c>
      <c r="B199" t="s">
        <v>2706</v>
      </c>
      <c r="C199" t="s">
        <v>3156</v>
      </c>
      <c r="D199" s="8">
        <v>3.55</v>
      </c>
      <c r="E199" t="s">
        <v>3022</v>
      </c>
    </row>
    <row r="200" spans="1:5" x14ac:dyDescent="0.25">
      <c r="A200" t="s">
        <v>2707</v>
      </c>
      <c r="B200" t="s">
        <v>2708</v>
      </c>
      <c r="C200" t="s">
        <v>3156</v>
      </c>
      <c r="D200" s="8">
        <v>3.55</v>
      </c>
      <c r="E200" t="s">
        <v>3022</v>
      </c>
    </row>
    <row r="201" spans="1:5" x14ac:dyDescent="0.25">
      <c r="A201" t="s">
        <v>2709</v>
      </c>
      <c r="B201" t="s">
        <v>2710</v>
      </c>
      <c r="C201" t="s">
        <v>3156</v>
      </c>
      <c r="D201" s="8">
        <v>3.55</v>
      </c>
      <c r="E201" t="s">
        <v>3022</v>
      </c>
    </row>
    <row r="202" spans="1:5" x14ac:dyDescent="0.25">
      <c r="A202" t="s">
        <v>2711</v>
      </c>
      <c r="B202" t="s">
        <v>2712</v>
      </c>
      <c r="C202" t="s">
        <v>3156</v>
      </c>
      <c r="D202" s="8">
        <v>3.55</v>
      </c>
      <c r="E202" t="s">
        <v>3022</v>
      </c>
    </row>
    <row r="203" spans="1:5" x14ac:dyDescent="0.25">
      <c r="A203" t="s">
        <v>2713</v>
      </c>
      <c r="B203" t="s">
        <v>2714</v>
      </c>
      <c r="C203" t="s">
        <v>3156</v>
      </c>
      <c r="D203" s="8">
        <v>3.55</v>
      </c>
      <c r="E203" t="s">
        <v>3022</v>
      </c>
    </row>
    <row r="204" spans="1:5" x14ac:dyDescent="0.25">
      <c r="A204" t="s">
        <v>2715</v>
      </c>
      <c r="B204" t="s">
        <v>2716</v>
      </c>
      <c r="C204" t="s">
        <v>3156</v>
      </c>
      <c r="D204" s="8">
        <v>3.55</v>
      </c>
      <c r="E204" t="s">
        <v>3022</v>
      </c>
    </row>
    <row r="205" spans="1:5" x14ac:dyDescent="0.25">
      <c r="A205" t="s">
        <v>2717</v>
      </c>
      <c r="B205" t="s">
        <v>2718</v>
      </c>
      <c r="C205" t="s">
        <v>3156</v>
      </c>
      <c r="D205" s="8">
        <v>3.55</v>
      </c>
      <c r="E205" t="s">
        <v>3022</v>
      </c>
    </row>
    <row r="206" spans="1:5" x14ac:dyDescent="0.25">
      <c r="A206" t="s">
        <v>2719</v>
      </c>
      <c r="B206" t="s">
        <v>2720</v>
      </c>
      <c r="C206" t="s">
        <v>3156</v>
      </c>
      <c r="D206" s="8">
        <v>3.55</v>
      </c>
      <c r="E206" t="s">
        <v>3022</v>
      </c>
    </row>
    <row r="207" spans="1:5" x14ac:dyDescent="0.25">
      <c r="A207" t="s">
        <v>2721</v>
      </c>
      <c r="B207" t="s">
        <v>2722</v>
      </c>
      <c r="C207" t="s">
        <v>3156</v>
      </c>
      <c r="D207" s="8">
        <v>3.55</v>
      </c>
      <c r="E207" t="s">
        <v>3022</v>
      </c>
    </row>
    <row r="208" spans="1:5" x14ac:dyDescent="0.25">
      <c r="A208" t="s">
        <v>2723</v>
      </c>
      <c r="B208" t="s">
        <v>2724</v>
      </c>
      <c r="C208" t="s">
        <v>3156</v>
      </c>
      <c r="D208" s="8">
        <v>3.55</v>
      </c>
      <c r="E208" t="s">
        <v>3022</v>
      </c>
    </row>
    <row r="209" spans="1:5" x14ac:dyDescent="0.25">
      <c r="A209" t="s">
        <v>2725</v>
      </c>
      <c r="B209" t="s">
        <v>2726</v>
      </c>
      <c r="C209" t="s">
        <v>3156</v>
      </c>
      <c r="D209" s="8">
        <v>3.55</v>
      </c>
      <c r="E209" t="s">
        <v>3022</v>
      </c>
    </row>
    <row r="210" spans="1:5" x14ac:dyDescent="0.25">
      <c r="A210" t="s">
        <v>2727</v>
      </c>
      <c r="B210" t="s">
        <v>2728</v>
      </c>
      <c r="C210" t="s">
        <v>3156</v>
      </c>
      <c r="D210" s="8">
        <v>3.55</v>
      </c>
      <c r="E210" t="s">
        <v>3022</v>
      </c>
    </row>
    <row r="211" spans="1:5" x14ac:dyDescent="0.25">
      <c r="A211" t="s">
        <v>2729</v>
      </c>
      <c r="B211" t="s">
        <v>2730</v>
      </c>
      <c r="C211" t="s">
        <v>3156</v>
      </c>
      <c r="D211" s="8">
        <v>3.55</v>
      </c>
      <c r="E211" t="s">
        <v>3022</v>
      </c>
    </row>
    <row r="212" spans="1:5" x14ac:dyDescent="0.25">
      <c r="A212" t="s">
        <v>2731</v>
      </c>
      <c r="B212" t="s">
        <v>2732</v>
      </c>
      <c r="C212" t="s">
        <v>3156</v>
      </c>
      <c r="D212" s="8">
        <v>3.55</v>
      </c>
      <c r="E212" t="s">
        <v>3022</v>
      </c>
    </row>
    <row r="213" spans="1:5" x14ac:dyDescent="0.25">
      <c r="A213" t="s">
        <v>2733</v>
      </c>
      <c r="B213" t="s">
        <v>2734</v>
      </c>
      <c r="C213" t="s">
        <v>3156</v>
      </c>
      <c r="D213" s="8">
        <v>3.55</v>
      </c>
      <c r="E213" t="s">
        <v>3022</v>
      </c>
    </row>
    <row r="214" spans="1:5" x14ac:dyDescent="0.25">
      <c r="A214" t="s">
        <v>2735</v>
      </c>
      <c r="B214" t="s">
        <v>2736</v>
      </c>
      <c r="C214" t="s">
        <v>3156</v>
      </c>
      <c r="D214" s="8">
        <v>3.55</v>
      </c>
      <c r="E214" t="s">
        <v>3022</v>
      </c>
    </row>
    <row r="215" spans="1:5" x14ac:dyDescent="0.25">
      <c r="A215" t="s">
        <v>2737</v>
      </c>
      <c r="B215" t="s">
        <v>2738</v>
      </c>
      <c r="C215" t="s">
        <v>3156</v>
      </c>
      <c r="D215" s="8">
        <v>3.55</v>
      </c>
      <c r="E215" t="s">
        <v>3022</v>
      </c>
    </row>
    <row r="216" spans="1:5" x14ac:dyDescent="0.25">
      <c r="A216" t="s">
        <v>2739</v>
      </c>
      <c r="B216" t="s">
        <v>2740</v>
      </c>
      <c r="C216" t="s">
        <v>3156</v>
      </c>
      <c r="D216" s="8">
        <v>3.55</v>
      </c>
      <c r="E216" t="s">
        <v>3022</v>
      </c>
    </row>
    <row r="217" spans="1:5" x14ac:dyDescent="0.25">
      <c r="A217" t="s">
        <v>2741</v>
      </c>
      <c r="B217" t="s">
        <v>2742</v>
      </c>
      <c r="C217" t="s">
        <v>3156</v>
      </c>
      <c r="D217" s="8">
        <v>3.55</v>
      </c>
      <c r="E217" t="s">
        <v>3022</v>
      </c>
    </row>
    <row r="218" spans="1:5" x14ac:dyDescent="0.25">
      <c r="A218" t="s">
        <v>2743</v>
      </c>
      <c r="B218" t="s">
        <v>2744</v>
      </c>
      <c r="C218" t="s">
        <v>3156</v>
      </c>
      <c r="D218" s="8">
        <v>3.55</v>
      </c>
      <c r="E218" t="s">
        <v>3022</v>
      </c>
    </row>
    <row r="219" spans="1:5" x14ac:dyDescent="0.25">
      <c r="A219" t="s">
        <v>2745</v>
      </c>
      <c r="B219" t="s">
        <v>2746</v>
      </c>
      <c r="C219" t="s">
        <v>3156</v>
      </c>
      <c r="D219" s="8">
        <v>3.55</v>
      </c>
      <c r="E219" t="s">
        <v>3022</v>
      </c>
    </row>
    <row r="220" spans="1:5" x14ac:dyDescent="0.25">
      <c r="A220" t="s">
        <v>2747</v>
      </c>
      <c r="B220" t="s">
        <v>2748</v>
      </c>
      <c r="C220" t="s">
        <v>3156</v>
      </c>
      <c r="D220" s="8">
        <v>3.55</v>
      </c>
      <c r="E220" t="s">
        <v>3022</v>
      </c>
    </row>
    <row r="221" spans="1:5" x14ac:dyDescent="0.25">
      <c r="A221" t="s">
        <v>1731</v>
      </c>
      <c r="B221" t="s">
        <v>1732</v>
      </c>
      <c r="C221" t="s">
        <v>3156</v>
      </c>
      <c r="D221" s="8">
        <v>19.8</v>
      </c>
      <c r="E221" t="s">
        <v>3177</v>
      </c>
    </row>
    <row r="222" spans="1:5" x14ac:dyDescent="0.25">
      <c r="A222" t="s">
        <v>1740</v>
      </c>
      <c r="B222" t="s">
        <v>1741</v>
      </c>
      <c r="C222" t="s">
        <v>3156</v>
      </c>
      <c r="D222" s="8">
        <v>10.050000000000001</v>
      </c>
      <c r="E222" t="s">
        <v>3177</v>
      </c>
    </row>
    <row r="223" spans="1:5" x14ac:dyDescent="0.25">
      <c r="A223" t="s">
        <v>1734</v>
      </c>
      <c r="B223" t="s">
        <v>1735</v>
      </c>
      <c r="C223" t="s">
        <v>3156</v>
      </c>
      <c r="D223" s="8">
        <v>3.55</v>
      </c>
      <c r="E223" t="s">
        <v>3177</v>
      </c>
    </row>
    <row r="224" spans="1:5" x14ac:dyDescent="0.25">
      <c r="A224" t="s">
        <v>1202</v>
      </c>
      <c r="B224" t="s">
        <v>1203</v>
      </c>
      <c r="C224" t="s">
        <v>3156</v>
      </c>
      <c r="D224" s="8">
        <v>20.65</v>
      </c>
      <c r="E224" t="s">
        <v>3178</v>
      </c>
    </row>
    <row r="225" spans="1:5" x14ac:dyDescent="0.25">
      <c r="A225" t="s">
        <v>2755</v>
      </c>
      <c r="B225" t="s">
        <v>2756</v>
      </c>
      <c r="C225" t="s">
        <v>3156</v>
      </c>
      <c r="D225" s="8">
        <v>14.75</v>
      </c>
      <c r="E225" t="s">
        <v>3178</v>
      </c>
    </row>
    <row r="226" spans="1:5" x14ac:dyDescent="0.25">
      <c r="A226" t="s">
        <v>1369</v>
      </c>
      <c r="B226" t="s">
        <v>1370</v>
      </c>
      <c r="C226" t="s">
        <v>3156</v>
      </c>
      <c r="D226" s="8">
        <v>10.050000000000001</v>
      </c>
      <c r="E226" t="s">
        <v>3024</v>
      </c>
    </row>
    <row r="227" spans="1:5" x14ac:dyDescent="0.25">
      <c r="A227" t="s">
        <v>1365</v>
      </c>
      <c r="B227" t="s">
        <v>1366</v>
      </c>
      <c r="C227" t="s">
        <v>3156</v>
      </c>
      <c r="D227" s="8">
        <v>8.5500000000000007</v>
      </c>
      <c r="E227" t="s">
        <v>3024</v>
      </c>
    </row>
    <row r="228" spans="1:5" x14ac:dyDescent="0.25">
      <c r="A228" t="s">
        <v>2765</v>
      </c>
      <c r="B228" t="s">
        <v>2766</v>
      </c>
      <c r="C228" t="s">
        <v>3156</v>
      </c>
      <c r="D228" s="8">
        <v>8.5500000000000007</v>
      </c>
      <c r="E228" t="s">
        <v>3024</v>
      </c>
    </row>
    <row r="229" spans="1:5" x14ac:dyDescent="0.25">
      <c r="A229" t="s">
        <v>2767</v>
      </c>
      <c r="B229" t="s">
        <v>2768</v>
      </c>
      <c r="C229" t="s">
        <v>3156</v>
      </c>
      <c r="D229" s="8">
        <v>8.5500000000000007</v>
      </c>
      <c r="E229" t="s">
        <v>3024</v>
      </c>
    </row>
    <row r="230" spans="1:5" x14ac:dyDescent="0.25">
      <c r="A230" t="s">
        <v>2769</v>
      </c>
      <c r="B230" t="s">
        <v>2770</v>
      </c>
      <c r="C230" t="s">
        <v>3156</v>
      </c>
      <c r="D230" s="8">
        <v>8.5500000000000007</v>
      </c>
      <c r="E230" t="s">
        <v>3024</v>
      </c>
    </row>
    <row r="231" spans="1:5" x14ac:dyDescent="0.25">
      <c r="A231" t="s">
        <v>2771</v>
      </c>
      <c r="B231" t="s">
        <v>2772</v>
      </c>
      <c r="C231" t="s">
        <v>3156</v>
      </c>
      <c r="D231" s="8">
        <v>8.5500000000000007</v>
      </c>
      <c r="E231" t="s">
        <v>3024</v>
      </c>
    </row>
    <row r="232" spans="1:5" x14ac:dyDescent="0.25">
      <c r="A232" t="s">
        <v>2773</v>
      </c>
      <c r="B232" t="s">
        <v>2774</v>
      </c>
      <c r="C232" t="s">
        <v>3156</v>
      </c>
      <c r="D232" s="8">
        <v>8.5500000000000007</v>
      </c>
      <c r="E232" t="s">
        <v>3024</v>
      </c>
    </row>
    <row r="233" spans="1:5" x14ac:dyDescent="0.25">
      <c r="A233" t="s">
        <v>2775</v>
      </c>
      <c r="B233" t="s">
        <v>2776</v>
      </c>
      <c r="C233" t="s">
        <v>3156</v>
      </c>
      <c r="D233" s="8">
        <v>8.5500000000000007</v>
      </c>
      <c r="E233" t="s">
        <v>3024</v>
      </c>
    </row>
    <row r="234" spans="1:5" x14ac:dyDescent="0.25">
      <c r="A234" t="s">
        <v>1375</v>
      </c>
      <c r="B234" t="s">
        <v>1376</v>
      </c>
      <c r="C234" t="s">
        <v>3156</v>
      </c>
      <c r="D234" s="8">
        <v>14.45</v>
      </c>
      <c r="E234" t="s">
        <v>3024</v>
      </c>
    </row>
    <row r="235" spans="1:5" x14ac:dyDescent="0.25">
      <c r="A235" t="s">
        <v>2777</v>
      </c>
      <c r="B235" t="s">
        <v>2778</v>
      </c>
      <c r="C235" t="s">
        <v>3156</v>
      </c>
      <c r="D235" s="8">
        <v>9.5</v>
      </c>
      <c r="E235" t="s">
        <v>3024</v>
      </c>
    </row>
    <row r="236" spans="1:5" x14ac:dyDescent="0.25">
      <c r="A236" t="s">
        <v>3179</v>
      </c>
      <c r="B236" t="s">
        <v>3180</v>
      </c>
      <c r="C236" t="s">
        <v>3156</v>
      </c>
      <c r="D236" s="8">
        <v>9.5</v>
      </c>
      <c r="E236" t="s">
        <v>3024</v>
      </c>
    </row>
    <row r="237" spans="1:5" x14ac:dyDescent="0.25">
      <c r="A237" t="s">
        <v>2779</v>
      </c>
      <c r="B237" t="s">
        <v>2780</v>
      </c>
      <c r="C237" t="s">
        <v>3156</v>
      </c>
      <c r="D237" s="8">
        <v>9.5</v>
      </c>
      <c r="E237" t="s">
        <v>3024</v>
      </c>
    </row>
    <row r="238" spans="1:5" x14ac:dyDescent="0.25">
      <c r="A238" t="s">
        <v>2781</v>
      </c>
      <c r="B238" t="s">
        <v>2782</v>
      </c>
      <c r="C238" t="s">
        <v>3156</v>
      </c>
      <c r="D238" s="8">
        <v>9.5</v>
      </c>
      <c r="E238" t="s">
        <v>3024</v>
      </c>
    </row>
    <row r="239" spans="1:5" x14ac:dyDescent="0.25">
      <c r="A239" t="s">
        <v>2783</v>
      </c>
      <c r="B239" t="s">
        <v>2784</v>
      </c>
      <c r="C239" t="s">
        <v>3156</v>
      </c>
      <c r="D239" s="8">
        <v>14.45</v>
      </c>
      <c r="E239" t="s">
        <v>3024</v>
      </c>
    </row>
    <row r="240" spans="1:5" x14ac:dyDescent="0.25">
      <c r="A240" t="s">
        <v>2785</v>
      </c>
      <c r="B240" t="s">
        <v>2786</v>
      </c>
      <c r="C240" t="s">
        <v>3156</v>
      </c>
      <c r="D240" s="8">
        <v>10.050000000000001</v>
      </c>
      <c r="E240" t="s">
        <v>3024</v>
      </c>
    </row>
    <row r="241" spans="1:5" x14ac:dyDescent="0.25">
      <c r="A241" t="s">
        <v>2787</v>
      </c>
      <c r="B241" t="s">
        <v>2788</v>
      </c>
      <c r="C241" t="s">
        <v>3156</v>
      </c>
      <c r="D241" s="8">
        <v>9.5</v>
      </c>
      <c r="E241" t="s">
        <v>3024</v>
      </c>
    </row>
    <row r="242" spans="1:5" x14ac:dyDescent="0.25">
      <c r="A242" t="s">
        <v>2789</v>
      </c>
      <c r="B242" t="s">
        <v>2790</v>
      </c>
      <c r="C242" t="s">
        <v>3156</v>
      </c>
      <c r="D242" s="8">
        <v>9.5</v>
      </c>
      <c r="E242" t="s">
        <v>3024</v>
      </c>
    </row>
    <row r="243" spans="1:5" x14ac:dyDescent="0.25">
      <c r="A243" t="s">
        <v>2791</v>
      </c>
      <c r="B243" t="s">
        <v>2792</v>
      </c>
      <c r="C243" t="s">
        <v>3156</v>
      </c>
      <c r="D243" s="8">
        <v>9.5</v>
      </c>
      <c r="E243" t="s">
        <v>3024</v>
      </c>
    </row>
    <row r="244" spans="1:5" x14ac:dyDescent="0.25">
      <c r="A244" t="s">
        <v>2793</v>
      </c>
      <c r="B244" t="s">
        <v>2794</v>
      </c>
      <c r="C244" t="s">
        <v>3156</v>
      </c>
      <c r="D244" s="8">
        <v>10.3</v>
      </c>
      <c r="E244" t="s">
        <v>3024</v>
      </c>
    </row>
    <row r="245" spans="1:5" x14ac:dyDescent="0.25">
      <c r="A245" t="s">
        <v>2795</v>
      </c>
      <c r="B245" t="s">
        <v>2796</v>
      </c>
      <c r="C245" t="s">
        <v>3156</v>
      </c>
      <c r="D245" s="8">
        <v>20.6</v>
      </c>
      <c r="E245" t="s">
        <v>3024</v>
      </c>
    </row>
    <row r="246" spans="1:5" x14ac:dyDescent="0.25">
      <c r="A246" t="s">
        <v>2797</v>
      </c>
      <c r="B246" t="s">
        <v>2798</v>
      </c>
      <c r="C246" t="s">
        <v>3156</v>
      </c>
      <c r="D246" s="8">
        <v>20.6</v>
      </c>
      <c r="E246" t="s">
        <v>3024</v>
      </c>
    </row>
    <row r="247" spans="1:5" x14ac:dyDescent="0.25">
      <c r="A247" t="s">
        <v>2002</v>
      </c>
      <c r="B247" t="s">
        <v>2003</v>
      </c>
      <c r="C247" t="s">
        <v>3156</v>
      </c>
      <c r="D247" s="8">
        <v>17.399999999999999</v>
      </c>
      <c r="E247" t="s">
        <v>3181</v>
      </c>
    </row>
    <row r="248" spans="1:5" x14ac:dyDescent="0.25">
      <c r="A248" t="s">
        <v>2799</v>
      </c>
      <c r="B248" t="s">
        <v>2800</v>
      </c>
      <c r="C248" t="s">
        <v>3156</v>
      </c>
      <c r="D248" s="8">
        <v>17.399999999999999</v>
      </c>
      <c r="E248" t="s">
        <v>3181</v>
      </c>
    </row>
    <row r="249" spans="1:5" x14ac:dyDescent="0.25">
      <c r="A249" t="s">
        <v>2801</v>
      </c>
      <c r="B249" t="s">
        <v>2802</v>
      </c>
      <c r="C249" t="s">
        <v>3156</v>
      </c>
      <c r="D249" s="8">
        <v>17.399999999999999</v>
      </c>
      <c r="E249" t="s">
        <v>3181</v>
      </c>
    </row>
    <row r="250" spans="1:5" x14ac:dyDescent="0.25">
      <c r="A250" t="s">
        <v>1951</v>
      </c>
      <c r="B250" t="s">
        <v>1952</v>
      </c>
      <c r="C250" t="s">
        <v>3156</v>
      </c>
      <c r="D250" s="8">
        <v>5.35</v>
      </c>
      <c r="E250" t="s">
        <v>3026</v>
      </c>
    </row>
    <row r="251" spans="1:5" x14ac:dyDescent="0.25">
      <c r="A251" t="s">
        <v>1945</v>
      </c>
      <c r="B251" t="s">
        <v>1946</v>
      </c>
      <c r="C251" t="s">
        <v>3156</v>
      </c>
      <c r="D251" s="8">
        <v>5.6</v>
      </c>
      <c r="E251" t="s">
        <v>3026</v>
      </c>
    </row>
    <row r="252" spans="1:5" x14ac:dyDescent="0.25">
      <c r="A252" t="s">
        <v>2813</v>
      </c>
      <c r="B252" t="s">
        <v>2814</v>
      </c>
      <c r="C252" t="s">
        <v>3156</v>
      </c>
      <c r="D252" s="8">
        <v>5.35</v>
      </c>
      <c r="E252" t="s">
        <v>3026</v>
      </c>
    </row>
    <row r="253" spans="1:5" x14ac:dyDescent="0.25">
      <c r="A253" t="s">
        <v>1948</v>
      </c>
      <c r="B253" t="s">
        <v>1949</v>
      </c>
      <c r="C253" t="s">
        <v>3156</v>
      </c>
      <c r="D253" s="8">
        <v>14</v>
      </c>
      <c r="E253" t="s">
        <v>3026</v>
      </c>
    </row>
    <row r="254" spans="1:5" x14ac:dyDescent="0.25">
      <c r="A254" t="s">
        <v>2815</v>
      </c>
      <c r="B254" t="s">
        <v>2816</v>
      </c>
      <c r="C254" t="s">
        <v>3156</v>
      </c>
      <c r="D254" s="8">
        <v>14</v>
      </c>
      <c r="E254" t="s">
        <v>3026</v>
      </c>
    </row>
    <row r="255" spans="1:5" x14ac:dyDescent="0.25">
      <c r="A255" t="s">
        <v>2817</v>
      </c>
      <c r="B255" t="s">
        <v>2818</v>
      </c>
      <c r="C255" t="s">
        <v>3156</v>
      </c>
      <c r="D255" s="8">
        <v>4.1500000000000004</v>
      </c>
      <c r="E255" t="s">
        <v>3026</v>
      </c>
    </row>
    <row r="256" spans="1:5" x14ac:dyDescent="0.25">
      <c r="A256" t="s">
        <v>2819</v>
      </c>
      <c r="B256" t="s">
        <v>2820</v>
      </c>
      <c r="C256" t="s">
        <v>3156</v>
      </c>
      <c r="D256" s="8">
        <v>9.0500000000000007</v>
      </c>
      <c r="E256" t="s">
        <v>3026</v>
      </c>
    </row>
    <row r="257" spans="1:5" x14ac:dyDescent="0.25">
      <c r="A257" t="s">
        <v>1953</v>
      </c>
      <c r="B257" t="s">
        <v>1954</v>
      </c>
      <c r="C257" t="s">
        <v>3156</v>
      </c>
      <c r="D257" s="8">
        <v>23.9</v>
      </c>
      <c r="E257" t="s">
        <v>3026</v>
      </c>
    </row>
    <row r="258" spans="1:5" x14ac:dyDescent="0.25">
      <c r="A258" t="s">
        <v>2821</v>
      </c>
      <c r="B258" t="s">
        <v>2822</v>
      </c>
      <c r="C258" t="s">
        <v>3156</v>
      </c>
      <c r="D258" s="8">
        <v>3.55</v>
      </c>
      <c r="E258" t="s">
        <v>3182</v>
      </c>
    </row>
    <row r="259" spans="1:5" x14ac:dyDescent="0.25">
      <c r="A259" t="s">
        <v>2823</v>
      </c>
      <c r="B259" t="s">
        <v>2824</v>
      </c>
      <c r="C259" t="s">
        <v>3156</v>
      </c>
      <c r="D259" s="8">
        <v>47.8</v>
      </c>
      <c r="E259" t="s">
        <v>3182</v>
      </c>
    </row>
    <row r="260" spans="1:5" x14ac:dyDescent="0.25">
      <c r="A260" t="s">
        <v>2825</v>
      </c>
      <c r="B260" t="s">
        <v>2826</v>
      </c>
      <c r="C260" t="s">
        <v>3156</v>
      </c>
      <c r="D260" s="8">
        <v>153.25</v>
      </c>
      <c r="E260" t="s">
        <v>3182</v>
      </c>
    </row>
    <row r="261" spans="1:5" x14ac:dyDescent="0.25">
      <c r="A261" t="s">
        <v>2827</v>
      </c>
      <c r="B261" t="s">
        <v>2828</v>
      </c>
      <c r="C261" t="s">
        <v>3156</v>
      </c>
      <c r="D261" s="8">
        <v>19.8</v>
      </c>
      <c r="E261" t="s">
        <v>3182</v>
      </c>
    </row>
    <row r="262" spans="1:5" x14ac:dyDescent="0.25">
      <c r="A262" t="s">
        <v>2829</v>
      </c>
      <c r="B262" t="s">
        <v>2830</v>
      </c>
      <c r="C262" t="s">
        <v>3156</v>
      </c>
      <c r="D262" s="8">
        <v>47.8</v>
      </c>
      <c r="E262" t="s">
        <v>3182</v>
      </c>
    </row>
    <row r="263" spans="1:5" x14ac:dyDescent="0.25">
      <c r="A263" t="s">
        <v>2831</v>
      </c>
      <c r="B263" t="s">
        <v>2832</v>
      </c>
      <c r="C263" t="s">
        <v>3156</v>
      </c>
      <c r="D263" s="8">
        <v>67.849999999999994</v>
      </c>
      <c r="E263" t="s">
        <v>3182</v>
      </c>
    </row>
    <row r="264" spans="1:5" x14ac:dyDescent="0.25">
      <c r="A264" t="s">
        <v>2833</v>
      </c>
      <c r="B264" t="s">
        <v>2834</v>
      </c>
      <c r="C264" t="s">
        <v>3156</v>
      </c>
      <c r="D264" s="8">
        <v>73.7</v>
      </c>
      <c r="E264" t="s">
        <v>3182</v>
      </c>
    </row>
    <row r="265" spans="1:5" x14ac:dyDescent="0.25">
      <c r="A265" t="s">
        <v>2835</v>
      </c>
      <c r="B265" t="s">
        <v>2836</v>
      </c>
      <c r="C265" t="s">
        <v>3156</v>
      </c>
      <c r="D265" s="8">
        <v>33.049999999999997</v>
      </c>
      <c r="E265" t="s">
        <v>3182</v>
      </c>
    </row>
    <row r="266" spans="1:5" x14ac:dyDescent="0.25">
      <c r="A266" t="s">
        <v>2302</v>
      </c>
      <c r="B266" t="s">
        <v>2303</v>
      </c>
      <c r="C266" t="s">
        <v>3156</v>
      </c>
      <c r="D266" s="8">
        <v>11.55</v>
      </c>
      <c r="E266" t="s">
        <v>3182</v>
      </c>
    </row>
    <row r="267" spans="1:5" x14ac:dyDescent="0.25">
      <c r="A267" t="s">
        <v>2837</v>
      </c>
      <c r="B267" t="s">
        <v>2838</v>
      </c>
      <c r="C267" t="s">
        <v>3156</v>
      </c>
      <c r="D267" s="8">
        <v>6.25</v>
      </c>
      <c r="E267" t="s">
        <v>3182</v>
      </c>
    </row>
    <row r="268" spans="1:5" x14ac:dyDescent="0.25">
      <c r="A268" t="s">
        <v>2839</v>
      </c>
      <c r="B268" t="s">
        <v>2840</v>
      </c>
      <c r="C268" t="s">
        <v>3156</v>
      </c>
      <c r="D268" s="8">
        <v>6.25</v>
      </c>
      <c r="E268" t="s">
        <v>3182</v>
      </c>
    </row>
    <row r="269" spans="1:5" x14ac:dyDescent="0.25">
      <c r="A269" t="s">
        <v>2841</v>
      </c>
      <c r="B269" t="s">
        <v>2842</v>
      </c>
      <c r="C269" t="s">
        <v>3156</v>
      </c>
      <c r="D269" s="8">
        <v>6.25</v>
      </c>
      <c r="E269" t="s">
        <v>3182</v>
      </c>
    </row>
    <row r="270" spans="1:5" x14ac:dyDescent="0.25">
      <c r="A270" t="s">
        <v>2843</v>
      </c>
      <c r="B270" t="s">
        <v>2844</v>
      </c>
      <c r="C270" t="s">
        <v>3156</v>
      </c>
      <c r="D270" s="8">
        <v>33.049999999999997</v>
      </c>
      <c r="E270" t="s">
        <v>3182</v>
      </c>
    </row>
    <row r="271" spans="1:5" x14ac:dyDescent="0.25">
      <c r="A271" t="s">
        <v>2845</v>
      </c>
      <c r="B271" t="s">
        <v>2846</v>
      </c>
      <c r="C271" t="s">
        <v>3156</v>
      </c>
      <c r="D271" s="8">
        <v>41</v>
      </c>
      <c r="E271" t="s">
        <v>3183</v>
      </c>
    </row>
    <row r="272" spans="1:5" x14ac:dyDescent="0.25">
      <c r="A272" t="s">
        <v>2405</v>
      </c>
      <c r="B272" t="s">
        <v>2406</v>
      </c>
      <c r="C272" t="s">
        <v>3156</v>
      </c>
      <c r="D272" s="8">
        <v>18.600000000000001</v>
      </c>
      <c r="E272" t="s">
        <v>3183</v>
      </c>
    </row>
    <row r="273" spans="1:5" x14ac:dyDescent="0.25">
      <c r="A273" t="s">
        <v>2848</v>
      </c>
      <c r="B273" t="s">
        <v>2849</v>
      </c>
      <c r="C273" t="s">
        <v>3156</v>
      </c>
      <c r="D273" s="8">
        <v>6.5</v>
      </c>
      <c r="E273" t="s">
        <v>3183</v>
      </c>
    </row>
    <row r="274" spans="1:5" x14ac:dyDescent="0.25">
      <c r="A274" t="s">
        <v>2850</v>
      </c>
      <c r="B274" t="s">
        <v>2851</v>
      </c>
      <c r="C274" t="s">
        <v>3156</v>
      </c>
      <c r="D274" s="8">
        <v>10.050000000000001</v>
      </c>
      <c r="E274" t="s">
        <v>3183</v>
      </c>
    </row>
    <row r="275" spans="1:5" x14ac:dyDescent="0.25">
      <c r="A275" t="s">
        <v>2852</v>
      </c>
      <c r="B275" t="s">
        <v>2853</v>
      </c>
      <c r="C275" t="s">
        <v>3156</v>
      </c>
      <c r="D275" s="8">
        <v>22.75</v>
      </c>
      <c r="E275" t="s">
        <v>3183</v>
      </c>
    </row>
    <row r="276" spans="1:5" x14ac:dyDescent="0.25">
      <c r="A276" t="s">
        <v>2854</v>
      </c>
      <c r="B276" t="s">
        <v>2855</v>
      </c>
      <c r="C276" t="s">
        <v>3156</v>
      </c>
      <c r="D276" s="8">
        <v>23</v>
      </c>
      <c r="E276" t="s">
        <v>3183</v>
      </c>
    </row>
    <row r="277" spans="1:5" x14ac:dyDescent="0.25">
      <c r="A277" t="s">
        <v>2409</v>
      </c>
      <c r="B277" t="s">
        <v>2410</v>
      </c>
      <c r="C277" t="s">
        <v>3156</v>
      </c>
      <c r="D277" s="8">
        <v>15.95</v>
      </c>
      <c r="E277" t="s">
        <v>3184</v>
      </c>
    </row>
    <row r="278" spans="1:5" x14ac:dyDescent="0.25">
      <c r="A278" t="s">
        <v>2411</v>
      </c>
      <c r="B278" t="s">
        <v>2412</v>
      </c>
      <c r="C278" t="s">
        <v>3156</v>
      </c>
      <c r="D278" s="8">
        <v>7.4</v>
      </c>
      <c r="E278" t="s">
        <v>3184</v>
      </c>
    </row>
    <row r="279" spans="1:5" x14ac:dyDescent="0.25">
      <c r="A279" t="s">
        <v>2856</v>
      </c>
      <c r="B279" t="s">
        <v>2857</v>
      </c>
      <c r="C279" t="s">
        <v>3156</v>
      </c>
      <c r="D279" s="8">
        <v>7.4</v>
      </c>
      <c r="E279" t="s">
        <v>3184</v>
      </c>
    </row>
    <row r="280" spans="1:5" x14ac:dyDescent="0.25">
      <c r="A280" t="s">
        <v>2858</v>
      </c>
      <c r="B280" t="s">
        <v>2859</v>
      </c>
      <c r="C280" t="s">
        <v>3156</v>
      </c>
      <c r="D280" s="8">
        <v>7.4</v>
      </c>
      <c r="E280" t="s">
        <v>3184</v>
      </c>
    </row>
    <row r="281" spans="1:5" x14ac:dyDescent="0.25">
      <c r="A281" t="s">
        <v>2860</v>
      </c>
      <c r="B281" t="s">
        <v>2861</v>
      </c>
      <c r="C281" t="s">
        <v>3156</v>
      </c>
      <c r="D281" s="8">
        <v>7.4</v>
      </c>
      <c r="E281" t="s">
        <v>3184</v>
      </c>
    </row>
    <row r="282" spans="1:5" x14ac:dyDescent="0.25">
      <c r="A282" t="s">
        <v>2862</v>
      </c>
      <c r="B282" t="s">
        <v>2863</v>
      </c>
      <c r="C282" t="s">
        <v>3156</v>
      </c>
      <c r="D282" s="8">
        <v>7.4</v>
      </c>
      <c r="E282" t="s">
        <v>3184</v>
      </c>
    </row>
    <row r="283" spans="1:5" x14ac:dyDescent="0.25">
      <c r="A283" t="s">
        <v>2414</v>
      </c>
      <c r="B283" t="s">
        <v>2415</v>
      </c>
      <c r="C283" t="s">
        <v>3156</v>
      </c>
      <c r="D283" s="8">
        <v>12.65</v>
      </c>
      <c r="E283" t="s">
        <v>3184</v>
      </c>
    </row>
    <row r="284" spans="1:5" x14ac:dyDescent="0.25">
      <c r="A284" t="s">
        <v>2864</v>
      </c>
      <c r="B284" t="s">
        <v>2865</v>
      </c>
      <c r="C284" t="s">
        <v>3156</v>
      </c>
      <c r="D284" s="8">
        <v>12.65</v>
      </c>
      <c r="E284" t="s">
        <v>3184</v>
      </c>
    </row>
    <row r="285" spans="1:5" x14ac:dyDescent="0.25">
      <c r="A285" t="s">
        <v>2866</v>
      </c>
      <c r="B285" t="s">
        <v>2867</v>
      </c>
      <c r="C285" t="s">
        <v>3156</v>
      </c>
      <c r="D285" s="8">
        <v>12.65</v>
      </c>
      <c r="E285" t="s">
        <v>3184</v>
      </c>
    </row>
    <row r="286" spans="1:5" x14ac:dyDescent="0.25">
      <c r="A286" t="s">
        <v>2868</v>
      </c>
      <c r="B286" t="s">
        <v>2869</v>
      </c>
      <c r="C286" t="s">
        <v>3156</v>
      </c>
      <c r="D286" s="8">
        <v>12.65</v>
      </c>
      <c r="E286" t="s">
        <v>3184</v>
      </c>
    </row>
    <row r="287" spans="1:5" x14ac:dyDescent="0.25">
      <c r="A287" t="s">
        <v>2870</v>
      </c>
      <c r="B287" t="s">
        <v>2871</v>
      </c>
      <c r="C287" t="s">
        <v>3156</v>
      </c>
      <c r="D287" s="8">
        <v>12.65</v>
      </c>
      <c r="E287" t="s">
        <v>3184</v>
      </c>
    </row>
    <row r="288" spans="1:5" x14ac:dyDescent="0.25">
      <c r="A288" t="s">
        <v>2417</v>
      </c>
      <c r="B288" t="s">
        <v>2418</v>
      </c>
      <c r="C288" t="s">
        <v>3156</v>
      </c>
      <c r="D288" s="8">
        <v>2.7</v>
      </c>
      <c r="E288" t="s">
        <v>3184</v>
      </c>
    </row>
    <row r="289" spans="1:5" x14ac:dyDescent="0.25">
      <c r="A289" t="s">
        <v>1850</v>
      </c>
      <c r="B289" t="s">
        <v>1851</v>
      </c>
      <c r="C289" t="s">
        <v>3156</v>
      </c>
      <c r="D289" s="8">
        <v>12.65</v>
      </c>
      <c r="E289" t="s">
        <v>3185</v>
      </c>
    </row>
    <row r="290" spans="1:5" x14ac:dyDescent="0.25">
      <c r="A290" t="s">
        <v>1847</v>
      </c>
      <c r="B290" t="s">
        <v>1848</v>
      </c>
      <c r="C290" t="s">
        <v>3156</v>
      </c>
      <c r="D290" s="8">
        <v>12.65</v>
      </c>
      <c r="E290" t="s">
        <v>3185</v>
      </c>
    </row>
    <row r="291" spans="1:5" x14ac:dyDescent="0.25">
      <c r="A291" t="s">
        <v>2872</v>
      </c>
      <c r="B291" t="s">
        <v>2873</v>
      </c>
      <c r="C291" t="s">
        <v>3156</v>
      </c>
      <c r="D291" s="8">
        <v>12.65</v>
      </c>
      <c r="E291" t="s">
        <v>3185</v>
      </c>
    </row>
    <row r="292" spans="1:5" x14ac:dyDescent="0.25">
      <c r="A292" t="s">
        <v>2874</v>
      </c>
      <c r="B292" t="s">
        <v>2875</v>
      </c>
      <c r="C292" t="s">
        <v>3156</v>
      </c>
      <c r="D292" s="8">
        <v>12.65</v>
      </c>
      <c r="E292" t="s">
        <v>3185</v>
      </c>
    </row>
    <row r="293" spans="1:5" x14ac:dyDescent="0.25">
      <c r="A293" t="s">
        <v>1852</v>
      </c>
      <c r="B293" t="s">
        <v>1853</v>
      </c>
      <c r="C293" t="s">
        <v>3156</v>
      </c>
      <c r="D293" s="8">
        <v>6.5</v>
      </c>
      <c r="E293" t="s">
        <v>3185</v>
      </c>
    </row>
    <row r="294" spans="1:5" x14ac:dyDescent="0.25">
      <c r="A294" t="s">
        <v>2876</v>
      </c>
      <c r="B294" t="s">
        <v>2877</v>
      </c>
      <c r="C294" t="s">
        <v>3156</v>
      </c>
      <c r="D294" s="8">
        <v>6.5</v>
      </c>
      <c r="E294" t="s">
        <v>3185</v>
      </c>
    </row>
    <row r="295" spans="1:5" x14ac:dyDescent="0.25">
      <c r="A295" t="s">
        <v>1854</v>
      </c>
      <c r="B295" t="s">
        <v>1855</v>
      </c>
      <c r="C295" t="s">
        <v>3156</v>
      </c>
      <c r="D295" s="8">
        <v>4.1500000000000004</v>
      </c>
      <c r="E295" t="s">
        <v>3185</v>
      </c>
    </row>
    <row r="296" spans="1:5" x14ac:dyDescent="0.25">
      <c r="A296" t="s">
        <v>2878</v>
      </c>
      <c r="B296" t="s">
        <v>2879</v>
      </c>
      <c r="C296" t="s">
        <v>3156</v>
      </c>
      <c r="D296" s="8">
        <v>4.1500000000000004</v>
      </c>
      <c r="E296" t="s">
        <v>3185</v>
      </c>
    </row>
    <row r="297" spans="1:5" x14ac:dyDescent="0.25">
      <c r="A297" t="s">
        <v>2880</v>
      </c>
      <c r="B297" t="s">
        <v>2881</v>
      </c>
      <c r="C297" t="s">
        <v>3156</v>
      </c>
      <c r="D297" s="8">
        <v>4.1500000000000004</v>
      </c>
      <c r="E297" t="s">
        <v>3185</v>
      </c>
    </row>
    <row r="298" spans="1:5" x14ac:dyDescent="0.25">
      <c r="A298" t="s">
        <v>2882</v>
      </c>
      <c r="B298" t="s">
        <v>2883</v>
      </c>
      <c r="C298" t="s">
        <v>3156</v>
      </c>
      <c r="D298" s="8">
        <v>4.1500000000000004</v>
      </c>
      <c r="E298" t="s">
        <v>3185</v>
      </c>
    </row>
    <row r="299" spans="1:5" x14ac:dyDescent="0.25">
      <c r="A299" t="s">
        <v>1842</v>
      </c>
      <c r="B299" t="s">
        <v>1843</v>
      </c>
      <c r="C299" t="s">
        <v>3156</v>
      </c>
      <c r="D299" s="8">
        <v>14.45</v>
      </c>
      <c r="E299" t="s">
        <v>3185</v>
      </c>
    </row>
    <row r="300" spans="1:5" x14ac:dyDescent="0.25">
      <c r="A300" t="s">
        <v>1857</v>
      </c>
      <c r="B300" t="s">
        <v>1858</v>
      </c>
      <c r="C300" t="s">
        <v>3156</v>
      </c>
      <c r="D300" s="8">
        <v>13.9</v>
      </c>
      <c r="E300" t="s">
        <v>3185</v>
      </c>
    </row>
    <row r="301" spans="1:5" x14ac:dyDescent="0.25">
      <c r="A301" t="s">
        <v>2884</v>
      </c>
      <c r="B301" t="s">
        <v>2885</v>
      </c>
      <c r="C301" t="s">
        <v>3156</v>
      </c>
      <c r="D301" s="8">
        <v>13.9</v>
      </c>
      <c r="E301" t="s">
        <v>3185</v>
      </c>
    </row>
    <row r="302" spans="1:5" x14ac:dyDescent="0.25">
      <c r="A302" t="s">
        <v>1860</v>
      </c>
      <c r="B302" t="s">
        <v>1861</v>
      </c>
      <c r="C302" t="s">
        <v>3156</v>
      </c>
      <c r="D302" s="8">
        <v>18.600000000000001</v>
      </c>
      <c r="E302" t="s">
        <v>3185</v>
      </c>
    </row>
    <row r="303" spans="1:5" x14ac:dyDescent="0.25">
      <c r="A303" t="s">
        <v>1845</v>
      </c>
      <c r="B303" t="s">
        <v>1846</v>
      </c>
      <c r="C303" t="s">
        <v>3156</v>
      </c>
      <c r="D303" s="8">
        <v>13.9</v>
      </c>
      <c r="E303" t="s">
        <v>3185</v>
      </c>
    </row>
    <row r="304" spans="1:5" x14ac:dyDescent="0.25">
      <c r="A304" t="s">
        <v>1789</v>
      </c>
      <c r="B304" t="s">
        <v>1790</v>
      </c>
      <c r="C304" t="s">
        <v>3156</v>
      </c>
      <c r="D304" s="8">
        <v>31.9</v>
      </c>
      <c r="E304" t="s">
        <v>3186</v>
      </c>
    </row>
    <row r="305" spans="1:5" x14ac:dyDescent="0.25">
      <c r="A305" t="s">
        <v>2886</v>
      </c>
      <c r="B305" t="s">
        <v>2887</v>
      </c>
      <c r="C305" t="s">
        <v>3156</v>
      </c>
      <c r="D305" s="8">
        <v>49.3</v>
      </c>
      <c r="E305" t="s">
        <v>3186</v>
      </c>
    </row>
    <row r="306" spans="1:5" x14ac:dyDescent="0.25">
      <c r="A306" t="s">
        <v>2888</v>
      </c>
      <c r="B306" t="s">
        <v>2889</v>
      </c>
      <c r="C306" t="s">
        <v>3156</v>
      </c>
      <c r="D306" s="8">
        <v>10.050000000000001</v>
      </c>
      <c r="E306" t="s">
        <v>3186</v>
      </c>
    </row>
    <row r="307" spans="1:5" x14ac:dyDescent="0.25">
      <c r="A307" t="s">
        <v>2890</v>
      </c>
      <c r="B307" t="s">
        <v>2891</v>
      </c>
      <c r="C307" t="s">
        <v>3156</v>
      </c>
      <c r="D307" s="8">
        <v>10.050000000000001</v>
      </c>
      <c r="E307" t="s">
        <v>3186</v>
      </c>
    </row>
    <row r="308" spans="1:5" x14ac:dyDescent="0.25">
      <c r="A308" t="s">
        <v>2892</v>
      </c>
      <c r="B308" t="s">
        <v>2893</v>
      </c>
      <c r="C308" t="s">
        <v>3156</v>
      </c>
      <c r="D308" s="8">
        <v>10.050000000000001</v>
      </c>
      <c r="E308" t="s">
        <v>3186</v>
      </c>
    </row>
    <row r="309" spans="1:5" x14ac:dyDescent="0.25">
      <c r="A309" t="s">
        <v>2894</v>
      </c>
      <c r="B309" t="s">
        <v>2895</v>
      </c>
      <c r="C309" t="s">
        <v>3156</v>
      </c>
      <c r="D309" s="8">
        <v>10.050000000000001</v>
      </c>
      <c r="E309" t="s">
        <v>3186</v>
      </c>
    </row>
    <row r="310" spans="1:5" x14ac:dyDescent="0.25">
      <c r="A310" t="s">
        <v>2896</v>
      </c>
      <c r="B310" t="s">
        <v>2897</v>
      </c>
      <c r="C310" t="s">
        <v>3156</v>
      </c>
      <c r="D310" s="8">
        <v>15.1</v>
      </c>
      <c r="E310" t="s">
        <v>3186</v>
      </c>
    </row>
    <row r="311" spans="1:5" x14ac:dyDescent="0.25">
      <c r="A311" t="s">
        <v>2898</v>
      </c>
      <c r="B311" t="s">
        <v>2899</v>
      </c>
      <c r="C311" t="s">
        <v>3156</v>
      </c>
      <c r="D311" s="8">
        <v>7.65</v>
      </c>
      <c r="E311" t="s">
        <v>3186</v>
      </c>
    </row>
    <row r="312" spans="1:5" x14ac:dyDescent="0.25">
      <c r="A312" t="s">
        <v>2900</v>
      </c>
      <c r="B312" t="s">
        <v>2901</v>
      </c>
      <c r="C312" t="s">
        <v>3156</v>
      </c>
      <c r="D312" s="8">
        <v>7.65</v>
      </c>
      <c r="E312" t="s">
        <v>3186</v>
      </c>
    </row>
    <row r="313" spans="1:5" x14ac:dyDescent="0.25">
      <c r="A313" t="s">
        <v>2902</v>
      </c>
      <c r="B313" t="s">
        <v>2903</v>
      </c>
      <c r="C313" t="s">
        <v>3156</v>
      </c>
      <c r="D313" s="8">
        <v>7.65</v>
      </c>
      <c r="E313" t="s">
        <v>3186</v>
      </c>
    </row>
    <row r="314" spans="1:5" x14ac:dyDescent="0.25">
      <c r="A314" t="s">
        <v>2904</v>
      </c>
      <c r="B314" t="s">
        <v>2905</v>
      </c>
      <c r="C314" t="s">
        <v>3156</v>
      </c>
      <c r="D314" s="8">
        <v>7.65</v>
      </c>
      <c r="E314" t="s">
        <v>3186</v>
      </c>
    </row>
    <row r="315" spans="1:5" x14ac:dyDescent="0.25">
      <c r="A315" t="s">
        <v>2906</v>
      </c>
      <c r="B315" t="s">
        <v>2907</v>
      </c>
      <c r="C315" t="s">
        <v>3156</v>
      </c>
      <c r="D315" s="8">
        <v>7.65</v>
      </c>
      <c r="E315" t="s">
        <v>3186</v>
      </c>
    </row>
    <row r="316" spans="1:5" x14ac:dyDescent="0.25">
      <c r="A316" t="s">
        <v>2908</v>
      </c>
      <c r="B316" t="s">
        <v>2909</v>
      </c>
      <c r="C316" t="s">
        <v>3156</v>
      </c>
      <c r="D316" s="8">
        <v>7.65</v>
      </c>
      <c r="E316" t="s">
        <v>3186</v>
      </c>
    </row>
    <row r="317" spans="1:5" x14ac:dyDescent="0.25">
      <c r="A317" t="s">
        <v>2910</v>
      </c>
      <c r="B317" t="s">
        <v>2911</v>
      </c>
      <c r="C317" t="s">
        <v>3156</v>
      </c>
      <c r="D317" s="8">
        <v>7.65</v>
      </c>
      <c r="E317" t="s">
        <v>3186</v>
      </c>
    </row>
    <row r="318" spans="1:5" x14ac:dyDescent="0.25">
      <c r="A318" t="s">
        <v>2912</v>
      </c>
      <c r="B318" t="s">
        <v>2913</v>
      </c>
      <c r="C318" t="s">
        <v>3156</v>
      </c>
      <c r="D318" s="8">
        <v>7.65</v>
      </c>
      <c r="E318" t="s">
        <v>3186</v>
      </c>
    </row>
    <row r="319" spans="1:5" x14ac:dyDescent="0.25">
      <c r="A319" t="s">
        <v>2914</v>
      </c>
      <c r="B319" t="s">
        <v>2915</v>
      </c>
      <c r="C319" t="s">
        <v>3156</v>
      </c>
      <c r="D319" s="8">
        <v>7.65</v>
      </c>
      <c r="E319" t="s">
        <v>3186</v>
      </c>
    </row>
    <row r="320" spans="1:5" x14ac:dyDescent="0.25">
      <c r="A320" t="s">
        <v>2916</v>
      </c>
      <c r="B320" t="s">
        <v>2917</v>
      </c>
      <c r="C320" t="s">
        <v>3156</v>
      </c>
      <c r="D320" s="8">
        <v>7.65</v>
      </c>
      <c r="E320" t="s">
        <v>3186</v>
      </c>
    </row>
    <row r="321" spans="1:5" x14ac:dyDescent="0.25">
      <c r="A321" t="s">
        <v>2918</v>
      </c>
      <c r="B321" t="s">
        <v>2919</v>
      </c>
      <c r="C321" t="s">
        <v>3156</v>
      </c>
      <c r="D321" s="8">
        <v>7.65</v>
      </c>
      <c r="E321" t="s">
        <v>3186</v>
      </c>
    </row>
    <row r="322" spans="1:5" x14ac:dyDescent="0.25">
      <c r="A322" t="s">
        <v>2920</v>
      </c>
      <c r="B322" t="s">
        <v>2921</v>
      </c>
      <c r="C322" t="s">
        <v>3156</v>
      </c>
      <c r="D322" s="8">
        <v>7.65</v>
      </c>
      <c r="E322" t="s">
        <v>3186</v>
      </c>
    </row>
    <row r="323" spans="1:5" x14ac:dyDescent="0.25">
      <c r="A323" t="s">
        <v>2922</v>
      </c>
      <c r="B323" t="s">
        <v>2923</v>
      </c>
      <c r="C323" t="s">
        <v>3156</v>
      </c>
      <c r="D323" s="8">
        <v>7.65</v>
      </c>
      <c r="E323" t="s">
        <v>3186</v>
      </c>
    </row>
    <row r="324" spans="1:5" x14ac:dyDescent="0.25">
      <c r="A324" t="s">
        <v>1928</v>
      </c>
      <c r="B324" t="s">
        <v>1929</v>
      </c>
      <c r="C324" t="s">
        <v>3156</v>
      </c>
      <c r="D324" s="8">
        <v>43.95</v>
      </c>
      <c r="E324" t="s">
        <v>3187</v>
      </c>
    </row>
    <row r="325" spans="1:5" x14ac:dyDescent="0.25">
      <c r="A325" t="s">
        <v>1925</v>
      </c>
      <c r="B325" t="s">
        <v>1926</v>
      </c>
      <c r="C325" t="s">
        <v>3156</v>
      </c>
      <c r="D325" s="8">
        <v>31.55</v>
      </c>
      <c r="E325" t="s">
        <v>3187</v>
      </c>
    </row>
    <row r="326" spans="1:5" x14ac:dyDescent="0.25">
      <c r="A326" t="s">
        <v>2924</v>
      </c>
      <c r="B326" t="s">
        <v>2925</v>
      </c>
      <c r="C326" t="s">
        <v>3156</v>
      </c>
      <c r="D326" s="8">
        <v>47.8</v>
      </c>
      <c r="E326" t="s">
        <v>3188</v>
      </c>
    </row>
    <row r="327" spans="1:5" x14ac:dyDescent="0.25">
      <c r="A327" t="s">
        <v>1820</v>
      </c>
      <c r="B327" t="s">
        <v>1821</v>
      </c>
      <c r="C327" t="s">
        <v>3156</v>
      </c>
      <c r="D327" s="8">
        <v>22.4</v>
      </c>
      <c r="E327" t="s">
        <v>3188</v>
      </c>
    </row>
    <row r="328" spans="1:5" x14ac:dyDescent="0.25">
      <c r="A328" t="s">
        <v>1822</v>
      </c>
      <c r="B328" t="s">
        <v>1823</v>
      </c>
      <c r="C328" t="s">
        <v>3156</v>
      </c>
      <c r="D328" s="8">
        <v>27.15</v>
      </c>
      <c r="E328" t="s">
        <v>3188</v>
      </c>
    </row>
    <row r="329" spans="1:5" x14ac:dyDescent="0.25">
      <c r="A329" t="s">
        <v>1824</v>
      </c>
      <c r="B329" t="s">
        <v>1825</v>
      </c>
      <c r="C329" t="s">
        <v>3156</v>
      </c>
      <c r="D329" s="8">
        <v>35.700000000000003</v>
      </c>
      <c r="E329" t="s">
        <v>3188</v>
      </c>
    </row>
    <row r="330" spans="1:5" x14ac:dyDescent="0.25">
      <c r="A330" t="s">
        <v>2057</v>
      </c>
      <c r="B330" t="s">
        <v>2058</v>
      </c>
      <c r="C330" t="s">
        <v>3156</v>
      </c>
      <c r="D330" s="8">
        <v>10.050000000000001</v>
      </c>
      <c r="E330" t="s">
        <v>3189</v>
      </c>
    </row>
    <row r="331" spans="1:5" x14ac:dyDescent="0.25">
      <c r="A331" t="s">
        <v>2926</v>
      </c>
      <c r="B331" t="s">
        <v>2927</v>
      </c>
      <c r="C331" t="s">
        <v>3156</v>
      </c>
      <c r="D331" s="8">
        <v>10.050000000000001</v>
      </c>
      <c r="E331" t="s">
        <v>3189</v>
      </c>
    </row>
    <row r="332" spans="1:5" x14ac:dyDescent="0.25">
      <c r="A332" t="s">
        <v>2928</v>
      </c>
      <c r="B332" t="s">
        <v>2929</v>
      </c>
      <c r="C332" t="s">
        <v>3156</v>
      </c>
      <c r="D332" s="8">
        <v>10.050000000000001</v>
      </c>
      <c r="E332" t="s">
        <v>3189</v>
      </c>
    </row>
    <row r="333" spans="1:5" x14ac:dyDescent="0.25">
      <c r="A333" t="s">
        <v>2930</v>
      </c>
      <c r="B333" t="s">
        <v>2931</v>
      </c>
      <c r="C333" t="s">
        <v>3156</v>
      </c>
      <c r="D333" s="8">
        <v>10.050000000000001</v>
      </c>
      <c r="E333" t="s">
        <v>3189</v>
      </c>
    </row>
    <row r="334" spans="1:5" x14ac:dyDescent="0.25">
      <c r="A334" t="s">
        <v>2932</v>
      </c>
      <c r="B334" t="s">
        <v>2933</v>
      </c>
      <c r="C334" t="s">
        <v>3156</v>
      </c>
      <c r="D334" s="8">
        <v>10.050000000000001</v>
      </c>
      <c r="E334" t="s">
        <v>3189</v>
      </c>
    </row>
    <row r="335" spans="1:5" x14ac:dyDescent="0.25">
      <c r="A335" t="s">
        <v>2934</v>
      </c>
      <c r="B335" t="s">
        <v>2935</v>
      </c>
      <c r="C335" t="s">
        <v>3156</v>
      </c>
      <c r="D335" s="8">
        <v>10.050000000000001</v>
      </c>
      <c r="E335" t="s">
        <v>3189</v>
      </c>
    </row>
    <row r="336" spans="1:5" x14ac:dyDescent="0.25">
      <c r="A336" t="s">
        <v>2936</v>
      </c>
      <c r="B336" t="s">
        <v>2937</v>
      </c>
      <c r="C336" t="s">
        <v>3156</v>
      </c>
      <c r="D336" s="8">
        <v>10.050000000000001</v>
      </c>
      <c r="E336" t="s">
        <v>3189</v>
      </c>
    </row>
    <row r="337" spans="1:5" x14ac:dyDescent="0.25">
      <c r="A337" t="s">
        <v>2938</v>
      </c>
      <c r="B337" t="s">
        <v>2939</v>
      </c>
      <c r="C337" t="s">
        <v>3156</v>
      </c>
      <c r="D337" s="8">
        <v>48.95</v>
      </c>
      <c r="E337" t="s">
        <v>3189</v>
      </c>
    </row>
    <row r="338" spans="1:5" x14ac:dyDescent="0.25">
      <c r="A338" t="s">
        <v>2940</v>
      </c>
      <c r="B338" t="s">
        <v>2941</v>
      </c>
      <c r="C338" t="s">
        <v>3156</v>
      </c>
      <c r="D338" s="8">
        <v>55.45</v>
      </c>
      <c r="E338" t="s">
        <v>3189</v>
      </c>
    </row>
    <row r="339" spans="1:5" x14ac:dyDescent="0.25">
      <c r="A339" t="s">
        <v>2053</v>
      </c>
      <c r="B339" t="s">
        <v>2054</v>
      </c>
      <c r="C339" t="s">
        <v>3156</v>
      </c>
      <c r="D339" s="8">
        <v>12.1</v>
      </c>
      <c r="E339" t="s">
        <v>3189</v>
      </c>
    </row>
    <row r="340" spans="1:5" x14ac:dyDescent="0.25">
      <c r="A340" t="s">
        <v>2942</v>
      </c>
      <c r="B340" t="s">
        <v>2943</v>
      </c>
      <c r="C340" t="s">
        <v>3156</v>
      </c>
      <c r="D340" s="8">
        <v>12.1</v>
      </c>
      <c r="E340" t="s">
        <v>3189</v>
      </c>
    </row>
    <row r="341" spans="1:5" x14ac:dyDescent="0.25">
      <c r="A341" t="s">
        <v>2171</v>
      </c>
      <c r="B341" t="s">
        <v>2172</v>
      </c>
      <c r="C341" t="s">
        <v>3156</v>
      </c>
      <c r="D341" s="8">
        <v>10.050000000000001</v>
      </c>
      <c r="E341" t="s">
        <v>3189</v>
      </c>
    </row>
    <row r="342" spans="1:5" x14ac:dyDescent="0.25">
      <c r="A342" t="s">
        <v>2005</v>
      </c>
      <c r="B342" t="s">
        <v>2006</v>
      </c>
      <c r="C342" t="s">
        <v>3156</v>
      </c>
      <c r="D342" s="8">
        <v>8.0500000000000007</v>
      </c>
      <c r="E342" t="s">
        <v>3028</v>
      </c>
    </row>
    <row r="343" spans="1:5" x14ac:dyDescent="0.25">
      <c r="A343" t="s">
        <v>2944</v>
      </c>
      <c r="B343" t="s">
        <v>2945</v>
      </c>
      <c r="C343" t="s">
        <v>3156</v>
      </c>
      <c r="D343" s="8">
        <v>8.0500000000000007</v>
      </c>
      <c r="E343" t="s">
        <v>3028</v>
      </c>
    </row>
    <row r="344" spans="1:5" x14ac:dyDescent="0.25">
      <c r="A344" t="s">
        <v>2009</v>
      </c>
      <c r="B344" t="s">
        <v>2010</v>
      </c>
      <c r="C344" t="s">
        <v>3156</v>
      </c>
      <c r="D344" s="8">
        <v>3.55</v>
      </c>
      <c r="E344" t="s">
        <v>3028</v>
      </c>
    </row>
    <row r="345" spans="1:5" x14ac:dyDescent="0.25">
      <c r="A345" t="s">
        <v>2011</v>
      </c>
      <c r="B345" t="s">
        <v>2012</v>
      </c>
      <c r="C345" t="s">
        <v>3156</v>
      </c>
      <c r="D345" s="8">
        <v>4.1500000000000004</v>
      </c>
      <c r="E345" t="s">
        <v>3028</v>
      </c>
    </row>
    <row r="346" spans="1:5" x14ac:dyDescent="0.25">
      <c r="A346" t="s">
        <v>2017</v>
      </c>
      <c r="B346" t="s">
        <v>2018</v>
      </c>
      <c r="C346" t="s">
        <v>3156</v>
      </c>
      <c r="D346" s="8">
        <v>2.7</v>
      </c>
      <c r="E346" t="s">
        <v>3028</v>
      </c>
    </row>
    <row r="347" spans="1:5" x14ac:dyDescent="0.25">
      <c r="A347" t="s">
        <v>2015</v>
      </c>
      <c r="B347" t="s">
        <v>2016</v>
      </c>
      <c r="C347" t="s">
        <v>3156</v>
      </c>
      <c r="D347" s="8">
        <v>8.0500000000000007</v>
      </c>
      <c r="E347" t="s">
        <v>3028</v>
      </c>
    </row>
    <row r="348" spans="1:5" x14ac:dyDescent="0.25">
      <c r="A348" t="s">
        <v>2013</v>
      </c>
      <c r="B348" t="s">
        <v>2014</v>
      </c>
      <c r="C348" t="s">
        <v>3156</v>
      </c>
      <c r="D348" s="8">
        <v>4.1500000000000004</v>
      </c>
      <c r="E348" t="s">
        <v>3028</v>
      </c>
    </row>
    <row r="349" spans="1:5" x14ac:dyDescent="0.25">
      <c r="A349" t="s">
        <v>2019</v>
      </c>
      <c r="B349" t="s">
        <v>2020</v>
      </c>
      <c r="C349" t="s">
        <v>3156</v>
      </c>
      <c r="D349" s="8">
        <v>5.35</v>
      </c>
      <c r="E349" t="s">
        <v>3028</v>
      </c>
    </row>
    <row r="350" spans="1:5" x14ac:dyDescent="0.25">
      <c r="A350" t="s">
        <v>2022</v>
      </c>
      <c r="B350" t="s">
        <v>2023</v>
      </c>
      <c r="C350" t="s">
        <v>3156</v>
      </c>
      <c r="D350" s="8">
        <v>6.5</v>
      </c>
      <c r="E350" t="s">
        <v>3028</v>
      </c>
    </row>
    <row r="351" spans="1:5" x14ac:dyDescent="0.25">
      <c r="A351" t="s">
        <v>2025</v>
      </c>
      <c r="B351" t="s">
        <v>2026</v>
      </c>
      <c r="C351" t="s">
        <v>3156</v>
      </c>
      <c r="D351" s="8">
        <v>8.0500000000000007</v>
      </c>
      <c r="E351" t="s">
        <v>3028</v>
      </c>
    </row>
    <row r="352" spans="1:5" x14ac:dyDescent="0.25">
      <c r="A352" t="s">
        <v>2028</v>
      </c>
      <c r="B352" t="s">
        <v>2029</v>
      </c>
      <c r="C352" t="s">
        <v>3156</v>
      </c>
      <c r="D352" s="8">
        <v>13.3</v>
      </c>
      <c r="E352" t="s">
        <v>3028</v>
      </c>
    </row>
    <row r="353" spans="1:5" x14ac:dyDescent="0.25">
      <c r="A353" t="s">
        <v>2031</v>
      </c>
      <c r="B353" t="s">
        <v>2032</v>
      </c>
      <c r="C353" t="s">
        <v>3156</v>
      </c>
      <c r="D353" s="8">
        <v>13.3</v>
      </c>
      <c r="E353" t="s">
        <v>3028</v>
      </c>
    </row>
    <row r="354" spans="1:5" x14ac:dyDescent="0.25">
      <c r="A354" t="s">
        <v>2946</v>
      </c>
      <c r="B354" t="s">
        <v>2947</v>
      </c>
      <c r="C354" t="s">
        <v>3156</v>
      </c>
      <c r="D354" s="8">
        <v>13.3</v>
      </c>
      <c r="E354" t="s">
        <v>3028</v>
      </c>
    </row>
    <row r="355" spans="1:5" x14ac:dyDescent="0.25">
      <c r="A355" t="s">
        <v>2034</v>
      </c>
      <c r="B355" t="s">
        <v>2035</v>
      </c>
      <c r="C355" t="s">
        <v>3156</v>
      </c>
      <c r="D355" s="8">
        <v>13.3</v>
      </c>
      <c r="E355" t="s">
        <v>3028</v>
      </c>
    </row>
    <row r="356" spans="1:5" x14ac:dyDescent="0.25">
      <c r="A356" t="s">
        <v>2948</v>
      </c>
      <c r="B356" t="s">
        <v>2949</v>
      </c>
      <c r="C356" t="s">
        <v>3156</v>
      </c>
      <c r="D356" s="8">
        <v>10.050000000000001</v>
      </c>
      <c r="E356" t="s">
        <v>3028</v>
      </c>
    </row>
    <row r="357" spans="1:5" x14ac:dyDescent="0.25">
      <c r="A357" t="s">
        <v>3190</v>
      </c>
      <c r="B357" t="s">
        <v>3191</v>
      </c>
      <c r="C357" t="s">
        <v>3156</v>
      </c>
      <c r="D357" s="8">
        <v>10.050000000000001</v>
      </c>
      <c r="E357" t="s">
        <v>3028</v>
      </c>
    </row>
    <row r="358" spans="1:5" x14ac:dyDescent="0.25">
      <c r="A358" t="s">
        <v>3192</v>
      </c>
      <c r="B358" t="s">
        <v>3193</v>
      </c>
      <c r="C358" t="s">
        <v>3156</v>
      </c>
      <c r="D358" s="8">
        <v>15</v>
      </c>
      <c r="E358" t="s">
        <v>3028</v>
      </c>
    </row>
    <row r="359" spans="1:5" x14ac:dyDescent="0.25">
      <c r="A359" t="s">
        <v>2950</v>
      </c>
      <c r="B359" t="s">
        <v>2951</v>
      </c>
      <c r="C359" t="s">
        <v>3156</v>
      </c>
      <c r="D359" s="8">
        <v>7.5</v>
      </c>
      <c r="E359" t="s">
        <v>3028</v>
      </c>
    </row>
    <row r="360" spans="1:5" x14ac:dyDescent="0.25">
      <c r="A360" t="s">
        <v>2040</v>
      </c>
      <c r="B360" t="s">
        <v>2041</v>
      </c>
      <c r="C360" t="s">
        <v>3156</v>
      </c>
      <c r="D360" s="8">
        <v>10.050000000000001</v>
      </c>
      <c r="E360" t="s">
        <v>3028</v>
      </c>
    </row>
    <row r="361" spans="1:5" x14ac:dyDescent="0.25">
      <c r="A361" t="s">
        <v>2045</v>
      </c>
      <c r="B361" t="s">
        <v>2046</v>
      </c>
      <c r="C361" t="s">
        <v>3156</v>
      </c>
      <c r="D361" s="8">
        <v>2.7</v>
      </c>
      <c r="E361" t="s">
        <v>3028</v>
      </c>
    </row>
    <row r="362" spans="1:5" x14ac:dyDescent="0.25">
      <c r="A362" t="s">
        <v>2043</v>
      </c>
      <c r="B362" t="s">
        <v>2044</v>
      </c>
      <c r="C362" t="s">
        <v>3156</v>
      </c>
      <c r="D362" s="8">
        <v>2.7</v>
      </c>
      <c r="E362" t="s">
        <v>3028</v>
      </c>
    </row>
    <row r="363" spans="1:5" x14ac:dyDescent="0.25">
      <c r="A363" t="s">
        <v>2173</v>
      </c>
      <c r="B363" t="s">
        <v>2174</v>
      </c>
      <c r="C363" t="s">
        <v>3156</v>
      </c>
      <c r="D363" s="8">
        <v>1.5</v>
      </c>
      <c r="E363" t="s">
        <v>3028</v>
      </c>
    </row>
    <row r="364" spans="1:5" x14ac:dyDescent="0.25">
      <c r="A364" t="s">
        <v>2047</v>
      </c>
      <c r="B364" t="s">
        <v>2048</v>
      </c>
      <c r="C364" t="s">
        <v>3156</v>
      </c>
      <c r="D364" s="8">
        <v>14.45</v>
      </c>
      <c r="E364" t="s">
        <v>3028</v>
      </c>
    </row>
    <row r="365" spans="1:5" x14ac:dyDescent="0.25">
      <c r="A365" t="s">
        <v>2050</v>
      </c>
      <c r="B365" t="s">
        <v>2051</v>
      </c>
      <c r="C365" t="s">
        <v>3156</v>
      </c>
      <c r="D365" s="8">
        <v>14.45</v>
      </c>
      <c r="E365" t="s">
        <v>3028</v>
      </c>
    </row>
    <row r="366" spans="1:5" x14ac:dyDescent="0.25">
      <c r="A366" t="s">
        <v>2060</v>
      </c>
      <c r="B366" t="s">
        <v>2061</v>
      </c>
      <c r="C366" t="s">
        <v>3156</v>
      </c>
      <c r="D366" s="8">
        <v>20.65</v>
      </c>
      <c r="E366" t="s">
        <v>3028</v>
      </c>
    </row>
    <row r="367" spans="1:5" x14ac:dyDescent="0.25">
      <c r="A367" t="s">
        <v>2952</v>
      </c>
      <c r="B367" t="s">
        <v>2953</v>
      </c>
      <c r="C367" t="s">
        <v>3156</v>
      </c>
      <c r="D367" s="8">
        <v>13.3</v>
      </c>
      <c r="E367" t="s">
        <v>3028</v>
      </c>
    </row>
    <row r="368" spans="1:5" x14ac:dyDescent="0.25">
      <c r="A368" t="s">
        <v>2038</v>
      </c>
      <c r="B368" t="s">
        <v>2039</v>
      </c>
      <c r="C368" t="s">
        <v>3156</v>
      </c>
      <c r="D368" s="8">
        <v>28.35</v>
      </c>
      <c r="E368" t="s">
        <v>3028</v>
      </c>
    </row>
    <row r="369" spans="1:5" x14ac:dyDescent="0.25">
      <c r="A369" t="s">
        <v>2954</v>
      </c>
      <c r="B369" t="s">
        <v>2955</v>
      </c>
      <c r="C369" t="s">
        <v>3156</v>
      </c>
      <c r="D369" s="8">
        <v>18.850000000000001</v>
      </c>
      <c r="E369" t="s">
        <v>3028</v>
      </c>
    </row>
    <row r="370" spans="1:5" x14ac:dyDescent="0.25">
      <c r="A370" t="s">
        <v>2956</v>
      </c>
      <c r="B370" t="s">
        <v>2957</v>
      </c>
      <c r="C370" t="s">
        <v>3156</v>
      </c>
      <c r="D370" s="8">
        <v>7.75</v>
      </c>
      <c r="E370" t="s">
        <v>3028</v>
      </c>
    </row>
    <row r="371" spans="1:5" x14ac:dyDescent="0.25">
      <c r="A371" t="s">
        <v>2958</v>
      </c>
      <c r="B371" t="s">
        <v>2959</v>
      </c>
      <c r="C371" t="s">
        <v>3156</v>
      </c>
      <c r="D371" s="8">
        <v>5.15</v>
      </c>
      <c r="E371" t="s">
        <v>3028</v>
      </c>
    </row>
    <row r="372" spans="1:5" x14ac:dyDescent="0.25">
      <c r="A372" t="s">
        <v>3194</v>
      </c>
      <c r="B372" t="s">
        <v>3195</v>
      </c>
      <c r="C372" t="s">
        <v>3156</v>
      </c>
      <c r="D372" s="8">
        <v>5.15</v>
      </c>
      <c r="E372" t="s">
        <v>3028</v>
      </c>
    </row>
    <row r="373" spans="1:5" x14ac:dyDescent="0.25">
      <c r="A373" t="s">
        <v>3196</v>
      </c>
      <c r="B373" t="s">
        <v>3197</v>
      </c>
      <c r="C373" t="s">
        <v>3156</v>
      </c>
      <c r="D373" s="8">
        <v>5.15</v>
      </c>
      <c r="E373" t="s">
        <v>3028</v>
      </c>
    </row>
    <row r="374" spans="1:5" x14ac:dyDescent="0.25">
      <c r="A374" t="s">
        <v>3198</v>
      </c>
      <c r="B374" t="s">
        <v>3199</v>
      </c>
      <c r="C374" t="s">
        <v>3156</v>
      </c>
      <c r="D374" s="8">
        <v>5.15</v>
      </c>
      <c r="E374" t="s">
        <v>3028</v>
      </c>
    </row>
    <row r="375" spans="1:5" x14ac:dyDescent="0.25">
      <c r="A375" t="s">
        <v>3200</v>
      </c>
      <c r="B375" t="s">
        <v>3201</v>
      </c>
      <c r="C375" t="s">
        <v>3156</v>
      </c>
      <c r="D375" s="8">
        <v>5.15</v>
      </c>
      <c r="E375" t="s">
        <v>3028</v>
      </c>
    </row>
    <row r="376" spans="1:5" x14ac:dyDescent="0.25">
      <c r="A376" t="s">
        <v>3202</v>
      </c>
      <c r="B376" t="s">
        <v>3203</v>
      </c>
      <c r="C376" t="s">
        <v>3156</v>
      </c>
      <c r="D376" s="8">
        <v>5.15</v>
      </c>
      <c r="E376" t="s">
        <v>3028</v>
      </c>
    </row>
    <row r="377" spans="1:5" x14ac:dyDescent="0.25">
      <c r="A377" t="s">
        <v>3204</v>
      </c>
      <c r="B377" t="s">
        <v>3205</v>
      </c>
      <c r="C377" t="s">
        <v>3156</v>
      </c>
      <c r="D377" s="8">
        <v>5.15</v>
      </c>
      <c r="E377" t="s">
        <v>3028</v>
      </c>
    </row>
    <row r="378" spans="1:5" x14ac:dyDescent="0.25">
      <c r="A378" t="s">
        <v>3206</v>
      </c>
      <c r="B378" t="s">
        <v>3207</v>
      </c>
      <c r="C378" t="s">
        <v>3156</v>
      </c>
      <c r="D378" s="8">
        <v>5.15</v>
      </c>
      <c r="E378" t="s">
        <v>3028</v>
      </c>
    </row>
    <row r="379" spans="1:5" x14ac:dyDescent="0.25">
      <c r="A379" t="s">
        <v>3208</v>
      </c>
      <c r="B379" t="s">
        <v>3209</v>
      </c>
      <c r="C379" t="s">
        <v>3156</v>
      </c>
      <c r="D379" s="8">
        <v>5.15</v>
      </c>
      <c r="E379" t="s">
        <v>3028</v>
      </c>
    </row>
    <row r="380" spans="1:5" x14ac:dyDescent="0.25">
      <c r="A380" t="s">
        <v>3210</v>
      </c>
      <c r="B380" t="s">
        <v>3211</v>
      </c>
      <c r="C380" t="s">
        <v>3156</v>
      </c>
      <c r="D380" s="8">
        <v>5.15</v>
      </c>
      <c r="E380" t="s">
        <v>3028</v>
      </c>
    </row>
    <row r="381" spans="1:5" x14ac:dyDescent="0.25">
      <c r="A381" t="s">
        <v>3212</v>
      </c>
      <c r="B381" t="s">
        <v>3213</v>
      </c>
      <c r="C381" t="s">
        <v>3156</v>
      </c>
      <c r="D381" s="8">
        <v>5.15</v>
      </c>
      <c r="E381" t="s">
        <v>3028</v>
      </c>
    </row>
    <row r="382" spans="1:5" x14ac:dyDescent="0.25">
      <c r="A382" t="s">
        <v>3214</v>
      </c>
      <c r="B382" t="s">
        <v>3215</v>
      </c>
      <c r="C382" t="s">
        <v>3156</v>
      </c>
      <c r="D382" s="8">
        <v>5.15</v>
      </c>
      <c r="E382" t="s">
        <v>3028</v>
      </c>
    </row>
    <row r="383" spans="1:5" x14ac:dyDescent="0.25">
      <c r="A383" t="s">
        <v>3216</v>
      </c>
      <c r="B383" t="s">
        <v>3217</v>
      </c>
      <c r="C383" t="s">
        <v>3156</v>
      </c>
      <c r="D383" s="8">
        <v>5.15</v>
      </c>
      <c r="E383" t="s">
        <v>3028</v>
      </c>
    </row>
    <row r="384" spans="1:5" x14ac:dyDescent="0.25">
      <c r="A384" t="s">
        <v>3218</v>
      </c>
      <c r="B384" t="s">
        <v>3219</v>
      </c>
      <c r="C384" t="s">
        <v>3156</v>
      </c>
      <c r="D384" s="8">
        <v>5.15</v>
      </c>
      <c r="E384" t="s">
        <v>3028</v>
      </c>
    </row>
    <row r="385" spans="1:5" x14ac:dyDescent="0.25">
      <c r="A385" t="s">
        <v>3220</v>
      </c>
      <c r="B385" t="s">
        <v>3221</v>
      </c>
      <c r="C385" t="s">
        <v>3156</v>
      </c>
      <c r="D385" s="8">
        <v>5.15</v>
      </c>
      <c r="E385" t="s">
        <v>3028</v>
      </c>
    </row>
    <row r="386" spans="1:5" x14ac:dyDescent="0.25">
      <c r="A386" t="s">
        <v>3222</v>
      </c>
      <c r="B386" t="s">
        <v>3223</v>
      </c>
      <c r="C386" t="s">
        <v>3156</v>
      </c>
      <c r="D386" s="8">
        <v>5.15</v>
      </c>
      <c r="E386" t="s">
        <v>3028</v>
      </c>
    </row>
    <row r="387" spans="1:5" x14ac:dyDescent="0.25">
      <c r="A387" t="s">
        <v>2215</v>
      </c>
      <c r="B387" t="s">
        <v>2216</v>
      </c>
      <c r="C387" t="s">
        <v>3156</v>
      </c>
      <c r="D387" s="8">
        <v>41.6</v>
      </c>
      <c r="E387" t="s">
        <v>3224</v>
      </c>
    </row>
    <row r="388" spans="1:5" x14ac:dyDescent="0.25">
      <c r="A388" t="s">
        <v>2960</v>
      </c>
      <c r="B388" t="s">
        <v>2961</v>
      </c>
      <c r="C388" t="s">
        <v>3156</v>
      </c>
      <c r="D388" s="8">
        <v>14.15</v>
      </c>
      <c r="E388" t="s">
        <v>3224</v>
      </c>
    </row>
    <row r="389" spans="1:5" x14ac:dyDescent="0.25">
      <c r="A389" t="s">
        <v>2962</v>
      </c>
      <c r="B389" t="s">
        <v>2963</v>
      </c>
      <c r="C389" t="s">
        <v>3156</v>
      </c>
      <c r="D389" s="8">
        <v>5.55</v>
      </c>
      <c r="E389" t="s">
        <v>3224</v>
      </c>
    </row>
    <row r="390" spans="1:5" x14ac:dyDescent="0.25">
      <c r="A390" t="s">
        <v>2222</v>
      </c>
      <c r="B390" t="s">
        <v>2223</v>
      </c>
      <c r="C390" t="s">
        <v>3156</v>
      </c>
      <c r="D390" s="8">
        <v>3.55</v>
      </c>
      <c r="E390" t="s">
        <v>3225</v>
      </c>
    </row>
    <row r="391" spans="1:5" x14ac:dyDescent="0.25">
      <c r="A391" t="s">
        <v>2229</v>
      </c>
      <c r="B391" t="s">
        <v>2230</v>
      </c>
      <c r="C391" t="s">
        <v>3156</v>
      </c>
      <c r="D391" s="8">
        <v>5.85</v>
      </c>
      <c r="E391" t="s">
        <v>3225</v>
      </c>
    </row>
    <row r="392" spans="1:5" x14ac:dyDescent="0.25">
      <c r="A392" t="s">
        <v>2226</v>
      </c>
      <c r="B392" t="s">
        <v>2227</v>
      </c>
      <c r="C392" t="s">
        <v>3156</v>
      </c>
      <c r="D392" s="8">
        <v>13.3</v>
      </c>
      <c r="E392" t="s">
        <v>3225</v>
      </c>
    </row>
    <row r="393" spans="1:5" x14ac:dyDescent="0.25">
      <c r="A393" t="s">
        <v>2986</v>
      </c>
      <c r="B393" t="s">
        <v>2987</v>
      </c>
      <c r="C393" t="s">
        <v>3156</v>
      </c>
      <c r="D393" s="8">
        <v>13.3</v>
      </c>
      <c r="E393" t="s">
        <v>3225</v>
      </c>
    </row>
    <row r="394" spans="1:5" x14ac:dyDescent="0.25">
      <c r="A394" t="s">
        <v>2988</v>
      </c>
      <c r="B394" t="s">
        <v>2989</v>
      </c>
      <c r="C394" t="s">
        <v>3156</v>
      </c>
      <c r="D394" s="8">
        <v>59.6</v>
      </c>
      <c r="E394" t="s">
        <v>3225</v>
      </c>
    </row>
    <row r="395" spans="1:5" x14ac:dyDescent="0.25">
      <c r="A395" t="s">
        <v>2238</v>
      </c>
      <c r="B395" t="s">
        <v>2239</v>
      </c>
      <c r="C395" t="s">
        <v>3156</v>
      </c>
      <c r="D395" s="8">
        <v>26.5</v>
      </c>
      <c r="E395" t="s">
        <v>3225</v>
      </c>
    </row>
    <row r="396" spans="1:5" x14ac:dyDescent="0.25">
      <c r="A396" t="s">
        <v>2236</v>
      </c>
      <c r="B396" t="s">
        <v>2237</v>
      </c>
      <c r="C396" t="s">
        <v>3156</v>
      </c>
      <c r="D396" s="8">
        <v>12.1</v>
      </c>
      <c r="E396" t="s">
        <v>3225</v>
      </c>
    </row>
    <row r="397" spans="1:5" x14ac:dyDescent="0.25">
      <c r="A397" t="s">
        <v>2243</v>
      </c>
      <c r="B397" t="s">
        <v>2244</v>
      </c>
      <c r="C397" t="s">
        <v>3156</v>
      </c>
      <c r="D397" s="8">
        <v>189.25</v>
      </c>
      <c r="E397" t="s">
        <v>3225</v>
      </c>
    </row>
    <row r="398" spans="1:5" x14ac:dyDescent="0.25">
      <c r="A398" t="s">
        <v>2246</v>
      </c>
      <c r="B398" t="s">
        <v>2247</v>
      </c>
      <c r="C398" t="s">
        <v>3156</v>
      </c>
      <c r="D398" s="8">
        <v>126.25</v>
      </c>
      <c r="E398" t="s">
        <v>3225</v>
      </c>
    </row>
    <row r="399" spans="1:5" x14ac:dyDescent="0.25">
      <c r="A399" t="s">
        <v>2990</v>
      </c>
      <c r="B399" t="s">
        <v>2991</v>
      </c>
      <c r="C399" t="s">
        <v>3156</v>
      </c>
      <c r="D399" s="8">
        <v>10</v>
      </c>
      <c r="E399" t="s">
        <v>3225</v>
      </c>
    </row>
    <row r="400" spans="1:5" x14ac:dyDescent="0.25">
      <c r="A400" t="s">
        <v>2258</v>
      </c>
      <c r="B400" t="s">
        <v>2259</v>
      </c>
      <c r="C400" t="s">
        <v>3156</v>
      </c>
      <c r="D400" s="8">
        <v>22.4</v>
      </c>
      <c r="E400" t="s">
        <v>3226</v>
      </c>
    </row>
    <row r="401" spans="1:5" x14ac:dyDescent="0.25">
      <c r="A401" t="s">
        <v>2249</v>
      </c>
      <c r="B401" t="s">
        <v>2250</v>
      </c>
      <c r="C401" t="s">
        <v>3156</v>
      </c>
      <c r="D401" s="8">
        <v>18.600000000000001</v>
      </c>
      <c r="E401" t="s">
        <v>3226</v>
      </c>
    </row>
    <row r="402" spans="1:5" x14ac:dyDescent="0.25">
      <c r="A402" t="s">
        <v>2253</v>
      </c>
      <c r="B402" t="s">
        <v>2254</v>
      </c>
      <c r="C402" t="s">
        <v>3156</v>
      </c>
      <c r="D402" s="8">
        <v>6.5</v>
      </c>
      <c r="E402" t="s">
        <v>3226</v>
      </c>
    </row>
    <row r="403" spans="1:5" x14ac:dyDescent="0.25">
      <c r="A403" t="s">
        <v>2255</v>
      </c>
      <c r="B403" t="s">
        <v>2256</v>
      </c>
      <c r="C403" t="s">
        <v>3156</v>
      </c>
      <c r="D403" s="8">
        <v>18.600000000000001</v>
      </c>
      <c r="E403" t="s">
        <v>3226</v>
      </c>
    </row>
    <row r="404" spans="1:5" x14ac:dyDescent="0.25">
      <c r="A404" t="s">
        <v>2264</v>
      </c>
      <c r="B404" t="s">
        <v>2265</v>
      </c>
      <c r="C404" t="s">
        <v>3156</v>
      </c>
      <c r="D404" s="8">
        <v>37.15</v>
      </c>
      <c r="E404" t="s">
        <v>3226</v>
      </c>
    </row>
    <row r="405" spans="1:5" x14ac:dyDescent="0.25">
      <c r="A405" t="s">
        <v>2261</v>
      </c>
      <c r="B405" t="s">
        <v>2262</v>
      </c>
      <c r="C405" t="s">
        <v>3156</v>
      </c>
      <c r="D405" s="8">
        <v>39.799999999999997</v>
      </c>
      <c r="E405" t="s">
        <v>3226</v>
      </c>
    </row>
    <row r="406" spans="1:5" x14ac:dyDescent="0.25">
      <c r="A406" t="s">
        <v>2273</v>
      </c>
      <c r="B406" t="s">
        <v>2274</v>
      </c>
      <c r="C406" t="s">
        <v>3156</v>
      </c>
      <c r="D406" s="8">
        <v>21.25</v>
      </c>
      <c r="E406" t="s">
        <v>3226</v>
      </c>
    </row>
    <row r="407" spans="1:5" x14ac:dyDescent="0.25">
      <c r="A407" t="s">
        <v>2270</v>
      </c>
      <c r="B407" t="s">
        <v>2271</v>
      </c>
      <c r="C407" t="s">
        <v>3156</v>
      </c>
      <c r="D407" s="8">
        <v>26.5</v>
      </c>
      <c r="E407" t="s">
        <v>3226</v>
      </c>
    </row>
    <row r="408" spans="1:5" x14ac:dyDescent="0.25">
      <c r="A408" t="s">
        <v>2267</v>
      </c>
      <c r="B408" t="s">
        <v>2268</v>
      </c>
      <c r="C408" t="s">
        <v>3156</v>
      </c>
      <c r="D408" s="8">
        <v>31.9</v>
      </c>
      <c r="E408" t="s">
        <v>3226</v>
      </c>
    </row>
    <row r="409" spans="1:5" x14ac:dyDescent="0.25">
      <c r="A409" t="s">
        <v>2276</v>
      </c>
      <c r="B409" t="s">
        <v>2277</v>
      </c>
      <c r="C409" t="s">
        <v>3156</v>
      </c>
      <c r="D409" s="8">
        <v>59.6</v>
      </c>
      <c r="E409" t="s">
        <v>3226</v>
      </c>
    </row>
    <row r="410" spans="1:5" x14ac:dyDescent="0.25">
      <c r="A410" t="s">
        <v>2279</v>
      </c>
      <c r="B410" t="s">
        <v>2280</v>
      </c>
      <c r="C410" t="s">
        <v>3156</v>
      </c>
      <c r="D410" s="8">
        <v>7.4</v>
      </c>
      <c r="E410" t="s">
        <v>3226</v>
      </c>
    </row>
    <row r="411" spans="1:5" x14ac:dyDescent="0.25">
      <c r="A411" t="s">
        <v>2282</v>
      </c>
      <c r="B411" t="s">
        <v>2283</v>
      </c>
      <c r="C411" t="s">
        <v>3156</v>
      </c>
      <c r="D411" s="8">
        <v>15.95</v>
      </c>
      <c r="E411" t="s">
        <v>3226</v>
      </c>
    </row>
    <row r="412" spans="1:5" x14ac:dyDescent="0.25">
      <c r="A412" t="s">
        <v>2285</v>
      </c>
      <c r="B412" t="s">
        <v>2286</v>
      </c>
      <c r="C412" t="s">
        <v>3156</v>
      </c>
      <c r="D412" s="8">
        <v>22.4</v>
      </c>
      <c r="E412" t="s">
        <v>3226</v>
      </c>
    </row>
    <row r="413" spans="1:5" x14ac:dyDescent="0.25">
      <c r="A413" t="s">
        <v>2287</v>
      </c>
      <c r="B413" t="s">
        <v>2288</v>
      </c>
      <c r="C413" t="s">
        <v>3156</v>
      </c>
      <c r="D413" s="8">
        <v>22.4</v>
      </c>
      <c r="E413" t="s">
        <v>3226</v>
      </c>
    </row>
    <row r="414" spans="1:5" x14ac:dyDescent="0.25">
      <c r="A414" t="s">
        <v>2992</v>
      </c>
      <c r="B414" t="s">
        <v>2993</v>
      </c>
      <c r="C414" t="s">
        <v>3156</v>
      </c>
      <c r="D414" s="8">
        <v>7.65</v>
      </c>
      <c r="E414" t="s">
        <v>3226</v>
      </c>
    </row>
    <row r="415" spans="1:5" x14ac:dyDescent="0.25">
      <c r="A415" t="s">
        <v>2994</v>
      </c>
      <c r="B415" t="s">
        <v>2995</v>
      </c>
      <c r="C415" t="s">
        <v>3156</v>
      </c>
      <c r="D415" s="8">
        <v>16.2</v>
      </c>
      <c r="E415" t="s">
        <v>3226</v>
      </c>
    </row>
    <row r="416" spans="1:5" x14ac:dyDescent="0.25">
      <c r="A416" t="s">
        <v>1552</v>
      </c>
      <c r="B416" t="s">
        <v>1553</v>
      </c>
      <c r="C416" t="s">
        <v>3156</v>
      </c>
      <c r="D416" s="8">
        <v>26.5</v>
      </c>
      <c r="E416" t="s">
        <v>3227</v>
      </c>
    </row>
    <row r="417" spans="1:5" x14ac:dyDescent="0.25">
      <c r="A417" t="s">
        <v>1550</v>
      </c>
      <c r="B417" t="s">
        <v>1551</v>
      </c>
      <c r="C417" t="s">
        <v>3156</v>
      </c>
      <c r="D417" s="8">
        <v>53.05</v>
      </c>
      <c r="E417" t="s">
        <v>3227</v>
      </c>
    </row>
    <row r="418" spans="1:5" x14ac:dyDescent="0.25">
      <c r="A418" t="s">
        <v>1554</v>
      </c>
      <c r="B418" t="s">
        <v>1555</v>
      </c>
      <c r="C418" t="s">
        <v>3156</v>
      </c>
      <c r="D418" s="8">
        <v>53.05</v>
      </c>
      <c r="E418" t="s">
        <v>3227</v>
      </c>
    </row>
    <row r="419" spans="1:5" x14ac:dyDescent="0.25">
      <c r="A419" t="s">
        <v>1556</v>
      </c>
      <c r="B419" t="s">
        <v>1557</v>
      </c>
      <c r="C419" t="s">
        <v>3156</v>
      </c>
      <c r="D419" s="8">
        <v>28.95</v>
      </c>
      <c r="E419" t="s">
        <v>3227</v>
      </c>
    </row>
    <row r="420" spans="1:5" x14ac:dyDescent="0.25">
      <c r="A420" t="s">
        <v>1558</v>
      </c>
      <c r="B420" t="s">
        <v>1559</v>
      </c>
      <c r="C420" t="s">
        <v>3156</v>
      </c>
      <c r="D420" s="8">
        <v>28.35</v>
      </c>
      <c r="E420" t="s">
        <v>3227</v>
      </c>
    </row>
    <row r="421" spans="1:5" x14ac:dyDescent="0.25">
      <c r="A421" t="s">
        <v>1560</v>
      </c>
      <c r="B421" t="s">
        <v>1561</v>
      </c>
      <c r="C421" t="s">
        <v>3156</v>
      </c>
      <c r="D421" s="8">
        <v>28.35</v>
      </c>
      <c r="E421" t="s">
        <v>3227</v>
      </c>
    </row>
    <row r="422" spans="1:5" x14ac:dyDescent="0.25">
      <c r="A422" t="s">
        <v>1563</v>
      </c>
      <c r="B422" t="s">
        <v>1564</v>
      </c>
      <c r="C422" t="s">
        <v>3156</v>
      </c>
      <c r="D422" s="8">
        <v>22.4</v>
      </c>
      <c r="E422" t="s">
        <v>3227</v>
      </c>
    </row>
    <row r="423" spans="1:5" x14ac:dyDescent="0.25">
      <c r="A423" t="s">
        <v>2996</v>
      </c>
      <c r="B423" t="s">
        <v>2997</v>
      </c>
      <c r="C423" t="s">
        <v>3156</v>
      </c>
      <c r="D423" s="8">
        <v>12.65</v>
      </c>
      <c r="E423" t="s">
        <v>3228</v>
      </c>
    </row>
    <row r="424" spans="1:5" x14ac:dyDescent="0.25">
      <c r="A424" t="s">
        <v>1493</v>
      </c>
      <c r="B424" t="s">
        <v>1494</v>
      </c>
      <c r="C424" t="s">
        <v>3156</v>
      </c>
      <c r="D424" s="8">
        <v>18.05</v>
      </c>
      <c r="E424" t="s">
        <v>3228</v>
      </c>
    </row>
    <row r="425" spans="1:5" x14ac:dyDescent="0.25">
      <c r="A425" t="s">
        <v>1496</v>
      </c>
      <c r="B425" t="s">
        <v>1497</v>
      </c>
      <c r="C425" t="s">
        <v>3156</v>
      </c>
      <c r="D425" s="8">
        <v>8.0500000000000007</v>
      </c>
      <c r="E425" t="s">
        <v>3228</v>
      </c>
    </row>
    <row r="426" spans="1:5" x14ac:dyDescent="0.25">
      <c r="A426" t="s">
        <v>1499</v>
      </c>
      <c r="B426" t="s">
        <v>1500</v>
      </c>
      <c r="C426" t="s">
        <v>3156</v>
      </c>
      <c r="D426" s="8">
        <v>22.4</v>
      </c>
      <c r="E426" t="s">
        <v>3228</v>
      </c>
    </row>
    <row r="427" spans="1:5" x14ac:dyDescent="0.25">
      <c r="A427" t="s">
        <v>1502</v>
      </c>
      <c r="B427" t="s">
        <v>1503</v>
      </c>
      <c r="C427" t="s">
        <v>3156</v>
      </c>
      <c r="D427" s="8">
        <v>27.15</v>
      </c>
      <c r="E427" t="s">
        <v>3228</v>
      </c>
    </row>
    <row r="428" spans="1:5" x14ac:dyDescent="0.25">
      <c r="A428" t="s">
        <v>1629</v>
      </c>
      <c r="B428" t="s">
        <v>1630</v>
      </c>
      <c r="C428" t="s">
        <v>3156</v>
      </c>
      <c r="D428" s="8">
        <v>17.399999999999999</v>
      </c>
      <c r="E428" t="s">
        <v>3228</v>
      </c>
    </row>
    <row r="429" spans="1:5" x14ac:dyDescent="0.25">
      <c r="A429" t="s">
        <v>1483</v>
      </c>
      <c r="B429" t="s">
        <v>1484</v>
      </c>
      <c r="C429" t="s">
        <v>3156</v>
      </c>
      <c r="D429" s="8">
        <v>15.95</v>
      </c>
      <c r="E429" t="s">
        <v>3228</v>
      </c>
    </row>
    <row r="430" spans="1:5" x14ac:dyDescent="0.25">
      <c r="A430" t="s">
        <v>1486</v>
      </c>
      <c r="B430" t="s">
        <v>1487</v>
      </c>
      <c r="C430" t="s">
        <v>3156</v>
      </c>
      <c r="D430" s="8">
        <v>22.4</v>
      </c>
      <c r="E430" t="s">
        <v>3228</v>
      </c>
    </row>
    <row r="431" spans="1:5" x14ac:dyDescent="0.25">
      <c r="A431" t="s">
        <v>1480</v>
      </c>
      <c r="B431" t="s">
        <v>1481</v>
      </c>
      <c r="C431" t="s">
        <v>3156</v>
      </c>
      <c r="D431" s="8">
        <v>15.1</v>
      </c>
      <c r="E431" t="s">
        <v>3228</v>
      </c>
    </row>
    <row r="432" spans="1:5" x14ac:dyDescent="0.25">
      <c r="A432" t="s">
        <v>1517</v>
      </c>
      <c r="B432" t="s">
        <v>1518</v>
      </c>
      <c r="C432" t="s">
        <v>3156</v>
      </c>
      <c r="D432" s="8">
        <v>23.9</v>
      </c>
      <c r="E432" t="s">
        <v>3228</v>
      </c>
    </row>
    <row r="433" spans="1:5" x14ac:dyDescent="0.25">
      <c r="A433" t="s">
        <v>2998</v>
      </c>
      <c r="B433" t="s">
        <v>2999</v>
      </c>
      <c r="C433" t="s">
        <v>3156</v>
      </c>
      <c r="D433" s="8">
        <v>26.5</v>
      </c>
      <c r="E433" t="s">
        <v>3228</v>
      </c>
    </row>
    <row r="434" spans="1:5" x14ac:dyDescent="0.25">
      <c r="A434" t="s">
        <v>3000</v>
      </c>
      <c r="B434" t="s">
        <v>3001</v>
      </c>
      <c r="C434" t="s">
        <v>3156</v>
      </c>
      <c r="D434" s="8">
        <v>34.5</v>
      </c>
      <c r="E434" t="s">
        <v>3228</v>
      </c>
    </row>
    <row r="435" spans="1:5" x14ac:dyDescent="0.25">
      <c r="A435" t="s">
        <v>1477</v>
      </c>
      <c r="B435" t="s">
        <v>1478</v>
      </c>
      <c r="C435" t="s">
        <v>3156</v>
      </c>
      <c r="D435" s="8">
        <v>7.4</v>
      </c>
      <c r="E435" t="s">
        <v>3229</v>
      </c>
    </row>
    <row r="436" spans="1:5" x14ac:dyDescent="0.25">
      <c r="A436" t="s">
        <v>3002</v>
      </c>
      <c r="B436" t="s">
        <v>3003</v>
      </c>
      <c r="C436" t="s">
        <v>3156</v>
      </c>
      <c r="D436" s="8">
        <v>7.4</v>
      </c>
      <c r="E436" t="s">
        <v>3229</v>
      </c>
    </row>
    <row r="437" spans="1:5" x14ac:dyDescent="0.25">
      <c r="A437" t="s">
        <v>3004</v>
      </c>
      <c r="B437" t="s">
        <v>3005</v>
      </c>
      <c r="C437" t="s">
        <v>3156</v>
      </c>
      <c r="D437" s="8">
        <v>7.4</v>
      </c>
      <c r="E437" t="s">
        <v>3229</v>
      </c>
    </row>
    <row r="438" spans="1:5" x14ac:dyDescent="0.25">
      <c r="A438" t="s">
        <v>3006</v>
      </c>
      <c r="B438" t="s">
        <v>3007</v>
      </c>
      <c r="C438" t="s">
        <v>3156</v>
      </c>
      <c r="D438" s="8">
        <v>7.4</v>
      </c>
      <c r="E438" t="s">
        <v>3229</v>
      </c>
    </row>
    <row r="439" spans="1:5" x14ac:dyDescent="0.25">
      <c r="A439" t="s">
        <v>3008</v>
      </c>
      <c r="B439" t="s">
        <v>3009</v>
      </c>
      <c r="C439" t="s">
        <v>3156</v>
      </c>
      <c r="D439" s="8">
        <v>14.45</v>
      </c>
      <c r="E439" t="s">
        <v>3229</v>
      </c>
    </row>
    <row r="440" spans="1:5" x14ac:dyDescent="0.25">
      <c r="A440" t="s">
        <v>3010</v>
      </c>
      <c r="B440" t="s">
        <v>3011</v>
      </c>
      <c r="C440" t="s">
        <v>3156</v>
      </c>
      <c r="D440" s="8">
        <v>7.4</v>
      </c>
      <c r="E440" t="s">
        <v>3229</v>
      </c>
    </row>
    <row r="441" spans="1:5" x14ac:dyDescent="0.25">
      <c r="A441" t="s">
        <v>3012</v>
      </c>
      <c r="B441" t="s">
        <v>3013</v>
      </c>
      <c r="C441" t="s">
        <v>3156</v>
      </c>
      <c r="D441" s="8">
        <v>7.4</v>
      </c>
      <c r="E441" t="s">
        <v>3229</v>
      </c>
    </row>
    <row r="442" spans="1:5" x14ac:dyDescent="0.25">
      <c r="A442" t="s">
        <v>3014</v>
      </c>
      <c r="B442" t="s">
        <v>3015</v>
      </c>
      <c r="C442" t="s">
        <v>3156</v>
      </c>
      <c r="D442" s="8">
        <v>7.4</v>
      </c>
      <c r="E442" t="s">
        <v>3229</v>
      </c>
    </row>
    <row r="443" spans="1:5" x14ac:dyDescent="0.25">
      <c r="A443" t="s">
        <v>3016</v>
      </c>
      <c r="B443" t="s">
        <v>3017</v>
      </c>
      <c r="C443" t="s">
        <v>3156</v>
      </c>
      <c r="D443" s="8">
        <v>7.4</v>
      </c>
      <c r="E443" t="s">
        <v>3229</v>
      </c>
    </row>
    <row r="444" spans="1:5" x14ac:dyDescent="0.25">
      <c r="A444" t="s">
        <v>3018</v>
      </c>
      <c r="B444" t="s">
        <v>3019</v>
      </c>
      <c r="C444" t="s">
        <v>3156</v>
      </c>
      <c r="D444" s="8">
        <v>14.45</v>
      </c>
      <c r="E444" t="s">
        <v>3229</v>
      </c>
    </row>
    <row r="445" spans="1:5" x14ac:dyDescent="0.25">
      <c r="A445" t="s">
        <v>3020</v>
      </c>
      <c r="B445" t="s">
        <v>3021</v>
      </c>
      <c r="C445" t="s">
        <v>3156</v>
      </c>
      <c r="D445" s="8">
        <v>14.45</v>
      </c>
      <c r="E445" t="s">
        <v>3229</v>
      </c>
    </row>
    <row r="446" spans="1:5" x14ac:dyDescent="0.25">
      <c r="A446" t="s">
        <v>1378</v>
      </c>
      <c r="B446" t="s">
        <v>1379</v>
      </c>
      <c r="C446" t="s">
        <v>3156</v>
      </c>
      <c r="D446" s="8">
        <v>20.65</v>
      </c>
      <c r="E446" t="s">
        <v>3229</v>
      </c>
    </row>
    <row r="447" spans="1:5" x14ac:dyDescent="0.25">
      <c r="A447" t="s">
        <v>1654</v>
      </c>
      <c r="B447" t="s">
        <v>1655</v>
      </c>
      <c r="C447" t="s">
        <v>3156</v>
      </c>
      <c r="D447" s="8">
        <v>13.3</v>
      </c>
      <c r="E447" t="s">
        <v>3230</v>
      </c>
    </row>
    <row r="448" spans="1:5" x14ac:dyDescent="0.25">
      <c r="A448" t="s">
        <v>1656</v>
      </c>
      <c r="B448" t="s">
        <v>1657</v>
      </c>
      <c r="C448" t="s">
        <v>3156</v>
      </c>
      <c r="D448" s="8">
        <v>15.95</v>
      </c>
      <c r="E448" t="s">
        <v>3230</v>
      </c>
    </row>
    <row r="449" spans="1:5" x14ac:dyDescent="0.25">
      <c r="A449" t="s">
        <v>1642</v>
      </c>
      <c r="B449" t="s">
        <v>1643</v>
      </c>
      <c r="C449" t="s">
        <v>3156</v>
      </c>
      <c r="D449" s="8">
        <v>13.3</v>
      </c>
      <c r="E449" t="s">
        <v>3230</v>
      </c>
    </row>
    <row r="450" spans="1:5" x14ac:dyDescent="0.25">
      <c r="A450" t="s">
        <v>1646</v>
      </c>
      <c r="B450" t="s">
        <v>3231</v>
      </c>
      <c r="C450" t="s">
        <v>3156</v>
      </c>
      <c r="D450" s="8">
        <v>24.45</v>
      </c>
      <c r="E450" t="s">
        <v>3230</v>
      </c>
    </row>
    <row r="451" spans="1:5" x14ac:dyDescent="0.25">
      <c r="A451" t="s">
        <v>1648</v>
      </c>
      <c r="B451" t="s">
        <v>3232</v>
      </c>
      <c r="C451" t="s">
        <v>3156</v>
      </c>
      <c r="D451" s="8">
        <v>23.9</v>
      </c>
      <c r="E451" t="s">
        <v>3230</v>
      </c>
    </row>
    <row r="452" spans="1:5" x14ac:dyDescent="0.25">
      <c r="A452" t="s">
        <v>1381</v>
      </c>
      <c r="B452" t="s">
        <v>1382</v>
      </c>
      <c r="C452" t="s">
        <v>3156</v>
      </c>
      <c r="D452" s="8">
        <v>23.9</v>
      </c>
      <c r="E452" t="s">
        <v>3230</v>
      </c>
    </row>
    <row r="453" spans="1:5" x14ac:dyDescent="0.25">
      <c r="A453" t="s">
        <v>1650</v>
      </c>
      <c r="B453" t="s">
        <v>3233</v>
      </c>
      <c r="C453" t="s">
        <v>3156</v>
      </c>
      <c r="D453" s="8">
        <v>23.9</v>
      </c>
      <c r="E453" t="s">
        <v>3230</v>
      </c>
    </row>
    <row r="454" spans="1:5" x14ac:dyDescent="0.25">
      <c r="A454" t="s">
        <v>1652</v>
      </c>
      <c r="B454" t="s">
        <v>3234</v>
      </c>
      <c r="C454" t="s">
        <v>3156</v>
      </c>
      <c r="D454" s="8">
        <v>27.75</v>
      </c>
      <c r="E454" t="s">
        <v>3230</v>
      </c>
    </row>
    <row r="455" spans="1:5" x14ac:dyDescent="0.25">
      <c r="A455" t="s">
        <v>3235</v>
      </c>
      <c r="B455" t="s">
        <v>3236</v>
      </c>
      <c r="C455" t="s">
        <v>3156</v>
      </c>
      <c r="D455" s="8">
        <v>14.15</v>
      </c>
      <c r="E455" t="s">
        <v>3046</v>
      </c>
    </row>
    <row r="456" spans="1:5" x14ac:dyDescent="0.25">
      <c r="A456" t="s">
        <v>1383</v>
      </c>
      <c r="B456" t="s">
        <v>1384</v>
      </c>
      <c r="C456" t="s">
        <v>3156</v>
      </c>
      <c r="D456" s="8">
        <v>11.1</v>
      </c>
      <c r="E456" t="s">
        <v>3237</v>
      </c>
    </row>
    <row r="457" spans="1:5" x14ac:dyDescent="0.25">
      <c r="A457" t="s">
        <v>2964</v>
      </c>
      <c r="B457" t="s">
        <v>2965</v>
      </c>
      <c r="C457" t="s">
        <v>3156</v>
      </c>
      <c r="D457" s="8">
        <v>18.649999999999999</v>
      </c>
      <c r="E457" t="s">
        <v>3048</v>
      </c>
    </row>
    <row r="458" spans="1:5" x14ac:dyDescent="0.25">
      <c r="A458" t="s">
        <v>2165</v>
      </c>
      <c r="B458" t="s">
        <v>2166</v>
      </c>
      <c r="C458" t="s">
        <v>3156</v>
      </c>
      <c r="D458" s="8">
        <v>18.649999999999999</v>
      </c>
      <c r="E458" t="s">
        <v>3048</v>
      </c>
    </row>
    <row r="459" spans="1:5" x14ac:dyDescent="0.25">
      <c r="A459" t="s">
        <v>2966</v>
      </c>
      <c r="B459" t="s">
        <v>2967</v>
      </c>
      <c r="C459" t="s">
        <v>3156</v>
      </c>
      <c r="D459" s="8">
        <v>18.649999999999999</v>
      </c>
      <c r="E459" t="s">
        <v>3048</v>
      </c>
    </row>
    <row r="460" spans="1:5" x14ac:dyDescent="0.25">
      <c r="A460" t="s">
        <v>2968</v>
      </c>
      <c r="B460" t="s">
        <v>2969</v>
      </c>
      <c r="C460" t="s">
        <v>3156</v>
      </c>
      <c r="D460" s="8">
        <v>19.8</v>
      </c>
      <c r="E460" t="s">
        <v>3048</v>
      </c>
    </row>
    <row r="461" spans="1:5" x14ac:dyDescent="0.25">
      <c r="A461" t="s">
        <v>2167</v>
      </c>
      <c r="B461" t="s">
        <v>2168</v>
      </c>
      <c r="C461" t="s">
        <v>3156</v>
      </c>
      <c r="D461" s="8">
        <v>25.35</v>
      </c>
      <c r="E461" t="s">
        <v>3048</v>
      </c>
    </row>
    <row r="462" spans="1:5" x14ac:dyDescent="0.25">
      <c r="A462" t="s">
        <v>2077</v>
      </c>
      <c r="B462" t="s">
        <v>2078</v>
      </c>
      <c r="C462" t="s">
        <v>3156</v>
      </c>
      <c r="D462" s="8">
        <v>5.6</v>
      </c>
      <c r="E462" t="s">
        <v>3048</v>
      </c>
    </row>
    <row r="463" spans="1:5" x14ac:dyDescent="0.25">
      <c r="A463" t="s">
        <v>2081</v>
      </c>
      <c r="B463" t="s">
        <v>2082</v>
      </c>
      <c r="C463" t="s">
        <v>3156</v>
      </c>
      <c r="D463" s="8">
        <v>5.6</v>
      </c>
      <c r="E463" t="s">
        <v>3048</v>
      </c>
    </row>
    <row r="464" spans="1:5" x14ac:dyDescent="0.25">
      <c r="A464" t="s">
        <v>2084</v>
      </c>
      <c r="B464" t="s">
        <v>2085</v>
      </c>
      <c r="C464" t="s">
        <v>3156</v>
      </c>
      <c r="D464" s="8">
        <v>5.6</v>
      </c>
      <c r="E464" t="s">
        <v>3048</v>
      </c>
    </row>
    <row r="465" spans="1:5" x14ac:dyDescent="0.25">
      <c r="A465" t="s">
        <v>2087</v>
      </c>
      <c r="B465" t="s">
        <v>2088</v>
      </c>
      <c r="C465" t="s">
        <v>3156</v>
      </c>
      <c r="D465" s="8">
        <v>5.6</v>
      </c>
      <c r="E465" t="s">
        <v>3048</v>
      </c>
    </row>
    <row r="466" spans="1:5" x14ac:dyDescent="0.25">
      <c r="A466" t="s">
        <v>2090</v>
      </c>
      <c r="B466" t="s">
        <v>2091</v>
      </c>
      <c r="C466" t="s">
        <v>3156</v>
      </c>
      <c r="D466" s="8">
        <v>5.6</v>
      </c>
      <c r="E466" t="s">
        <v>3048</v>
      </c>
    </row>
    <row r="467" spans="1:5" x14ac:dyDescent="0.25">
      <c r="A467" t="s">
        <v>2093</v>
      </c>
      <c r="B467" t="s">
        <v>2094</v>
      </c>
      <c r="C467" t="s">
        <v>3156</v>
      </c>
      <c r="D467" s="8">
        <v>6.5</v>
      </c>
      <c r="E467" t="s">
        <v>3048</v>
      </c>
    </row>
    <row r="468" spans="1:5" x14ac:dyDescent="0.25">
      <c r="A468" t="s">
        <v>2096</v>
      </c>
      <c r="B468" t="s">
        <v>2097</v>
      </c>
      <c r="C468" t="s">
        <v>3156</v>
      </c>
      <c r="D468" s="8">
        <v>14.45</v>
      </c>
      <c r="E468" t="s">
        <v>3048</v>
      </c>
    </row>
    <row r="469" spans="1:5" x14ac:dyDescent="0.25">
      <c r="A469" t="s">
        <v>2104</v>
      </c>
      <c r="B469" t="s">
        <v>2105</v>
      </c>
      <c r="C469" t="s">
        <v>3156</v>
      </c>
      <c r="D469" s="8">
        <v>4.75</v>
      </c>
      <c r="E469" t="s">
        <v>3048</v>
      </c>
    </row>
    <row r="470" spans="1:5" x14ac:dyDescent="0.25">
      <c r="A470" t="s">
        <v>2107</v>
      </c>
      <c r="B470" t="s">
        <v>2108</v>
      </c>
      <c r="C470" t="s">
        <v>3156</v>
      </c>
      <c r="D470" s="8">
        <v>4.75</v>
      </c>
      <c r="E470" t="s">
        <v>3048</v>
      </c>
    </row>
    <row r="471" spans="1:5" x14ac:dyDescent="0.25">
      <c r="A471" t="s">
        <v>2110</v>
      </c>
      <c r="B471" t="s">
        <v>2111</v>
      </c>
      <c r="C471" t="s">
        <v>3156</v>
      </c>
      <c r="D471" s="8">
        <v>4.75</v>
      </c>
      <c r="E471" t="s">
        <v>3048</v>
      </c>
    </row>
    <row r="472" spans="1:5" x14ac:dyDescent="0.25">
      <c r="A472" t="s">
        <v>2113</v>
      </c>
      <c r="B472" t="s">
        <v>2114</v>
      </c>
      <c r="C472" t="s">
        <v>3156</v>
      </c>
      <c r="D472" s="8">
        <v>4.75</v>
      </c>
      <c r="E472" t="s">
        <v>3048</v>
      </c>
    </row>
    <row r="473" spans="1:5" x14ac:dyDescent="0.25">
      <c r="A473" t="s">
        <v>2970</v>
      </c>
      <c r="B473" t="s">
        <v>2971</v>
      </c>
      <c r="C473" t="s">
        <v>3156</v>
      </c>
      <c r="D473" s="8">
        <v>10.6</v>
      </c>
      <c r="E473" t="s">
        <v>3048</v>
      </c>
    </row>
    <row r="474" spans="1:5" x14ac:dyDescent="0.25">
      <c r="A474" t="s">
        <v>2099</v>
      </c>
      <c r="B474" t="s">
        <v>2100</v>
      </c>
      <c r="C474" t="s">
        <v>3156</v>
      </c>
      <c r="D474" s="8">
        <v>19.05</v>
      </c>
      <c r="E474" t="s">
        <v>3048</v>
      </c>
    </row>
    <row r="475" spans="1:5" x14ac:dyDescent="0.25">
      <c r="A475" t="s">
        <v>2102</v>
      </c>
      <c r="B475" t="s">
        <v>2103</v>
      </c>
      <c r="C475" t="s">
        <v>3156</v>
      </c>
      <c r="D475" s="8">
        <v>36.049999999999997</v>
      </c>
      <c r="E475" t="s">
        <v>3048</v>
      </c>
    </row>
    <row r="476" spans="1:5" x14ac:dyDescent="0.25">
      <c r="A476" t="s">
        <v>2972</v>
      </c>
      <c r="B476" t="s">
        <v>2973</v>
      </c>
      <c r="C476" t="s">
        <v>3156</v>
      </c>
      <c r="D476" s="8">
        <v>25.35</v>
      </c>
      <c r="E476" t="s">
        <v>3048</v>
      </c>
    </row>
    <row r="477" spans="1:5" x14ac:dyDescent="0.25">
      <c r="A477" t="s">
        <v>2142</v>
      </c>
      <c r="B477" t="s">
        <v>2143</v>
      </c>
      <c r="C477" t="s">
        <v>3156</v>
      </c>
      <c r="D477" s="8">
        <v>15.95</v>
      </c>
      <c r="E477" t="s">
        <v>3048</v>
      </c>
    </row>
    <row r="478" spans="1:5" x14ac:dyDescent="0.25">
      <c r="A478" t="s">
        <v>2145</v>
      </c>
      <c r="B478" t="s">
        <v>2146</v>
      </c>
      <c r="C478" t="s">
        <v>3156</v>
      </c>
      <c r="D478" s="8">
        <v>15.95</v>
      </c>
      <c r="E478" t="s">
        <v>3048</v>
      </c>
    </row>
    <row r="479" spans="1:5" x14ac:dyDescent="0.25">
      <c r="A479" t="s">
        <v>2974</v>
      </c>
      <c r="B479" t="s">
        <v>2975</v>
      </c>
      <c r="C479" t="s">
        <v>3156</v>
      </c>
      <c r="D479" s="8">
        <v>15.95</v>
      </c>
      <c r="E479" t="s">
        <v>3048</v>
      </c>
    </row>
    <row r="480" spans="1:5" x14ac:dyDescent="0.25">
      <c r="A480" t="s">
        <v>2151</v>
      </c>
      <c r="B480" t="s">
        <v>2152</v>
      </c>
      <c r="C480" t="s">
        <v>3156</v>
      </c>
      <c r="D480" s="8">
        <v>15.95</v>
      </c>
      <c r="E480" t="s">
        <v>3048</v>
      </c>
    </row>
    <row r="481" spans="1:5" x14ac:dyDescent="0.25">
      <c r="A481" t="s">
        <v>2153</v>
      </c>
      <c r="B481" t="s">
        <v>2154</v>
      </c>
      <c r="C481" t="s">
        <v>3156</v>
      </c>
      <c r="D481" s="8">
        <v>19.8</v>
      </c>
      <c r="E481" t="s">
        <v>3048</v>
      </c>
    </row>
    <row r="482" spans="1:5" x14ac:dyDescent="0.25">
      <c r="A482" t="s">
        <v>2148</v>
      </c>
      <c r="B482" t="s">
        <v>2149</v>
      </c>
      <c r="C482" t="s">
        <v>3156</v>
      </c>
      <c r="D482" s="8">
        <v>15.95</v>
      </c>
      <c r="E482" t="s">
        <v>3048</v>
      </c>
    </row>
    <row r="483" spans="1:5" x14ac:dyDescent="0.25">
      <c r="A483" t="s">
        <v>2976</v>
      </c>
      <c r="B483" t="s">
        <v>2977</v>
      </c>
      <c r="C483" t="s">
        <v>3156</v>
      </c>
      <c r="D483" s="8">
        <v>15.95</v>
      </c>
      <c r="E483" t="s">
        <v>3048</v>
      </c>
    </row>
    <row r="484" spans="1:5" x14ac:dyDescent="0.25">
      <c r="A484" t="s">
        <v>2155</v>
      </c>
      <c r="B484" t="s">
        <v>2156</v>
      </c>
      <c r="C484" t="s">
        <v>3156</v>
      </c>
      <c r="D484" s="8">
        <v>40.450000000000003</v>
      </c>
      <c r="E484" t="s">
        <v>3048</v>
      </c>
    </row>
    <row r="485" spans="1:5" x14ac:dyDescent="0.25">
      <c r="A485" t="s">
        <v>2978</v>
      </c>
      <c r="B485" t="s">
        <v>2979</v>
      </c>
      <c r="C485" t="s">
        <v>3156</v>
      </c>
      <c r="D485" s="8">
        <v>15.95</v>
      </c>
      <c r="E485" t="s">
        <v>3048</v>
      </c>
    </row>
    <row r="486" spans="1:5" x14ac:dyDescent="0.25">
      <c r="A486" t="s">
        <v>2980</v>
      </c>
      <c r="B486" t="s">
        <v>2981</v>
      </c>
      <c r="C486" t="s">
        <v>3156</v>
      </c>
      <c r="D486" s="8">
        <v>0.9</v>
      </c>
      <c r="E486" t="s">
        <v>3048</v>
      </c>
    </row>
    <row r="487" spans="1:5" x14ac:dyDescent="0.25">
      <c r="A487" t="s">
        <v>2176</v>
      </c>
      <c r="B487" t="s">
        <v>2177</v>
      </c>
      <c r="C487" t="s">
        <v>3156</v>
      </c>
      <c r="D487" s="8">
        <v>5.6</v>
      </c>
      <c r="E487" t="s">
        <v>3048</v>
      </c>
    </row>
    <row r="488" spans="1:5" x14ac:dyDescent="0.25">
      <c r="A488" t="s">
        <v>2186</v>
      </c>
      <c r="B488" t="s">
        <v>2187</v>
      </c>
      <c r="C488" t="s">
        <v>3156</v>
      </c>
      <c r="D488" s="8">
        <v>15.95</v>
      </c>
      <c r="E488" t="s">
        <v>3048</v>
      </c>
    </row>
    <row r="489" spans="1:5" x14ac:dyDescent="0.25">
      <c r="A489" t="s">
        <v>2178</v>
      </c>
      <c r="B489" t="s">
        <v>2179</v>
      </c>
      <c r="C489" t="s">
        <v>3156</v>
      </c>
      <c r="D489" s="8">
        <v>3.75</v>
      </c>
      <c r="E489" t="s">
        <v>3048</v>
      </c>
    </row>
    <row r="490" spans="1:5" x14ac:dyDescent="0.25">
      <c r="A490" t="s">
        <v>2181</v>
      </c>
      <c r="B490" t="s">
        <v>2182</v>
      </c>
      <c r="C490" t="s">
        <v>3156</v>
      </c>
      <c r="D490" s="8">
        <v>9.15</v>
      </c>
      <c r="E490" t="s">
        <v>3048</v>
      </c>
    </row>
    <row r="491" spans="1:5" x14ac:dyDescent="0.25">
      <c r="A491" t="s">
        <v>2183</v>
      </c>
      <c r="B491" t="s">
        <v>2184</v>
      </c>
      <c r="C491" t="s">
        <v>3156</v>
      </c>
      <c r="D491" s="8">
        <v>9.6999999999999993</v>
      </c>
      <c r="E491" t="s">
        <v>3048</v>
      </c>
    </row>
    <row r="492" spans="1:5" x14ac:dyDescent="0.25">
      <c r="A492" t="s">
        <v>3238</v>
      </c>
      <c r="B492" t="s">
        <v>3239</v>
      </c>
      <c r="C492" t="s">
        <v>3156</v>
      </c>
      <c r="D492" s="8">
        <v>41.25</v>
      </c>
      <c r="E492" t="s">
        <v>3048</v>
      </c>
    </row>
    <row r="493" spans="1:5" x14ac:dyDescent="0.25">
      <c r="A493" t="s">
        <v>2982</v>
      </c>
      <c r="B493" t="s">
        <v>2983</v>
      </c>
      <c r="C493" t="s">
        <v>3156</v>
      </c>
      <c r="D493" s="8">
        <v>10</v>
      </c>
      <c r="E493" t="s">
        <v>3048</v>
      </c>
    </row>
    <row r="494" spans="1:5" x14ac:dyDescent="0.25">
      <c r="A494" t="s">
        <v>2984</v>
      </c>
      <c r="B494" t="s">
        <v>2985</v>
      </c>
      <c r="C494" t="s">
        <v>3156</v>
      </c>
      <c r="D494" s="8">
        <v>3.55</v>
      </c>
      <c r="E494" t="s">
        <v>3048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</row>
    <row r="2" spans="1:8" x14ac:dyDescent="0.25">
      <c r="A2" s="2" t="s">
        <v>151</v>
      </c>
      <c r="B2" s="1" t="s">
        <v>152</v>
      </c>
      <c r="C2">
        <v>36.6</v>
      </c>
      <c r="D2" t="s">
        <v>3245</v>
      </c>
      <c r="E2" s="3" t="s">
        <v>3246</v>
      </c>
      <c r="F2">
        <v>75</v>
      </c>
      <c r="G2" t="b">
        <v>1</v>
      </c>
      <c r="H2">
        <v>1</v>
      </c>
    </row>
    <row r="3" spans="1:8" x14ac:dyDescent="0.25">
      <c r="A3" s="2" t="s">
        <v>154</v>
      </c>
      <c r="B3" s="1" t="s">
        <v>155</v>
      </c>
      <c r="C3">
        <v>36.6</v>
      </c>
      <c r="D3" t="s">
        <v>3245</v>
      </c>
      <c r="E3" s="3" t="s">
        <v>3246</v>
      </c>
      <c r="F3">
        <v>75</v>
      </c>
      <c r="G3" t="b">
        <v>1</v>
      </c>
      <c r="H3">
        <v>1</v>
      </c>
    </row>
    <row r="4" spans="1:8" x14ac:dyDescent="0.25">
      <c r="A4" s="2" t="s">
        <v>156</v>
      </c>
      <c r="B4" s="1" t="s">
        <v>157</v>
      </c>
      <c r="C4">
        <v>36.6</v>
      </c>
      <c r="D4" t="s">
        <v>3245</v>
      </c>
      <c r="E4" s="3" t="s">
        <v>3246</v>
      </c>
      <c r="F4">
        <v>75</v>
      </c>
      <c r="G4" t="b">
        <v>1</v>
      </c>
      <c r="H4">
        <v>1</v>
      </c>
    </row>
    <row r="5" spans="1:8" x14ac:dyDescent="0.25">
      <c r="A5" s="2" t="s">
        <v>158</v>
      </c>
      <c r="B5" s="1" t="s">
        <v>159</v>
      </c>
      <c r="C5">
        <v>36.6</v>
      </c>
      <c r="D5" t="s">
        <v>3245</v>
      </c>
      <c r="E5" s="3" t="s">
        <v>3246</v>
      </c>
      <c r="F5">
        <v>75</v>
      </c>
      <c r="G5" t="b">
        <v>1</v>
      </c>
      <c r="H5">
        <v>1</v>
      </c>
    </row>
    <row r="6" spans="1:8" x14ac:dyDescent="0.25">
      <c r="A6" s="5" t="s">
        <v>109</v>
      </c>
      <c r="B6" s="4" t="s">
        <v>110</v>
      </c>
      <c r="C6">
        <v>21.5</v>
      </c>
      <c r="D6" t="s">
        <v>3245</v>
      </c>
      <c r="E6" t="s">
        <v>3247</v>
      </c>
      <c r="F6">
        <v>75</v>
      </c>
      <c r="G6" t="b">
        <v>1</v>
      </c>
      <c r="H6">
        <v>1</v>
      </c>
    </row>
    <row r="7" spans="1:8" x14ac:dyDescent="0.25">
      <c r="A7" s="5" t="s">
        <v>112</v>
      </c>
      <c r="B7" s="4" t="s">
        <v>113</v>
      </c>
      <c r="C7">
        <v>21.5</v>
      </c>
      <c r="D7" t="s">
        <v>3245</v>
      </c>
      <c r="E7" t="s">
        <v>3247</v>
      </c>
      <c r="F7">
        <v>75</v>
      </c>
      <c r="G7" t="b">
        <v>1</v>
      </c>
      <c r="H7">
        <v>1</v>
      </c>
    </row>
    <row r="8" spans="1:8" x14ac:dyDescent="0.25">
      <c r="A8" s="5" t="s">
        <v>114</v>
      </c>
      <c r="B8" s="4" t="s">
        <v>115</v>
      </c>
      <c r="C8">
        <v>21.5</v>
      </c>
      <c r="D8" t="s">
        <v>3245</v>
      </c>
      <c r="E8" t="s">
        <v>3247</v>
      </c>
      <c r="F8">
        <v>75</v>
      </c>
      <c r="G8" t="b">
        <v>1</v>
      </c>
      <c r="H8">
        <v>1</v>
      </c>
    </row>
    <row r="9" spans="1:8" x14ac:dyDescent="0.25">
      <c r="A9" s="5" t="s">
        <v>116</v>
      </c>
      <c r="B9" s="4" t="s">
        <v>117</v>
      </c>
      <c r="C9">
        <v>21.5</v>
      </c>
      <c r="D9" t="s">
        <v>3245</v>
      </c>
      <c r="E9" t="s">
        <v>3247</v>
      </c>
      <c r="F9">
        <v>75</v>
      </c>
      <c r="G9" t="b">
        <v>1</v>
      </c>
      <c r="H9">
        <v>1</v>
      </c>
    </row>
    <row r="10" spans="1:8" x14ac:dyDescent="0.25">
      <c r="A10" s="5" t="s">
        <v>118</v>
      </c>
      <c r="B10" s="4" t="s">
        <v>119</v>
      </c>
      <c r="C10">
        <v>21.5</v>
      </c>
      <c r="D10" t="s">
        <v>3245</v>
      </c>
      <c r="E10" t="s">
        <v>3247</v>
      </c>
      <c r="F10">
        <v>75</v>
      </c>
      <c r="G10" t="b">
        <v>1</v>
      </c>
      <c r="H10">
        <v>1</v>
      </c>
    </row>
    <row r="11" spans="1:8" x14ac:dyDescent="0.25">
      <c r="A11" s="5" t="s">
        <v>120</v>
      </c>
      <c r="B11" s="4" t="s">
        <v>121</v>
      </c>
      <c r="C11">
        <v>21.5</v>
      </c>
      <c r="D11" t="s">
        <v>3245</v>
      </c>
      <c r="E11" t="s">
        <v>3247</v>
      </c>
      <c r="F11">
        <v>75</v>
      </c>
      <c r="G11" t="b">
        <v>1</v>
      </c>
      <c r="H11">
        <v>1</v>
      </c>
    </row>
    <row r="12" spans="1:8" x14ac:dyDescent="0.25">
      <c r="A12" s="5" t="s">
        <v>122</v>
      </c>
      <c r="B12" s="4" t="s">
        <v>123</v>
      </c>
      <c r="C12">
        <v>21.5</v>
      </c>
      <c r="D12" t="s">
        <v>3245</v>
      </c>
      <c r="E12" t="s">
        <v>3247</v>
      </c>
      <c r="F12">
        <v>75</v>
      </c>
      <c r="G12" t="b">
        <v>1</v>
      </c>
      <c r="H12">
        <v>1</v>
      </c>
    </row>
    <row r="13" spans="1:8" x14ac:dyDescent="0.25">
      <c r="A13" s="5" t="s">
        <v>124</v>
      </c>
      <c r="B13" s="4" t="s">
        <v>125</v>
      </c>
      <c r="C13">
        <v>21.5</v>
      </c>
      <c r="D13" t="s">
        <v>3245</v>
      </c>
      <c r="E13" t="s">
        <v>3247</v>
      </c>
      <c r="F13">
        <v>75</v>
      </c>
      <c r="G13" t="b">
        <v>1</v>
      </c>
      <c r="H13">
        <v>1</v>
      </c>
    </row>
    <row r="14" spans="1:8" x14ac:dyDescent="0.25">
      <c r="A14" s="5" t="s">
        <v>126</v>
      </c>
      <c r="B14" s="4" t="s">
        <v>127</v>
      </c>
      <c r="C14">
        <v>21.5</v>
      </c>
      <c r="D14" t="s">
        <v>3245</v>
      </c>
      <c r="E14" t="s">
        <v>3247</v>
      </c>
      <c r="F14">
        <v>75</v>
      </c>
      <c r="G14" t="b">
        <v>1</v>
      </c>
      <c r="H14">
        <v>1</v>
      </c>
    </row>
    <row r="15" spans="1:8" x14ac:dyDescent="0.25">
      <c r="A15" s="2" t="s">
        <v>128</v>
      </c>
      <c r="B15" t="s">
        <v>117</v>
      </c>
      <c r="C15">
        <v>27.15</v>
      </c>
      <c r="D15" t="s">
        <v>3245</v>
      </c>
      <c r="E15" t="s">
        <v>3248</v>
      </c>
      <c r="F15">
        <v>75</v>
      </c>
      <c r="G15" t="b">
        <v>1</v>
      </c>
      <c r="H15">
        <v>1</v>
      </c>
    </row>
    <row r="16" spans="1:8" x14ac:dyDescent="0.25">
      <c r="A16" s="2" t="s">
        <v>130</v>
      </c>
      <c r="B16" t="s">
        <v>119</v>
      </c>
      <c r="C16">
        <v>27.15</v>
      </c>
      <c r="D16" t="s">
        <v>3245</v>
      </c>
      <c r="E16" t="s">
        <v>3248</v>
      </c>
      <c r="F16">
        <v>75</v>
      </c>
      <c r="G16" t="b">
        <v>1</v>
      </c>
      <c r="H16">
        <v>1</v>
      </c>
    </row>
    <row r="17" spans="1:8" x14ac:dyDescent="0.25">
      <c r="A17" s="2" t="s">
        <v>131</v>
      </c>
      <c r="B17" t="s">
        <v>132</v>
      </c>
      <c r="C17">
        <v>27.15</v>
      </c>
      <c r="D17" t="s">
        <v>3245</v>
      </c>
      <c r="E17" t="s">
        <v>3248</v>
      </c>
      <c r="F17">
        <v>75</v>
      </c>
      <c r="G17" t="b">
        <v>1</v>
      </c>
      <c r="H17">
        <v>1</v>
      </c>
    </row>
    <row r="18" spans="1:8" x14ac:dyDescent="0.25">
      <c r="A18" s="2" t="s">
        <v>133</v>
      </c>
      <c r="B18" t="s">
        <v>134</v>
      </c>
      <c r="C18">
        <v>27.15</v>
      </c>
      <c r="D18" t="s">
        <v>3245</v>
      </c>
      <c r="E18" t="s">
        <v>3248</v>
      </c>
      <c r="F18">
        <v>75</v>
      </c>
      <c r="G18" t="b">
        <v>1</v>
      </c>
      <c r="H18">
        <v>1</v>
      </c>
    </row>
    <row r="19" spans="1:8" x14ac:dyDescent="0.25">
      <c r="A19" t="s">
        <v>175</v>
      </c>
      <c r="B19" t="s">
        <v>177</v>
      </c>
      <c r="C19">
        <v>21.5</v>
      </c>
      <c r="D19" t="s">
        <v>3245</v>
      </c>
      <c r="E19" t="s">
        <v>178</v>
      </c>
      <c r="F19">
        <v>75</v>
      </c>
      <c r="G19" t="b">
        <v>1</v>
      </c>
      <c r="H19">
        <v>1</v>
      </c>
    </row>
    <row r="20" spans="1:8" x14ac:dyDescent="0.25">
      <c r="A20" t="s">
        <v>179</v>
      </c>
      <c r="B20" t="s">
        <v>181</v>
      </c>
      <c r="C20">
        <v>21.5</v>
      </c>
      <c r="D20" t="s">
        <v>3245</v>
      </c>
      <c r="E20" t="s">
        <v>178</v>
      </c>
      <c r="F20">
        <v>75</v>
      </c>
      <c r="G20" t="b">
        <v>1</v>
      </c>
      <c r="H20">
        <v>1</v>
      </c>
    </row>
    <row r="21" spans="1:8" x14ac:dyDescent="0.25">
      <c r="A21" t="s">
        <v>160</v>
      </c>
      <c r="B21" t="s">
        <v>161</v>
      </c>
      <c r="C21">
        <v>94.350000000000009</v>
      </c>
      <c r="D21" t="s">
        <v>3245</v>
      </c>
      <c r="E21" t="s">
        <v>162</v>
      </c>
      <c r="F21">
        <v>75</v>
      </c>
      <c r="G21" t="b">
        <v>1</v>
      </c>
      <c r="H21">
        <v>1</v>
      </c>
    </row>
    <row r="22" spans="1:8" x14ac:dyDescent="0.25">
      <c r="A22" t="s">
        <v>163</v>
      </c>
      <c r="B22" t="s">
        <v>164</v>
      </c>
      <c r="C22">
        <v>35.1</v>
      </c>
      <c r="D22" t="s">
        <v>3245</v>
      </c>
      <c r="E22" t="s">
        <v>162</v>
      </c>
      <c r="F22">
        <v>75</v>
      </c>
      <c r="G22" t="b">
        <v>1</v>
      </c>
      <c r="H22">
        <v>1</v>
      </c>
    </row>
    <row r="23" spans="1:8" x14ac:dyDescent="0.25">
      <c r="A23" t="s">
        <v>144</v>
      </c>
      <c r="B23" s="1" t="s">
        <v>145</v>
      </c>
      <c r="C23">
        <v>64.850000000000009</v>
      </c>
      <c r="D23" t="s">
        <v>3245</v>
      </c>
      <c r="E23" t="s">
        <v>3249</v>
      </c>
      <c r="F23">
        <v>75</v>
      </c>
      <c r="G23" t="b">
        <v>1</v>
      </c>
      <c r="H23">
        <v>1</v>
      </c>
    </row>
    <row r="24" spans="1:8" x14ac:dyDescent="0.25">
      <c r="A24" t="s">
        <v>147</v>
      </c>
      <c r="B24" s="1" t="s">
        <v>148</v>
      </c>
      <c r="C24">
        <v>67.55</v>
      </c>
      <c r="D24" t="s">
        <v>3245</v>
      </c>
      <c r="E24" t="s">
        <v>3249</v>
      </c>
      <c r="F24">
        <v>75</v>
      </c>
      <c r="G24" t="b">
        <v>1</v>
      </c>
      <c r="H24">
        <v>1</v>
      </c>
    </row>
    <row r="25" spans="1:8" x14ac:dyDescent="0.25">
      <c r="A25" t="s">
        <v>149</v>
      </c>
      <c r="B25" s="1" t="s">
        <v>150</v>
      </c>
      <c r="C25">
        <v>70.2</v>
      </c>
      <c r="D25" t="s">
        <v>3245</v>
      </c>
      <c r="E25" t="s">
        <v>3249</v>
      </c>
      <c r="F25">
        <v>75</v>
      </c>
      <c r="G25" t="b">
        <v>1</v>
      </c>
      <c r="H25">
        <v>1</v>
      </c>
    </row>
    <row r="26" spans="1:8" x14ac:dyDescent="0.25">
      <c r="A26" t="s">
        <v>135</v>
      </c>
      <c r="B26" s="1" t="s">
        <v>136</v>
      </c>
      <c r="C26">
        <v>98.800000000000011</v>
      </c>
      <c r="D26" t="s">
        <v>3245</v>
      </c>
      <c r="E26" t="s">
        <v>3250</v>
      </c>
      <c r="F26">
        <v>75</v>
      </c>
      <c r="G26" t="b">
        <v>1</v>
      </c>
      <c r="H26">
        <v>1</v>
      </c>
    </row>
    <row r="27" spans="1:8" x14ac:dyDescent="0.25">
      <c r="A27" t="s">
        <v>138</v>
      </c>
      <c r="B27" s="1" t="s">
        <v>139</v>
      </c>
      <c r="C27">
        <v>114.7</v>
      </c>
      <c r="D27" t="s">
        <v>3245</v>
      </c>
      <c r="E27" t="s">
        <v>3250</v>
      </c>
      <c r="F27">
        <v>75</v>
      </c>
      <c r="G27" t="b">
        <v>1</v>
      </c>
      <c r="H27">
        <v>1</v>
      </c>
    </row>
    <row r="28" spans="1:8" x14ac:dyDescent="0.25">
      <c r="A28" t="s">
        <v>140</v>
      </c>
      <c r="B28" s="1" t="s">
        <v>141</v>
      </c>
      <c r="C28">
        <v>125.60000000000001</v>
      </c>
      <c r="D28" t="s">
        <v>3245</v>
      </c>
      <c r="E28" t="s">
        <v>3250</v>
      </c>
      <c r="F28">
        <v>75</v>
      </c>
      <c r="G28" t="b">
        <v>1</v>
      </c>
      <c r="H28">
        <v>1</v>
      </c>
    </row>
    <row r="29" spans="1:8" x14ac:dyDescent="0.25">
      <c r="A29" t="s">
        <v>142</v>
      </c>
      <c r="B29" s="1" t="s">
        <v>143</v>
      </c>
      <c r="C29">
        <v>135.05000000000001</v>
      </c>
      <c r="D29" t="s">
        <v>3245</v>
      </c>
      <c r="E29" t="s">
        <v>3250</v>
      </c>
      <c r="F29">
        <v>75</v>
      </c>
      <c r="G29" t="b">
        <v>1</v>
      </c>
      <c r="H29">
        <v>1</v>
      </c>
    </row>
    <row r="41" spans="1:8" x14ac:dyDescent="0.25">
      <c r="A41" t="s">
        <v>249</v>
      </c>
      <c r="B41" t="s">
        <v>250</v>
      </c>
      <c r="C41">
        <v>22.4</v>
      </c>
      <c r="D41" t="s">
        <v>3071</v>
      </c>
      <c r="E41" t="s">
        <v>3251</v>
      </c>
      <c r="F41">
        <v>75</v>
      </c>
      <c r="G41" t="b">
        <v>1</v>
      </c>
      <c r="H41">
        <v>1</v>
      </c>
    </row>
    <row r="42" spans="1:8" x14ac:dyDescent="0.25">
      <c r="A42" t="s">
        <v>252</v>
      </c>
      <c r="B42" t="s">
        <v>253</v>
      </c>
      <c r="C42">
        <v>23.65</v>
      </c>
      <c r="D42" t="s">
        <v>3071</v>
      </c>
      <c r="E42" t="s">
        <v>3251</v>
      </c>
      <c r="F42">
        <v>75</v>
      </c>
      <c r="G42" t="b">
        <v>1</v>
      </c>
      <c r="H42">
        <v>1</v>
      </c>
    </row>
    <row r="43" spans="1:8" x14ac:dyDescent="0.25">
      <c r="A43" t="s">
        <v>255</v>
      </c>
      <c r="B43" t="s">
        <v>256</v>
      </c>
      <c r="C43">
        <v>25.25</v>
      </c>
      <c r="D43" t="s">
        <v>3071</v>
      </c>
      <c r="E43" t="s">
        <v>3251</v>
      </c>
      <c r="F43">
        <v>75</v>
      </c>
      <c r="G43" t="b">
        <v>1</v>
      </c>
      <c r="H43">
        <v>1</v>
      </c>
    </row>
    <row r="44" spans="1:8" x14ac:dyDescent="0.25">
      <c r="A44" t="s">
        <v>258</v>
      </c>
      <c r="B44" t="s">
        <v>259</v>
      </c>
      <c r="C44">
        <v>26.8</v>
      </c>
      <c r="D44" t="s">
        <v>3071</v>
      </c>
      <c r="E44" t="s">
        <v>3251</v>
      </c>
      <c r="F44">
        <v>75</v>
      </c>
      <c r="G44" t="b">
        <v>1</v>
      </c>
      <c r="H44">
        <v>1</v>
      </c>
    </row>
    <row r="45" spans="1:8" x14ac:dyDescent="0.25">
      <c r="A45" t="s">
        <v>338</v>
      </c>
      <c r="B45" t="s">
        <v>339</v>
      </c>
      <c r="C45">
        <v>40.799999999999997</v>
      </c>
      <c r="D45" t="s">
        <v>3071</v>
      </c>
      <c r="E45" t="s">
        <v>3251</v>
      </c>
      <c r="F45">
        <v>75</v>
      </c>
      <c r="G45" t="b">
        <v>1</v>
      </c>
      <c r="H45">
        <v>1</v>
      </c>
    </row>
    <row r="46" spans="1:8" x14ac:dyDescent="0.25">
      <c r="A46" t="s">
        <v>340</v>
      </c>
      <c r="B46" t="s">
        <v>341</v>
      </c>
      <c r="C46">
        <v>41.4</v>
      </c>
      <c r="D46" t="s">
        <v>3071</v>
      </c>
      <c r="E46" t="s">
        <v>3251</v>
      </c>
      <c r="F46">
        <v>75</v>
      </c>
      <c r="G46" t="b">
        <v>1</v>
      </c>
      <c r="H46">
        <v>1</v>
      </c>
    </row>
    <row r="47" spans="1:8" x14ac:dyDescent="0.25">
      <c r="A47" t="s">
        <v>343</v>
      </c>
      <c r="B47" t="s">
        <v>344</v>
      </c>
      <c r="C47">
        <v>42</v>
      </c>
      <c r="D47" t="s">
        <v>3071</v>
      </c>
      <c r="E47" t="s">
        <v>3251</v>
      </c>
      <c r="F47">
        <v>75</v>
      </c>
      <c r="G47" t="b">
        <v>1</v>
      </c>
      <c r="H47">
        <v>1</v>
      </c>
    </row>
    <row r="48" spans="1:8" x14ac:dyDescent="0.25">
      <c r="A48" t="s">
        <v>346</v>
      </c>
      <c r="B48" t="s">
        <v>347</v>
      </c>
      <c r="C48">
        <v>43.25</v>
      </c>
      <c r="D48" t="s">
        <v>3071</v>
      </c>
      <c r="E48" t="s">
        <v>3251</v>
      </c>
      <c r="F48">
        <v>75</v>
      </c>
      <c r="G48" t="b">
        <v>1</v>
      </c>
      <c r="H48">
        <v>1</v>
      </c>
    </row>
    <row r="49" spans="1:8" x14ac:dyDescent="0.25">
      <c r="A49" t="s">
        <v>303</v>
      </c>
      <c r="B49" t="s">
        <v>304</v>
      </c>
      <c r="C49">
        <v>29.3</v>
      </c>
      <c r="D49" t="s">
        <v>3071</v>
      </c>
      <c r="E49" t="s">
        <v>3251</v>
      </c>
      <c r="F49">
        <v>75</v>
      </c>
      <c r="G49" t="b">
        <v>1</v>
      </c>
      <c r="H49">
        <v>1</v>
      </c>
    </row>
    <row r="50" spans="1:8" x14ac:dyDescent="0.25">
      <c r="A50" t="s">
        <v>306</v>
      </c>
      <c r="B50" t="s">
        <v>307</v>
      </c>
      <c r="C50">
        <v>29.85</v>
      </c>
      <c r="D50" t="s">
        <v>3071</v>
      </c>
      <c r="E50" t="s">
        <v>3251</v>
      </c>
      <c r="F50">
        <v>75</v>
      </c>
      <c r="G50" t="b">
        <v>1</v>
      </c>
      <c r="H50">
        <v>1</v>
      </c>
    </row>
    <row r="51" spans="1:8" x14ac:dyDescent="0.25">
      <c r="A51" t="s">
        <v>309</v>
      </c>
      <c r="B51" t="s">
        <v>310</v>
      </c>
      <c r="C51">
        <v>32.4</v>
      </c>
      <c r="D51" t="s">
        <v>3071</v>
      </c>
      <c r="E51" t="s">
        <v>3251</v>
      </c>
      <c r="F51">
        <v>75</v>
      </c>
      <c r="G51" t="b">
        <v>1</v>
      </c>
      <c r="H51">
        <v>1</v>
      </c>
    </row>
    <row r="52" spans="1:8" x14ac:dyDescent="0.25">
      <c r="A52" t="s">
        <v>312</v>
      </c>
      <c r="B52" t="s">
        <v>313</v>
      </c>
      <c r="C52">
        <v>34.85</v>
      </c>
      <c r="D52" t="s">
        <v>3071</v>
      </c>
      <c r="E52" t="s">
        <v>3251</v>
      </c>
      <c r="F52">
        <v>75</v>
      </c>
      <c r="G52" t="b">
        <v>1</v>
      </c>
      <c r="H52">
        <v>1</v>
      </c>
    </row>
    <row r="53" spans="1:8" x14ac:dyDescent="0.25">
      <c r="A53" t="s">
        <v>315</v>
      </c>
      <c r="B53" t="s">
        <v>316</v>
      </c>
      <c r="C53">
        <v>39.25</v>
      </c>
      <c r="D53" t="s">
        <v>3071</v>
      </c>
      <c r="E53" t="s">
        <v>3251</v>
      </c>
      <c r="F53">
        <v>75</v>
      </c>
      <c r="G53" t="b">
        <v>1</v>
      </c>
      <c r="H53">
        <v>1</v>
      </c>
    </row>
    <row r="54" spans="1:8" x14ac:dyDescent="0.25">
      <c r="A54" t="s">
        <v>318</v>
      </c>
      <c r="B54" t="s">
        <v>319</v>
      </c>
      <c r="C54">
        <v>42</v>
      </c>
      <c r="D54" t="s">
        <v>3071</v>
      </c>
      <c r="E54" t="s">
        <v>3251</v>
      </c>
      <c r="F54">
        <v>75</v>
      </c>
      <c r="G54" t="b">
        <v>1</v>
      </c>
      <c r="H54">
        <v>1</v>
      </c>
    </row>
    <row r="55" spans="1:8" x14ac:dyDescent="0.25">
      <c r="A55" t="s">
        <v>261</v>
      </c>
      <c r="B55" t="s">
        <v>262</v>
      </c>
      <c r="C55">
        <v>25.35</v>
      </c>
      <c r="D55" t="s">
        <v>3071</v>
      </c>
      <c r="E55" t="s">
        <v>3251</v>
      </c>
      <c r="F55">
        <v>75</v>
      </c>
      <c r="G55" t="b">
        <v>1</v>
      </c>
      <c r="H55">
        <v>1</v>
      </c>
    </row>
    <row r="56" spans="1:8" x14ac:dyDescent="0.25">
      <c r="A56" t="s">
        <v>264</v>
      </c>
      <c r="B56" t="s">
        <v>265</v>
      </c>
      <c r="C56">
        <v>28.95</v>
      </c>
      <c r="D56" t="s">
        <v>3071</v>
      </c>
      <c r="E56" t="s">
        <v>3251</v>
      </c>
      <c r="F56">
        <v>75</v>
      </c>
      <c r="G56" t="b">
        <v>1</v>
      </c>
      <c r="H56">
        <v>1</v>
      </c>
    </row>
    <row r="57" spans="1:8" x14ac:dyDescent="0.25">
      <c r="A57" t="s">
        <v>267</v>
      </c>
      <c r="B57" t="s">
        <v>268</v>
      </c>
      <c r="C57">
        <v>30.4</v>
      </c>
      <c r="D57" t="s">
        <v>3071</v>
      </c>
      <c r="E57" t="s">
        <v>3251</v>
      </c>
      <c r="F57">
        <v>75</v>
      </c>
      <c r="G57" t="b">
        <v>1</v>
      </c>
      <c r="H57">
        <v>1</v>
      </c>
    </row>
    <row r="58" spans="1:8" x14ac:dyDescent="0.25">
      <c r="A58" t="s">
        <v>270</v>
      </c>
      <c r="B58" t="s">
        <v>271</v>
      </c>
      <c r="C58">
        <v>31.55</v>
      </c>
      <c r="D58" t="s">
        <v>3071</v>
      </c>
      <c r="E58" t="s">
        <v>3251</v>
      </c>
      <c r="F58">
        <v>75</v>
      </c>
      <c r="G58" t="b">
        <v>1</v>
      </c>
      <c r="H58">
        <v>1</v>
      </c>
    </row>
    <row r="59" spans="1:8" x14ac:dyDescent="0.25">
      <c r="A59" t="s">
        <v>244</v>
      </c>
      <c r="B59" t="s">
        <v>245</v>
      </c>
      <c r="C59">
        <v>31.95</v>
      </c>
      <c r="D59" t="s">
        <v>3071</v>
      </c>
      <c r="E59" t="s">
        <v>3251</v>
      </c>
      <c r="F59">
        <v>75</v>
      </c>
      <c r="G59" t="b">
        <v>1</v>
      </c>
      <c r="H59">
        <v>1</v>
      </c>
    </row>
    <row r="60" spans="1:8" x14ac:dyDescent="0.25">
      <c r="A60" t="s">
        <v>247</v>
      </c>
      <c r="B60" t="s">
        <v>248</v>
      </c>
      <c r="C60">
        <v>35.1</v>
      </c>
      <c r="D60" t="s">
        <v>3071</v>
      </c>
      <c r="E60" t="s">
        <v>3251</v>
      </c>
      <c r="F60">
        <v>75</v>
      </c>
      <c r="G60" t="b">
        <v>1</v>
      </c>
      <c r="H60">
        <v>1</v>
      </c>
    </row>
    <row r="61" spans="1:8" x14ac:dyDescent="0.25">
      <c r="A61" t="s">
        <v>349</v>
      </c>
      <c r="B61" t="s">
        <v>350</v>
      </c>
      <c r="C61">
        <v>34.25</v>
      </c>
      <c r="D61" t="s">
        <v>3071</v>
      </c>
      <c r="E61" t="s">
        <v>3251</v>
      </c>
      <c r="F61">
        <v>75</v>
      </c>
      <c r="G61" t="b">
        <v>1</v>
      </c>
      <c r="H61">
        <v>1</v>
      </c>
    </row>
    <row r="62" spans="1:8" x14ac:dyDescent="0.25">
      <c r="A62" t="s">
        <v>352</v>
      </c>
      <c r="B62" t="s">
        <v>353</v>
      </c>
      <c r="C62">
        <v>35.549999999999997</v>
      </c>
      <c r="D62" t="s">
        <v>3071</v>
      </c>
      <c r="E62" t="s">
        <v>3251</v>
      </c>
      <c r="F62">
        <v>75</v>
      </c>
      <c r="G62" t="b">
        <v>1</v>
      </c>
      <c r="H62">
        <v>1</v>
      </c>
    </row>
    <row r="63" spans="1:8" x14ac:dyDescent="0.25">
      <c r="A63" t="s">
        <v>355</v>
      </c>
      <c r="B63" t="s">
        <v>356</v>
      </c>
      <c r="C63">
        <v>40.799999999999997</v>
      </c>
      <c r="D63" t="s">
        <v>3071</v>
      </c>
      <c r="E63" t="s">
        <v>3251</v>
      </c>
      <c r="F63">
        <v>75</v>
      </c>
      <c r="G63" t="b">
        <v>1</v>
      </c>
      <c r="H63">
        <v>1</v>
      </c>
    </row>
    <row r="64" spans="1:8" x14ac:dyDescent="0.25">
      <c r="A64" t="s">
        <v>358</v>
      </c>
      <c r="B64" t="s">
        <v>359</v>
      </c>
      <c r="C64">
        <v>43.95</v>
      </c>
      <c r="D64" t="s">
        <v>3071</v>
      </c>
      <c r="E64" t="s">
        <v>3251</v>
      </c>
      <c r="F64">
        <v>75</v>
      </c>
      <c r="G64" t="b">
        <v>1</v>
      </c>
      <c r="H64">
        <v>1</v>
      </c>
    </row>
    <row r="65" spans="1:8" x14ac:dyDescent="0.25">
      <c r="A65" t="s">
        <v>361</v>
      </c>
      <c r="B65" t="s">
        <v>362</v>
      </c>
      <c r="C65">
        <v>46.4</v>
      </c>
      <c r="D65" t="s">
        <v>3071</v>
      </c>
      <c r="E65" t="s">
        <v>3251</v>
      </c>
      <c r="F65">
        <v>75</v>
      </c>
      <c r="G65" t="b">
        <v>1</v>
      </c>
      <c r="H65">
        <v>1</v>
      </c>
    </row>
    <row r="66" spans="1:8" x14ac:dyDescent="0.25">
      <c r="A66" t="s">
        <v>364</v>
      </c>
      <c r="B66" t="s">
        <v>365</v>
      </c>
      <c r="C66">
        <v>48.95</v>
      </c>
      <c r="D66" t="s">
        <v>3071</v>
      </c>
      <c r="E66" t="s">
        <v>3251</v>
      </c>
      <c r="F66">
        <v>75</v>
      </c>
      <c r="G66" t="b">
        <v>1</v>
      </c>
      <c r="H66">
        <v>1</v>
      </c>
    </row>
    <row r="67" spans="1:8" x14ac:dyDescent="0.25">
      <c r="A67" t="s">
        <v>294</v>
      </c>
      <c r="B67" t="s">
        <v>295</v>
      </c>
      <c r="C67">
        <v>51.65</v>
      </c>
      <c r="D67" t="s">
        <v>3071</v>
      </c>
      <c r="E67" t="s">
        <v>3251</v>
      </c>
      <c r="F67">
        <v>75</v>
      </c>
      <c r="G67" t="b">
        <v>1</v>
      </c>
      <c r="H67">
        <v>1</v>
      </c>
    </row>
    <row r="68" spans="1:8" x14ac:dyDescent="0.25">
      <c r="A68" t="s">
        <v>321</v>
      </c>
      <c r="B68" t="s">
        <v>322</v>
      </c>
      <c r="C68">
        <v>42</v>
      </c>
      <c r="D68" t="s">
        <v>3071</v>
      </c>
      <c r="E68" t="s">
        <v>3251</v>
      </c>
      <c r="F68">
        <v>75</v>
      </c>
      <c r="G68" t="b">
        <v>1</v>
      </c>
      <c r="H68">
        <v>1</v>
      </c>
    </row>
    <row r="69" spans="1:8" x14ac:dyDescent="0.25">
      <c r="A69" t="s">
        <v>324</v>
      </c>
      <c r="B69" t="s">
        <v>325</v>
      </c>
      <c r="C69">
        <v>43.25</v>
      </c>
      <c r="D69" t="s">
        <v>3071</v>
      </c>
      <c r="E69" t="s">
        <v>3251</v>
      </c>
      <c r="F69">
        <v>75</v>
      </c>
      <c r="G69" t="b">
        <v>1</v>
      </c>
      <c r="H69">
        <v>1</v>
      </c>
    </row>
    <row r="70" spans="1:8" x14ac:dyDescent="0.25">
      <c r="A70" t="s">
        <v>327</v>
      </c>
      <c r="B70" t="s">
        <v>328</v>
      </c>
      <c r="C70">
        <v>45.8</v>
      </c>
      <c r="D70" t="s">
        <v>3071</v>
      </c>
      <c r="E70" t="s">
        <v>3251</v>
      </c>
      <c r="F70">
        <v>75</v>
      </c>
      <c r="G70" t="b">
        <v>1</v>
      </c>
      <c r="H70">
        <v>1</v>
      </c>
    </row>
    <row r="71" spans="1:8" x14ac:dyDescent="0.25">
      <c r="A71" t="s">
        <v>330</v>
      </c>
      <c r="B71" t="s">
        <v>331</v>
      </c>
      <c r="C71">
        <v>73.45</v>
      </c>
      <c r="D71" t="s">
        <v>3071</v>
      </c>
      <c r="E71" t="s">
        <v>3251</v>
      </c>
      <c r="F71">
        <v>75</v>
      </c>
      <c r="G71" t="b">
        <v>1</v>
      </c>
      <c r="H71">
        <v>1</v>
      </c>
    </row>
    <row r="72" spans="1:8" x14ac:dyDescent="0.25">
      <c r="A72" t="s">
        <v>411</v>
      </c>
      <c r="B72" t="s">
        <v>412</v>
      </c>
      <c r="C72">
        <v>17.399999999999999</v>
      </c>
      <c r="D72" t="s">
        <v>3071</v>
      </c>
      <c r="E72" t="s">
        <v>369</v>
      </c>
      <c r="F72">
        <v>75</v>
      </c>
      <c r="G72" t="b">
        <v>1</v>
      </c>
      <c r="H72">
        <v>1</v>
      </c>
    </row>
    <row r="73" spans="1:8" x14ac:dyDescent="0.25">
      <c r="A73" t="s">
        <v>414</v>
      </c>
      <c r="B73" t="s">
        <v>415</v>
      </c>
      <c r="C73">
        <v>19.8</v>
      </c>
      <c r="D73" t="s">
        <v>3071</v>
      </c>
      <c r="E73" t="s">
        <v>369</v>
      </c>
      <c r="F73">
        <v>75</v>
      </c>
      <c r="G73" t="b">
        <v>1</v>
      </c>
      <c r="H73">
        <v>1</v>
      </c>
    </row>
    <row r="74" spans="1:8" x14ac:dyDescent="0.25">
      <c r="A74" t="s">
        <v>416</v>
      </c>
      <c r="B74" t="s">
        <v>417</v>
      </c>
      <c r="C74">
        <v>22.4</v>
      </c>
      <c r="D74" t="s">
        <v>3071</v>
      </c>
      <c r="E74" t="s">
        <v>369</v>
      </c>
      <c r="F74">
        <v>75</v>
      </c>
      <c r="G74" t="b">
        <v>1</v>
      </c>
      <c r="H74">
        <v>1</v>
      </c>
    </row>
    <row r="75" spans="1:8" x14ac:dyDescent="0.25">
      <c r="A75" t="s">
        <v>418</v>
      </c>
      <c r="B75" t="s">
        <v>419</v>
      </c>
      <c r="C75">
        <v>24.45</v>
      </c>
      <c r="D75" t="s">
        <v>3071</v>
      </c>
      <c r="E75" t="s">
        <v>369</v>
      </c>
      <c r="F75">
        <v>75</v>
      </c>
      <c r="G75" t="b">
        <v>1</v>
      </c>
      <c r="H75">
        <v>1</v>
      </c>
    </row>
    <row r="76" spans="1:8" x14ac:dyDescent="0.25">
      <c r="A76" t="s">
        <v>421</v>
      </c>
      <c r="B76" t="s">
        <v>422</v>
      </c>
      <c r="C76">
        <v>27.75</v>
      </c>
      <c r="D76" t="s">
        <v>3071</v>
      </c>
      <c r="E76" t="s">
        <v>369</v>
      </c>
      <c r="F76">
        <v>75</v>
      </c>
      <c r="G76" t="b">
        <v>1</v>
      </c>
      <c r="H76">
        <v>1</v>
      </c>
    </row>
    <row r="77" spans="1:8" x14ac:dyDescent="0.25">
      <c r="A77" t="s">
        <v>424</v>
      </c>
      <c r="B77" t="s">
        <v>425</v>
      </c>
      <c r="C77">
        <v>31.9</v>
      </c>
      <c r="D77" t="s">
        <v>3071</v>
      </c>
      <c r="E77" t="s">
        <v>369</v>
      </c>
      <c r="F77">
        <v>75</v>
      </c>
      <c r="G77" t="b">
        <v>1</v>
      </c>
      <c r="H77">
        <v>1</v>
      </c>
    </row>
    <row r="78" spans="1:8" x14ac:dyDescent="0.25">
      <c r="A78" t="s">
        <v>427</v>
      </c>
      <c r="B78" t="s">
        <v>428</v>
      </c>
      <c r="C78">
        <v>35.700000000000003</v>
      </c>
      <c r="D78" t="s">
        <v>3071</v>
      </c>
      <c r="E78" t="s">
        <v>369</v>
      </c>
      <c r="F78">
        <v>75</v>
      </c>
      <c r="G78" t="b">
        <v>1</v>
      </c>
      <c r="H78">
        <v>1</v>
      </c>
    </row>
    <row r="79" spans="1:8" x14ac:dyDescent="0.25">
      <c r="A79" t="s">
        <v>429</v>
      </c>
      <c r="B79" t="s">
        <v>430</v>
      </c>
      <c r="C79">
        <v>41</v>
      </c>
      <c r="D79" t="s">
        <v>3071</v>
      </c>
      <c r="E79" t="s">
        <v>369</v>
      </c>
      <c r="F79">
        <v>75</v>
      </c>
      <c r="G79" t="b">
        <v>1</v>
      </c>
      <c r="H79">
        <v>1</v>
      </c>
    </row>
    <row r="80" spans="1:8" x14ac:dyDescent="0.25">
      <c r="A80" t="s">
        <v>431</v>
      </c>
      <c r="B80" t="s">
        <v>432</v>
      </c>
      <c r="C80">
        <v>45.1</v>
      </c>
      <c r="D80" t="s">
        <v>3071</v>
      </c>
      <c r="E80" t="s">
        <v>369</v>
      </c>
      <c r="F80">
        <v>75</v>
      </c>
      <c r="G80" t="b">
        <v>1</v>
      </c>
      <c r="H80">
        <v>1</v>
      </c>
    </row>
    <row r="81" spans="1:8" x14ac:dyDescent="0.25">
      <c r="A81" t="s">
        <v>433</v>
      </c>
      <c r="B81" t="s">
        <v>434</v>
      </c>
      <c r="C81">
        <v>51.6</v>
      </c>
      <c r="D81" t="s">
        <v>3071</v>
      </c>
      <c r="E81" t="s">
        <v>369</v>
      </c>
      <c r="F81">
        <v>75</v>
      </c>
      <c r="G81" t="b">
        <v>1</v>
      </c>
      <c r="H81">
        <v>1</v>
      </c>
    </row>
    <row r="82" spans="1:8" x14ac:dyDescent="0.25">
      <c r="A82" t="s">
        <v>435</v>
      </c>
      <c r="B82" t="s">
        <v>436</v>
      </c>
      <c r="C82">
        <v>55.45</v>
      </c>
      <c r="D82" t="s">
        <v>3071</v>
      </c>
      <c r="E82" t="s">
        <v>369</v>
      </c>
      <c r="F82">
        <v>75</v>
      </c>
      <c r="G82" t="b">
        <v>1</v>
      </c>
      <c r="H82">
        <v>1</v>
      </c>
    </row>
    <row r="83" spans="1:8" x14ac:dyDescent="0.25">
      <c r="A83" t="s">
        <v>297</v>
      </c>
      <c r="B83" t="s">
        <v>298</v>
      </c>
      <c r="C83">
        <v>53.05</v>
      </c>
      <c r="D83" t="s">
        <v>3071</v>
      </c>
      <c r="E83" t="s">
        <v>3251</v>
      </c>
      <c r="F83">
        <v>75</v>
      </c>
      <c r="G83" t="b">
        <v>1</v>
      </c>
      <c r="H83">
        <v>1</v>
      </c>
    </row>
    <row r="84" spans="1:8" x14ac:dyDescent="0.25">
      <c r="A84" t="s">
        <v>300</v>
      </c>
      <c r="B84" t="s">
        <v>301</v>
      </c>
      <c r="C84">
        <v>69.3</v>
      </c>
      <c r="D84" t="s">
        <v>3071</v>
      </c>
      <c r="E84" t="s">
        <v>3251</v>
      </c>
      <c r="F84">
        <v>75</v>
      </c>
      <c r="G84" t="b">
        <v>1</v>
      </c>
      <c r="H84">
        <v>1</v>
      </c>
    </row>
    <row r="85" spans="1:8" x14ac:dyDescent="0.25">
      <c r="A85" t="s">
        <v>291</v>
      </c>
      <c r="B85" t="s">
        <v>292</v>
      </c>
      <c r="C85">
        <v>65.05</v>
      </c>
      <c r="D85" t="s">
        <v>3071</v>
      </c>
      <c r="E85" t="s">
        <v>3251</v>
      </c>
      <c r="F85">
        <v>75</v>
      </c>
      <c r="G85" t="b">
        <v>1</v>
      </c>
      <c r="H85">
        <v>1</v>
      </c>
    </row>
    <row r="86" spans="1:8" x14ac:dyDescent="0.25">
      <c r="A86" t="s">
        <v>217</v>
      </c>
      <c r="B86" t="s">
        <v>218</v>
      </c>
      <c r="C86">
        <v>57.2</v>
      </c>
      <c r="D86" t="s">
        <v>3071</v>
      </c>
      <c r="E86" t="s">
        <v>201</v>
      </c>
      <c r="F86">
        <v>75</v>
      </c>
      <c r="G86" t="b">
        <v>1</v>
      </c>
      <c r="H86">
        <v>1</v>
      </c>
    </row>
    <row r="87" spans="1:8" x14ac:dyDescent="0.25">
      <c r="A87" t="s">
        <v>220</v>
      </c>
      <c r="B87" t="s">
        <v>221</v>
      </c>
      <c r="C87">
        <v>57.2</v>
      </c>
      <c r="D87" t="s">
        <v>3071</v>
      </c>
      <c r="E87" t="s">
        <v>201</v>
      </c>
      <c r="F87">
        <v>75</v>
      </c>
      <c r="G87" t="b">
        <v>1</v>
      </c>
      <c r="H87">
        <v>1</v>
      </c>
    </row>
    <row r="88" spans="1:8" x14ac:dyDescent="0.25">
      <c r="A88" t="s">
        <v>199</v>
      </c>
      <c r="B88" t="s">
        <v>200</v>
      </c>
      <c r="C88">
        <v>57.2</v>
      </c>
      <c r="D88" t="s">
        <v>3071</v>
      </c>
      <c r="E88" t="s">
        <v>201</v>
      </c>
      <c r="F88">
        <v>75</v>
      </c>
      <c r="G88" t="b">
        <v>1</v>
      </c>
      <c r="H88">
        <v>1</v>
      </c>
    </row>
    <row r="89" spans="1:8" x14ac:dyDescent="0.25">
      <c r="A89" t="s">
        <v>202</v>
      </c>
      <c r="B89" t="s">
        <v>203</v>
      </c>
      <c r="C89">
        <v>57.2</v>
      </c>
      <c r="D89" t="s">
        <v>3071</v>
      </c>
      <c r="E89" t="s">
        <v>201</v>
      </c>
      <c r="F89">
        <v>75</v>
      </c>
      <c r="G89" t="b">
        <v>1</v>
      </c>
      <c r="H89">
        <v>1</v>
      </c>
    </row>
    <row r="90" spans="1:8" x14ac:dyDescent="0.25">
      <c r="A90" t="s">
        <v>223</v>
      </c>
      <c r="B90" t="s">
        <v>224</v>
      </c>
      <c r="C90">
        <v>66.349999999999994</v>
      </c>
      <c r="D90" t="s">
        <v>3071</v>
      </c>
      <c r="E90" t="s">
        <v>201</v>
      </c>
      <c r="F90">
        <v>75</v>
      </c>
      <c r="G90" t="b">
        <v>1</v>
      </c>
      <c r="H90">
        <v>1</v>
      </c>
    </row>
    <row r="91" spans="1:8" x14ac:dyDescent="0.25">
      <c r="A91" t="s">
        <v>204</v>
      </c>
      <c r="B91" t="s">
        <v>205</v>
      </c>
      <c r="C91">
        <v>66.349999999999994</v>
      </c>
      <c r="D91" t="s">
        <v>3071</v>
      </c>
      <c r="E91" t="s">
        <v>201</v>
      </c>
      <c r="F91">
        <v>75</v>
      </c>
      <c r="G91" t="b">
        <v>1</v>
      </c>
      <c r="H91">
        <v>1</v>
      </c>
    </row>
    <row r="92" spans="1:8" x14ac:dyDescent="0.25">
      <c r="A92" t="s">
        <v>206</v>
      </c>
      <c r="B92" t="s">
        <v>207</v>
      </c>
      <c r="C92">
        <v>106.15</v>
      </c>
      <c r="D92" t="s">
        <v>3071</v>
      </c>
      <c r="E92" t="s">
        <v>201</v>
      </c>
      <c r="F92">
        <v>75</v>
      </c>
      <c r="G92" t="b">
        <v>1</v>
      </c>
      <c r="H92">
        <v>1</v>
      </c>
    </row>
    <row r="93" spans="1:8" x14ac:dyDescent="0.25">
      <c r="A93" t="s">
        <v>208</v>
      </c>
      <c r="B93" t="s">
        <v>209</v>
      </c>
      <c r="C93">
        <v>106.15</v>
      </c>
      <c r="D93" t="s">
        <v>3071</v>
      </c>
      <c r="E93" t="s">
        <v>201</v>
      </c>
      <c r="F93">
        <v>75</v>
      </c>
      <c r="G93" t="b">
        <v>1</v>
      </c>
      <c r="H93">
        <v>1</v>
      </c>
    </row>
    <row r="94" spans="1:8" x14ac:dyDescent="0.25">
      <c r="A94" t="s">
        <v>226</v>
      </c>
      <c r="B94" t="s">
        <v>227</v>
      </c>
      <c r="C94">
        <v>106.15</v>
      </c>
      <c r="D94" t="s">
        <v>3071</v>
      </c>
      <c r="E94" t="s">
        <v>201</v>
      </c>
      <c r="F94">
        <v>75</v>
      </c>
      <c r="G94" t="b">
        <v>1</v>
      </c>
      <c r="H94">
        <v>1</v>
      </c>
    </row>
    <row r="95" spans="1:8" x14ac:dyDescent="0.25">
      <c r="A95" t="s">
        <v>229</v>
      </c>
      <c r="B95" t="s">
        <v>230</v>
      </c>
      <c r="C95">
        <v>141.5</v>
      </c>
      <c r="D95" t="s">
        <v>3071</v>
      </c>
      <c r="E95" t="s">
        <v>201</v>
      </c>
      <c r="F95">
        <v>75</v>
      </c>
      <c r="G95" t="b">
        <v>1</v>
      </c>
      <c r="H95">
        <v>1</v>
      </c>
    </row>
    <row r="96" spans="1:8" x14ac:dyDescent="0.25">
      <c r="A96" t="s">
        <v>214</v>
      </c>
      <c r="B96" t="s">
        <v>215</v>
      </c>
      <c r="C96">
        <v>62.5</v>
      </c>
      <c r="D96" t="s">
        <v>3071</v>
      </c>
      <c r="E96" t="s">
        <v>3252</v>
      </c>
      <c r="F96">
        <v>75</v>
      </c>
      <c r="G96" t="b">
        <v>1</v>
      </c>
      <c r="H96">
        <v>1</v>
      </c>
    </row>
    <row r="97" spans="1:8" x14ac:dyDescent="0.25">
      <c r="A97" t="s">
        <v>232</v>
      </c>
      <c r="B97" t="s">
        <v>233</v>
      </c>
      <c r="C97">
        <v>8.0500000000000007</v>
      </c>
      <c r="D97" t="s">
        <v>3071</v>
      </c>
      <c r="E97" t="s">
        <v>201</v>
      </c>
      <c r="F97">
        <v>75</v>
      </c>
      <c r="G97" t="b">
        <v>1</v>
      </c>
      <c r="H97">
        <v>1</v>
      </c>
    </row>
    <row r="98" spans="1:8" x14ac:dyDescent="0.25">
      <c r="A98" t="s">
        <v>235</v>
      </c>
      <c r="B98" t="s">
        <v>236</v>
      </c>
      <c r="C98">
        <v>13.3</v>
      </c>
      <c r="D98" t="s">
        <v>3071</v>
      </c>
      <c r="E98" t="s">
        <v>201</v>
      </c>
      <c r="F98">
        <v>75</v>
      </c>
      <c r="G98" t="b">
        <v>1</v>
      </c>
      <c r="H98">
        <v>1</v>
      </c>
    </row>
    <row r="99" spans="1:8" x14ac:dyDescent="0.25">
      <c r="A99" t="s">
        <v>238</v>
      </c>
      <c r="B99" t="s">
        <v>239</v>
      </c>
      <c r="C99">
        <v>13.3</v>
      </c>
      <c r="D99" t="s">
        <v>3071</v>
      </c>
      <c r="E99" t="s">
        <v>201</v>
      </c>
      <c r="F99">
        <v>75</v>
      </c>
      <c r="G99" t="b">
        <v>1</v>
      </c>
      <c r="H99">
        <v>1</v>
      </c>
    </row>
    <row r="100" spans="1:8" x14ac:dyDescent="0.25">
      <c r="A100" t="s">
        <v>38</v>
      </c>
      <c r="B100" t="s">
        <v>39</v>
      </c>
      <c r="C100">
        <v>152</v>
      </c>
      <c r="D100" t="s">
        <v>3071</v>
      </c>
      <c r="E100" t="s">
        <v>23</v>
      </c>
      <c r="F100">
        <v>75</v>
      </c>
      <c r="G100" t="b">
        <v>1</v>
      </c>
      <c r="H100">
        <v>1</v>
      </c>
    </row>
    <row r="101" spans="1:8" x14ac:dyDescent="0.25">
      <c r="A101" t="s">
        <v>18</v>
      </c>
      <c r="B101" t="s">
        <v>19</v>
      </c>
      <c r="C101">
        <v>32.5</v>
      </c>
      <c r="D101" t="s">
        <v>3071</v>
      </c>
      <c r="E101" t="s">
        <v>23</v>
      </c>
      <c r="F101">
        <v>75</v>
      </c>
      <c r="G101" t="b">
        <v>1</v>
      </c>
      <c r="H101">
        <v>1</v>
      </c>
    </row>
    <row r="102" spans="1:8" x14ac:dyDescent="0.25">
      <c r="A102" t="s">
        <v>42</v>
      </c>
      <c r="B102" t="s">
        <v>43</v>
      </c>
      <c r="C102">
        <v>199.65</v>
      </c>
      <c r="D102" t="s">
        <v>3071</v>
      </c>
      <c r="E102" t="s">
        <v>23</v>
      </c>
      <c r="F102">
        <v>75</v>
      </c>
      <c r="G102" t="b">
        <v>1</v>
      </c>
      <c r="H102">
        <v>1</v>
      </c>
    </row>
    <row r="103" spans="1:8" x14ac:dyDescent="0.25">
      <c r="A103" t="s">
        <v>49</v>
      </c>
      <c r="B103" t="s">
        <v>50</v>
      </c>
      <c r="C103">
        <v>32.5</v>
      </c>
      <c r="D103" t="s">
        <v>3071</v>
      </c>
      <c r="E103" t="s">
        <v>23</v>
      </c>
      <c r="F103">
        <v>75</v>
      </c>
      <c r="G103" t="b">
        <v>1</v>
      </c>
      <c r="H103">
        <v>1</v>
      </c>
    </row>
    <row r="104" spans="1:8" x14ac:dyDescent="0.25">
      <c r="A104" t="s">
        <v>187</v>
      </c>
      <c r="B104" t="s">
        <v>188</v>
      </c>
      <c r="C104">
        <v>151.55000000000001</v>
      </c>
      <c r="D104" t="s">
        <v>3071</v>
      </c>
      <c r="E104" t="s">
        <v>3253</v>
      </c>
      <c r="F104">
        <v>75</v>
      </c>
      <c r="G104" t="b">
        <v>1</v>
      </c>
      <c r="H104">
        <v>1</v>
      </c>
    </row>
    <row r="105" spans="1:8" x14ac:dyDescent="0.25">
      <c r="A105" t="s">
        <v>193</v>
      </c>
      <c r="B105" t="s">
        <v>194</v>
      </c>
      <c r="C105">
        <v>47.15</v>
      </c>
      <c r="D105" t="s">
        <v>3071</v>
      </c>
      <c r="E105" t="s">
        <v>3253</v>
      </c>
      <c r="F105">
        <v>75</v>
      </c>
      <c r="G105" t="b">
        <v>1</v>
      </c>
      <c r="H105">
        <v>1</v>
      </c>
    </row>
    <row r="106" spans="1:8" x14ac:dyDescent="0.25">
      <c r="A106" t="s">
        <v>190</v>
      </c>
      <c r="B106" t="s">
        <v>191</v>
      </c>
      <c r="C106">
        <v>193.15</v>
      </c>
      <c r="D106" t="s">
        <v>3071</v>
      </c>
      <c r="E106" t="s">
        <v>3253</v>
      </c>
      <c r="F106">
        <v>75</v>
      </c>
      <c r="G106" t="b">
        <v>1</v>
      </c>
      <c r="H106">
        <v>1</v>
      </c>
    </row>
    <row r="107" spans="1:8" x14ac:dyDescent="0.25">
      <c r="A107" t="s">
        <v>190</v>
      </c>
      <c r="B107" t="s">
        <v>188</v>
      </c>
      <c r="C107">
        <v>151.55000000000001</v>
      </c>
      <c r="D107" t="s">
        <v>3071</v>
      </c>
      <c r="E107" t="s">
        <v>3253</v>
      </c>
      <c r="F107">
        <v>75</v>
      </c>
      <c r="G107" t="b">
        <v>1</v>
      </c>
      <c r="H107">
        <v>1</v>
      </c>
    </row>
    <row r="108" spans="1:8" x14ac:dyDescent="0.25">
      <c r="A108" t="s">
        <v>182</v>
      </c>
      <c r="B108" t="s">
        <v>3254</v>
      </c>
      <c r="C108">
        <v>166.5</v>
      </c>
      <c r="D108" t="s">
        <v>3071</v>
      </c>
      <c r="E108" t="s">
        <v>3253</v>
      </c>
      <c r="F108">
        <v>75</v>
      </c>
      <c r="G108" t="b">
        <v>1</v>
      </c>
      <c r="H108">
        <v>1</v>
      </c>
    </row>
    <row r="109" spans="1:8" x14ac:dyDescent="0.25">
      <c r="A109" t="s">
        <v>196</v>
      </c>
      <c r="B109" t="s">
        <v>197</v>
      </c>
      <c r="C109">
        <v>48.65</v>
      </c>
      <c r="D109" t="s">
        <v>3071</v>
      </c>
      <c r="E109" t="s">
        <v>3253</v>
      </c>
      <c r="F109">
        <v>75</v>
      </c>
      <c r="G109" t="b">
        <v>1</v>
      </c>
      <c r="H109">
        <v>1</v>
      </c>
    </row>
    <row r="110" spans="1:8" x14ac:dyDescent="0.25">
      <c r="A110" t="s">
        <v>241</v>
      </c>
      <c r="B110" t="s">
        <v>242</v>
      </c>
      <c r="C110">
        <v>54.85</v>
      </c>
      <c r="D110" t="s">
        <v>3071</v>
      </c>
      <c r="E110" t="s">
        <v>201</v>
      </c>
      <c r="F110">
        <v>75</v>
      </c>
      <c r="G110" t="b">
        <v>1</v>
      </c>
      <c r="H110">
        <v>1</v>
      </c>
    </row>
    <row r="111" spans="1:8" x14ac:dyDescent="0.25">
      <c r="A111" t="s">
        <v>210</v>
      </c>
      <c r="B111" t="s">
        <v>211</v>
      </c>
      <c r="C111">
        <v>54.85</v>
      </c>
      <c r="D111" t="s">
        <v>3071</v>
      </c>
      <c r="E111" t="s">
        <v>201</v>
      </c>
      <c r="F111">
        <v>75</v>
      </c>
      <c r="G111" t="b">
        <v>1</v>
      </c>
      <c r="H111">
        <v>1</v>
      </c>
    </row>
    <row r="112" spans="1:8" x14ac:dyDescent="0.25">
      <c r="A112" t="s">
        <v>46</v>
      </c>
      <c r="B112" t="s">
        <v>47</v>
      </c>
      <c r="C112">
        <v>287.35000000000002</v>
      </c>
      <c r="D112" t="s">
        <v>3071</v>
      </c>
      <c r="E112" t="s">
        <v>23</v>
      </c>
      <c r="F112">
        <v>75</v>
      </c>
      <c r="G112" t="b">
        <v>1</v>
      </c>
      <c r="H112">
        <v>1</v>
      </c>
    </row>
    <row r="113" spans="1:8" x14ac:dyDescent="0.25">
      <c r="A113" t="s">
        <v>24</v>
      </c>
      <c r="B113" t="s">
        <v>25</v>
      </c>
      <c r="D113" t="s">
        <v>3071</v>
      </c>
      <c r="E113" t="s">
        <v>23</v>
      </c>
      <c r="F113">
        <v>75</v>
      </c>
      <c r="G113" t="b">
        <v>1</v>
      </c>
      <c r="H113">
        <v>1</v>
      </c>
    </row>
    <row r="114" spans="1:8" x14ac:dyDescent="0.25">
      <c r="A114" t="s">
        <v>288</v>
      </c>
      <c r="B114" t="s">
        <v>289</v>
      </c>
      <c r="C114">
        <v>55.45</v>
      </c>
      <c r="D114" t="s">
        <v>3071</v>
      </c>
      <c r="E114" t="s">
        <v>3251</v>
      </c>
      <c r="F114">
        <v>75</v>
      </c>
      <c r="G114" t="b">
        <v>1</v>
      </c>
      <c r="H114">
        <v>1</v>
      </c>
    </row>
    <row r="115" spans="1:8" x14ac:dyDescent="0.25">
      <c r="A115" t="s">
        <v>273</v>
      </c>
      <c r="B115" t="s">
        <v>274</v>
      </c>
      <c r="C115">
        <v>35.4</v>
      </c>
      <c r="D115" t="s">
        <v>3071</v>
      </c>
      <c r="E115" t="s">
        <v>3251</v>
      </c>
      <c r="F115">
        <v>75</v>
      </c>
      <c r="G115" t="b">
        <v>1</v>
      </c>
      <c r="H115">
        <v>1</v>
      </c>
    </row>
    <row r="116" spans="1:8" x14ac:dyDescent="0.25">
      <c r="A116" t="s">
        <v>276</v>
      </c>
      <c r="B116" t="s">
        <v>277</v>
      </c>
      <c r="C116">
        <v>37.5</v>
      </c>
      <c r="D116" t="s">
        <v>3071</v>
      </c>
      <c r="E116" t="s">
        <v>3251</v>
      </c>
      <c r="F116">
        <v>75</v>
      </c>
      <c r="G116" t="b">
        <v>1</v>
      </c>
      <c r="H116">
        <v>1</v>
      </c>
    </row>
    <row r="117" spans="1:8" x14ac:dyDescent="0.25">
      <c r="A117" t="s">
        <v>279</v>
      </c>
      <c r="B117" t="s">
        <v>280</v>
      </c>
      <c r="C117">
        <v>38.950000000000003</v>
      </c>
      <c r="D117" t="s">
        <v>3071</v>
      </c>
      <c r="E117" t="s">
        <v>3251</v>
      </c>
      <c r="F117">
        <v>75</v>
      </c>
      <c r="G117" t="b">
        <v>1</v>
      </c>
      <c r="H117">
        <v>1</v>
      </c>
    </row>
    <row r="118" spans="1:8" x14ac:dyDescent="0.25">
      <c r="A118" t="s">
        <v>282</v>
      </c>
      <c r="B118" t="s">
        <v>283</v>
      </c>
      <c r="C118">
        <v>44.25</v>
      </c>
      <c r="D118" t="s">
        <v>3071</v>
      </c>
      <c r="E118" t="s">
        <v>3251</v>
      </c>
      <c r="F118">
        <v>75</v>
      </c>
      <c r="G118" t="b">
        <v>1</v>
      </c>
      <c r="H118">
        <v>1</v>
      </c>
    </row>
    <row r="119" spans="1:8" x14ac:dyDescent="0.25">
      <c r="A119" t="s">
        <v>285</v>
      </c>
      <c r="B119" t="s">
        <v>286</v>
      </c>
      <c r="C119">
        <v>50.1</v>
      </c>
      <c r="D119" t="s">
        <v>3071</v>
      </c>
      <c r="E119" t="s">
        <v>3251</v>
      </c>
      <c r="F119">
        <v>75</v>
      </c>
      <c r="G119" t="b">
        <v>1</v>
      </c>
      <c r="H119">
        <v>1</v>
      </c>
    </row>
    <row r="120" spans="1:8" x14ac:dyDescent="0.25">
      <c r="A120" t="s">
        <v>185</v>
      </c>
      <c r="B120" t="s">
        <v>186</v>
      </c>
      <c r="C120">
        <v>151.55000000000001</v>
      </c>
      <c r="D120" t="s">
        <v>3071</v>
      </c>
      <c r="E120" t="s">
        <v>3253</v>
      </c>
      <c r="F120">
        <v>75</v>
      </c>
      <c r="G120" t="b">
        <v>1</v>
      </c>
      <c r="H120">
        <v>1</v>
      </c>
    </row>
    <row r="121" spans="1:8" x14ac:dyDescent="0.25">
      <c r="A121" t="s">
        <v>34</v>
      </c>
      <c r="B121" t="s">
        <v>3255</v>
      </c>
      <c r="C121">
        <v>250.3</v>
      </c>
      <c r="D121" t="s">
        <v>3071</v>
      </c>
      <c r="E121" t="s">
        <v>23</v>
      </c>
      <c r="F121">
        <v>75</v>
      </c>
      <c r="G121" t="b">
        <v>1</v>
      </c>
      <c r="H121">
        <v>1</v>
      </c>
    </row>
    <row r="122" spans="1:8" x14ac:dyDescent="0.25">
      <c r="A122" t="s">
        <v>30</v>
      </c>
      <c r="B122" t="s">
        <v>31</v>
      </c>
      <c r="C122">
        <v>173.9</v>
      </c>
      <c r="D122" t="s">
        <v>3071</v>
      </c>
      <c r="E122" t="s">
        <v>23</v>
      </c>
      <c r="F122">
        <v>75</v>
      </c>
      <c r="G122" t="b">
        <v>1</v>
      </c>
      <c r="H122">
        <v>1</v>
      </c>
    </row>
    <row r="123" spans="1:8" x14ac:dyDescent="0.25">
      <c r="A123" t="s">
        <v>26</v>
      </c>
      <c r="B123" t="s">
        <v>27</v>
      </c>
      <c r="C123">
        <v>199.65</v>
      </c>
      <c r="D123" t="s">
        <v>3071</v>
      </c>
      <c r="E123" t="s">
        <v>23</v>
      </c>
      <c r="F123">
        <v>75</v>
      </c>
      <c r="G123" t="b">
        <v>1</v>
      </c>
      <c r="H123">
        <v>1</v>
      </c>
    </row>
    <row r="124" spans="1:8" x14ac:dyDescent="0.25">
      <c r="A124" t="s">
        <v>28</v>
      </c>
      <c r="B124" t="s">
        <v>29</v>
      </c>
      <c r="C124">
        <v>32.5</v>
      </c>
      <c r="D124" t="s">
        <v>3071</v>
      </c>
      <c r="E124" t="s">
        <v>23</v>
      </c>
      <c r="F124">
        <v>75</v>
      </c>
      <c r="G124" t="b">
        <v>1</v>
      </c>
      <c r="H124">
        <v>1</v>
      </c>
    </row>
    <row r="125" spans="1:8" x14ac:dyDescent="0.25">
      <c r="A125" t="s">
        <v>212</v>
      </c>
      <c r="B125" t="s">
        <v>213</v>
      </c>
      <c r="C125">
        <v>206</v>
      </c>
      <c r="D125" t="s">
        <v>3071</v>
      </c>
      <c r="E125" t="s">
        <v>201</v>
      </c>
      <c r="F125">
        <v>75</v>
      </c>
      <c r="G125" t="b">
        <v>1</v>
      </c>
      <c r="H125">
        <v>1</v>
      </c>
    </row>
    <row r="126" spans="1:8" x14ac:dyDescent="0.25">
      <c r="A126" t="s">
        <v>3157</v>
      </c>
      <c r="B126" t="s">
        <v>334</v>
      </c>
      <c r="C126">
        <v>10.050000000000001</v>
      </c>
      <c r="D126" t="s">
        <v>3071</v>
      </c>
      <c r="E126" t="s">
        <v>945</v>
      </c>
      <c r="F126">
        <v>75</v>
      </c>
      <c r="G126" t="b">
        <v>1</v>
      </c>
      <c r="H126">
        <v>1</v>
      </c>
    </row>
    <row r="127" spans="1:8" x14ac:dyDescent="0.25">
      <c r="A127" t="s">
        <v>3157</v>
      </c>
      <c r="B127" t="s">
        <v>337</v>
      </c>
      <c r="C127">
        <v>6.25</v>
      </c>
      <c r="D127" t="s">
        <v>3071</v>
      </c>
      <c r="E127" t="s">
        <v>945</v>
      </c>
      <c r="F127">
        <v>75</v>
      </c>
      <c r="G127" t="b">
        <v>1</v>
      </c>
      <c r="H127">
        <v>1</v>
      </c>
    </row>
    <row r="128" spans="1:8" x14ac:dyDescent="0.25">
      <c r="A128" t="s">
        <v>3157</v>
      </c>
      <c r="B128" t="s">
        <v>371</v>
      </c>
      <c r="C128">
        <v>2.7</v>
      </c>
      <c r="D128" t="s">
        <v>3071</v>
      </c>
      <c r="E128" t="s">
        <v>945</v>
      </c>
      <c r="F128">
        <v>75</v>
      </c>
      <c r="G128" t="b">
        <v>1</v>
      </c>
      <c r="H128">
        <v>1</v>
      </c>
    </row>
    <row r="129" spans="1:8" x14ac:dyDescent="0.25">
      <c r="A129" t="s">
        <v>3157</v>
      </c>
      <c r="B129" t="s">
        <v>389</v>
      </c>
      <c r="C129">
        <v>1.25</v>
      </c>
      <c r="D129" t="s">
        <v>3071</v>
      </c>
      <c r="E129" t="s">
        <v>945</v>
      </c>
      <c r="F129">
        <v>75</v>
      </c>
      <c r="G129" t="b">
        <v>1</v>
      </c>
      <c r="H129">
        <v>1</v>
      </c>
    </row>
    <row r="130" spans="1:8" x14ac:dyDescent="0.25">
      <c r="A130" t="s">
        <v>3157</v>
      </c>
      <c r="B130" t="s">
        <v>391</v>
      </c>
      <c r="C130">
        <v>6.25</v>
      </c>
      <c r="D130" t="s">
        <v>3071</v>
      </c>
      <c r="E130" t="s">
        <v>945</v>
      </c>
      <c r="F130">
        <v>75</v>
      </c>
      <c r="G130" t="b">
        <v>1</v>
      </c>
      <c r="H130">
        <v>1</v>
      </c>
    </row>
    <row r="131" spans="1:8" x14ac:dyDescent="0.25">
      <c r="A131" t="s">
        <v>3157</v>
      </c>
      <c r="B131" t="s">
        <v>394</v>
      </c>
      <c r="C131">
        <v>6.25</v>
      </c>
      <c r="D131" t="s">
        <v>3071</v>
      </c>
      <c r="E131" t="s">
        <v>945</v>
      </c>
      <c r="F131">
        <v>75</v>
      </c>
      <c r="G131" t="b">
        <v>1</v>
      </c>
      <c r="H131">
        <v>1</v>
      </c>
    </row>
    <row r="132" spans="1:8" x14ac:dyDescent="0.25">
      <c r="A132" t="s">
        <v>3157</v>
      </c>
      <c r="B132" t="s">
        <v>397</v>
      </c>
      <c r="C132">
        <v>6.25</v>
      </c>
      <c r="D132" t="s">
        <v>3071</v>
      </c>
      <c r="E132" t="s">
        <v>945</v>
      </c>
      <c r="F132">
        <v>75</v>
      </c>
      <c r="G132" t="b">
        <v>1</v>
      </c>
      <c r="H132">
        <v>1</v>
      </c>
    </row>
    <row r="133" spans="1:8" x14ac:dyDescent="0.25">
      <c r="A133" t="s">
        <v>3157</v>
      </c>
      <c r="B133" t="s">
        <v>368</v>
      </c>
      <c r="C133">
        <v>6.25</v>
      </c>
      <c r="D133" t="s">
        <v>3071</v>
      </c>
      <c r="E133" t="s">
        <v>945</v>
      </c>
      <c r="F133">
        <v>75</v>
      </c>
      <c r="G133" t="b">
        <v>1</v>
      </c>
      <c r="H133">
        <v>1</v>
      </c>
    </row>
    <row r="134" spans="1:8" x14ac:dyDescent="0.25">
      <c r="A134" t="s">
        <v>3157</v>
      </c>
      <c r="B134" t="s">
        <v>400</v>
      </c>
      <c r="C134">
        <v>2.85</v>
      </c>
      <c r="D134" t="s">
        <v>3071</v>
      </c>
      <c r="E134" t="s">
        <v>945</v>
      </c>
      <c r="F134">
        <v>75</v>
      </c>
      <c r="G134" t="b">
        <v>1</v>
      </c>
      <c r="H134">
        <v>1</v>
      </c>
    </row>
    <row r="135" spans="1:8" x14ac:dyDescent="0.25">
      <c r="A135" t="s">
        <v>3157</v>
      </c>
      <c r="B135" t="s">
        <v>403</v>
      </c>
      <c r="C135">
        <v>2.85</v>
      </c>
      <c r="D135" t="s">
        <v>3071</v>
      </c>
      <c r="E135" t="s">
        <v>945</v>
      </c>
      <c r="F135">
        <v>75</v>
      </c>
      <c r="G135" t="b">
        <v>1</v>
      </c>
      <c r="H135">
        <v>1</v>
      </c>
    </row>
    <row r="136" spans="1:8" x14ac:dyDescent="0.25">
      <c r="A136" t="s">
        <v>3157</v>
      </c>
      <c r="B136" t="s">
        <v>406</v>
      </c>
      <c r="C136">
        <v>2.85</v>
      </c>
      <c r="D136" t="s">
        <v>3071</v>
      </c>
      <c r="E136" t="s">
        <v>945</v>
      </c>
      <c r="F136">
        <v>75</v>
      </c>
      <c r="G136" t="b">
        <v>1</v>
      </c>
      <c r="H136">
        <v>1</v>
      </c>
    </row>
    <row r="137" spans="1:8" x14ac:dyDescent="0.25">
      <c r="A137" t="s">
        <v>3157</v>
      </c>
      <c r="B137" t="s">
        <v>409</v>
      </c>
      <c r="C137">
        <v>2.85</v>
      </c>
      <c r="D137" t="s">
        <v>3071</v>
      </c>
      <c r="E137" t="s">
        <v>945</v>
      </c>
      <c r="F137">
        <v>75</v>
      </c>
      <c r="G137" t="b">
        <v>1</v>
      </c>
      <c r="H137">
        <v>1</v>
      </c>
    </row>
    <row r="138" spans="1:8" x14ac:dyDescent="0.25">
      <c r="A138" t="s">
        <v>3158</v>
      </c>
      <c r="B138" t="s">
        <v>373</v>
      </c>
      <c r="C138">
        <v>5.9</v>
      </c>
      <c r="D138" t="s">
        <v>3071</v>
      </c>
      <c r="E138" t="s">
        <v>945</v>
      </c>
      <c r="F138">
        <v>75</v>
      </c>
      <c r="G138" t="b">
        <v>1</v>
      </c>
      <c r="H138">
        <v>1</v>
      </c>
    </row>
    <row r="139" spans="1:8" x14ac:dyDescent="0.25">
      <c r="A139" t="s">
        <v>3158</v>
      </c>
      <c r="B139" t="s">
        <v>375</v>
      </c>
      <c r="C139">
        <v>1.85</v>
      </c>
      <c r="D139" t="s">
        <v>3071</v>
      </c>
      <c r="E139" t="s">
        <v>945</v>
      </c>
      <c r="F139">
        <v>75</v>
      </c>
      <c r="G139" t="b">
        <v>1</v>
      </c>
      <c r="H139">
        <v>1</v>
      </c>
    </row>
    <row r="140" spans="1:8" x14ac:dyDescent="0.25">
      <c r="A140" t="s">
        <v>3158</v>
      </c>
      <c r="B140" t="s">
        <v>377</v>
      </c>
      <c r="C140">
        <v>2.2000000000000002</v>
      </c>
      <c r="D140" t="s">
        <v>3071</v>
      </c>
      <c r="E140" t="s">
        <v>945</v>
      </c>
      <c r="F140">
        <v>75</v>
      </c>
      <c r="G140" t="b">
        <v>1</v>
      </c>
      <c r="H140">
        <v>1</v>
      </c>
    </row>
    <row r="141" spans="1:8" x14ac:dyDescent="0.25">
      <c r="A141" t="s">
        <v>3158</v>
      </c>
      <c r="B141" t="s">
        <v>379</v>
      </c>
      <c r="C141">
        <v>2.85</v>
      </c>
      <c r="D141" t="s">
        <v>3071</v>
      </c>
      <c r="E141" t="s">
        <v>945</v>
      </c>
      <c r="F141">
        <v>75</v>
      </c>
      <c r="G141" t="b">
        <v>1</v>
      </c>
      <c r="H141">
        <v>1</v>
      </c>
    </row>
    <row r="142" spans="1:8" x14ac:dyDescent="0.25">
      <c r="A142" t="s">
        <v>3158</v>
      </c>
      <c r="B142" t="s">
        <v>381</v>
      </c>
      <c r="C142">
        <v>3.1</v>
      </c>
      <c r="D142" t="s">
        <v>3071</v>
      </c>
      <c r="E142" t="s">
        <v>945</v>
      </c>
      <c r="F142">
        <v>75</v>
      </c>
      <c r="G142" t="b">
        <v>1</v>
      </c>
      <c r="H142">
        <v>1</v>
      </c>
    </row>
    <row r="143" spans="1:8" x14ac:dyDescent="0.25">
      <c r="A143" t="s">
        <v>3158</v>
      </c>
      <c r="B143" t="s">
        <v>383</v>
      </c>
      <c r="C143">
        <v>3.45</v>
      </c>
      <c r="D143" t="s">
        <v>3071</v>
      </c>
      <c r="E143" t="s">
        <v>945</v>
      </c>
      <c r="F143">
        <v>75</v>
      </c>
      <c r="G143" t="b">
        <v>1</v>
      </c>
      <c r="H143">
        <v>1</v>
      </c>
    </row>
    <row r="144" spans="1:8" x14ac:dyDescent="0.25">
      <c r="A144" t="s">
        <v>3158</v>
      </c>
      <c r="B144" t="s">
        <v>385</v>
      </c>
      <c r="C144">
        <v>3.75</v>
      </c>
      <c r="D144" t="s">
        <v>3071</v>
      </c>
      <c r="E144" t="s">
        <v>945</v>
      </c>
      <c r="F144">
        <v>75</v>
      </c>
      <c r="G144" t="b">
        <v>1</v>
      </c>
      <c r="H144">
        <v>1</v>
      </c>
    </row>
    <row r="145" spans="1:8" x14ac:dyDescent="0.25">
      <c r="A145" t="s">
        <v>3158</v>
      </c>
      <c r="B145" t="s">
        <v>387</v>
      </c>
      <c r="C145">
        <v>4.45</v>
      </c>
      <c r="D145" t="s">
        <v>3071</v>
      </c>
      <c r="E145" t="s">
        <v>945</v>
      </c>
      <c r="F145">
        <v>75</v>
      </c>
      <c r="G145" t="b">
        <v>1</v>
      </c>
      <c r="H145">
        <v>1</v>
      </c>
    </row>
    <row r="146" spans="1:8" x14ac:dyDescent="0.25">
      <c r="A146" t="s">
        <v>3159</v>
      </c>
      <c r="B146" t="s">
        <v>438</v>
      </c>
      <c r="C146">
        <v>13.75</v>
      </c>
      <c r="D146" t="s">
        <v>3071</v>
      </c>
      <c r="E146" t="s">
        <v>945</v>
      </c>
      <c r="F146">
        <v>75</v>
      </c>
      <c r="G146" t="b">
        <v>1</v>
      </c>
      <c r="H146">
        <v>1</v>
      </c>
    </row>
    <row r="147" spans="1:8" x14ac:dyDescent="0.25">
      <c r="A147" t="s">
        <v>3159</v>
      </c>
      <c r="B147" t="s">
        <v>452</v>
      </c>
      <c r="C147">
        <v>24</v>
      </c>
      <c r="D147" t="s">
        <v>3071</v>
      </c>
      <c r="E147" t="s">
        <v>945</v>
      </c>
      <c r="F147">
        <v>75</v>
      </c>
      <c r="G147" t="b">
        <v>1</v>
      </c>
      <c r="H147">
        <v>1</v>
      </c>
    </row>
    <row r="148" spans="1:8" x14ac:dyDescent="0.25">
      <c r="A148" t="s">
        <v>3159</v>
      </c>
      <c r="B148" t="s">
        <v>440</v>
      </c>
      <c r="C148">
        <v>17.149999999999999</v>
      </c>
      <c r="D148" t="s">
        <v>3071</v>
      </c>
      <c r="E148" t="s">
        <v>945</v>
      </c>
      <c r="F148">
        <v>75</v>
      </c>
      <c r="G148" t="b">
        <v>1</v>
      </c>
      <c r="H148">
        <v>1</v>
      </c>
    </row>
    <row r="149" spans="1:8" x14ac:dyDescent="0.25">
      <c r="A149" t="s">
        <v>3159</v>
      </c>
      <c r="B149" t="s">
        <v>442</v>
      </c>
      <c r="C149">
        <v>20.25</v>
      </c>
      <c r="D149" t="s">
        <v>3071</v>
      </c>
      <c r="E149" t="s">
        <v>945</v>
      </c>
      <c r="F149">
        <v>75</v>
      </c>
      <c r="G149" t="b">
        <v>1</v>
      </c>
      <c r="H149">
        <v>1</v>
      </c>
    </row>
    <row r="150" spans="1:8" x14ac:dyDescent="0.25">
      <c r="A150" t="s">
        <v>3159</v>
      </c>
      <c r="B150" t="s">
        <v>454</v>
      </c>
      <c r="C150">
        <v>29.85</v>
      </c>
      <c r="D150" t="s">
        <v>3071</v>
      </c>
      <c r="E150" t="s">
        <v>945</v>
      </c>
      <c r="F150">
        <v>75</v>
      </c>
      <c r="G150" t="b">
        <v>1</v>
      </c>
      <c r="H150">
        <v>1</v>
      </c>
    </row>
    <row r="151" spans="1:8" x14ac:dyDescent="0.25">
      <c r="A151" t="s">
        <v>3159</v>
      </c>
      <c r="B151" t="s">
        <v>456</v>
      </c>
      <c r="C151">
        <v>36.1</v>
      </c>
      <c r="D151" t="s">
        <v>3071</v>
      </c>
      <c r="E151" t="s">
        <v>945</v>
      </c>
      <c r="F151">
        <v>75</v>
      </c>
      <c r="G151" t="b">
        <v>1</v>
      </c>
      <c r="H151">
        <v>1</v>
      </c>
    </row>
    <row r="152" spans="1:8" x14ac:dyDescent="0.25">
      <c r="A152" t="s">
        <v>3159</v>
      </c>
      <c r="B152" t="s">
        <v>444</v>
      </c>
      <c r="C152">
        <v>23.65</v>
      </c>
      <c r="D152" t="s">
        <v>3071</v>
      </c>
      <c r="E152" t="s">
        <v>945</v>
      </c>
      <c r="F152">
        <v>75</v>
      </c>
      <c r="G152" t="b">
        <v>1</v>
      </c>
      <c r="H152">
        <v>1</v>
      </c>
    </row>
    <row r="153" spans="1:8" x14ac:dyDescent="0.25">
      <c r="A153" t="s">
        <v>3159</v>
      </c>
      <c r="B153" t="s">
        <v>458</v>
      </c>
      <c r="C153">
        <v>42</v>
      </c>
      <c r="D153" t="s">
        <v>3071</v>
      </c>
      <c r="E153" t="s">
        <v>945</v>
      </c>
      <c r="F153">
        <v>75</v>
      </c>
      <c r="G153" t="b">
        <v>1</v>
      </c>
      <c r="H153">
        <v>1</v>
      </c>
    </row>
    <row r="154" spans="1:8" x14ac:dyDescent="0.25">
      <c r="A154" t="s">
        <v>3159</v>
      </c>
      <c r="B154" t="s">
        <v>446</v>
      </c>
      <c r="C154">
        <v>27.15</v>
      </c>
      <c r="D154" t="s">
        <v>3071</v>
      </c>
      <c r="E154" t="s">
        <v>945</v>
      </c>
      <c r="F154">
        <v>75</v>
      </c>
      <c r="G154" t="b">
        <v>1</v>
      </c>
      <c r="H154">
        <v>1</v>
      </c>
    </row>
    <row r="155" spans="1:8" x14ac:dyDescent="0.25">
      <c r="A155" t="s">
        <v>3159</v>
      </c>
      <c r="B155" t="s">
        <v>460</v>
      </c>
      <c r="C155">
        <v>47.95</v>
      </c>
      <c r="D155" t="s">
        <v>3071</v>
      </c>
      <c r="E155" t="s">
        <v>945</v>
      </c>
      <c r="F155">
        <v>75</v>
      </c>
      <c r="G155" t="b">
        <v>1</v>
      </c>
      <c r="H155">
        <v>1</v>
      </c>
    </row>
    <row r="156" spans="1:8" x14ac:dyDescent="0.25">
      <c r="A156" t="s">
        <v>3159</v>
      </c>
      <c r="B156" t="s">
        <v>448</v>
      </c>
      <c r="C156">
        <v>30.55</v>
      </c>
      <c r="D156" t="s">
        <v>3071</v>
      </c>
      <c r="E156" t="s">
        <v>945</v>
      </c>
      <c r="F156">
        <v>75</v>
      </c>
      <c r="G156" t="b">
        <v>1</v>
      </c>
      <c r="H156">
        <v>1</v>
      </c>
    </row>
    <row r="157" spans="1:8" x14ac:dyDescent="0.25">
      <c r="A157" t="s">
        <v>3159</v>
      </c>
      <c r="B157" t="s">
        <v>462</v>
      </c>
      <c r="C157">
        <v>53.8</v>
      </c>
      <c r="D157" t="s">
        <v>3071</v>
      </c>
      <c r="E157" t="s">
        <v>945</v>
      </c>
      <c r="F157">
        <v>75</v>
      </c>
      <c r="G157" t="b">
        <v>1</v>
      </c>
      <c r="H157">
        <v>1</v>
      </c>
    </row>
    <row r="158" spans="1:8" x14ac:dyDescent="0.25">
      <c r="A158" t="s">
        <v>3159</v>
      </c>
      <c r="B158" t="s">
        <v>450</v>
      </c>
      <c r="C158">
        <v>33.950000000000003</v>
      </c>
      <c r="D158" t="s">
        <v>3071</v>
      </c>
      <c r="E158" t="s">
        <v>945</v>
      </c>
      <c r="F158">
        <v>75</v>
      </c>
      <c r="G158" t="b">
        <v>1</v>
      </c>
      <c r="H158">
        <v>1</v>
      </c>
    </row>
    <row r="159" spans="1:8" x14ac:dyDescent="0.25">
      <c r="A159" t="s">
        <v>3159</v>
      </c>
      <c r="B159" t="s">
        <v>464</v>
      </c>
      <c r="C159">
        <v>60.05</v>
      </c>
      <c r="D159" t="s">
        <v>3071</v>
      </c>
      <c r="E159" t="s">
        <v>945</v>
      </c>
      <c r="F159">
        <v>75</v>
      </c>
      <c r="G159" t="b">
        <v>1</v>
      </c>
      <c r="H159">
        <v>1</v>
      </c>
    </row>
    <row r="160" spans="1:8" x14ac:dyDescent="0.25">
      <c r="A160" t="s">
        <v>513</v>
      </c>
      <c r="B160" t="s">
        <v>514</v>
      </c>
      <c r="C160">
        <v>54.3</v>
      </c>
      <c r="D160" t="s">
        <v>3074</v>
      </c>
      <c r="E160" t="s">
        <v>516</v>
      </c>
      <c r="F160">
        <v>75</v>
      </c>
      <c r="G160" t="b">
        <v>1</v>
      </c>
      <c r="H160">
        <v>1</v>
      </c>
    </row>
    <row r="161" spans="1:8" x14ac:dyDescent="0.25">
      <c r="A161" t="s">
        <v>517</v>
      </c>
      <c r="B161" t="s">
        <v>518</v>
      </c>
      <c r="C161">
        <v>58.4</v>
      </c>
      <c r="D161" t="s">
        <v>3074</v>
      </c>
      <c r="E161" t="s">
        <v>516</v>
      </c>
      <c r="F161">
        <v>75</v>
      </c>
      <c r="G161" t="b">
        <v>1</v>
      </c>
      <c r="H161">
        <v>1</v>
      </c>
    </row>
    <row r="162" spans="1:8" x14ac:dyDescent="0.25">
      <c r="A162" t="s">
        <v>482</v>
      </c>
      <c r="B162" t="s">
        <v>483</v>
      </c>
      <c r="C162">
        <v>53.05</v>
      </c>
      <c r="D162" t="s">
        <v>3074</v>
      </c>
      <c r="E162" t="s">
        <v>530</v>
      </c>
      <c r="F162">
        <v>75</v>
      </c>
      <c r="G162" t="b">
        <v>1</v>
      </c>
      <c r="H162">
        <v>1</v>
      </c>
    </row>
    <row r="163" spans="1:8" x14ac:dyDescent="0.25">
      <c r="A163" t="s">
        <v>527</v>
      </c>
      <c r="B163" t="s">
        <v>528</v>
      </c>
      <c r="C163">
        <v>96.7</v>
      </c>
      <c r="D163" t="s">
        <v>3074</v>
      </c>
      <c r="E163" t="s">
        <v>530</v>
      </c>
      <c r="F163">
        <v>75</v>
      </c>
      <c r="G163" t="b">
        <v>1</v>
      </c>
      <c r="H163">
        <v>1</v>
      </c>
    </row>
    <row r="164" spans="1:8" x14ac:dyDescent="0.25">
      <c r="A164" t="s">
        <v>531</v>
      </c>
      <c r="B164" t="s">
        <v>532</v>
      </c>
      <c r="C164">
        <v>96.7</v>
      </c>
      <c r="D164" t="s">
        <v>3074</v>
      </c>
      <c r="E164" t="s">
        <v>530</v>
      </c>
      <c r="F164">
        <v>75</v>
      </c>
      <c r="G164" t="b">
        <v>1</v>
      </c>
      <c r="H164">
        <v>1</v>
      </c>
    </row>
    <row r="165" spans="1:8" x14ac:dyDescent="0.25">
      <c r="A165" t="s">
        <v>486</v>
      </c>
      <c r="B165" t="s">
        <v>487</v>
      </c>
      <c r="C165">
        <v>96.7</v>
      </c>
      <c r="D165" t="s">
        <v>3074</v>
      </c>
      <c r="E165" t="s">
        <v>530</v>
      </c>
      <c r="F165">
        <v>75</v>
      </c>
      <c r="G165" t="b">
        <v>1</v>
      </c>
      <c r="H165">
        <v>1</v>
      </c>
    </row>
    <row r="166" spans="1:8" x14ac:dyDescent="0.25">
      <c r="A166" t="s">
        <v>489</v>
      </c>
      <c r="B166" t="s">
        <v>490</v>
      </c>
      <c r="C166">
        <v>61.65</v>
      </c>
      <c r="D166" t="s">
        <v>3074</v>
      </c>
      <c r="E166" t="s">
        <v>530</v>
      </c>
      <c r="F166">
        <v>75</v>
      </c>
      <c r="G166" t="b">
        <v>1</v>
      </c>
      <c r="H166">
        <v>1</v>
      </c>
    </row>
    <row r="167" spans="1:8" x14ac:dyDescent="0.25">
      <c r="A167" t="s">
        <v>492</v>
      </c>
      <c r="B167" t="s">
        <v>493</v>
      </c>
      <c r="C167">
        <v>51.6</v>
      </c>
      <c r="D167" t="s">
        <v>3074</v>
      </c>
      <c r="E167" t="s">
        <v>530</v>
      </c>
      <c r="F167">
        <v>75</v>
      </c>
      <c r="G167" t="b">
        <v>1</v>
      </c>
      <c r="H167">
        <v>1</v>
      </c>
    </row>
    <row r="168" spans="1:8" x14ac:dyDescent="0.25">
      <c r="A168" t="s">
        <v>495</v>
      </c>
      <c r="B168" t="s">
        <v>496</v>
      </c>
      <c r="C168">
        <v>51.6</v>
      </c>
      <c r="D168" t="s">
        <v>3074</v>
      </c>
      <c r="E168" t="s">
        <v>522</v>
      </c>
      <c r="F168">
        <v>75</v>
      </c>
      <c r="G168" t="b">
        <v>1</v>
      </c>
      <c r="H168">
        <v>1</v>
      </c>
    </row>
    <row r="169" spans="1:8" x14ac:dyDescent="0.25">
      <c r="A169" t="s">
        <v>520</v>
      </c>
      <c r="B169" t="s">
        <v>521</v>
      </c>
      <c r="C169">
        <v>56.05</v>
      </c>
      <c r="D169" t="s">
        <v>3074</v>
      </c>
      <c r="E169" t="s">
        <v>522</v>
      </c>
      <c r="F169">
        <v>75</v>
      </c>
      <c r="G169" t="b">
        <v>1</v>
      </c>
      <c r="H169">
        <v>1</v>
      </c>
    </row>
    <row r="170" spans="1:8" x14ac:dyDescent="0.25">
      <c r="A170" t="s">
        <v>508</v>
      </c>
      <c r="B170" t="s">
        <v>509</v>
      </c>
      <c r="C170">
        <v>80.8</v>
      </c>
      <c r="D170" t="s">
        <v>3074</v>
      </c>
      <c r="E170" t="s">
        <v>3256</v>
      </c>
      <c r="F170">
        <v>75</v>
      </c>
      <c r="G170" t="b">
        <v>1</v>
      </c>
      <c r="H170">
        <v>1</v>
      </c>
    </row>
    <row r="171" spans="1:8" x14ac:dyDescent="0.25">
      <c r="A171" t="s">
        <v>501</v>
      </c>
      <c r="B171" t="s">
        <v>502</v>
      </c>
      <c r="C171">
        <v>55.45</v>
      </c>
      <c r="D171" t="s">
        <v>3074</v>
      </c>
      <c r="E171" t="s">
        <v>3256</v>
      </c>
      <c r="F171">
        <v>75</v>
      </c>
      <c r="G171" t="b">
        <v>1</v>
      </c>
      <c r="H171">
        <v>1</v>
      </c>
    </row>
    <row r="172" spans="1:8" x14ac:dyDescent="0.25">
      <c r="A172" t="s">
        <v>505</v>
      </c>
      <c r="B172" t="s">
        <v>506</v>
      </c>
      <c r="C172">
        <v>66.349999999999994</v>
      </c>
      <c r="D172" t="s">
        <v>3074</v>
      </c>
      <c r="E172" t="s">
        <v>3256</v>
      </c>
      <c r="F172">
        <v>75</v>
      </c>
      <c r="G172" t="b">
        <v>1</v>
      </c>
      <c r="H172">
        <v>1</v>
      </c>
    </row>
    <row r="173" spans="1:8" x14ac:dyDescent="0.25">
      <c r="A173" t="s">
        <v>510</v>
      </c>
      <c r="B173" t="s">
        <v>511</v>
      </c>
      <c r="C173">
        <v>353.2</v>
      </c>
      <c r="D173" t="s">
        <v>3074</v>
      </c>
      <c r="E173" t="s">
        <v>3256</v>
      </c>
      <c r="F173">
        <v>75</v>
      </c>
      <c r="G173" t="b">
        <v>1</v>
      </c>
      <c r="H173">
        <v>1</v>
      </c>
    </row>
    <row r="174" spans="1:8" x14ac:dyDescent="0.25">
      <c r="A174" t="s">
        <v>525</v>
      </c>
      <c r="B174" t="s">
        <v>526</v>
      </c>
      <c r="C174">
        <v>55.45</v>
      </c>
      <c r="D174" t="s">
        <v>3074</v>
      </c>
      <c r="E174" t="s">
        <v>522</v>
      </c>
      <c r="F174">
        <v>75</v>
      </c>
      <c r="G174" t="b">
        <v>1</v>
      </c>
      <c r="H174">
        <v>1</v>
      </c>
    </row>
    <row r="175" spans="1:8" x14ac:dyDescent="0.25">
      <c r="A175" t="s">
        <v>523</v>
      </c>
      <c r="B175" t="s">
        <v>524</v>
      </c>
      <c r="C175">
        <v>35.700000000000003</v>
      </c>
      <c r="D175" t="s">
        <v>3074</v>
      </c>
      <c r="E175" t="s">
        <v>522</v>
      </c>
      <c r="F175">
        <v>75</v>
      </c>
      <c r="G175" t="b">
        <v>1</v>
      </c>
      <c r="H175">
        <v>1</v>
      </c>
    </row>
    <row r="176" spans="1:8" x14ac:dyDescent="0.25">
      <c r="A176" t="s">
        <v>472</v>
      </c>
      <c r="B176" t="s">
        <v>473</v>
      </c>
      <c r="C176">
        <v>10.6</v>
      </c>
      <c r="D176" t="s">
        <v>3074</v>
      </c>
      <c r="E176" t="s">
        <v>945</v>
      </c>
      <c r="F176">
        <v>75</v>
      </c>
      <c r="G176" t="b">
        <v>1</v>
      </c>
      <c r="H176">
        <v>1</v>
      </c>
    </row>
    <row r="177" spans="1:8" x14ac:dyDescent="0.25">
      <c r="A177" t="s">
        <v>498</v>
      </c>
      <c r="B177" t="s">
        <v>499</v>
      </c>
      <c r="C177">
        <v>18.600000000000001</v>
      </c>
      <c r="D177" t="s">
        <v>3074</v>
      </c>
      <c r="E177" t="s">
        <v>522</v>
      </c>
      <c r="F177">
        <v>75</v>
      </c>
      <c r="G177" t="b">
        <v>1</v>
      </c>
      <c r="H177">
        <v>1</v>
      </c>
    </row>
    <row r="178" spans="1:8" x14ac:dyDescent="0.25">
      <c r="A178" t="s">
        <v>533</v>
      </c>
      <c r="B178" t="s">
        <v>534</v>
      </c>
      <c r="C178">
        <v>56.9</v>
      </c>
      <c r="D178" t="s">
        <v>3074</v>
      </c>
      <c r="E178" t="s">
        <v>522</v>
      </c>
      <c r="F178">
        <v>75</v>
      </c>
      <c r="G178" t="b">
        <v>1</v>
      </c>
      <c r="H178">
        <v>1</v>
      </c>
    </row>
    <row r="179" spans="1:8" x14ac:dyDescent="0.25">
      <c r="A179" t="s">
        <v>3160</v>
      </c>
      <c r="B179" t="s">
        <v>478</v>
      </c>
      <c r="C179">
        <v>9.15</v>
      </c>
      <c r="D179" t="s">
        <v>3074</v>
      </c>
      <c r="E179" t="s">
        <v>945</v>
      </c>
      <c r="F179">
        <v>75</v>
      </c>
      <c r="G179" t="b">
        <v>1</v>
      </c>
      <c r="H179">
        <v>1</v>
      </c>
    </row>
    <row r="180" spans="1:8" x14ac:dyDescent="0.25">
      <c r="A180" t="s">
        <v>3160</v>
      </c>
      <c r="B180" t="s">
        <v>481</v>
      </c>
      <c r="C180">
        <v>14.45</v>
      </c>
      <c r="D180" t="s">
        <v>3074</v>
      </c>
      <c r="E180" t="s">
        <v>945</v>
      </c>
      <c r="F180">
        <v>75</v>
      </c>
      <c r="G180" t="b">
        <v>1</v>
      </c>
      <c r="H180">
        <v>1</v>
      </c>
    </row>
    <row r="181" spans="1:8" x14ac:dyDescent="0.25">
      <c r="A181" t="s">
        <v>3160</v>
      </c>
      <c r="B181" t="s">
        <v>2444</v>
      </c>
      <c r="C181">
        <v>5.35</v>
      </c>
      <c r="D181" t="s">
        <v>3074</v>
      </c>
      <c r="E181" t="s">
        <v>945</v>
      </c>
      <c r="F181">
        <v>75</v>
      </c>
      <c r="G181" t="b">
        <v>1</v>
      </c>
      <c r="H181">
        <v>1</v>
      </c>
    </row>
    <row r="182" spans="1:8" x14ac:dyDescent="0.25">
      <c r="A182" t="s">
        <v>3160</v>
      </c>
      <c r="B182" t="s">
        <v>2446</v>
      </c>
      <c r="C182">
        <v>5.35</v>
      </c>
      <c r="D182" t="s">
        <v>3074</v>
      </c>
      <c r="E182" t="s">
        <v>945</v>
      </c>
      <c r="F182">
        <v>75</v>
      </c>
      <c r="G182" t="b">
        <v>1</v>
      </c>
      <c r="H182">
        <v>1</v>
      </c>
    </row>
    <row r="183" spans="1:8" x14ac:dyDescent="0.25">
      <c r="A183" t="s">
        <v>720</v>
      </c>
      <c r="B183" t="s">
        <v>2482</v>
      </c>
      <c r="C183">
        <v>21.85</v>
      </c>
      <c r="D183" t="s">
        <v>3257</v>
      </c>
      <c r="E183" t="s">
        <v>945</v>
      </c>
      <c r="F183">
        <v>75</v>
      </c>
      <c r="G183" t="b">
        <v>1</v>
      </c>
      <c r="H183">
        <v>1</v>
      </c>
    </row>
    <row r="184" spans="1:8" x14ac:dyDescent="0.25">
      <c r="A184" t="s">
        <v>720</v>
      </c>
      <c r="B184" t="s">
        <v>2750</v>
      </c>
      <c r="C184">
        <v>9.85</v>
      </c>
      <c r="D184" t="s">
        <v>3257</v>
      </c>
      <c r="E184" t="s">
        <v>945</v>
      </c>
      <c r="F184">
        <v>75</v>
      </c>
      <c r="G184" t="b">
        <v>1</v>
      </c>
      <c r="H184">
        <v>1</v>
      </c>
    </row>
    <row r="185" spans="1:8" x14ac:dyDescent="0.25">
      <c r="A185" t="s">
        <v>720</v>
      </c>
      <c r="B185" t="s">
        <v>2754</v>
      </c>
      <c r="C185">
        <v>21.85</v>
      </c>
      <c r="D185" t="s">
        <v>3257</v>
      </c>
      <c r="E185" t="s">
        <v>945</v>
      </c>
      <c r="F185">
        <v>75</v>
      </c>
      <c r="G185" t="b">
        <v>1</v>
      </c>
      <c r="H185">
        <v>1</v>
      </c>
    </row>
    <row r="186" spans="1:8" x14ac:dyDescent="0.25">
      <c r="A186" t="s">
        <v>720</v>
      </c>
      <c r="B186" t="s">
        <v>2468</v>
      </c>
      <c r="C186">
        <v>9.85</v>
      </c>
      <c r="D186" t="s">
        <v>3257</v>
      </c>
      <c r="E186" t="s">
        <v>945</v>
      </c>
      <c r="F186">
        <v>75</v>
      </c>
      <c r="G186" t="b">
        <v>1</v>
      </c>
      <c r="H186">
        <v>1</v>
      </c>
    </row>
    <row r="187" spans="1:8" x14ac:dyDescent="0.25">
      <c r="A187" t="s">
        <v>720</v>
      </c>
      <c r="B187" t="s">
        <v>2470</v>
      </c>
      <c r="C187">
        <v>9.85</v>
      </c>
      <c r="D187" t="s">
        <v>3257</v>
      </c>
      <c r="E187" t="s">
        <v>945</v>
      </c>
      <c r="F187">
        <v>75</v>
      </c>
      <c r="G187" t="b">
        <v>1</v>
      </c>
      <c r="H187">
        <v>1</v>
      </c>
    </row>
    <row r="188" spans="1:8" x14ac:dyDescent="0.25">
      <c r="A188" t="s">
        <v>720</v>
      </c>
      <c r="B188" t="s">
        <v>3162</v>
      </c>
      <c r="C188">
        <v>9.85</v>
      </c>
      <c r="D188" t="s">
        <v>3257</v>
      </c>
      <c r="E188" t="s">
        <v>945</v>
      </c>
      <c r="F188">
        <v>75</v>
      </c>
      <c r="G188" t="b">
        <v>1</v>
      </c>
      <c r="H188">
        <v>1</v>
      </c>
    </row>
    <row r="189" spans="1:8" x14ac:dyDescent="0.25">
      <c r="A189" t="s">
        <v>720</v>
      </c>
      <c r="B189" t="s">
        <v>3163</v>
      </c>
      <c r="C189">
        <v>14.8</v>
      </c>
      <c r="D189" t="s">
        <v>3257</v>
      </c>
      <c r="E189" t="s">
        <v>945</v>
      </c>
      <c r="F189">
        <v>75</v>
      </c>
      <c r="G189" t="b">
        <v>1</v>
      </c>
      <c r="H189">
        <v>1</v>
      </c>
    </row>
    <row r="190" spans="1:8" x14ac:dyDescent="0.25">
      <c r="A190" t="s">
        <v>720</v>
      </c>
      <c r="B190" t="s">
        <v>2472</v>
      </c>
      <c r="C190">
        <v>14.8</v>
      </c>
      <c r="D190" t="s">
        <v>3257</v>
      </c>
      <c r="E190" t="s">
        <v>945</v>
      </c>
      <c r="F190">
        <v>75</v>
      </c>
      <c r="G190" t="b">
        <v>1</v>
      </c>
      <c r="H190">
        <v>1</v>
      </c>
    </row>
    <row r="191" spans="1:8" x14ac:dyDescent="0.25">
      <c r="A191" t="s">
        <v>720</v>
      </c>
      <c r="B191" t="s">
        <v>2474</v>
      </c>
      <c r="C191">
        <v>9.85</v>
      </c>
      <c r="D191" t="s">
        <v>3257</v>
      </c>
      <c r="E191" t="s">
        <v>945</v>
      </c>
      <c r="F191">
        <v>75</v>
      </c>
      <c r="G191" t="b">
        <v>1</v>
      </c>
      <c r="H191">
        <v>1</v>
      </c>
    </row>
    <row r="192" spans="1:8" x14ac:dyDescent="0.25">
      <c r="A192" t="s">
        <v>720</v>
      </c>
      <c r="B192" t="s">
        <v>646</v>
      </c>
      <c r="C192">
        <v>14.8</v>
      </c>
      <c r="D192" t="s">
        <v>3257</v>
      </c>
      <c r="E192" t="s">
        <v>945</v>
      </c>
      <c r="F192">
        <v>75</v>
      </c>
      <c r="G192" t="b">
        <v>1</v>
      </c>
      <c r="H192">
        <v>1</v>
      </c>
    </row>
    <row r="193" spans="1:8" x14ac:dyDescent="0.25">
      <c r="A193" t="s">
        <v>720</v>
      </c>
      <c r="B193" t="s">
        <v>1214</v>
      </c>
      <c r="C193">
        <v>9.85</v>
      </c>
      <c r="D193" t="s">
        <v>3257</v>
      </c>
      <c r="E193" t="s">
        <v>945</v>
      </c>
      <c r="F193">
        <v>75</v>
      </c>
      <c r="G193" t="b">
        <v>1</v>
      </c>
      <c r="H193">
        <v>1</v>
      </c>
    </row>
    <row r="194" spans="1:8" x14ac:dyDescent="0.25">
      <c r="A194" t="s">
        <v>720</v>
      </c>
      <c r="B194" t="s">
        <v>2752</v>
      </c>
      <c r="C194">
        <v>9.85</v>
      </c>
      <c r="D194" t="s">
        <v>3257</v>
      </c>
      <c r="E194" t="s">
        <v>945</v>
      </c>
      <c r="F194">
        <v>75</v>
      </c>
      <c r="G194" t="b">
        <v>1</v>
      </c>
      <c r="H194">
        <v>1</v>
      </c>
    </row>
    <row r="195" spans="1:8" x14ac:dyDescent="0.25">
      <c r="A195" t="s">
        <v>720</v>
      </c>
      <c r="B195" t="s">
        <v>2476</v>
      </c>
      <c r="C195">
        <v>21.85</v>
      </c>
      <c r="D195" t="s">
        <v>3257</v>
      </c>
      <c r="E195" t="s">
        <v>945</v>
      </c>
      <c r="F195">
        <v>75</v>
      </c>
      <c r="G195" t="b">
        <v>1</v>
      </c>
      <c r="H195">
        <v>1</v>
      </c>
    </row>
    <row r="196" spans="1:8" x14ac:dyDescent="0.25">
      <c r="A196" t="s">
        <v>720</v>
      </c>
      <c r="B196" t="s">
        <v>2758</v>
      </c>
      <c r="C196">
        <v>9.85</v>
      </c>
      <c r="D196" t="s">
        <v>3257</v>
      </c>
      <c r="E196" t="s">
        <v>945</v>
      </c>
      <c r="F196">
        <v>75</v>
      </c>
      <c r="G196" t="b">
        <v>1</v>
      </c>
      <c r="H196">
        <v>1</v>
      </c>
    </row>
    <row r="197" spans="1:8" x14ac:dyDescent="0.25">
      <c r="A197" t="s">
        <v>720</v>
      </c>
      <c r="B197" t="s">
        <v>646</v>
      </c>
      <c r="C197">
        <v>14.35</v>
      </c>
      <c r="D197" t="s">
        <v>3257</v>
      </c>
      <c r="E197" t="s">
        <v>945</v>
      </c>
      <c r="F197">
        <v>75</v>
      </c>
      <c r="G197" t="b">
        <v>1</v>
      </c>
      <c r="H197">
        <v>1</v>
      </c>
    </row>
    <row r="198" spans="1:8" x14ac:dyDescent="0.25">
      <c r="A198" t="s">
        <v>720</v>
      </c>
      <c r="B198" t="s">
        <v>2762</v>
      </c>
      <c r="C198">
        <v>9.85</v>
      </c>
      <c r="D198" t="s">
        <v>3257</v>
      </c>
      <c r="E198" t="s">
        <v>945</v>
      </c>
      <c r="F198">
        <v>75</v>
      </c>
      <c r="G198" t="b">
        <v>1</v>
      </c>
      <c r="H198">
        <v>1</v>
      </c>
    </row>
    <row r="199" spans="1:8" x14ac:dyDescent="0.25">
      <c r="A199" t="s">
        <v>720</v>
      </c>
      <c r="B199" t="s">
        <v>2764</v>
      </c>
      <c r="C199">
        <v>9.85</v>
      </c>
      <c r="D199" t="s">
        <v>3257</v>
      </c>
      <c r="E199" t="s">
        <v>945</v>
      </c>
      <c r="F199">
        <v>75</v>
      </c>
      <c r="G199" t="b">
        <v>1</v>
      </c>
      <c r="H199">
        <v>1</v>
      </c>
    </row>
    <row r="200" spans="1:8" x14ac:dyDescent="0.25">
      <c r="A200" t="s">
        <v>720</v>
      </c>
      <c r="B200" t="s">
        <v>2478</v>
      </c>
      <c r="C200">
        <v>9.85</v>
      </c>
      <c r="D200" t="s">
        <v>3257</v>
      </c>
      <c r="E200" t="s">
        <v>945</v>
      </c>
      <c r="F200">
        <v>75</v>
      </c>
      <c r="G200" t="b">
        <v>1</v>
      </c>
      <c r="H200">
        <v>1</v>
      </c>
    </row>
    <row r="201" spans="1:8" x14ac:dyDescent="0.25">
      <c r="A201" t="s">
        <v>720</v>
      </c>
      <c r="B201" t="s">
        <v>2480</v>
      </c>
      <c r="C201">
        <v>21.85</v>
      </c>
      <c r="D201" t="s">
        <v>3257</v>
      </c>
      <c r="E201" t="s">
        <v>945</v>
      </c>
      <c r="F201">
        <v>75</v>
      </c>
      <c r="G201" t="b">
        <v>1</v>
      </c>
      <c r="H201">
        <v>1</v>
      </c>
    </row>
    <row r="202" spans="1:8" x14ac:dyDescent="0.25">
      <c r="A202" t="s">
        <v>720</v>
      </c>
      <c r="B202" t="s">
        <v>2760</v>
      </c>
      <c r="C202">
        <v>9.85</v>
      </c>
      <c r="D202" t="s">
        <v>3257</v>
      </c>
      <c r="E202" t="s">
        <v>945</v>
      </c>
      <c r="F202">
        <v>75</v>
      </c>
      <c r="G202" t="b">
        <v>1</v>
      </c>
      <c r="H202">
        <v>1</v>
      </c>
    </row>
    <row r="203" spans="1:8" x14ac:dyDescent="0.25">
      <c r="A203" t="s">
        <v>720</v>
      </c>
      <c r="B203" t="s">
        <v>721</v>
      </c>
      <c r="C203">
        <v>9.85</v>
      </c>
      <c r="D203" t="s">
        <v>3257</v>
      </c>
      <c r="E203" t="s">
        <v>945</v>
      </c>
      <c r="F203">
        <v>75</v>
      </c>
      <c r="G203" t="b">
        <v>1</v>
      </c>
      <c r="H203">
        <v>1</v>
      </c>
    </row>
    <row r="204" spans="1:8" x14ac:dyDescent="0.25">
      <c r="A204" t="s">
        <v>683</v>
      </c>
      <c r="B204" t="s">
        <v>684</v>
      </c>
      <c r="C204">
        <v>48.95</v>
      </c>
      <c r="D204" t="s">
        <v>3077</v>
      </c>
      <c r="E204" t="s">
        <v>530</v>
      </c>
      <c r="F204">
        <v>75</v>
      </c>
      <c r="G204" t="b">
        <v>1</v>
      </c>
      <c r="H204">
        <v>1</v>
      </c>
    </row>
    <row r="205" spans="1:8" x14ac:dyDescent="0.25">
      <c r="A205" t="s">
        <v>539</v>
      </c>
      <c r="B205" t="s">
        <v>540</v>
      </c>
      <c r="C205">
        <v>55.45</v>
      </c>
      <c r="D205" t="s">
        <v>3077</v>
      </c>
      <c r="E205" t="s">
        <v>530</v>
      </c>
      <c r="F205">
        <v>75</v>
      </c>
      <c r="G205" t="b">
        <v>1</v>
      </c>
      <c r="H205">
        <v>1</v>
      </c>
    </row>
    <row r="206" spans="1:8" x14ac:dyDescent="0.25">
      <c r="A206" t="s">
        <v>543</v>
      </c>
      <c r="B206" t="s">
        <v>544</v>
      </c>
      <c r="C206">
        <v>106.15</v>
      </c>
      <c r="D206" t="s">
        <v>3077</v>
      </c>
      <c r="E206" t="s">
        <v>530</v>
      </c>
      <c r="F206">
        <v>75</v>
      </c>
      <c r="G206" t="b">
        <v>1</v>
      </c>
      <c r="H206">
        <v>1</v>
      </c>
    </row>
    <row r="207" spans="1:8" x14ac:dyDescent="0.25">
      <c r="A207" t="s">
        <v>548</v>
      </c>
      <c r="B207" t="s">
        <v>549</v>
      </c>
      <c r="C207">
        <v>56.9</v>
      </c>
      <c r="D207" t="s">
        <v>3077</v>
      </c>
      <c r="E207" t="s">
        <v>530</v>
      </c>
      <c r="F207">
        <v>75</v>
      </c>
      <c r="G207" t="b">
        <v>1</v>
      </c>
      <c r="H207">
        <v>1</v>
      </c>
    </row>
    <row r="208" spans="1:8" x14ac:dyDescent="0.25">
      <c r="A208" t="s">
        <v>545</v>
      </c>
      <c r="B208" t="s">
        <v>546</v>
      </c>
      <c r="C208">
        <v>50.45</v>
      </c>
      <c r="D208" t="s">
        <v>3077</v>
      </c>
      <c r="E208" t="s">
        <v>530</v>
      </c>
      <c r="F208">
        <v>75</v>
      </c>
      <c r="G208" t="b">
        <v>1</v>
      </c>
      <c r="H208">
        <v>1</v>
      </c>
    </row>
    <row r="209" spans="1:8" x14ac:dyDescent="0.25">
      <c r="A209" t="s">
        <v>686</v>
      </c>
      <c r="B209" t="s">
        <v>687</v>
      </c>
      <c r="C209">
        <v>70.75</v>
      </c>
      <c r="D209" t="s">
        <v>3077</v>
      </c>
      <c r="E209" t="s">
        <v>530</v>
      </c>
      <c r="F209">
        <v>75</v>
      </c>
      <c r="G209" t="b">
        <v>1</v>
      </c>
      <c r="H209">
        <v>1</v>
      </c>
    </row>
    <row r="210" spans="1:8" x14ac:dyDescent="0.25">
      <c r="A210" t="s">
        <v>554</v>
      </c>
      <c r="B210" t="s">
        <v>555</v>
      </c>
      <c r="C210">
        <v>74</v>
      </c>
      <c r="D210" t="s">
        <v>3077</v>
      </c>
      <c r="E210" t="s">
        <v>530</v>
      </c>
      <c r="F210">
        <v>75</v>
      </c>
      <c r="G210" t="b">
        <v>1</v>
      </c>
      <c r="H210">
        <v>1</v>
      </c>
    </row>
    <row r="211" spans="1:8" x14ac:dyDescent="0.25">
      <c r="A211" t="s">
        <v>675</v>
      </c>
      <c r="B211" t="s">
        <v>676</v>
      </c>
      <c r="C211">
        <v>74</v>
      </c>
      <c r="D211" t="s">
        <v>3077</v>
      </c>
      <c r="E211" t="s">
        <v>530</v>
      </c>
      <c r="F211">
        <v>75</v>
      </c>
      <c r="G211" t="b">
        <v>1</v>
      </c>
      <c r="H211">
        <v>1</v>
      </c>
    </row>
    <row r="212" spans="1:8" x14ac:dyDescent="0.25">
      <c r="A212" t="s">
        <v>557</v>
      </c>
      <c r="B212" t="s">
        <v>558</v>
      </c>
      <c r="C212">
        <v>112</v>
      </c>
      <c r="D212" t="s">
        <v>3077</v>
      </c>
      <c r="E212" t="s">
        <v>530</v>
      </c>
      <c r="F212">
        <v>75</v>
      </c>
      <c r="G212" t="b">
        <v>1</v>
      </c>
      <c r="H212">
        <v>1</v>
      </c>
    </row>
    <row r="213" spans="1:8" x14ac:dyDescent="0.25">
      <c r="A213" t="s">
        <v>677</v>
      </c>
      <c r="B213" t="s">
        <v>678</v>
      </c>
      <c r="C213">
        <v>112</v>
      </c>
      <c r="D213" t="s">
        <v>3077</v>
      </c>
      <c r="E213" t="s">
        <v>530</v>
      </c>
      <c r="F213">
        <v>75</v>
      </c>
      <c r="G213" t="b">
        <v>1</v>
      </c>
      <c r="H213">
        <v>1</v>
      </c>
    </row>
    <row r="214" spans="1:8" x14ac:dyDescent="0.25">
      <c r="A214" t="s">
        <v>563</v>
      </c>
      <c r="B214" t="s">
        <v>564</v>
      </c>
      <c r="C214">
        <v>106.15</v>
      </c>
      <c r="D214" t="s">
        <v>3077</v>
      </c>
      <c r="E214" t="s">
        <v>530</v>
      </c>
      <c r="F214">
        <v>75</v>
      </c>
      <c r="G214" t="b">
        <v>1</v>
      </c>
      <c r="H214">
        <v>1</v>
      </c>
    </row>
    <row r="215" spans="1:8" x14ac:dyDescent="0.25">
      <c r="A215" t="s">
        <v>560</v>
      </c>
      <c r="B215" t="s">
        <v>561</v>
      </c>
      <c r="C215">
        <v>81.349999999999994</v>
      </c>
      <c r="D215" t="s">
        <v>3077</v>
      </c>
      <c r="E215" t="s">
        <v>530</v>
      </c>
      <c r="F215">
        <v>75</v>
      </c>
      <c r="G215" t="b">
        <v>1</v>
      </c>
      <c r="H215">
        <v>1</v>
      </c>
    </row>
    <row r="216" spans="1:8" x14ac:dyDescent="0.25">
      <c r="A216" t="s">
        <v>551</v>
      </c>
      <c r="B216" t="s">
        <v>552</v>
      </c>
      <c r="C216">
        <v>50.45</v>
      </c>
      <c r="D216" t="s">
        <v>3077</v>
      </c>
      <c r="E216" t="s">
        <v>530</v>
      </c>
      <c r="F216">
        <v>75</v>
      </c>
      <c r="G216" t="b">
        <v>1</v>
      </c>
      <c r="H216">
        <v>1</v>
      </c>
    </row>
    <row r="217" spans="1:8" x14ac:dyDescent="0.25">
      <c r="A217" t="s">
        <v>569</v>
      </c>
      <c r="B217" t="s">
        <v>570</v>
      </c>
      <c r="C217">
        <v>42.2</v>
      </c>
      <c r="D217" t="s">
        <v>3077</v>
      </c>
      <c r="E217" t="s">
        <v>530</v>
      </c>
      <c r="F217">
        <v>75</v>
      </c>
      <c r="G217" t="b">
        <v>1</v>
      </c>
      <c r="H217">
        <v>1</v>
      </c>
    </row>
    <row r="218" spans="1:8" x14ac:dyDescent="0.25">
      <c r="A218" t="s">
        <v>571</v>
      </c>
      <c r="B218" t="s">
        <v>572</v>
      </c>
      <c r="C218">
        <v>106.15</v>
      </c>
      <c r="D218" t="s">
        <v>3077</v>
      </c>
      <c r="E218" t="s">
        <v>530</v>
      </c>
      <c r="F218">
        <v>75</v>
      </c>
      <c r="G218" t="b">
        <v>1</v>
      </c>
      <c r="H218">
        <v>1</v>
      </c>
    </row>
    <row r="219" spans="1:8" x14ac:dyDescent="0.25">
      <c r="A219" t="s">
        <v>679</v>
      </c>
      <c r="B219" t="s">
        <v>680</v>
      </c>
      <c r="C219">
        <v>129.4</v>
      </c>
      <c r="D219" t="s">
        <v>3077</v>
      </c>
      <c r="E219" t="s">
        <v>530</v>
      </c>
      <c r="F219">
        <v>75</v>
      </c>
      <c r="G219" t="b">
        <v>1</v>
      </c>
      <c r="H219">
        <v>1</v>
      </c>
    </row>
    <row r="220" spans="1:8" x14ac:dyDescent="0.25">
      <c r="A220" t="s">
        <v>566</v>
      </c>
      <c r="B220" t="s">
        <v>567</v>
      </c>
      <c r="C220">
        <v>129.4</v>
      </c>
      <c r="D220" t="s">
        <v>3077</v>
      </c>
      <c r="E220" t="s">
        <v>530</v>
      </c>
      <c r="F220">
        <v>75</v>
      </c>
      <c r="G220" t="b">
        <v>1</v>
      </c>
      <c r="H220">
        <v>1</v>
      </c>
    </row>
    <row r="221" spans="1:8" x14ac:dyDescent="0.25">
      <c r="A221" t="s">
        <v>689</v>
      </c>
      <c r="B221" t="s">
        <v>690</v>
      </c>
      <c r="C221">
        <v>129.4</v>
      </c>
      <c r="D221" t="s">
        <v>3077</v>
      </c>
      <c r="E221" t="s">
        <v>530</v>
      </c>
      <c r="F221">
        <v>75</v>
      </c>
      <c r="G221" t="b">
        <v>1</v>
      </c>
      <c r="H221">
        <v>1</v>
      </c>
    </row>
    <row r="222" spans="1:8" x14ac:dyDescent="0.25">
      <c r="A222" t="s">
        <v>681</v>
      </c>
      <c r="B222" t="s">
        <v>682</v>
      </c>
      <c r="C222">
        <v>129.4</v>
      </c>
      <c r="D222" t="s">
        <v>3077</v>
      </c>
      <c r="E222" t="s">
        <v>530</v>
      </c>
      <c r="F222">
        <v>75</v>
      </c>
      <c r="G222" t="b">
        <v>1</v>
      </c>
      <c r="H222">
        <v>1</v>
      </c>
    </row>
    <row r="223" spans="1:8" x14ac:dyDescent="0.25">
      <c r="A223" t="s">
        <v>3161</v>
      </c>
      <c r="B223" t="s">
        <v>2462</v>
      </c>
      <c r="C223">
        <v>11.8</v>
      </c>
      <c r="D223" t="s">
        <v>3077</v>
      </c>
      <c r="E223" t="s">
        <v>945</v>
      </c>
      <c r="F223">
        <v>75</v>
      </c>
      <c r="G223" t="b">
        <v>1</v>
      </c>
      <c r="H223">
        <v>1</v>
      </c>
    </row>
    <row r="224" spans="1:8" x14ac:dyDescent="0.25">
      <c r="A224" t="s">
        <v>3161</v>
      </c>
      <c r="B224" t="s">
        <v>2464</v>
      </c>
      <c r="C224">
        <v>31.55</v>
      </c>
      <c r="D224" t="s">
        <v>3077</v>
      </c>
      <c r="E224" t="s">
        <v>945</v>
      </c>
      <c r="F224">
        <v>75</v>
      </c>
      <c r="G224" t="b">
        <v>1</v>
      </c>
      <c r="H224">
        <v>1</v>
      </c>
    </row>
    <row r="225" spans="1:8" x14ac:dyDescent="0.25">
      <c r="A225" t="s">
        <v>3161</v>
      </c>
      <c r="B225" t="s">
        <v>2460</v>
      </c>
      <c r="C225">
        <v>11.8</v>
      </c>
      <c r="D225" t="s">
        <v>3077</v>
      </c>
      <c r="E225" t="s">
        <v>945</v>
      </c>
      <c r="F225">
        <v>75</v>
      </c>
      <c r="G225" t="b">
        <v>1</v>
      </c>
      <c r="H225">
        <v>1</v>
      </c>
    </row>
    <row r="226" spans="1:8" x14ac:dyDescent="0.25">
      <c r="A226" t="s">
        <v>3161</v>
      </c>
      <c r="B226" t="s">
        <v>579</v>
      </c>
      <c r="C226">
        <v>25.7</v>
      </c>
      <c r="D226" t="s">
        <v>3077</v>
      </c>
      <c r="E226" t="s">
        <v>945</v>
      </c>
      <c r="F226">
        <v>75</v>
      </c>
      <c r="G226" t="b">
        <v>1</v>
      </c>
      <c r="H226">
        <v>1</v>
      </c>
    </row>
    <row r="227" spans="1:8" x14ac:dyDescent="0.25">
      <c r="A227" t="s">
        <v>3169</v>
      </c>
      <c r="B227" t="s">
        <v>2552</v>
      </c>
      <c r="C227">
        <v>4.75</v>
      </c>
      <c r="D227" t="s">
        <v>3077</v>
      </c>
      <c r="E227" t="s">
        <v>945</v>
      </c>
      <c r="F227">
        <v>75</v>
      </c>
      <c r="G227" t="b">
        <v>1</v>
      </c>
      <c r="H227">
        <v>1</v>
      </c>
    </row>
    <row r="228" spans="1:8" x14ac:dyDescent="0.25">
      <c r="A228" t="s">
        <v>3169</v>
      </c>
      <c r="B228" t="s">
        <v>2540</v>
      </c>
      <c r="C228">
        <v>9.15</v>
      </c>
      <c r="D228" t="s">
        <v>3077</v>
      </c>
      <c r="E228" t="s">
        <v>945</v>
      </c>
      <c r="F228">
        <v>75</v>
      </c>
      <c r="G228" t="b">
        <v>1</v>
      </c>
      <c r="H228">
        <v>1</v>
      </c>
    </row>
    <row r="229" spans="1:8" x14ac:dyDescent="0.25">
      <c r="A229" t="s">
        <v>3169</v>
      </c>
      <c r="B229" t="s">
        <v>2514</v>
      </c>
      <c r="C229">
        <v>3.85</v>
      </c>
      <c r="D229" t="s">
        <v>3077</v>
      </c>
      <c r="E229" t="s">
        <v>945</v>
      </c>
      <c r="F229">
        <v>75</v>
      </c>
      <c r="G229" t="b">
        <v>1</v>
      </c>
      <c r="H229">
        <v>1</v>
      </c>
    </row>
    <row r="230" spans="1:8" x14ac:dyDescent="0.25">
      <c r="A230" t="s">
        <v>3169</v>
      </c>
      <c r="B230" t="s">
        <v>2516</v>
      </c>
      <c r="C230">
        <v>4.75</v>
      </c>
      <c r="D230" t="s">
        <v>3077</v>
      </c>
      <c r="E230" t="s">
        <v>945</v>
      </c>
      <c r="F230">
        <v>75</v>
      </c>
      <c r="G230" t="b">
        <v>1</v>
      </c>
      <c r="H230">
        <v>1</v>
      </c>
    </row>
    <row r="231" spans="1:8" x14ac:dyDescent="0.25">
      <c r="A231" t="s">
        <v>3169</v>
      </c>
      <c r="B231" t="s">
        <v>2518</v>
      </c>
      <c r="C231">
        <v>4.75</v>
      </c>
      <c r="D231" t="s">
        <v>3077</v>
      </c>
      <c r="E231" t="s">
        <v>945</v>
      </c>
      <c r="F231">
        <v>75</v>
      </c>
      <c r="G231" t="b">
        <v>1</v>
      </c>
      <c r="H231">
        <v>1</v>
      </c>
    </row>
    <row r="232" spans="1:8" x14ac:dyDescent="0.25">
      <c r="A232" t="s">
        <v>3169</v>
      </c>
      <c r="B232" t="s">
        <v>2520</v>
      </c>
      <c r="C232">
        <v>2.1</v>
      </c>
      <c r="D232" t="s">
        <v>3077</v>
      </c>
      <c r="E232" t="s">
        <v>945</v>
      </c>
      <c r="F232">
        <v>75</v>
      </c>
      <c r="G232" t="b">
        <v>1</v>
      </c>
      <c r="H232">
        <v>1</v>
      </c>
    </row>
    <row r="233" spans="1:8" x14ac:dyDescent="0.25">
      <c r="A233" t="s">
        <v>3169</v>
      </c>
      <c r="B233" t="s">
        <v>2522</v>
      </c>
      <c r="C233">
        <v>2.1</v>
      </c>
      <c r="D233" t="s">
        <v>3077</v>
      </c>
      <c r="E233" t="s">
        <v>945</v>
      </c>
      <c r="F233">
        <v>75</v>
      </c>
      <c r="G233" t="b">
        <v>1</v>
      </c>
      <c r="H233">
        <v>1</v>
      </c>
    </row>
    <row r="234" spans="1:8" x14ac:dyDescent="0.25">
      <c r="A234" t="s">
        <v>3169</v>
      </c>
      <c r="B234" t="s">
        <v>2524</v>
      </c>
      <c r="C234">
        <v>2.1</v>
      </c>
      <c r="D234" t="s">
        <v>3077</v>
      </c>
      <c r="E234" t="s">
        <v>945</v>
      </c>
      <c r="F234">
        <v>75</v>
      </c>
      <c r="G234" t="b">
        <v>1</v>
      </c>
      <c r="H234">
        <v>1</v>
      </c>
    </row>
    <row r="235" spans="1:8" x14ac:dyDescent="0.25">
      <c r="A235" t="s">
        <v>3169</v>
      </c>
      <c r="B235" t="s">
        <v>2526</v>
      </c>
      <c r="C235">
        <v>4.75</v>
      </c>
      <c r="D235" t="s">
        <v>3077</v>
      </c>
      <c r="E235" t="s">
        <v>945</v>
      </c>
      <c r="F235">
        <v>75</v>
      </c>
      <c r="G235" t="b">
        <v>1</v>
      </c>
      <c r="H235">
        <v>1</v>
      </c>
    </row>
    <row r="236" spans="1:8" x14ac:dyDescent="0.25">
      <c r="A236" t="s">
        <v>3169</v>
      </c>
      <c r="B236" t="s">
        <v>2528</v>
      </c>
      <c r="C236">
        <v>8.5500000000000007</v>
      </c>
      <c r="D236" t="s">
        <v>3077</v>
      </c>
      <c r="E236" t="s">
        <v>945</v>
      </c>
      <c r="F236">
        <v>75</v>
      </c>
      <c r="G236" t="b">
        <v>1</v>
      </c>
      <c r="H236">
        <v>1</v>
      </c>
    </row>
    <row r="237" spans="1:8" x14ac:dyDescent="0.25">
      <c r="A237" t="s">
        <v>3169</v>
      </c>
      <c r="B237" t="s">
        <v>2530</v>
      </c>
      <c r="C237">
        <v>2.1</v>
      </c>
      <c r="D237" t="s">
        <v>3077</v>
      </c>
      <c r="E237" t="s">
        <v>945</v>
      </c>
      <c r="F237">
        <v>75</v>
      </c>
      <c r="G237" t="b">
        <v>1</v>
      </c>
      <c r="H237">
        <v>1</v>
      </c>
    </row>
    <row r="238" spans="1:8" x14ac:dyDescent="0.25">
      <c r="A238" t="s">
        <v>3169</v>
      </c>
      <c r="B238" t="s">
        <v>2532</v>
      </c>
      <c r="C238">
        <v>2.1</v>
      </c>
      <c r="D238" t="s">
        <v>3077</v>
      </c>
      <c r="E238" t="s">
        <v>945</v>
      </c>
      <c r="F238">
        <v>75</v>
      </c>
      <c r="G238" t="b">
        <v>1</v>
      </c>
      <c r="H238">
        <v>1</v>
      </c>
    </row>
    <row r="239" spans="1:8" x14ac:dyDescent="0.25">
      <c r="A239" t="s">
        <v>3169</v>
      </c>
      <c r="B239" t="s">
        <v>2534</v>
      </c>
      <c r="C239">
        <v>2.1</v>
      </c>
      <c r="D239" t="s">
        <v>3077</v>
      </c>
      <c r="E239" t="s">
        <v>945</v>
      </c>
      <c r="F239">
        <v>75</v>
      </c>
      <c r="G239" t="b">
        <v>1</v>
      </c>
      <c r="H239">
        <v>1</v>
      </c>
    </row>
    <row r="240" spans="1:8" x14ac:dyDescent="0.25">
      <c r="A240" t="s">
        <v>3169</v>
      </c>
      <c r="B240" t="s">
        <v>2536</v>
      </c>
      <c r="C240">
        <v>4.75</v>
      </c>
      <c r="D240" t="s">
        <v>3077</v>
      </c>
      <c r="E240" t="s">
        <v>945</v>
      </c>
      <c r="F240">
        <v>75</v>
      </c>
      <c r="G240" t="b">
        <v>1</v>
      </c>
      <c r="H240">
        <v>1</v>
      </c>
    </row>
    <row r="241" spans="1:8" x14ac:dyDescent="0.25">
      <c r="A241" t="s">
        <v>3169</v>
      </c>
      <c r="B241" t="s">
        <v>2538</v>
      </c>
      <c r="C241">
        <v>4.75</v>
      </c>
      <c r="D241" t="s">
        <v>3077</v>
      </c>
      <c r="E241" t="s">
        <v>945</v>
      </c>
      <c r="F241">
        <v>75</v>
      </c>
      <c r="G241" t="b">
        <v>1</v>
      </c>
      <c r="H241">
        <v>1</v>
      </c>
    </row>
    <row r="242" spans="1:8" x14ac:dyDescent="0.25">
      <c r="A242" t="s">
        <v>3169</v>
      </c>
      <c r="B242" t="s">
        <v>2542</v>
      </c>
      <c r="C242">
        <v>2.1</v>
      </c>
      <c r="D242" t="s">
        <v>3077</v>
      </c>
      <c r="E242" t="s">
        <v>945</v>
      </c>
      <c r="F242">
        <v>75</v>
      </c>
      <c r="G242" t="b">
        <v>1</v>
      </c>
      <c r="H242">
        <v>1</v>
      </c>
    </row>
    <row r="243" spans="1:8" x14ac:dyDescent="0.25">
      <c r="A243" t="s">
        <v>3169</v>
      </c>
      <c r="B243" t="s">
        <v>2544</v>
      </c>
      <c r="C243">
        <v>4.75</v>
      </c>
      <c r="D243" t="s">
        <v>3077</v>
      </c>
      <c r="E243" t="s">
        <v>945</v>
      </c>
      <c r="F243">
        <v>75</v>
      </c>
      <c r="G243" t="b">
        <v>1</v>
      </c>
      <c r="H243">
        <v>1</v>
      </c>
    </row>
    <row r="244" spans="1:8" x14ac:dyDescent="0.25">
      <c r="A244" t="s">
        <v>3169</v>
      </c>
      <c r="B244" t="s">
        <v>2546</v>
      </c>
      <c r="C244">
        <v>4.75</v>
      </c>
      <c r="D244" t="s">
        <v>3077</v>
      </c>
      <c r="E244" t="s">
        <v>945</v>
      </c>
      <c r="F244">
        <v>75</v>
      </c>
      <c r="G244" t="b">
        <v>1</v>
      </c>
      <c r="H244">
        <v>1</v>
      </c>
    </row>
    <row r="245" spans="1:8" x14ac:dyDescent="0.25">
      <c r="A245" t="s">
        <v>3169</v>
      </c>
      <c r="B245" t="s">
        <v>2548</v>
      </c>
      <c r="C245">
        <v>4.75</v>
      </c>
      <c r="D245" t="s">
        <v>3077</v>
      </c>
      <c r="E245" t="s">
        <v>945</v>
      </c>
      <c r="F245">
        <v>75</v>
      </c>
      <c r="G245" t="b">
        <v>1</v>
      </c>
      <c r="H245">
        <v>1</v>
      </c>
    </row>
    <row r="246" spans="1:8" x14ac:dyDescent="0.25">
      <c r="A246" t="s">
        <v>3169</v>
      </c>
      <c r="B246" t="s">
        <v>2550</v>
      </c>
      <c r="C246">
        <v>10.050000000000001</v>
      </c>
      <c r="D246" t="s">
        <v>3077</v>
      </c>
      <c r="E246" t="s">
        <v>945</v>
      </c>
      <c r="F246">
        <v>75</v>
      </c>
      <c r="G246" t="b">
        <v>1</v>
      </c>
      <c r="H246">
        <v>1</v>
      </c>
    </row>
    <row r="247" spans="1:8" x14ac:dyDescent="0.25">
      <c r="A247" t="s">
        <v>3171</v>
      </c>
      <c r="B247" t="s">
        <v>2648</v>
      </c>
      <c r="C247">
        <v>14.75</v>
      </c>
      <c r="D247" t="s">
        <v>3156</v>
      </c>
      <c r="F247">
        <v>75</v>
      </c>
      <c r="G247" t="b">
        <v>1</v>
      </c>
      <c r="H247">
        <v>1</v>
      </c>
    </row>
    <row r="248" spans="1:8" x14ac:dyDescent="0.25">
      <c r="A248" t="s">
        <v>3171</v>
      </c>
      <c r="B248" t="s">
        <v>2644</v>
      </c>
      <c r="C248">
        <v>14.45</v>
      </c>
      <c r="D248" t="s">
        <v>3156</v>
      </c>
      <c r="F248">
        <v>75</v>
      </c>
      <c r="G248" t="b">
        <v>1</v>
      </c>
      <c r="H248">
        <v>1</v>
      </c>
    </row>
    <row r="249" spans="1:8" x14ac:dyDescent="0.25">
      <c r="A249" t="s">
        <v>3171</v>
      </c>
      <c r="B249" t="s">
        <v>2682</v>
      </c>
      <c r="C249">
        <v>9.25</v>
      </c>
      <c r="D249" t="s">
        <v>3156</v>
      </c>
      <c r="E249" t="s">
        <v>945</v>
      </c>
      <c r="F249">
        <v>75</v>
      </c>
      <c r="G249" t="b">
        <v>0</v>
      </c>
      <c r="H249">
        <v>1</v>
      </c>
    </row>
    <row r="250" spans="1:8" x14ac:dyDescent="0.25">
      <c r="A250" t="s">
        <v>3172</v>
      </c>
      <c r="B250" t="s">
        <v>2654</v>
      </c>
      <c r="C250">
        <v>15.95</v>
      </c>
      <c r="D250" t="s">
        <v>3156</v>
      </c>
      <c r="E250" t="s">
        <v>945</v>
      </c>
      <c r="F250">
        <v>75</v>
      </c>
      <c r="G250" t="b">
        <v>0</v>
      </c>
      <c r="H250">
        <v>1</v>
      </c>
    </row>
    <row r="251" spans="1:8" x14ac:dyDescent="0.25">
      <c r="A251" t="s">
        <v>3172</v>
      </c>
      <c r="B251" t="s">
        <v>2656</v>
      </c>
      <c r="C251">
        <v>4.75</v>
      </c>
      <c r="D251" t="s">
        <v>3156</v>
      </c>
      <c r="E251" t="s">
        <v>945</v>
      </c>
      <c r="F251">
        <v>75</v>
      </c>
      <c r="G251" t="b">
        <v>0</v>
      </c>
      <c r="H251">
        <v>1</v>
      </c>
    </row>
    <row r="252" spans="1:8" x14ac:dyDescent="0.25">
      <c r="A252" t="s">
        <v>3172</v>
      </c>
      <c r="B252" t="s">
        <v>2804</v>
      </c>
      <c r="C252">
        <v>10.6</v>
      </c>
      <c r="D252" t="s">
        <v>3156</v>
      </c>
      <c r="E252" t="s">
        <v>945</v>
      </c>
      <c r="F252">
        <v>75</v>
      </c>
      <c r="G252" t="b">
        <v>0</v>
      </c>
      <c r="H252">
        <v>1</v>
      </c>
    </row>
    <row r="253" spans="1:8" x14ac:dyDescent="0.25">
      <c r="A253" t="s">
        <v>3172</v>
      </c>
      <c r="B253" t="s">
        <v>2806</v>
      </c>
      <c r="C253">
        <v>10.6</v>
      </c>
      <c r="D253" t="s">
        <v>3156</v>
      </c>
      <c r="E253" t="s">
        <v>945</v>
      </c>
      <c r="F253">
        <v>75</v>
      </c>
      <c r="G253" t="b">
        <v>0</v>
      </c>
      <c r="H253">
        <v>1</v>
      </c>
    </row>
    <row r="254" spans="1:8" x14ac:dyDescent="0.25">
      <c r="A254" t="s">
        <v>3172</v>
      </c>
      <c r="B254" t="s">
        <v>2808</v>
      </c>
      <c r="C254">
        <v>10.6</v>
      </c>
      <c r="D254" t="s">
        <v>3156</v>
      </c>
      <c r="E254" t="s">
        <v>945</v>
      </c>
      <c r="F254">
        <v>75</v>
      </c>
      <c r="G254" t="b">
        <v>0</v>
      </c>
      <c r="H254">
        <v>1</v>
      </c>
    </row>
    <row r="255" spans="1:8" x14ac:dyDescent="0.25">
      <c r="A255" t="s">
        <v>3172</v>
      </c>
      <c r="B255" t="s">
        <v>2810</v>
      </c>
      <c r="C255">
        <v>10.6</v>
      </c>
      <c r="D255" t="s">
        <v>3156</v>
      </c>
      <c r="E255" t="s">
        <v>945</v>
      </c>
      <c r="F255">
        <v>75</v>
      </c>
      <c r="G255" t="b">
        <v>0</v>
      </c>
      <c r="H255">
        <v>1</v>
      </c>
    </row>
    <row r="256" spans="1:8" x14ac:dyDescent="0.25">
      <c r="A256" t="s">
        <v>3172</v>
      </c>
      <c r="B256" t="s">
        <v>2812</v>
      </c>
      <c r="C256">
        <v>29.45</v>
      </c>
      <c r="D256" t="s">
        <v>3156</v>
      </c>
      <c r="E256" t="s">
        <v>945</v>
      </c>
      <c r="F256">
        <v>75</v>
      </c>
      <c r="G256" t="b">
        <v>0</v>
      </c>
      <c r="H256">
        <v>1</v>
      </c>
    </row>
    <row r="257" spans="1:8" x14ac:dyDescent="0.25">
      <c r="A257" t="s">
        <v>3173</v>
      </c>
      <c r="B257" t="s">
        <v>2660</v>
      </c>
      <c r="C257">
        <v>1.8</v>
      </c>
      <c r="D257" t="s">
        <v>3156</v>
      </c>
      <c r="E257" t="s">
        <v>945</v>
      </c>
      <c r="F257">
        <v>75</v>
      </c>
      <c r="G257" t="b">
        <v>0</v>
      </c>
      <c r="H257">
        <v>1</v>
      </c>
    </row>
    <row r="258" spans="1:8" x14ac:dyDescent="0.25">
      <c r="A258" t="s">
        <v>3173</v>
      </c>
      <c r="B258" t="s">
        <v>2662</v>
      </c>
      <c r="C258">
        <v>1.8</v>
      </c>
      <c r="D258" t="s">
        <v>3156</v>
      </c>
      <c r="E258" t="s">
        <v>945</v>
      </c>
      <c r="F258">
        <v>75</v>
      </c>
      <c r="G258" t="b">
        <v>0</v>
      </c>
      <c r="H258">
        <v>1</v>
      </c>
    </row>
    <row r="259" spans="1:8" x14ac:dyDescent="0.25">
      <c r="A259" t="s">
        <v>3173</v>
      </c>
      <c r="B259" t="s">
        <v>2658</v>
      </c>
      <c r="C259">
        <v>1.8</v>
      </c>
      <c r="D259" t="s">
        <v>3156</v>
      </c>
      <c r="E259" t="s">
        <v>945</v>
      </c>
      <c r="F259">
        <v>75</v>
      </c>
      <c r="G259" t="b">
        <v>0</v>
      </c>
      <c r="H259">
        <v>1</v>
      </c>
    </row>
    <row r="260" spans="1:8" x14ac:dyDescent="0.25">
      <c r="A260" t="s">
        <v>3173</v>
      </c>
      <c r="B260" t="s">
        <v>2664</v>
      </c>
      <c r="C260">
        <v>1.8</v>
      </c>
      <c r="D260" t="s">
        <v>3156</v>
      </c>
      <c r="E260" t="s">
        <v>945</v>
      </c>
      <c r="F260">
        <v>75</v>
      </c>
      <c r="G260" t="b">
        <v>0</v>
      </c>
      <c r="H260">
        <v>1</v>
      </c>
    </row>
    <row r="261" spans="1:8" x14ac:dyDescent="0.25">
      <c r="A261" t="s">
        <v>3173</v>
      </c>
      <c r="B261" t="s">
        <v>2666</v>
      </c>
      <c r="C261">
        <v>1.8</v>
      </c>
      <c r="D261" t="s">
        <v>3156</v>
      </c>
      <c r="E261" t="s">
        <v>945</v>
      </c>
      <c r="F261">
        <v>75</v>
      </c>
      <c r="G261" t="b">
        <v>0</v>
      </c>
      <c r="H261">
        <v>1</v>
      </c>
    </row>
    <row r="262" spans="1:8" x14ac:dyDescent="0.25">
      <c r="A262" t="s">
        <v>3173</v>
      </c>
      <c r="B262" t="s">
        <v>2668</v>
      </c>
      <c r="C262">
        <v>1.8</v>
      </c>
      <c r="D262" t="s">
        <v>3156</v>
      </c>
      <c r="E262" t="s">
        <v>945</v>
      </c>
      <c r="F262">
        <v>75</v>
      </c>
      <c r="G262" t="b">
        <v>0</v>
      </c>
      <c r="H262">
        <v>1</v>
      </c>
    </row>
    <row r="263" spans="1:8" x14ac:dyDescent="0.25">
      <c r="A263" t="s">
        <v>3173</v>
      </c>
      <c r="B263" t="s">
        <v>2670</v>
      </c>
      <c r="C263">
        <v>1.8</v>
      </c>
      <c r="D263" t="s">
        <v>3156</v>
      </c>
      <c r="E263" t="s">
        <v>945</v>
      </c>
      <c r="F263">
        <v>75</v>
      </c>
      <c r="G263" t="b">
        <v>0</v>
      </c>
      <c r="H263">
        <v>1</v>
      </c>
    </row>
    <row r="264" spans="1:8" x14ac:dyDescent="0.25">
      <c r="A264" t="s">
        <v>3173</v>
      </c>
      <c r="B264" t="s">
        <v>2672</v>
      </c>
      <c r="C264">
        <v>1.8</v>
      </c>
      <c r="D264" t="s">
        <v>3156</v>
      </c>
      <c r="E264" t="s">
        <v>945</v>
      </c>
      <c r="F264">
        <v>75</v>
      </c>
      <c r="G264" t="b">
        <v>0</v>
      </c>
      <c r="H264">
        <v>1</v>
      </c>
    </row>
    <row r="265" spans="1:8" x14ac:dyDescent="0.25">
      <c r="A265" t="s">
        <v>3173</v>
      </c>
      <c r="B265" t="s">
        <v>2674</v>
      </c>
      <c r="C265">
        <v>1.8</v>
      </c>
      <c r="D265" t="s">
        <v>3156</v>
      </c>
      <c r="E265" t="s">
        <v>945</v>
      </c>
      <c r="F265">
        <v>75</v>
      </c>
      <c r="G265" t="b">
        <v>0</v>
      </c>
      <c r="H265">
        <v>1</v>
      </c>
    </row>
    <row r="266" spans="1:8" x14ac:dyDescent="0.25">
      <c r="A266" t="s">
        <v>3173</v>
      </c>
      <c r="B266" t="s">
        <v>2676</v>
      </c>
      <c r="C266">
        <v>1.8</v>
      </c>
      <c r="D266" t="s">
        <v>3156</v>
      </c>
      <c r="E266" t="s">
        <v>945</v>
      </c>
      <c r="F266">
        <v>75</v>
      </c>
      <c r="G266" t="b">
        <v>0</v>
      </c>
      <c r="H266">
        <v>1</v>
      </c>
    </row>
    <row r="267" spans="1:8" x14ac:dyDescent="0.25">
      <c r="A267" t="s">
        <v>3173</v>
      </c>
      <c r="B267" t="s">
        <v>2678</v>
      </c>
      <c r="C267">
        <v>1.8</v>
      </c>
      <c r="D267" t="s">
        <v>3156</v>
      </c>
      <c r="E267" t="s">
        <v>945</v>
      </c>
      <c r="F267">
        <v>75</v>
      </c>
      <c r="G267" t="b">
        <v>0</v>
      </c>
      <c r="H267">
        <v>1</v>
      </c>
    </row>
    <row r="268" spans="1:8" x14ac:dyDescent="0.25">
      <c r="A268" t="s">
        <v>3174</v>
      </c>
      <c r="B268" t="s">
        <v>2704</v>
      </c>
      <c r="C268">
        <v>2.2000000000000002</v>
      </c>
      <c r="D268" t="s">
        <v>3156</v>
      </c>
      <c r="E268" t="s">
        <v>945</v>
      </c>
      <c r="F268">
        <v>75</v>
      </c>
      <c r="G268" t="b">
        <v>0</v>
      </c>
      <c r="H268">
        <v>1</v>
      </c>
    </row>
    <row r="269" spans="1:8" x14ac:dyDescent="0.25">
      <c r="A269" t="s">
        <v>3174</v>
      </c>
      <c r="B269" t="s">
        <v>2698</v>
      </c>
      <c r="C269">
        <v>17.649999999999999</v>
      </c>
      <c r="D269" t="s">
        <v>3156</v>
      </c>
      <c r="E269" t="s">
        <v>945</v>
      </c>
      <c r="F269">
        <v>75</v>
      </c>
      <c r="G269" t="b">
        <v>0</v>
      </c>
      <c r="H269">
        <v>1</v>
      </c>
    </row>
    <row r="270" spans="1:8" x14ac:dyDescent="0.25">
      <c r="A270" t="s">
        <v>3174</v>
      </c>
      <c r="B270" t="s">
        <v>2688</v>
      </c>
      <c r="C270">
        <v>15.1</v>
      </c>
      <c r="D270" t="s">
        <v>3156</v>
      </c>
      <c r="E270" t="s">
        <v>945</v>
      </c>
      <c r="F270">
        <v>75</v>
      </c>
      <c r="G270" t="b">
        <v>0</v>
      </c>
      <c r="H270">
        <v>1</v>
      </c>
    </row>
    <row r="271" spans="1:8" x14ac:dyDescent="0.25">
      <c r="A271" t="s">
        <v>3174</v>
      </c>
      <c r="B271" t="s">
        <v>2690</v>
      </c>
      <c r="C271">
        <v>20.100000000000001</v>
      </c>
      <c r="D271" t="s">
        <v>3156</v>
      </c>
      <c r="E271" t="s">
        <v>945</v>
      </c>
      <c r="F271">
        <v>75</v>
      </c>
      <c r="G271" t="b">
        <v>0</v>
      </c>
      <c r="H271">
        <v>1</v>
      </c>
    </row>
    <row r="272" spans="1:8" x14ac:dyDescent="0.25">
      <c r="A272" t="s">
        <v>3174</v>
      </c>
      <c r="B272" t="s">
        <v>2692</v>
      </c>
      <c r="C272">
        <v>25.35</v>
      </c>
      <c r="D272" t="s">
        <v>3156</v>
      </c>
      <c r="E272" t="s">
        <v>945</v>
      </c>
      <c r="F272">
        <v>75</v>
      </c>
      <c r="G272" t="b">
        <v>0</v>
      </c>
      <c r="H272">
        <v>1</v>
      </c>
    </row>
    <row r="273" spans="1:8" x14ac:dyDescent="0.25">
      <c r="A273" t="s">
        <v>3174</v>
      </c>
      <c r="B273" t="s">
        <v>2694</v>
      </c>
      <c r="C273">
        <v>30.4</v>
      </c>
      <c r="D273" t="s">
        <v>3156</v>
      </c>
      <c r="E273" t="s">
        <v>945</v>
      </c>
      <c r="F273">
        <v>75</v>
      </c>
      <c r="G273" t="b">
        <v>0</v>
      </c>
      <c r="H273">
        <v>1</v>
      </c>
    </row>
    <row r="274" spans="1:8" x14ac:dyDescent="0.25">
      <c r="A274" t="s">
        <v>3174</v>
      </c>
      <c r="B274" t="s">
        <v>2696</v>
      </c>
      <c r="C274">
        <v>35.4</v>
      </c>
      <c r="D274" t="s">
        <v>3156</v>
      </c>
      <c r="E274" t="s">
        <v>945</v>
      </c>
      <c r="F274">
        <v>75</v>
      </c>
      <c r="G274" t="b">
        <v>0</v>
      </c>
      <c r="H274">
        <v>1</v>
      </c>
    </row>
    <row r="275" spans="1:8" x14ac:dyDescent="0.25">
      <c r="A275" t="s">
        <v>3174</v>
      </c>
      <c r="B275" t="s">
        <v>905</v>
      </c>
      <c r="C275">
        <v>15.95</v>
      </c>
      <c r="D275" t="s">
        <v>3156</v>
      </c>
      <c r="E275" t="s">
        <v>945</v>
      </c>
      <c r="F275">
        <v>75</v>
      </c>
      <c r="G275" t="b">
        <v>0</v>
      </c>
      <c r="H275">
        <v>1</v>
      </c>
    </row>
    <row r="276" spans="1:8" x14ac:dyDescent="0.25">
      <c r="A276" t="s">
        <v>3174</v>
      </c>
      <c r="B276" t="s">
        <v>915</v>
      </c>
      <c r="C276">
        <v>13.3</v>
      </c>
      <c r="D276" t="s">
        <v>3156</v>
      </c>
      <c r="E276" t="s">
        <v>945</v>
      </c>
      <c r="F276">
        <v>75</v>
      </c>
      <c r="G276" t="b">
        <v>0</v>
      </c>
      <c r="H276">
        <v>1</v>
      </c>
    </row>
    <row r="277" spans="1:8" x14ac:dyDescent="0.25">
      <c r="A277" t="s">
        <v>3174</v>
      </c>
      <c r="B277" t="s">
        <v>2686</v>
      </c>
      <c r="C277">
        <v>13.3</v>
      </c>
      <c r="D277" t="s">
        <v>3156</v>
      </c>
      <c r="E277" t="s">
        <v>945</v>
      </c>
      <c r="F277">
        <v>75</v>
      </c>
      <c r="G277" t="b">
        <v>0</v>
      </c>
      <c r="H277">
        <v>1</v>
      </c>
    </row>
    <row r="278" spans="1:8" x14ac:dyDescent="0.25">
      <c r="A278" t="s">
        <v>3174</v>
      </c>
      <c r="B278" t="s">
        <v>918</v>
      </c>
      <c r="C278">
        <v>11.55</v>
      </c>
      <c r="D278" t="s">
        <v>3156</v>
      </c>
      <c r="E278" t="s">
        <v>945</v>
      </c>
      <c r="F278">
        <v>75</v>
      </c>
      <c r="G278" t="b">
        <v>0</v>
      </c>
      <c r="H278">
        <v>1</v>
      </c>
    </row>
    <row r="279" spans="1:8" x14ac:dyDescent="0.25">
      <c r="A279" t="s">
        <v>3174</v>
      </c>
      <c r="B279" t="s">
        <v>931</v>
      </c>
      <c r="C279">
        <v>18.600000000000001</v>
      </c>
      <c r="D279" t="s">
        <v>3156</v>
      </c>
      <c r="E279" t="s">
        <v>945</v>
      </c>
      <c r="F279">
        <v>75</v>
      </c>
      <c r="G279" t="b">
        <v>0</v>
      </c>
      <c r="H279">
        <v>1</v>
      </c>
    </row>
    <row r="280" spans="1:8" x14ac:dyDescent="0.25">
      <c r="A280" t="s">
        <v>3174</v>
      </c>
      <c r="B280" t="s">
        <v>923</v>
      </c>
      <c r="C280">
        <v>53.05</v>
      </c>
      <c r="D280" t="s">
        <v>3156</v>
      </c>
      <c r="E280" t="s">
        <v>945</v>
      </c>
      <c r="F280">
        <v>75</v>
      </c>
      <c r="G280" t="b">
        <v>0</v>
      </c>
      <c r="H280">
        <v>1</v>
      </c>
    </row>
    <row r="281" spans="1:8" x14ac:dyDescent="0.25">
      <c r="A281" t="s">
        <v>3174</v>
      </c>
      <c r="B281" t="s">
        <v>1059</v>
      </c>
      <c r="C281">
        <v>9.5</v>
      </c>
      <c r="D281" t="s">
        <v>3156</v>
      </c>
      <c r="E281" t="s">
        <v>945</v>
      </c>
      <c r="F281">
        <v>75</v>
      </c>
      <c r="G281" t="b">
        <v>0</v>
      </c>
      <c r="H281">
        <v>1</v>
      </c>
    </row>
    <row r="282" spans="1:8" x14ac:dyDescent="0.25">
      <c r="A282" t="s">
        <v>3174</v>
      </c>
      <c r="B282" t="s">
        <v>2700</v>
      </c>
      <c r="C282">
        <v>17.649999999999999</v>
      </c>
      <c r="D282" t="s">
        <v>3156</v>
      </c>
      <c r="E282" t="s">
        <v>945</v>
      </c>
      <c r="F282">
        <v>75</v>
      </c>
      <c r="G282" t="b">
        <v>0</v>
      </c>
      <c r="H282">
        <v>1</v>
      </c>
    </row>
    <row r="283" spans="1:8" x14ac:dyDescent="0.25">
      <c r="A283" t="s">
        <v>3174</v>
      </c>
      <c r="B283" t="s">
        <v>2702</v>
      </c>
      <c r="C283">
        <v>1.65</v>
      </c>
      <c r="D283" t="s">
        <v>3156</v>
      </c>
      <c r="E283" t="s">
        <v>945</v>
      </c>
      <c r="F283">
        <v>75</v>
      </c>
      <c r="G283" t="b">
        <v>0</v>
      </c>
      <c r="H283">
        <v>1</v>
      </c>
    </row>
    <row r="284" spans="1:8" x14ac:dyDescent="0.25">
      <c r="A284" t="s">
        <v>3022</v>
      </c>
      <c r="B284" t="s">
        <v>2728</v>
      </c>
      <c r="C284">
        <v>3.55</v>
      </c>
      <c r="D284" t="s">
        <v>3156</v>
      </c>
      <c r="E284" t="s">
        <v>945</v>
      </c>
      <c r="F284">
        <v>75</v>
      </c>
      <c r="G284" t="b">
        <v>0</v>
      </c>
      <c r="H284">
        <v>1</v>
      </c>
    </row>
    <row r="285" spans="1:8" x14ac:dyDescent="0.25">
      <c r="A285" t="s">
        <v>3022</v>
      </c>
      <c r="B285" t="s">
        <v>2722</v>
      </c>
      <c r="C285">
        <v>3.55</v>
      </c>
      <c r="D285" t="s">
        <v>3156</v>
      </c>
      <c r="E285" t="s">
        <v>945</v>
      </c>
      <c r="F285">
        <v>75</v>
      </c>
      <c r="G285" t="b">
        <v>0</v>
      </c>
      <c r="H285">
        <v>1</v>
      </c>
    </row>
    <row r="286" spans="1:8" x14ac:dyDescent="0.25">
      <c r="A286" t="s">
        <v>3022</v>
      </c>
      <c r="B286" t="s">
        <v>3023</v>
      </c>
      <c r="C286">
        <v>3.55</v>
      </c>
      <c r="D286" t="s">
        <v>3156</v>
      </c>
      <c r="E286" t="s">
        <v>945</v>
      </c>
      <c r="F286">
        <v>75</v>
      </c>
      <c r="G286" t="b">
        <v>0</v>
      </c>
      <c r="H286">
        <v>1</v>
      </c>
    </row>
    <row r="287" spans="1:8" x14ac:dyDescent="0.25">
      <c r="A287" t="s">
        <v>3022</v>
      </c>
      <c r="B287" t="s">
        <v>2708</v>
      </c>
      <c r="C287">
        <v>3.55</v>
      </c>
      <c r="D287" t="s">
        <v>3156</v>
      </c>
      <c r="E287" t="s">
        <v>945</v>
      </c>
      <c r="F287">
        <v>75</v>
      </c>
      <c r="G287" t="b">
        <v>0</v>
      </c>
      <c r="H287">
        <v>1</v>
      </c>
    </row>
    <row r="288" spans="1:8" x14ac:dyDescent="0.25">
      <c r="A288" t="s">
        <v>3022</v>
      </c>
      <c r="B288" t="s">
        <v>2712</v>
      </c>
      <c r="C288">
        <v>3.55</v>
      </c>
      <c r="D288" t="s">
        <v>3156</v>
      </c>
      <c r="E288" t="s">
        <v>945</v>
      </c>
      <c r="F288">
        <v>75</v>
      </c>
      <c r="G288" t="b">
        <v>0</v>
      </c>
      <c r="H288">
        <v>1</v>
      </c>
    </row>
    <row r="289" spans="1:8" x14ac:dyDescent="0.25">
      <c r="A289" t="s">
        <v>3022</v>
      </c>
      <c r="B289" t="s">
        <v>2714</v>
      </c>
      <c r="C289">
        <v>3.55</v>
      </c>
      <c r="D289" t="s">
        <v>3156</v>
      </c>
      <c r="E289" t="s">
        <v>945</v>
      </c>
      <c r="F289">
        <v>75</v>
      </c>
      <c r="G289" t="b">
        <v>0</v>
      </c>
      <c r="H289">
        <v>1</v>
      </c>
    </row>
    <row r="290" spans="1:8" x14ac:dyDescent="0.25">
      <c r="A290" t="s">
        <v>3022</v>
      </c>
      <c r="B290" t="s">
        <v>2716</v>
      </c>
      <c r="C290">
        <v>3.55</v>
      </c>
      <c r="D290" t="s">
        <v>3156</v>
      </c>
      <c r="E290" t="s">
        <v>945</v>
      </c>
      <c r="F290">
        <v>75</v>
      </c>
      <c r="G290" t="b">
        <v>0</v>
      </c>
      <c r="H290">
        <v>1</v>
      </c>
    </row>
    <row r="291" spans="1:8" x14ac:dyDescent="0.25">
      <c r="A291" t="s">
        <v>3022</v>
      </c>
      <c r="B291" t="s">
        <v>2718</v>
      </c>
      <c r="C291">
        <v>3.55</v>
      </c>
      <c r="D291" t="s">
        <v>3156</v>
      </c>
      <c r="E291" t="s">
        <v>945</v>
      </c>
      <c r="F291">
        <v>75</v>
      </c>
      <c r="G291" t="b">
        <v>0</v>
      </c>
      <c r="H291">
        <v>1</v>
      </c>
    </row>
    <row r="292" spans="1:8" x14ac:dyDescent="0.25">
      <c r="A292" t="s">
        <v>3022</v>
      </c>
      <c r="B292" t="s">
        <v>2720</v>
      </c>
      <c r="C292">
        <v>3.55</v>
      </c>
      <c r="D292" t="s">
        <v>3156</v>
      </c>
      <c r="E292" t="s">
        <v>945</v>
      </c>
      <c r="F292">
        <v>75</v>
      </c>
      <c r="G292" t="b">
        <v>0</v>
      </c>
      <c r="H292">
        <v>1</v>
      </c>
    </row>
    <row r="293" spans="1:8" x14ac:dyDescent="0.25">
      <c r="A293" t="s">
        <v>3022</v>
      </c>
      <c r="B293" t="s">
        <v>2724</v>
      </c>
      <c r="C293">
        <v>3.55</v>
      </c>
      <c r="D293" t="s">
        <v>3156</v>
      </c>
      <c r="E293" t="s">
        <v>945</v>
      </c>
      <c r="F293">
        <v>75</v>
      </c>
      <c r="G293" t="b">
        <v>0</v>
      </c>
      <c r="H293">
        <v>1</v>
      </c>
    </row>
    <row r="294" spans="1:8" x14ac:dyDescent="0.25">
      <c r="A294" t="s">
        <v>3022</v>
      </c>
      <c r="B294" t="s">
        <v>2730</v>
      </c>
      <c r="C294">
        <v>3.55</v>
      </c>
      <c r="D294" t="s">
        <v>3156</v>
      </c>
      <c r="E294" t="s">
        <v>945</v>
      </c>
      <c r="F294">
        <v>75</v>
      </c>
      <c r="G294" t="b">
        <v>0</v>
      </c>
      <c r="H294">
        <v>1</v>
      </c>
    </row>
    <row r="295" spans="1:8" x14ac:dyDescent="0.25">
      <c r="A295" t="s">
        <v>3022</v>
      </c>
      <c r="B295" t="s">
        <v>2732</v>
      </c>
      <c r="C295">
        <v>3.55</v>
      </c>
      <c r="D295" t="s">
        <v>3156</v>
      </c>
      <c r="E295" t="s">
        <v>945</v>
      </c>
      <c r="F295">
        <v>75</v>
      </c>
      <c r="G295" t="b">
        <v>0</v>
      </c>
      <c r="H295">
        <v>1</v>
      </c>
    </row>
    <row r="296" spans="1:8" x14ac:dyDescent="0.25">
      <c r="A296" t="s">
        <v>3022</v>
      </c>
      <c r="B296" t="s">
        <v>2734</v>
      </c>
      <c r="C296">
        <v>3.55</v>
      </c>
      <c r="D296" t="s">
        <v>3156</v>
      </c>
      <c r="E296" t="s">
        <v>945</v>
      </c>
      <c r="F296">
        <v>75</v>
      </c>
      <c r="G296" t="b">
        <v>0</v>
      </c>
      <c r="H296">
        <v>1</v>
      </c>
    </row>
    <row r="297" spans="1:8" x14ac:dyDescent="0.25">
      <c r="A297" t="s">
        <v>3022</v>
      </c>
      <c r="B297" t="s">
        <v>2736</v>
      </c>
      <c r="C297">
        <v>3.55</v>
      </c>
      <c r="D297" t="s">
        <v>3156</v>
      </c>
      <c r="E297" t="s">
        <v>945</v>
      </c>
      <c r="F297">
        <v>75</v>
      </c>
      <c r="G297" t="b">
        <v>0</v>
      </c>
      <c r="H297">
        <v>1</v>
      </c>
    </row>
    <row r="298" spans="1:8" x14ac:dyDescent="0.25">
      <c r="A298" t="s">
        <v>3022</v>
      </c>
      <c r="B298" t="s">
        <v>2738</v>
      </c>
      <c r="C298">
        <v>3.55</v>
      </c>
      <c r="D298" t="s">
        <v>3156</v>
      </c>
      <c r="E298" t="s">
        <v>945</v>
      </c>
      <c r="F298">
        <v>75</v>
      </c>
      <c r="G298" t="b">
        <v>0</v>
      </c>
      <c r="H298">
        <v>1</v>
      </c>
    </row>
    <row r="299" spans="1:8" x14ac:dyDescent="0.25">
      <c r="A299" t="s">
        <v>3022</v>
      </c>
      <c r="B299" t="s">
        <v>2740</v>
      </c>
      <c r="C299">
        <v>3.55</v>
      </c>
      <c r="D299" t="s">
        <v>3156</v>
      </c>
      <c r="E299" t="s">
        <v>945</v>
      </c>
      <c r="F299">
        <v>75</v>
      </c>
      <c r="G299" t="b">
        <v>0</v>
      </c>
      <c r="H299">
        <v>1</v>
      </c>
    </row>
    <row r="300" spans="1:8" x14ac:dyDescent="0.25">
      <c r="A300" t="s">
        <v>3022</v>
      </c>
      <c r="B300" t="s">
        <v>2742</v>
      </c>
      <c r="C300">
        <v>3.55</v>
      </c>
      <c r="D300" t="s">
        <v>3156</v>
      </c>
      <c r="E300" t="s">
        <v>945</v>
      </c>
      <c r="F300">
        <v>75</v>
      </c>
      <c r="G300" t="b">
        <v>0</v>
      </c>
      <c r="H300">
        <v>1</v>
      </c>
    </row>
    <row r="301" spans="1:8" x14ac:dyDescent="0.25">
      <c r="A301" t="s">
        <v>3022</v>
      </c>
      <c r="B301" t="s">
        <v>2744</v>
      </c>
      <c r="C301">
        <v>3.55</v>
      </c>
      <c r="D301" t="s">
        <v>3156</v>
      </c>
      <c r="E301" t="s">
        <v>945</v>
      </c>
      <c r="F301">
        <v>75</v>
      </c>
      <c r="G301" t="b">
        <v>0</v>
      </c>
      <c r="H301">
        <v>1</v>
      </c>
    </row>
    <row r="302" spans="1:8" x14ac:dyDescent="0.25">
      <c r="A302" t="s">
        <v>3022</v>
      </c>
      <c r="B302" t="s">
        <v>2710</v>
      </c>
      <c r="C302">
        <v>3.55</v>
      </c>
      <c r="D302" t="s">
        <v>3156</v>
      </c>
      <c r="E302" t="s">
        <v>945</v>
      </c>
      <c r="F302">
        <v>75</v>
      </c>
      <c r="G302" t="b">
        <v>0</v>
      </c>
      <c r="H302">
        <v>1</v>
      </c>
    </row>
    <row r="303" spans="1:8" x14ac:dyDescent="0.25">
      <c r="A303" t="s">
        <v>3022</v>
      </c>
      <c r="B303" t="s">
        <v>2746</v>
      </c>
      <c r="C303">
        <v>3.55</v>
      </c>
      <c r="D303" t="s">
        <v>3156</v>
      </c>
      <c r="E303" t="s">
        <v>945</v>
      </c>
      <c r="F303">
        <v>75</v>
      </c>
      <c r="G303" t="b">
        <v>0</v>
      </c>
      <c r="H303">
        <v>1</v>
      </c>
    </row>
    <row r="304" spans="1:8" x14ac:dyDescent="0.25">
      <c r="A304" t="s">
        <v>3022</v>
      </c>
      <c r="B304" t="s">
        <v>2706</v>
      </c>
      <c r="C304">
        <v>3.55</v>
      </c>
      <c r="D304" t="s">
        <v>3156</v>
      </c>
      <c r="E304" t="s">
        <v>945</v>
      </c>
      <c r="F304">
        <v>75</v>
      </c>
      <c r="G304" t="b">
        <v>0</v>
      </c>
      <c r="H304">
        <v>1</v>
      </c>
    </row>
    <row r="305" spans="1:8" x14ac:dyDescent="0.25">
      <c r="A305" t="s">
        <v>3022</v>
      </c>
      <c r="B305" t="s">
        <v>2726</v>
      </c>
      <c r="C305">
        <v>3.55</v>
      </c>
      <c r="D305" t="s">
        <v>3156</v>
      </c>
      <c r="E305" t="s">
        <v>945</v>
      </c>
      <c r="F305">
        <v>75</v>
      </c>
      <c r="G305" t="b">
        <v>0</v>
      </c>
      <c r="H305">
        <v>1</v>
      </c>
    </row>
    <row r="306" spans="1:8" x14ac:dyDescent="0.25">
      <c r="A306" t="s">
        <v>3022</v>
      </c>
      <c r="B306" t="s">
        <v>2748</v>
      </c>
      <c r="C306">
        <v>3.55</v>
      </c>
      <c r="D306" t="s">
        <v>3156</v>
      </c>
      <c r="E306" t="s">
        <v>945</v>
      </c>
      <c r="F306">
        <v>75</v>
      </c>
      <c r="G306" t="b">
        <v>0</v>
      </c>
      <c r="H306">
        <v>1</v>
      </c>
    </row>
    <row r="307" spans="1:8" x14ac:dyDescent="0.25">
      <c r="A307" t="s">
        <v>3177</v>
      </c>
      <c r="B307" t="s">
        <v>1732</v>
      </c>
      <c r="C307">
        <v>19.8</v>
      </c>
      <c r="D307" t="s">
        <v>3156</v>
      </c>
      <c r="E307" t="s">
        <v>945</v>
      </c>
      <c r="F307">
        <v>75</v>
      </c>
      <c r="G307" t="b">
        <v>0</v>
      </c>
      <c r="H307">
        <v>1</v>
      </c>
    </row>
    <row r="308" spans="1:8" x14ac:dyDescent="0.25">
      <c r="A308" t="s">
        <v>3177</v>
      </c>
      <c r="B308" t="s">
        <v>1741</v>
      </c>
      <c r="C308">
        <v>10.050000000000001</v>
      </c>
      <c r="D308" t="s">
        <v>3156</v>
      </c>
      <c r="E308" t="s">
        <v>945</v>
      </c>
      <c r="F308">
        <v>75</v>
      </c>
      <c r="G308" t="b">
        <v>0</v>
      </c>
      <c r="H308">
        <v>1</v>
      </c>
    </row>
    <row r="309" spans="1:8" x14ac:dyDescent="0.25">
      <c r="A309" t="s">
        <v>3177</v>
      </c>
      <c r="B309" t="s">
        <v>1735</v>
      </c>
      <c r="C309">
        <v>3.55</v>
      </c>
      <c r="D309" t="s">
        <v>3156</v>
      </c>
      <c r="E309" t="s">
        <v>945</v>
      </c>
      <c r="F309">
        <v>75</v>
      </c>
      <c r="G309" t="b">
        <v>0</v>
      </c>
      <c r="H309">
        <v>1</v>
      </c>
    </row>
    <row r="310" spans="1:8" x14ac:dyDescent="0.25">
      <c r="A310" t="s">
        <v>3178</v>
      </c>
      <c r="B310" t="s">
        <v>1203</v>
      </c>
      <c r="C310">
        <v>20.65</v>
      </c>
      <c r="D310" t="s">
        <v>3156</v>
      </c>
      <c r="E310" t="s">
        <v>945</v>
      </c>
      <c r="F310">
        <v>75</v>
      </c>
      <c r="G310" t="b">
        <v>0</v>
      </c>
      <c r="H310">
        <v>1</v>
      </c>
    </row>
    <row r="311" spans="1:8" x14ac:dyDescent="0.25">
      <c r="A311" t="s">
        <v>3178</v>
      </c>
      <c r="B311" t="s">
        <v>2756</v>
      </c>
      <c r="C311">
        <v>14.75</v>
      </c>
      <c r="D311" t="s">
        <v>3156</v>
      </c>
      <c r="E311" t="s">
        <v>945</v>
      </c>
      <c r="F311">
        <v>75</v>
      </c>
      <c r="G311" t="b">
        <v>0</v>
      </c>
      <c r="H311">
        <v>1</v>
      </c>
    </row>
    <row r="312" spans="1:8" x14ac:dyDescent="0.25">
      <c r="A312" t="s">
        <v>3024</v>
      </c>
      <c r="B312" t="s">
        <v>2784</v>
      </c>
      <c r="C312">
        <v>14.45</v>
      </c>
      <c r="D312" t="s">
        <v>3156</v>
      </c>
      <c r="E312" t="s">
        <v>945</v>
      </c>
      <c r="F312">
        <v>75</v>
      </c>
      <c r="G312" t="b">
        <v>0</v>
      </c>
      <c r="H312">
        <v>1</v>
      </c>
    </row>
    <row r="313" spans="1:8" x14ac:dyDescent="0.25">
      <c r="A313" t="s">
        <v>3024</v>
      </c>
      <c r="B313" t="s">
        <v>2778</v>
      </c>
      <c r="C313">
        <v>9.5</v>
      </c>
      <c r="D313" t="s">
        <v>3156</v>
      </c>
      <c r="E313" t="s">
        <v>945</v>
      </c>
      <c r="F313">
        <v>75</v>
      </c>
      <c r="G313" t="b">
        <v>0</v>
      </c>
      <c r="H313">
        <v>1</v>
      </c>
    </row>
    <row r="314" spans="1:8" x14ac:dyDescent="0.25">
      <c r="A314" t="s">
        <v>3024</v>
      </c>
      <c r="B314" t="s">
        <v>3025</v>
      </c>
      <c r="C314">
        <v>9.5</v>
      </c>
      <c r="D314" t="s">
        <v>3156</v>
      </c>
      <c r="E314" t="s">
        <v>945</v>
      </c>
      <c r="F314">
        <v>75</v>
      </c>
      <c r="G314" t="b">
        <v>0</v>
      </c>
      <c r="H314">
        <v>1</v>
      </c>
    </row>
    <row r="315" spans="1:8" x14ac:dyDescent="0.25">
      <c r="A315" t="s">
        <v>3024</v>
      </c>
      <c r="B315" t="s">
        <v>2780</v>
      </c>
      <c r="C315">
        <v>9.5</v>
      </c>
      <c r="D315" t="s">
        <v>3156</v>
      </c>
      <c r="E315" t="s">
        <v>945</v>
      </c>
      <c r="F315">
        <v>75</v>
      </c>
      <c r="G315" t="b">
        <v>0</v>
      </c>
      <c r="H315">
        <v>1</v>
      </c>
    </row>
    <row r="316" spans="1:8" x14ac:dyDescent="0.25">
      <c r="A316" t="s">
        <v>3024</v>
      </c>
      <c r="B316" t="s">
        <v>2782</v>
      </c>
      <c r="C316">
        <v>9.5</v>
      </c>
      <c r="D316" t="s">
        <v>3156</v>
      </c>
      <c r="E316" t="s">
        <v>945</v>
      </c>
      <c r="F316">
        <v>75</v>
      </c>
      <c r="G316" t="b">
        <v>0</v>
      </c>
      <c r="H316">
        <v>1</v>
      </c>
    </row>
    <row r="317" spans="1:8" x14ac:dyDescent="0.25">
      <c r="A317" t="s">
        <v>3024</v>
      </c>
      <c r="B317" t="s">
        <v>2786</v>
      </c>
      <c r="C317">
        <v>10.050000000000001</v>
      </c>
      <c r="D317" t="s">
        <v>3156</v>
      </c>
      <c r="E317" t="s">
        <v>945</v>
      </c>
      <c r="F317">
        <v>75</v>
      </c>
      <c r="G317" t="b">
        <v>0</v>
      </c>
      <c r="H317">
        <v>1</v>
      </c>
    </row>
    <row r="318" spans="1:8" x14ac:dyDescent="0.25">
      <c r="A318" t="s">
        <v>3024</v>
      </c>
      <c r="B318" t="s">
        <v>1370</v>
      </c>
      <c r="C318">
        <v>10.050000000000001</v>
      </c>
      <c r="D318" t="s">
        <v>3156</v>
      </c>
      <c r="E318" t="s">
        <v>945</v>
      </c>
      <c r="F318">
        <v>75</v>
      </c>
      <c r="G318" t="b">
        <v>0</v>
      </c>
      <c r="H318">
        <v>1</v>
      </c>
    </row>
    <row r="319" spans="1:8" x14ac:dyDescent="0.25">
      <c r="A319" t="s">
        <v>3024</v>
      </c>
      <c r="B319" t="s">
        <v>1366</v>
      </c>
      <c r="C319">
        <v>8.5500000000000007</v>
      </c>
      <c r="D319" t="s">
        <v>3156</v>
      </c>
      <c r="E319" t="s">
        <v>945</v>
      </c>
      <c r="F319">
        <v>75</v>
      </c>
      <c r="G319" t="b">
        <v>0</v>
      </c>
      <c r="H319">
        <v>1</v>
      </c>
    </row>
    <row r="320" spans="1:8" x14ac:dyDescent="0.25">
      <c r="A320" t="s">
        <v>3024</v>
      </c>
      <c r="B320" t="s">
        <v>2766</v>
      </c>
      <c r="C320">
        <v>8.5500000000000007</v>
      </c>
      <c r="D320" t="s">
        <v>3156</v>
      </c>
      <c r="E320" t="s">
        <v>945</v>
      </c>
      <c r="F320">
        <v>75</v>
      </c>
      <c r="G320" t="b">
        <v>0</v>
      </c>
      <c r="H320">
        <v>1</v>
      </c>
    </row>
    <row r="321" spans="1:8" x14ac:dyDescent="0.25">
      <c r="A321" t="s">
        <v>3024</v>
      </c>
      <c r="B321" t="s">
        <v>2768</v>
      </c>
      <c r="C321">
        <v>8.5500000000000007</v>
      </c>
      <c r="D321" t="s">
        <v>3156</v>
      </c>
      <c r="E321" t="s">
        <v>945</v>
      </c>
      <c r="F321">
        <v>75</v>
      </c>
      <c r="G321" t="b">
        <v>0</v>
      </c>
      <c r="H321">
        <v>1</v>
      </c>
    </row>
    <row r="322" spans="1:8" x14ac:dyDescent="0.25">
      <c r="A322" t="s">
        <v>3024</v>
      </c>
      <c r="B322" t="s">
        <v>2770</v>
      </c>
      <c r="C322">
        <v>8.5500000000000007</v>
      </c>
      <c r="D322" t="s">
        <v>3156</v>
      </c>
      <c r="E322" t="s">
        <v>945</v>
      </c>
      <c r="F322">
        <v>75</v>
      </c>
      <c r="G322" t="b">
        <v>0</v>
      </c>
      <c r="H322">
        <v>1</v>
      </c>
    </row>
    <row r="323" spans="1:8" x14ac:dyDescent="0.25">
      <c r="A323" t="s">
        <v>3024</v>
      </c>
      <c r="B323" t="s">
        <v>2772</v>
      </c>
      <c r="C323">
        <v>8.5500000000000007</v>
      </c>
      <c r="D323" t="s">
        <v>3156</v>
      </c>
      <c r="E323" t="s">
        <v>945</v>
      </c>
      <c r="F323">
        <v>75</v>
      </c>
      <c r="G323" t="b">
        <v>0</v>
      </c>
      <c r="H323">
        <v>1</v>
      </c>
    </row>
    <row r="324" spans="1:8" x14ac:dyDescent="0.25">
      <c r="A324" t="s">
        <v>3024</v>
      </c>
      <c r="B324" t="s">
        <v>2774</v>
      </c>
      <c r="C324">
        <v>8.5500000000000007</v>
      </c>
      <c r="D324" t="s">
        <v>3156</v>
      </c>
      <c r="E324" t="s">
        <v>945</v>
      </c>
      <c r="F324">
        <v>75</v>
      </c>
      <c r="G324" t="b">
        <v>0</v>
      </c>
      <c r="H324">
        <v>1</v>
      </c>
    </row>
    <row r="325" spans="1:8" x14ac:dyDescent="0.25">
      <c r="A325" t="s">
        <v>3024</v>
      </c>
      <c r="B325" t="s">
        <v>2776</v>
      </c>
      <c r="C325">
        <v>8.5500000000000007</v>
      </c>
      <c r="D325" t="s">
        <v>3156</v>
      </c>
      <c r="E325" t="s">
        <v>945</v>
      </c>
      <c r="F325">
        <v>75</v>
      </c>
      <c r="G325" t="b">
        <v>0</v>
      </c>
      <c r="H325">
        <v>1</v>
      </c>
    </row>
    <row r="326" spans="1:8" x14ac:dyDescent="0.25">
      <c r="A326" t="s">
        <v>3024</v>
      </c>
      <c r="B326" t="s">
        <v>1376</v>
      </c>
      <c r="C326">
        <v>14.45</v>
      </c>
      <c r="D326" t="s">
        <v>3156</v>
      </c>
      <c r="E326" t="s">
        <v>945</v>
      </c>
      <c r="F326">
        <v>75</v>
      </c>
      <c r="G326" t="b">
        <v>0</v>
      </c>
      <c r="H326">
        <v>1</v>
      </c>
    </row>
    <row r="327" spans="1:8" x14ac:dyDescent="0.25">
      <c r="A327" t="s">
        <v>3024</v>
      </c>
      <c r="B327" t="s">
        <v>2788</v>
      </c>
      <c r="C327">
        <v>9.5</v>
      </c>
      <c r="D327" t="s">
        <v>3156</v>
      </c>
      <c r="E327" t="s">
        <v>945</v>
      </c>
      <c r="F327">
        <v>75</v>
      </c>
      <c r="G327" t="b">
        <v>0</v>
      </c>
      <c r="H327">
        <v>1</v>
      </c>
    </row>
    <row r="328" spans="1:8" x14ac:dyDescent="0.25">
      <c r="A328" t="s">
        <v>3024</v>
      </c>
      <c r="B328" t="s">
        <v>2790</v>
      </c>
      <c r="C328">
        <v>9.5</v>
      </c>
      <c r="D328" t="s">
        <v>3156</v>
      </c>
      <c r="E328" t="s">
        <v>945</v>
      </c>
      <c r="F328">
        <v>75</v>
      </c>
      <c r="G328" t="b">
        <v>0</v>
      </c>
      <c r="H328">
        <v>1</v>
      </c>
    </row>
    <row r="329" spans="1:8" x14ac:dyDescent="0.25">
      <c r="A329" t="s">
        <v>3024</v>
      </c>
      <c r="B329" t="s">
        <v>2792</v>
      </c>
      <c r="C329">
        <v>9.5</v>
      </c>
      <c r="D329" t="s">
        <v>3156</v>
      </c>
      <c r="E329" t="s">
        <v>945</v>
      </c>
      <c r="F329">
        <v>75</v>
      </c>
      <c r="G329" t="b">
        <v>0</v>
      </c>
      <c r="H329">
        <v>1</v>
      </c>
    </row>
    <row r="330" spans="1:8" x14ac:dyDescent="0.25">
      <c r="A330" t="s">
        <v>3024</v>
      </c>
      <c r="B330" t="s">
        <v>2794</v>
      </c>
      <c r="C330">
        <v>10.3</v>
      </c>
      <c r="D330" t="s">
        <v>3156</v>
      </c>
      <c r="E330" t="s">
        <v>945</v>
      </c>
      <c r="F330">
        <v>75</v>
      </c>
      <c r="G330" t="b">
        <v>0</v>
      </c>
      <c r="H330">
        <v>1</v>
      </c>
    </row>
    <row r="331" spans="1:8" x14ac:dyDescent="0.25">
      <c r="A331" t="s">
        <v>3024</v>
      </c>
      <c r="B331" t="s">
        <v>2796</v>
      </c>
      <c r="C331">
        <v>20.6</v>
      </c>
      <c r="D331" t="s">
        <v>3156</v>
      </c>
      <c r="E331" t="s">
        <v>945</v>
      </c>
      <c r="F331">
        <v>75</v>
      </c>
      <c r="G331" t="b">
        <v>0</v>
      </c>
      <c r="H331">
        <v>1</v>
      </c>
    </row>
    <row r="332" spans="1:8" x14ac:dyDescent="0.25">
      <c r="A332" t="s">
        <v>3024</v>
      </c>
      <c r="B332" t="s">
        <v>2798</v>
      </c>
      <c r="C332">
        <v>20.6</v>
      </c>
      <c r="D332" t="s">
        <v>3156</v>
      </c>
      <c r="E332" t="s">
        <v>945</v>
      </c>
      <c r="F332">
        <v>75</v>
      </c>
      <c r="G332" t="b">
        <v>0</v>
      </c>
      <c r="H332">
        <v>1</v>
      </c>
    </row>
    <row r="333" spans="1:8" x14ac:dyDescent="0.25">
      <c r="A333" t="s">
        <v>3181</v>
      </c>
      <c r="B333" t="s">
        <v>2003</v>
      </c>
      <c r="C333">
        <v>17.399999999999999</v>
      </c>
      <c r="D333" t="s">
        <v>3156</v>
      </c>
      <c r="E333" t="s">
        <v>945</v>
      </c>
      <c r="F333">
        <v>75</v>
      </c>
      <c r="G333" t="b">
        <v>0</v>
      </c>
      <c r="H333">
        <v>1</v>
      </c>
    </row>
    <row r="334" spans="1:8" x14ac:dyDescent="0.25">
      <c r="A334" t="s">
        <v>3181</v>
      </c>
      <c r="B334" t="s">
        <v>2800</v>
      </c>
      <c r="C334">
        <v>17.399999999999999</v>
      </c>
      <c r="D334" t="s">
        <v>3156</v>
      </c>
      <c r="E334" t="s">
        <v>945</v>
      </c>
      <c r="F334">
        <v>75</v>
      </c>
      <c r="G334" t="b">
        <v>0</v>
      </c>
      <c r="H334">
        <v>1</v>
      </c>
    </row>
    <row r="335" spans="1:8" x14ac:dyDescent="0.25">
      <c r="A335" t="s">
        <v>3181</v>
      </c>
      <c r="B335" t="s">
        <v>2802</v>
      </c>
      <c r="C335">
        <v>17.399999999999999</v>
      </c>
      <c r="D335" t="s">
        <v>3156</v>
      </c>
      <c r="E335" t="s">
        <v>945</v>
      </c>
      <c r="F335">
        <v>75</v>
      </c>
      <c r="G335" t="b">
        <v>0</v>
      </c>
      <c r="H335">
        <v>1</v>
      </c>
    </row>
    <row r="336" spans="1:8" x14ac:dyDescent="0.25">
      <c r="A336" t="s">
        <v>3026</v>
      </c>
      <c r="B336" t="s">
        <v>1954</v>
      </c>
      <c r="C336">
        <v>23.9</v>
      </c>
      <c r="D336" t="s">
        <v>3156</v>
      </c>
      <c r="E336" t="s">
        <v>945</v>
      </c>
      <c r="F336">
        <v>75</v>
      </c>
      <c r="G336" t="b">
        <v>0</v>
      </c>
      <c r="H336">
        <v>1</v>
      </c>
    </row>
    <row r="337" spans="1:8" x14ac:dyDescent="0.25">
      <c r="A337" t="s">
        <v>3026</v>
      </c>
      <c r="B337" t="s">
        <v>1952</v>
      </c>
      <c r="C337">
        <v>5.35</v>
      </c>
      <c r="D337" t="s">
        <v>3156</v>
      </c>
      <c r="E337" t="s">
        <v>945</v>
      </c>
      <c r="F337">
        <v>75</v>
      </c>
      <c r="G337" t="b">
        <v>0</v>
      </c>
      <c r="H337">
        <v>1</v>
      </c>
    </row>
    <row r="338" spans="1:8" x14ac:dyDescent="0.25">
      <c r="A338" t="s">
        <v>3026</v>
      </c>
      <c r="B338" t="s">
        <v>1946</v>
      </c>
      <c r="C338">
        <v>5.6</v>
      </c>
      <c r="D338" t="s">
        <v>3156</v>
      </c>
      <c r="E338" t="s">
        <v>945</v>
      </c>
      <c r="F338">
        <v>75</v>
      </c>
      <c r="G338" t="b">
        <v>0</v>
      </c>
      <c r="H338">
        <v>1</v>
      </c>
    </row>
    <row r="339" spans="1:8" x14ac:dyDescent="0.25">
      <c r="A339" t="s">
        <v>3026</v>
      </c>
      <c r="B339" t="s">
        <v>2814</v>
      </c>
      <c r="C339">
        <v>5.35</v>
      </c>
      <c r="D339" t="s">
        <v>3156</v>
      </c>
      <c r="E339" t="s">
        <v>945</v>
      </c>
      <c r="F339">
        <v>75</v>
      </c>
      <c r="G339" t="b">
        <v>0</v>
      </c>
      <c r="H339">
        <v>1</v>
      </c>
    </row>
    <row r="340" spans="1:8" x14ac:dyDescent="0.25">
      <c r="A340" t="s">
        <v>3026</v>
      </c>
      <c r="B340" t="s">
        <v>1949</v>
      </c>
      <c r="C340">
        <v>14</v>
      </c>
      <c r="D340" t="s">
        <v>3156</v>
      </c>
      <c r="E340" t="s">
        <v>945</v>
      </c>
      <c r="F340">
        <v>75</v>
      </c>
      <c r="G340" t="b">
        <v>0</v>
      </c>
      <c r="H340">
        <v>1</v>
      </c>
    </row>
    <row r="341" spans="1:8" x14ac:dyDescent="0.25">
      <c r="A341" t="s">
        <v>3026</v>
      </c>
      <c r="B341" t="s">
        <v>2818</v>
      </c>
      <c r="C341">
        <v>4.1500000000000004</v>
      </c>
      <c r="D341" t="s">
        <v>3156</v>
      </c>
      <c r="E341" t="s">
        <v>945</v>
      </c>
      <c r="F341">
        <v>75</v>
      </c>
      <c r="G341" t="b">
        <v>0</v>
      </c>
      <c r="H341">
        <v>1</v>
      </c>
    </row>
    <row r="342" spans="1:8" x14ac:dyDescent="0.25">
      <c r="A342" t="s">
        <v>3026</v>
      </c>
      <c r="B342" t="s">
        <v>2820</v>
      </c>
      <c r="C342">
        <v>9.0500000000000007</v>
      </c>
      <c r="D342" t="s">
        <v>3156</v>
      </c>
      <c r="E342" t="s">
        <v>945</v>
      </c>
      <c r="F342">
        <v>75</v>
      </c>
      <c r="G342" t="b">
        <v>0</v>
      </c>
      <c r="H342">
        <v>1</v>
      </c>
    </row>
    <row r="343" spans="1:8" x14ac:dyDescent="0.25">
      <c r="A343" t="s">
        <v>3026</v>
      </c>
      <c r="B343" t="s">
        <v>2816</v>
      </c>
      <c r="C343">
        <v>14</v>
      </c>
      <c r="D343" t="s">
        <v>3156</v>
      </c>
      <c r="E343" t="s">
        <v>945</v>
      </c>
      <c r="F343">
        <v>75</v>
      </c>
      <c r="G343" t="b">
        <v>0</v>
      </c>
      <c r="H343">
        <v>1</v>
      </c>
    </row>
    <row r="344" spans="1:8" x14ac:dyDescent="0.25">
      <c r="A344" t="s">
        <v>3026</v>
      </c>
      <c r="B344" t="s">
        <v>3027</v>
      </c>
      <c r="C344">
        <v>0.5</v>
      </c>
      <c r="D344" t="s">
        <v>3156</v>
      </c>
      <c r="E344" t="s">
        <v>945</v>
      </c>
      <c r="F344">
        <v>75</v>
      </c>
      <c r="G344" t="b">
        <v>0</v>
      </c>
      <c r="H344">
        <v>1</v>
      </c>
    </row>
    <row r="345" spans="1:8" x14ac:dyDescent="0.25">
      <c r="A345" t="s">
        <v>3182</v>
      </c>
      <c r="B345" t="s">
        <v>2838</v>
      </c>
      <c r="C345">
        <v>6.25</v>
      </c>
      <c r="D345" t="s">
        <v>3156</v>
      </c>
      <c r="E345" t="s">
        <v>945</v>
      </c>
      <c r="F345">
        <v>75</v>
      </c>
      <c r="G345" t="b">
        <v>0</v>
      </c>
      <c r="H345">
        <v>1</v>
      </c>
    </row>
    <row r="346" spans="1:8" x14ac:dyDescent="0.25">
      <c r="A346" t="s">
        <v>3182</v>
      </c>
      <c r="B346" t="s">
        <v>2840</v>
      </c>
      <c r="C346">
        <v>6.25</v>
      </c>
      <c r="D346" t="s">
        <v>3156</v>
      </c>
      <c r="E346" t="s">
        <v>945</v>
      </c>
      <c r="F346">
        <v>75</v>
      </c>
      <c r="G346" t="b">
        <v>0</v>
      </c>
      <c r="H346">
        <v>1</v>
      </c>
    </row>
    <row r="347" spans="1:8" x14ac:dyDescent="0.25">
      <c r="A347" t="s">
        <v>3182</v>
      </c>
      <c r="B347" t="s">
        <v>2822</v>
      </c>
      <c r="C347">
        <v>3.55</v>
      </c>
      <c r="D347" t="s">
        <v>3156</v>
      </c>
      <c r="E347" t="s">
        <v>945</v>
      </c>
      <c r="F347">
        <v>75</v>
      </c>
      <c r="G347" t="b">
        <v>0</v>
      </c>
      <c r="H347">
        <v>1</v>
      </c>
    </row>
    <row r="348" spans="1:8" x14ac:dyDescent="0.25">
      <c r="A348" t="s">
        <v>3182</v>
      </c>
      <c r="B348" t="s">
        <v>2824</v>
      </c>
      <c r="C348">
        <v>47.8</v>
      </c>
      <c r="D348" t="s">
        <v>3156</v>
      </c>
      <c r="E348" t="s">
        <v>945</v>
      </c>
      <c r="F348">
        <v>75</v>
      </c>
      <c r="G348" t="b">
        <v>0</v>
      </c>
      <c r="H348">
        <v>1</v>
      </c>
    </row>
    <row r="349" spans="1:8" x14ac:dyDescent="0.25">
      <c r="A349" t="s">
        <v>3182</v>
      </c>
      <c r="B349" t="s">
        <v>2826</v>
      </c>
      <c r="C349">
        <v>153.25</v>
      </c>
      <c r="D349" t="s">
        <v>3156</v>
      </c>
      <c r="E349" t="s">
        <v>945</v>
      </c>
      <c r="F349">
        <v>75</v>
      </c>
      <c r="G349" t="b">
        <v>0</v>
      </c>
      <c r="H349">
        <v>1</v>
      </c>
    </row>
    <row r="350" spans="1:8" x14ac:dyDescent="0.25">
      <c r="A350" t="s">
        <v>3182</v>
      </c>
      <c r="B350" t="s">
        <v>2828</v>
      </c>
      <c r="C350">
        <v>19.8</v>
      </c>
      <c r="D350" t="s">
        <v>3156</v>
      </c>
      <c r="E350" t="s">
        <v>945</v>
      </c>
      <c r="F350">
        <v>75</v>
      </c>
      <c r="G350" t="b">
        <v>0</v>
      </c>
      <c r="H350">
        <v>1</v>
      </c>
    </row>
    <row r="351" spans="1:8" x14ac:dyDescent="0.25">
      <c r="A351" t="s">
        <v>3182</v>
      </c>
      <c r="B351" t="s">
        <v>2830</v>
      </c>
      <c r="C351">
        <v>47.8</v>
      </c>
      <c r="D351" t="s">
        <v>3156</v>
      </c>
      <c r="E351" t="s">
        <v>945</v>
      </c>
      <c r="F351">
        <v>75</v>
      </c>
      <c r="G351" t="b">
        <v>0</v>
      </c>
      <c r="H351">
        <v>1</v>
      </c>
    </row>
    <row r="352" spans="1:8" x14ac:dyDescent="0.25">
      <c r="A352" t="s">
        <v>3182</v>
      </c>
      <c r="B352" t="s">
        <v>2836</v>
      </c>
      <c r="C352">
        <v>33.049999999999997</v>
      </c>
      <c r="D352" t="s">
        <v>3156</v>
      </c>
      <c r="E352" t="s">
        <v>945</v>
      </c>
      <c r="F352">
        <v>75</v>
      </c>
      <c r="G352" t="b">
        <v>0</v>
      </c>
      <c r="H352">
        <v>1</v>
      </c>
    </row>
    <row r="353" spans="1:8" x14ac:dyDescent="0.25">
      <c r="A353" t="s">
        <v>3182</v>
      </c>
      <c r="B353" t="s">
        <v>2303</v>
      </c>
      <c r="C353">
        <v>11.55</v>
      </c>
      <c r="D353" t="s">
        <v>3156</v>
      </c>
      <c r="E353" t="s">
        <v>945</v>
      </c>
      <c r="F353">
        <v>75</v>
      </c>
      <c r="G353" t="b">
        <v>0</v>
      </c>
      <c r="H353">
        <v>1</v>
      </c>
    </row>
    <row r="354" spans="1:8" x14ac:dyDescent="0.25">
      <c r="A354" t="s">
        <v>3182</v>
      </c>
      <c r="B354" t="s">
        <v>2832</v>
      </c>
      <c r="C354">
        <v>67.849999999999994</v>
      </c>
      <c r="D354" t="s">
        <v>3156</v>
      </c>
      <c r="E354" t="s">
        <v>945</v>
      </c>
      <c r="F354">
        <v>75</v>
      </c>
      <c r="G354" t="b">
        <v>0</v>
      </c>
      <c r="H354">
        <v>1</v>
      </c>
    </row>
    <row r="355" spans="1:8" x14ac:dyDescent="0.25">
      <c r="A355" t="s">
        <v>3182</v>
      </c>
      <c r="B355" t="s">
        <v>2834</v>
      </c>
      <c r="C355">
        <v>73.7</v>
      </c>
      <c r="D355" t="s">
        <v>3156</v>
      </c>
      <c r="E355" t="s">
        <v>945</v>
      </c>
      <c r="F355">
        <v>75</v>
      </c>
      <c r="G355" t="b">
        <v>0</v>
      </c>
      <c r="H355">
        <v>1</v>
      </c>
    </row>
    <row r="356" spans="1:8" x14ac:dyDescent="0.25">
      <c r="A356" t="s">
        <v>3182</v>
      </c>
      <c r="B356" t="s">
        <v>2842</v>
      </c>
      <c r="C356">
        <v>6.25</v>
      </c>
      <c r="D356" t="s">
        <v>3156</v>
      </c>
      <c r="E356" t="s">
        <v>945</v>
      </c>
      <c r="F356">
        <v>75</v>
      </c>
      <c r="G356" t="b">
        <v>0</v>
      </c>
      <c r="H356">
        <v>1</v>
      </c>
    </row>
    <row r="357" spans="1:8" x14ac:dyDescent="0.25">
      <c r="A357" t="s">
        <v>3182</v>
      </c>
      <c r="B357" t="s">
        <v>2844</v>
      </c>
      <c r="C357">
        <v>33.049999999999997</v>
      </c>
      <c r="D357" t="s">
        <v>3156</v>
      </c>
      <c r="E357" t="s">
        <v>945</v>
      </c>
      <c r="F357">
        <v>75</v>
      </c>
      <c r="G357" t="b">
        <v>0</v>
      </c>
      <c r="H357">
        <v>1</v>
      </c>
    </row>
    <row r="358" spans="1:8" x14ac:dyDescent="0.25">
      <c r="A358" t="s">
        <v>3183</v>
      </c>
      <c r="B358" t="s">
        <v>2851</v>
      </c>
      <c r="C358">
        <v>10.050000000000001</v>
      </c>
      <c r="D358" t="s">
        <v>3156</v>
      </c>
      <c r="E358" t="s">
        <v>945</v>
      </c>
      <c r="F358">
        <v>75</v>
      </c>
      <c r="G358" t="b">
        <v>0</v>
      </c>
      <c r="H358">
        <v>1</v>
      </c>
    </row>
    <row r="359" spans="1:8" x14ac:dyDescent="0.25">
      <c r="A359" t="s">
        <v>3183</v>
      </c>
      <c r="B359" t="s">
        <v>2853</v>
      </c>
      <c r="C359">
        <v>22.75</v>
      </c>
      <c r="D359" t="s">
        <v>3156</v>
      </c>
      <c r="E359" t="s">
        <v>945</v>
      </c>
      <c r="F359">
        <v>75</v>
      </c>
      <c r="G359" t="b">
        <v>0</v>
      </c>
      <c r="H359">
        <v>1</v>
      </c>
    </row>
    <row r="360" spans="1:8" x14ac:dyDescent="0.25">
      <c r="A360" t="s">
        <v>3183</v>
      </c>
      <c r="B360" t="s">
        <v>2855</v>
      </c>
      <c r="C360">
        <v>23</v>
      </c>
      <c r="D360" t="s">
        <v>3156</v>
      </c>
      <c r="E360" t="s">
        <v>945</v>
      </c>
      <c r="F360">
        <v>75</v>
      </c>
      <c r="G360" t="b">
        <v>0</v>
      </c>
      <c r="H360">
        <v>1</v>
      </c>
    </row>
    <row r="361" spans="1:8" x14ac:dyDescent="0.25">
      <c r="A361" t="s">
        <v>3183</v>
      </c>
      <c r="B361" t="s">
        <v>2846</v>
      </c>
      <c r="C361">
        <v>41</v>
      </c>
      <c r="D361" t="s">
        <v>3156</v>
      </c>
      <c r="E361" t="s">
        <v>945</v>
      </c>
      <c r="F361">
        <v>75</v>
      </c>
      <c r="G361" t="b">
        <v>0</v>
      </c>
      <c r="H361">
        <v>1</v>
      </c>
    </row>
    <row r="362" spans="1:8" x14ac:dyDescent="0.25">
      <c r="A362" t="s">
        <v>3183</v>
      </c>
      <c r="B362" t="s">
        <v>2406</v>
      </c>
      <c r="C362">
        <v>18.600000000000001</v>
      </c>
      <c r="D362" t="s">
        <v>3156</v>
      </c>
      <c r="E362" t="s">
        <v>945</v>
      </c>
      <c r="F362">
        <v>75</v>
      </c>
      <c r="G362" t="b">
        <v>0</v>
      </c>
      <c r="H362">
        <v>1</v>
      </c>
    </row>
    <row r="363" spans="1:8" x14ac:dyDescent="0.25">
      <c r="A363" t="s">
        <v>3183</v>
      </c>
      <c r="B363" t="s">
        <v>2849</v>
      </c>
      <c r="C363">
        <v>6.5</v>
      </c>
      <c r="D363" t="s">
        <v>3156</v>
      </c>
      <c r="E363" t="s">
        <v>945</v>
      </c>
      <c r="F363">
        <v>75</v>
      </c>
      <c r="G363" t="b">
        <v>0</v>
      </c>
      <c r="H363">
        <v>1</v>
      </c>
    </row>
    <row r="364" spans="1:8" x14ac:dyDescent="0.25">
      <c r="A364" t="s">
        <v>3184</v>
      </c>
      <c r="B364" t="s">
        <v>2410</v>
      </c>
      <c r="C364">
        <v>15.95</v>
      </c>
      <c r="D364" t="s">
        <v>3156</v>
      </c>
      <c r="E364" t="s">
        <v>945</v>
      </c>
      <c r="F364">
        <v>75</v>
      </c>
      <c r="G364" t="b">
        <v>0</v>
      </c>
      <c r="H364">
        <v>1</v>
      </c>
    </row>
    <row r="365" spans="1:8" x14ac:dyDescent="0.25">
      <c r="A365" t="s">
        <v>3184</v>
      </c>
      <c r="B365" t="s">
        <v>2412</v>
      </c>
      <c r="C365">
        <v>7.4</v>
      </c>
      <c r="D365" t="s">
        <v>3156</v>
      </c>
      <c r="E365" t="s">
        <v>945</v>
      </c>
      <c r="F365">
        <v>75</v>
      </c>
      <c r="G365" t="b">
        <v>0</v>
      </c>
      <c r="H365">
        <v>1</v>
      </c>
    </row>
    <row r="366" spans="1:8" x14ac:dyDescent="0.25">
      <c r="A366" t="s">
        <v>3184</v>
      </c>
      <c r="B366" t="s">
        <v>2857</v>
      </c>
      <c r="C366">
        <v>7.4</v>
      </c>
      <c r="D366" t="s">
        <v>3156</v>
      </c>
      <c r="E366" t="s">
        <v>945</v>
      </c>
      <c r="F366">
        <v>75</v>
      </c>
      <c r="G366" t="b">
        <v>0</v>
      </c>
      <c r="H366">
        <v>1</v>
      </c>
    </row>
    <row r="367" spans="1:8" x14ac:dyDescent="0.25">
      <c r="A367" t="s">
        <v>3184</v>
      </c>
      <c r="B367" t="s">
        <v>2859</v>
      </c>
      <c r="C367">
        <v>7.4</v>
      </c>
      <c r="D367" t="s">
        <v>3156</v>
      </c>
      <c r="E367" t="s">
        <v>945</v>
      </c>
      <c r="F367">
        <v>75</v>
      </c>
      <c r="G367" t="b">
        <v>0</v>
      </c>
      <c r="H367">
        <v>1</v>
      </c>
    </row>
    <row r="368" spans="1:8" x14ac:dyDescent="0.25">
      <c r="A368" t="s">
        <v>3184</v>
      </c>
      <c r="B368" t="s">
        <v>2861</v>
      </c>
      <c r="C368">
        <v>7.4</v>
      </c>
      <c r="D368" t="s">
        <v>3156</v>
      </c>
      <c r="E368" t="s">
        <v>945</v>
      </c>
      <c r="F368">
        <v>75</v>
      </c>
      <c r="G368" t="b">
        <v>0</v>
      </c>
      <c r="H368">
        <v>1</v>
      </c>
    </row>
    <row r="369" spans="1:8" x14ac:dyDescent="0.25">
      <c r="A369" t="s">
        <v>3184</v>
      </c>
      <c r="B369" t="s">
        <v>2863</v>
      </c>
      <c r="C369">
        <v>7.4</v>
      </c>
      <c r="D369" t="s">
        <v>3156</v>
      </c>
      <c r="E369" t="s">
        <v>945</v>
      </c>
      <c r="F369">
        <v>75</v>
      </c>
      <c r="G369" t="b">
        <v>0</v>
      </c>
      <c r="H369">
        <v>1</v>
      </c>
    </row>
    <row r="370" spans="1:8" x14ac:dyDescent="0.25">
      <c r="A370" t="s">
        <v>3184</v>
      </c>
      <c r="B370" t="s">
        <v>2415</v>
      </c>
      <c r="C370">
        <v>12.65</v>
      </c>
      <c r="D370" t="s">
        <v>3156</v>
      </c>
      <c r="E370" t="s">
        <v>945</v>
      </c>
      <c r="F370">
        <v>75</v>
      </c>
      <c r="G370" t="b">
        <v>0</v>
      </c>
      <c r="H370">
        <v>1</v>
      </c>
    </row>
    <row r="371" spans="1:8" x14ac:dyDescent="0.25">
      <c r="A371" t="s">
        <v>3184</v>
      </c>
      <c r="B371" t="s">
        <v>2865</v>
      </c>
      <c r="C371">
        <v>12.65</v>
      </c>
      <c r="D371" t="s">
        <v>3156</v>
      </c>
      <c r="E371" t="s">
        <v>945</v>
      </c>
      <c r="F371">
        <v>75</v>
      </c>
      <c r="G371" t="b">
        <v>0</v>
      </c>
      <c r="H371">
        <v>1</v>
      </c>
    </row>
    <row r="372" spans="1:8" x14ac:dyDescent="0.25">
      <c r="A372" t="s">
        <v>3184</v>
      </c>
      <c r="B372" t="s">
        <v>2867</v>
      </c>
      <c r="C372">
        <v>12.65</v>
      </c>
      <c r="D372" t="s">
        <v>3156</v>
      </c>
      <c r="E372" t="s">
        <v>945</v>
      </c>
      <c r="F372">
        <v>75</v>
      </c>
      <c r="G372" t="b">
        <v>0</v>
      </c>
      <c r="H372">
        <v>1</v>
      </c>
    </row>
    <row r="373" spans="1:8" x14ac:dyDescent="0.25">
      <c r="A373" t="s">
        <v>3184</v>
      </c>
      <c r="B373" t="s">
        <v>2869</v>
      </c>
      <c r="C373">
        <v>12.65</v>
      </c>
      <c r="D373" t="s">
        <v>3156</v>
      </c>
      <c r="E373" t="s">
        <v>945</v>
      </c>
      <c r="F373">
        <v>75</v>
      </c>
      <c r="G373" t="b">
        <v>0</v>
      </c>
      <c r="H373">
        <v>1</v>
      </c>
    </row>
    <row r="374" spans="1:8" x14ac:dyDescent="0.25">
      <c r="A374" t="s">
        <v>3184</v>
      </c>
      <c r="B374" t="s">
        <v>2871</v>
      </c>
      <c r="C374">
        <v>12.65</v>
      </c>
      <c r="D374" t="s">
        <v>3156</v>
      </c>
      <c r="E374" t="s">
        <v>945</v>
      </c>
      <c r="F374">
        <v>75</v>
      </c>
      <c r="G374" t="b">
        <v>0</v>
      </c>
      <c r="H374">
        <v>1</v>
      </c>
    </row>
    <row r="375" spans="1:8" x14ac:dyDescent="0.25">
      <c r="A375" t="s">
        <v>3184</v>
      </c>
      <c r="B375" t="s">
        <v>2418</v>
      </c>
      <c r="C375">
        <v>2.7</v>
      </c>
      <c r="D375" t="s">
        <v>3156</v>
      </c>
      <c r="E375" t="s">
        <v>945</v>
      </c>
      <c r="F375">
        <v>75</v>
      </c>
      <c r="G375" t="b">
        <v>0</v>
      </c>
      <c r="H375">
        <v>1</v>
      </c>
    </row>
    <row r="376" spans="1:8" x14ac:dyDescent="0.25">
      <c r="A376" t="s">
        <v>3185</v>
      </c>
      <c r="B376" t="s">
        <v>1851</v>
      </c>
      <c r="C376">
        <v>12.65</v>
      </c>
      <c r="D376" t="s">
        <v>3156</v>
      </c>
      <c r="E376" t="s">
        <v>945</v>
      </c>
      <c r="F376">
        <v>75</v>
      </c>
      <c r="G376" t="b">
        <v>0</v>
      </c>
      <c r="H376">
        <v>1</v>
      </c>
    </row>
    <row r="377" spans="1:8" x14ac:dyDescent="0.25">
      <c r="A377" t="s">
        <v>3185</v>
      </c>
      <c r="B377" t="s">
        <v>1848</v>
      </c>
      <c r="C377">
        <v>12.65</v>
      </c>
      <c r="D377" t="s">
        <v>3156</v>
      </c>
      <c r="E377" t="s">
        <v>945</v>
      </c>
      <c r="F377">
        <v>75</v>
      </c>
      <c r="G377" t="b">
        <v>0</v>
      </c>
      <c r="H377">
        <v>1</v>
      </c>
    </row>
    <row r="378" spans="1:8" x14ac:dyDescent="0.25">
      <c r="A378" t="s">
        <v>3185</v>
      </c>
      <c r="B378" t="s">
        <v>2873</v>
      </c>
      <c r="C378">
        <v>12.65</v>
      </c>
      <c r="D378" t="s">
        <v>3156</v>
      </c>
      <c r="E378" t="s">
        <v>945</v>
      </c>
      <c r="F378">
        <v>75</v>
      </c>
      <c r="G378" t="b">
        <v>0</v>
      </c>
      <c r="H378">
        <v>1</v>
      </c>
    </row>
    <row r="379" spans="1:8" x14ac:dyDescent="0.25">
      <c r="A379" t="s">
        <v>3185</v>
      </c>
      <c r="B379" t="s">
        <v>2875</v>
      </c>
      <c r="C379">
        <v>12.65</v>
      </c>
      <c r="D379" t="s">
        <v>3156</v>
      </c>
      <c r="E379" t="s">
        <v>945</v>
      </c>
      <c r="F379">
        <v>75</v>
      </c>
      <c r="G379" t="b">
        <v>0</v>
      </c>
      <c r="H379">
        <v>1</v>
      </c>
    </row>
    <row r="380" spans="1:8" x14ac:dyDescent="0.25">
      <c r="A380" t="s">
        <v>3185</v>
      </c>
      <c r="B380" t="s">
        <v>1853</v>
      </c>
      <c r="C380">
        <v>6.5</v>
      </c>
      <c r="D380" t="s">
        <v>3156</v>
      </c>
      <c r="E380" t="s">
        <v>945</v>
      </c>
      <c r="F380">
        <v>75</v>
      </c>
      <c r="G380" t="b">
        <v>0</v>
      </c>
      <c r="H380">
        <v>1</v>
      </c>
    </row>
    <row r="381" spans="1:8" x14ac:dyDescent="0.25">
      <c r="A381" t="s">
        <v>3185</v>
      </c>
      <c r="B381" t="s">
        <v>2877</v>
      </c>
      <c r="C381">
        <v>6.5</v>
      </c>
      <c r="D381" t="s">
        <v>3156</v>
      </c>
      <c r="E381" t="s">
        <v>945</v>
      </c>
      <c r="F381">
        <v>75</v>
      </c>
      <c r="G381" t="b">
        <v>0</v>
      </c>
      <c r="H381">
        <v>1</v>
      </c>
    </row>
    <row r="382" spans="1:8" x14ac:dyDescent="0.25">
      <c r="A382" t="s">
        <v>3185</v>
      </c>
      <c r="B382" t="s">
        <v>1855</v>
      </c>
      <c r="C382">
        <v>4.1500000000000004</v>
      </c>
      <c r="D382" t="s">
        <v>3156</v>
      </c>
      <c r="E382" t="s">
        <v>945</v>
      </c>
      <c r="F382">
        <v>75</v>
      </c>
      <c r="G382" t="b">
        <v>0</v>
      </c>
      <c r="H382">
        <v>1</v>
      </c>
    </row>
    <row r="383" spans="1:8" x14ac:dyDescent="0.25">
      <c r="A383" t="s">
        <v>3185</v>
      </c>
      <c r="B383" t="s">
        <v>2879</v>
      </c>
      <c r="C383">
        <v>4.1500000000000004</v>
      </c>
      <c r="D383" t="s">
        <v>3156</v>
      </c>
      <c r="E383" t="s">
        <v>945</v>
      </c>
      <c r="F383">
        <v>75</v>
      </c>
      <c r="G383" t="b">
        <v>0</v>
      </c>
      <c r="H383">
        <v>1</v>
      </c>
    </row>
    <row r="384" spans="1:8" x14ac:dyDescent="0.25">
      <c r="A384" t="s">
        <v>3185</v>
      </c>
      <c r="B384" t="s">
        <v>2881</v>
      </c>
      <c r="C384">
        <v>4.1500000000000004</v>
      </c>
      <c r="D384" t="s">
        <v>3156</v>
      </c>
      <c r="E384" t="s">
        <v>945</v>
      </c>
      <c r="F384">
        <v>75</v>
      </c>
      <c r="G384" t="b">
        <v>0</v>
      </c>
      <c r="H384">
        <v>1</v>
      </c>
    </row>
    <row r="385" spans="1:8" x14ac:dyDescent="0.25">
      <c r="A385" t="s">
        <v>3185</v>
      </c>
      <c r="B385" t="s">
        <v>2883</v>
      </c>
      <c r="C385">
        <v>4.1500000000000004</v>
      </c>
      <c r="D385" t="s">
        <v>3156</v>
      </c>
      <c r="E385" t="s">
        <v>945</v>
      </c>
      <c r="F385">
        <v>75</v>
      </c>
      <c r="G385" t="b">
        <v>0</v>
      </c>
      <c r="H385">
        <v>1</v>
      </c>
    </row>
    <row r="386" spans="1:8" x14ac:dyDescent="0.25">
      <c r="A386" t="s">
        <v>3185</v>
      </c>
      <c r="B386" t="s">
        <v>1843</v>
      </c>
      <c r="C386">
        <v>14.45</v>
      </c>
      <c r="D386" t="s">
        <v>3156</v>
      </c>
      <c r="E386" t="s">
        <v>945</v>
      </c>
      <c r="F386">
        <v>75</v>
      </c>
      <c r="G386" t="b">
        <v>0</v>
      </c>
      <c r="H386">
        <v>1</v>
      </c>
    </row>
    <row r="387" spans="1:8" x14ac:dyDescent="0.25">
      <c r="A387" t="s">
        <v>3185</v>
      </c>
      <c r="B387" t="s">
        <v>1858</v>
      </c>
      <c r="C387">
        <v>13.9</v>
      </c>
      <c r="D387" t="s">
        <v>3156</v>
      </c>
      <c r="E387" t="s">
        <v>945</v>
      </c>
      <c r="F387">
        <v>75</v>
      </c>
      <c r="G387" t="b">
        <v>0</v>
      </c>
      <c r="H387">
        <v>1</v>
      </c>
    </row>
    <row r="388" spans="1:8" x14ac:dyDescent="0.25">
      <c r="A388" t="s">
        <v>3185</v>
      </c>
      <c r="B388" t="s">
        <v>1861</v>
      </c>
      <c r="C388">
        <v>18.600000000000001</v>
      </c>
      <c r="D388" t="s">
        <v>3156</v>
      </c>
      <c r="E388" t="s">
        <v>945</v>
      </c>
      <c r="F388">
        <v>75</v>
      </c>
      <c r="G388" t="b">
        <v>0</v>
      </c>
      <c r="H388">
        <v>1</v>
      </c>
    </row>
    <row r="389" spans="1:8" x14ac:dyDescent="0.25">
      <c r="A389" t="s">
        <v>3185</v>
      </c>
      <c r="B389" t="s">
        <v>1846</v>
      </c>
      <c r="C389">
        <v>13.9</v>
      </c>
      <c r="D389" t="s">
        <v>3156</v>
      </c>
      <c r="E389" t="s">
        <v>945</v>
      </c>
      <c r="F389">
        <v>75</v>
      </c>
      <c r="G389" t="b">
        <v>0</v>
      </c>
      <c r="H389">
        <v>1</v>
      </c>
    </row>
    <row r="390" spans="1:8" x14ac:dyDescent="0.25">
      <c r="A390" t="s">
        <v>3185</v>
      </c>
      <c r="B390" t="s">
        <v>2885</v>
      </c>
      <c r="C390">
        <v>13.9</v>
      </c>
      <c r="D390" t="s">
        <v>3156</v>
      </c>
      <c r="E390" t="s">
        <v>945</v>
      </c>
      <c r="F390">
        <v>75</v>
      </c>
      <c r="G390" t="b">
        <v>0</v>
      </c>
      <c r="H390">
        <v>1</v>
      </c>
    </row>
    <row r="391" spans="1:8" x14ac:dyDescent="0.25">
      <c r="A391" t="s">
        <v>3186</v>
      </c>
      <c r="B391" t="s">
        <v>2889</v>
      </c>
      <c r="C391">
        <v>10.050000000000001</v>
      </c>
      <c r="D391" t="s">
        <v>3156</v>
      </c>
      <c r="E391" t="s">
        <v>945</v>
      </c>
      <c r="F391">
        <v>75</v>
      </c>
      <c r="G391" t="b">
        <v>0</v>
      </c>
      <c r="H391">
        <v>1</v>
      </c>
    </row>
    <row r="392" spans="1:8" x14ac:dyDescent="0.25">
      <c r="A392" t="s">
        <v>3186</v>
      </c>
      <c r="B392" t="s">
        <v>2887</v>
      </c>
      <c r="C392">
        <v>49.3</v>
      </c>
      <c r="D392" t="s">
        <v>3156</v>
      </c>
      <c r="E392" t="s">
        <v>945</v>
      </c>
      <c r="F392">
        <v>75</v>
      </c>
      <c r="G392" t="b">
        <v>0</v>
      </c>
      <c r="H392">
        <v>1</v>
      </c>
    </row>
    <row r="393" spans="1:8" x14ac:dyDescent="0.25">
      <c r="A393" t="s">
        <v>3186</v>
      </c>
      <c r="B393" t="s">
        <v>2899</v>
      </c>
      <c r="C393">
        <v>7.65</v>
      </c>
      <c r="D393" t="s">
        <v>3156</v>
      </c>
      <c r="E393" t="s">
        <v>945</v>
      </c>
      <c r="F393">
        <v>75</v>
      </c>
      <c r="G393" t="b">
        <v>0</v>
      </c>
      <c r="H393">
        <v>1</v>
      </c>
    </row>
    <row r="394" spans="1:8" x14ac:dyDescent="0.25">
      <c r="A394" t="s">
        <v>3186</v>
      </c>
      <c r="B394" t="s">
        <v>2901</v>
      </c>
      <c r="C394">
        <v>7.65</v>
      </c>
      <c r="D394" t="s">
        <v>3156</v>
      </c>
      <c r="E394" t="s">
        <v>945</v>
      </c>
      <c r="F394">
        <v>75</v>
      </c>
      <c r="G394" t="b">
        <v>0</v>
      </c>
      <c r="H394">
        <v>1</v>
      </c>
    </row>
    <row r="395" spans="1:8" x14ac:dyDescent="0.25">
      <c r="A395" t="s">
        <v>3186</v>
      </c>
      <c r="B395" t="s">
        <v>2903</v>
      </c>
      <c r="C395">
        <v>7.65</v>
      </c>
      <c r="D395" t="s">
        <v>3156</v>
      </c>
      <c r="E395" t="s">
        <v>945</v>
      </c>
      <c r="F395">
        <v>75</v>
      </c>
      <c r="G395" t="b">
        <v>0</v>
      </c>
      <c r="H395">
        <v>1</v>
      </c>
    </row>
    <row r="396" spans="1:8" x14ac:dyDescent="0.25">
      <c r="A396" t="s">
        <v>3186</v>
      </c>
      <c r="B396" t="s">
        <v>2905</v>
      </c>
      <c r="C396">
        <v>7.65</v>
      </c>
      <c r="D396" t="s">
        <v>3156</v>
      </c>
      <c r="E396" t="s">
        <v>945</v>
      </c>
      <c r="F396">
        <v>75</v>
      </c>
      <c r="G396" t="b">
        <v>0</v>
      </c>
      <c r="H396">
        <v>1</v>
      </c>
    </row>
    <row r="397" spans="1:8" x14ac:dyDescent="0.25">
      <c r="A397" t="s">
        <v>3186</v>
      </c>
      <c r="B397" t="s">
        <v>2907</v>
      </c>
      <c r="C397">
        <v>7.65</v>
      </c>
      <c r="D397" t="s">
        <v>3156</v>
      </c>
      <c r="E397" t="s">
        <v>945</v>
      </c>
      <c r="F397">
        <v>75</v>
      </c>
      <c r="G397" t="b">
        <v>0</v>
      </c>
      <c r="H397">
        <v>1</v>
      </c>
    </row>
    <row r="398" spans="1:8" x14ac:dyDescent="0.25">
      <c r="A398" t="s">
        <v>3186</v>
      </c>
      <c r="B398" t="s">
        <v>2909</v>
      </c>
      <c r="C398">
        <v>7.65</v>
      </c>
      <c r="D398" t="s">
        <v>3156</v>
      </c>
      <c r="E398" t="s">
        <v>945</v>
      </c>
      <c r="F398">
        <v>75</v>
      </c>
      <c r="G398" t="b">
        <v>0</v>
      </c>
      <c r="H398">
        <v>1</v>
      </c>
    </row>
    <row r="399" spans="1:8" x14ac:dyDescent="0.25">
      <c r="A399" t="s">
        <v>3186</v>
      </c>
      <c r="B399" t="s">
        <v>2911</v>
      </c>
      <c r="C399">
        <v>7.65</v>
      </c>
      <c r="D399" t="s">
        <v>3156</v>
      </c>
      <c r="E399" t="s">
        <v>945</v>
      </c>
      <c r="F399">
        <v>75</v>
      </c>
      <c r="G399" t="b">
        <v>0</v>
      </c>
      <c r="H399">
        <v>1</v>
      </c>
    </row>
    <row r="400" spans="1:8" x14ac:dyDescent="0.25">
      <c r="A400" t="s">
        <v>3186</v>
      </c>
      <c r="B400" t="s">
        <v>2913</v>
      </c>
      <c r="C400">
        <v>7.65</v>
      </c>
      <c r="D400" t="s">
        <v>3156</v>
      </c>
      <c r="E400" t="s">
        <v>945</v>
      </c>
      <c r="F400">
        <v>75</v>
      </c>
      <c r="G400" t="b">
        <v>0</v>
      </c>
      <c r="H400">
        <v>1</v>
      </c>
    </row>
    <row r="401" spans="1:8" x14ac:dyDescent="0.25">
      <c r="A401" t="s">
        <v>3186</v>
      </c>
      <c r="B401" t="s">
        <v>2915</v>
      </c>
      <c r="C401">
        <v>7.65</v>
      </c>
      <c r="D401" t="s">
        <v>3156</v>
      </c>
      <c r="E401" t="s">
        <v>945</v>
      </c>
      <c r="F401">
        <v>75</v>
      </c>
      <c r="G401" t="b">
        <v>0</v>
      </c>
      <c r="H401">
        <v>1</v>
      </c>
    </row>
    <row r="402" spans="1:8" x14ac:dyDescent="0.25">
      <c r="A402" t="s">
        <v>3186</v>
      </c>
      <c r="B402" t="s">
        <v>2891</v>
      </c>
      <c r="C402">
        <v>10.050000000000001</v>
      </c>
      <c r="D402" t="s">
        <v>3156</v>
      </c>
      <c r="E402" t="s">
        <v>945</v>
      </c>
      <c r="F402">
        <v>75</v>
      </c>
      <c r="G402" t="b">
        <v>0</v>
      </c>
      <c r="H402">
        <v>1</v>
      </c>
    </row>
    <row r="403" spans="1:8" x14ac:dyDescent="0.25">
      <c r="A403" t="s">
        <v>3186</v>
      </c>
      <c r="B403" t="s">
        <v>2917</v>
      </c>
      <c r="C403">
        <v>7.65</v>
      </c>
      <c r="D403" t="s">
        <v>3156</v>
      </c>
      <c r="E403" t="s">
        <v>945</v>
      </c>
      <c r="F403">
        <v>75</v>
      </c>
      <c r="G403" t="b">
        <v>0</v>
      </c>
      <c r="H403">
        <v>1</v>
      </c>
    </row>
    <row r="404" spans="1:8" x14ac:dyDescent="0.25">
      <c r="A404" t="s">
        <v>3186</v>
      </c>
      <c r="B404" t="s">
        <v>2919</v>
      </c>
      <c r="C404">
        <v>7.65</v>
      </c>
      <c r="D404" t="s">
        <v>3156</v>
      </c>
      <c r="E404" t="s">
        <v>945</v>
      </c>
      <c r="F404">
        <v>75</v>
      </c>
      <c r="G404" t="b">
        <v>0</v>
      </c>
      <c r="H404">
        <v>1</v>
      </c>
    </row>
    <row r="405" spans="1:8" x14ac:dyDescent="0.25">
      <c r="A405" t="s">
        <v>3186</v>
      </c>
      <c r="B405" t="s">
        <v>2921</v>
      </c>
      <c r="C405">
        <v>7.65</v>
      </c>
      <c r="D405" t="s">
        <v>3156</v>
      </c>
      <c r="E405" t="s">
        <v>945</v>
      </c>
      <c r="F405">
        <v>75</v>
      </c>
      <c r="G405" t="b">
        <v>0</v>
      </c>
      <c r="H405">
        <v>1</v>
      </c>
    </row>
    <row r="406" spans="1:8" x14ac:dyDescent="0.25">
      <c r="A406" t="s">
        <v>3186</v>
      </c>
      <c r="B406" t="s">
        <v>2923</v>
      </c>
      <c r="C406">
        <v>7.65</v>
      </c>
      <c r="D406" t="s">
        <v>3156</v>
      </c>
      <c r="E406" t="s">
        <v>945</v>
      </c>
      <c r="F406">
        <v>75</v>
      </c>
      <c r="G406" t="b">
        <v>0</v>
      </c>
      <c r="H406">
        <v>1</v>
      </c>
    </row>
    <row r="407" spans="1:8" x14ac:dyDescent="0.25">
      <c r="A407" t="s">
        <v>3186</v>
      </c>
      <c r="B407" t="s">
        <v>2897</v>
      </c>
      <c r="C407">
        <v>15.1</v>
      </c>
      <c r="D407" t="s">
        <v>3156</v>
      </c>
      <c r="E407" t="s">
        <v>945</v>
      </c>
      <c r="F407">
        <v>75</v>
      </c>
      <c r="G407" t="b">
        <v>0</v>
      </c>
      <c r="H407">
        <v>1</v>
      </c>
    </row>
    <row r="408" spans="1:8" x14ac:dyDescent="0.25">
      <c r="A408" t="s">
        <v>3186</v>
      </c>
      <c r="B408" t="s">
        <v>1790</v>
      </c>
      <c r="C408">
        <v>31.9</v>
      </c>
      <c r="D408" t="s">
        <v>3156</v>
      </c>
      <c r="E408" t="s">
        <v>945</v>
      </c>
      <c r="F408">
        <v>75</v>
      </c>
      <c r="G408" t="b">
        <v>0</v>
      </c>
      <c r="H408">
        <v>1</v>
      </c>
    </row>
    <row r="409" spans="1:8" x14ac:dyDescent="0.25">
      <c r="A409" t="s">
        <v>3186</v>
      </c>
      <c r="B409" t="s">
        <v>2893</v>
      </c>
      <c r="C409">
        <v>10.050000000000001</v>
      </c>
      <c r="D409" t="s">
        <v>3156</v>
      </c>
      <c r="E409" t="s">
        <v>945</v>
      </c>
      <c r="F409">
        <v>75</v>
      </c>
      <c r="G409" t="b">
        <v>0</v>
      </c>
      <c r="H409">
        <v>1</v>
      </c>
    </row>
    <row r="410" spans="1:8" x14ac:dyDescent="0.25">
      <c r="A410" t="s">
        <v>3186</v>
      </c>
      <c r="B410" t="s">
        <v>2895</v>
      </c>
      <c r="C410">
        <v>10.050000000000001</v>
      </c>
      <c r="D410" t="s">
        <v>3156</v>
      </c>
      <c r="E410" t="s">
        <v>945</v>
      </c>
      <c r="F410">
        <v>75</v>
      </c>
      <c r="G410" t="b">
        <v>0</v>
      </c>
      <c r="H410">
        <v>1</v>
      </c>
    </row>
    <row r="411" spans="1:8" x14ac:dyDescent="0.25">
      <c r="A411" t="s">
        <v>3187</v>
      </c>
      <c r="B411" t="s">
        <v>1929</v>
      </c>
      <c r="C411">
        <v>43.95</v>
      </c>
      <c r="D411" t="s">
        <v>3156</v>
      </c>
      <c r="E411" t="s">
        <v>945</v>
      </c>
      <c r="F411">
        <v>75</v>
      </c>
      <c r="G411" t="b">
        <v>0</v>
      </c>
      <c r="H411">
        <v>1</v>
      </c>
    </row>
    <row r="412" spans="1:8" x14ac:dyDescent="0.25">
      <c r="A412" t="s">
        <v>3187</v>
      </c>
      <c r="B412" t="s">
        <v>1926</v>
      </c>
      <c r="C412">
        <v>31.55</v>
      </c>
      <c r="D412" t="s">
        <v>3156</v>
      </c>
      <c r="E412" t="s">
        <v>945</v>
      </c>
      <c r="F412">
        <v>75</v>
      </c>
      <c r="G412" t="b">
        <v>0</v>
      </c>
      <c r="H412">
        <v>1</v>
      </c>
    </row>
    <row r="413" spans="1:8" x14ac:dyDescent="0.25">
      <c r="A413" t="s">
        <v>3188</v>
      </c>
      <c r="B413" t="s">
        <v>2925</v>
      </c>
      <c r="C413">
        <v>47.8</v>
      </c>
      <c r="D413" t="s">
        <v>3156</v>
      </c>
      <c r="E413" t="s">
        <v>945</v>
      </c>
      <c r="F413">
        <v>75</v>
      </c>
      <c r="G413" t="b">
        <v>0</v>
      </c>
      <c r="H413">
        <v>1</v>
      </c>
    </row>
    <row r="414" spans="1:8" x14ac:dyDescent="0.25">
      <c r="A414" t="s">
        <v>3188</v>
      </c>
      <c r="B414" t="s">
        <v>1821</v>
      </c>
      <c r="C414">
        <v>22.4</v>
      </c>
      <c r="D414" t="s">
        <v>3156</v>
      </c>
      <c r="E414" t="s">
        <v>945</v>
      </c>
      <c r="F414">
        <v>75</v>
      </c>
      <c r="G414" t="b">
        <v>0</v>
      </c>
      <c r="H414">
        <v>1</v>
      </c>
    </row>
    <row r="415" spans="1:8" x14ac:dyDescent="0.25">
      <c r="A415" t="s">
        <v>3188</v>
      </c>
      <c r="B415" t="s">
        <v>1823</v>
      </c>
      <c r="C415">
        <v>27.15</v>
      </c>
      <c r="D415" t="s">
        <v>3156</v>
      </c>
      <c r="E415" t="s">
        <v>945</v>
      </c>
      <c r="F415">
        <v>75</v>
      </c>
      <c r="G415" t="b">
        <v>0</v>
      </c>
      <c r="H415">
        <v>1</v>
      </c>
    </row>
    <row r="416" spans="1:8" x14ac:dyDescent="0.25">
      <c r="A416" t="s">
        <v>3188</v>
      </c>
      <c r="B416" t="s">
        <v>1825</v>
      </c>
      <c r="C416">
        <v>35.700000000000003</v>
      </c>
      <c r="D416" t="s">
        <v>3156</v>
      </c>
      <c r="E416" t="s">
        <v>945</v>
      </c>
      <c r="F416">
        <v>75</v>
      </c>
      <c r="G416" t="b">
        <v>0</v>
      </c>
      <c r="H416">
        <v>1</v>
      </c>
    </row>
    <row r="417" spans="1:8" x14ac:dyDescent="0.25">
      <c r="A417" t="s">
        <v>3189</v>
      </c>
      <c r="B417" t="s">
        <v>2172</v>
      </c>
      <c r="C417">
        <v>10.050000000000001</v>
      </c>
      <c r="D417" t="s">
        <v>3156</v>
      </c>
      <c r="E417" t="s">
        <v>945</v>
      </c>
      <c r="F417">
        <v>75</v>
      </c>
      <c r="G417" t="b">
        <v>0</v>
      </c>
      <c r="H417">
        <v>1</v>
      </c>
    </row>
    <row r="418" spans="1:8" x14ac:dyDescent="0.25">
      <c r="A418" t="s">
        <v>3189</v>
      </c>
      <c r="B418" t="s">
        <v>2058</v>
      </c>
      <c r="C418">
        <v>10.050000000000001</v>
      </c>
      <c r="D418" t="s">
        <v>3156</v>
      </c>
      <c r="E418" t="s">
        <v>945</v>
      </c>
      <c r="F418">
        <v>75</v>
      </c>
      <c r="G418" t="b">
        <v>0</v>
      </c>
      <c r="H418">
        <v>1</v>
      </c>
    </row>
    <row r="419" spans="1:8" x14ac:dyDescent="0.25">
      <c r="A419" t="s">
        <v>3189</v>
      </c>
      <c r="B419" t="s">
        <v>2927</v>
      </c>
      <c r="C419">
        <v>10.050000000000001</v>
      </c>
      <c r="D419" t="s">
        <v>3156</v>
      </c>
      <c r="E419" t="s">
        <v>945</v>
      </c>
      <c r="F419">
        <v>75</v>
      </c>
      <c r="G419" t="b">
        <v>0</v>
      </c>
      <c r="H419">
        <v>1</v>
      </c>
    </row>
    <row r="420" spans="1:8" x14ac:dyDescent="0.25">
      <c r="A420" t="s">
        <v>3189</v>
      </c>
      <c r="B420" t="s">
        <v>2929</v>
      </c>
      <c r="C420">
        <v>10.050000000000001</v>
      </c>
      <c r="D420" t="s">
        <v>3156</v>
      </c>
      <c r="E420" t="s">
        <v>945</v>
      </c>
      <c r="F420">
        <v>75</v>
      </c>
      <c r="G420" t="b">
        <v>0</v>
      </c>
      <c r="H420">
        <v>1</v>
      </c>
    </row>
    <row r="421" spans="1:8" x14ac:dyDescent="0.25">
      <c r="A421" t="s">
        <v>3189</v>
      </c>
      <c r="B421" t="s">
        <v>2931</v>
      </c>
      <c r="C421">
        <v>10.050000000000001</v>
      </c>
      <c r="D421" t="s">
        <v>3156</v>
      </c>
      <c r="E421" t="s">
        <v>945</v>
      </c>
      <c r="F421">
        <v>75</v>
      </c>
      <c r="G421" t="b">
        <v>0</v>
      </c>
      <c r="H421">
        <v>1</v>
      </c>
    </row>
    <row r="422" spans="1:8" x14ac:dyDescent="0.25">
      <c r="A422" t="s">
        <v>3189</v>
      </c>
      <c r="B422" t="s">
        <v>2933</v>
      </c>
      <c r="C422">
        <v>10.050000000000001</v>
      </c>
      <c r="D422" t="s">
        <v>3156</v>
      </c>
      <c r="E422" t="s">
        <v>945</v>
      </c>
      <c r="F422">
        <v>75</v>
      </c>
      <c r="G422" t="b">
        <v>0</v>
      </c>
      <c r="H422">
        <v>1</v>
      </c>
    </row>
    <row r="423" spans="1:8" x14ac:dyDescent="0.25">
      <c r="A423" t="s">
        <v>3189</v>
      </c>
      <c r="B423" t="s">
        <v>2935</v>
      </c>
      <c r="C423">
        <v>10.050000000000001</v>
      </c>
      <c r="D423" t="s">
        <v>3156</v>
      </c>
      <c r="E423" t="s">
        <v>945</v>
      </c>
      <c r="F423">
        <v>75</v>
      </c>
      <c r="G423" t="b">
        <v>0</v>
      </c>
      <c r="H423">
        <v>1</v>
      </c>
    </row>
    <row r="424" spans="1:8" x14ac:dyDescent="0.25">
      <c r="A424" t="s">
        <v>3189</v>
      </c>
      <c r="B424" t="s">
        <v>2937</v>
      </c>
      <c r="C424">
        <v>10.050000000000001</v>
      </c>
      <c r="D424" t="s">
        <v>3156</v>
      </c>
      <c r="E424" t="s">
        <v>945</v>
      </c>
      <c r="F424">
        <v>75</v>
      </c>
      <c r="G424" t="b">
        <v>0</v>
      </c>
      <c r="H424">
        <v>1</v>
      </c>
    </row>
    <row r="425" spans="1:8" x14ac:dyDescent="0.25">
      <c r="A425" t="s">
        <v>3189</v>
      </c>
      <c r="B425" t="s">
        <v>2939</v>
      </c>
      <c r="C425">
        <v>48.95</v>
      </c>
      <c r="D425" t="s">
        <v>3156</v>
      </c>
      <c r="E425" t="s">
        <v>945</v>
      </c>
      <c r="F425">
        <v>75</v>
      </c>
      <c r="G425" t="b">
        <v>0</v>
      </c>
      <c r="H425">
        <v>1</v>
      </c>
    </row>
    <row r="426" spans="1:8" x14ac:dyDescent="0.25">
      <c r="A426" t="s">
        <v>3189</v>
      </c>
      <c r="B426" t="s">
        <v>2941</v>
      </c>
      <c r="C426">
        <v>55.45</v>
      </c>
      <c r="D426" t="s">
        <v>3156</v>
      </c>
      <c r="E426" t="s">
        <v>945</v>
      </c>
      <c r="F426">
        <v>75</v>
      </c>
      <c r="G426" t="b">
        <v>0</v>
      </c>
      <c r="H426">
        <v>1</v>
      </c>
    </row>
    <row r="427" spans="1:8" x14ac:dyDescent="0.25">
      <c r="A427" t="s">
        <v>3189</v>
      </c>
      <c r="B427" t="s">
        <v>2054</v>
      </c>
      <c r="C427">
        <v>12.1</v>
      </c>
      <c r="D427" t="s">
        <v>3156</v>
      </c>
      <c r="E427" t="s">
        <v>945</v>
      </c>
      <c r="F427">
        <v>75</v>
      </c>
      <c r="G427" t="b">
        <v>0</v>
      </c>
      <c r="H427">
        <v>1</v>
      </c>
    </row>
    <row r="428" spans="1:8" x14ac:dyDescent="0.25">
      <c r="A428" t="s">
        <v>3189</v>
      </c>
      <c r="B428" t="s">
        <v>2943</v>
      </c>
      <c r="C428">
        <v>12.1</v>
      </c>
      <c r="D428" t="s">
        <v>3156</v>
      </c>
      <c r="E428" t="s">
        <v>945</v>
      </c>
      <c r="F428">
        <v>75</v>
      </c>
      <c r="G428" t="b">
        <v>0</v>
      </c>
      <c r="H428">
        <v>1</v>
      </c>
    </row>
    <row r="429" spans="1:8" x14ac:dyDescent="0.25">
      <c r="A429" t="s">
        <v>3028</v>
      </c>
      <c r="B429" t="s">
        <v>2955</v>
      </c>
      <c r="C429">
        <v>18.850000000000001</v>
      </c>
      <c r="D429" t="s">
        <v>3156</v>
      </c>
      <c r="E429" t="s">
        <v>945</v>
      </c>
      <c r="F429">
        <v>75</v>
      </c>
      <c r="G429" t="b">
        <v>0</v>
      </c>
      <c r="H429">
        <v>1</v>
      </c>
    </row>
    <row r="430" spans="1:8" x14ac:dyDescent="0.25">
      <c r="A430" t="s">
        <v>3028</v>
      </c>
      <c r="B430" t="s">
        <v>2953</v>
      </c>
      <c r="C430">
        <v>13.3</v>
      </c>
      <c r="D430" t="s">
        <v>3156</v>
      </c>
      <c r="E430" t="s">
        <v>945</v>
      </c>
      <c r="F430">
        <v>75</v>
      </c>
      <c r="G430" t="b">
        <v>0</v>
      </c>
      <c r="H430">
        <v>1</v>
      </c>
    </row>
    <row r="431" spans="1:8" x14ac:dyDescent="0.25">
      <c r="A431" t="s">
        <v>3028</v>
      </c>
      <c r="B431" t="s">
        <v>2051</v>
      </c>
      <c r="C431">
        <v>14.45</v>
      </c>
      <c r="D431" t="s">
        <v>3156</v>
      </c>
      <c r="E431" t="s">
        <v>945</v>
      </c>
      <c r="F431">
        <v>75</v>
      </c>
      <c r="G431" t="b">
        <v>0</v>
      </c>
      <c r="H431">
        <v>1</v>
      </c>
    </row>
    <row r="432" spans="1:8" x14ac:dyDescent="0.25">
      <c r="A432" t="s">
        <v>3028</v>
      </c>
      <c r="B432" t="s">
        <v>2006</v>
      </c>
      <c r="C432">
        <v>8.0500000000000007</v>
      </c>
      <c r="D432" t="s">
        <v>3156</v>
      </c>
      <c r="E432" t="s">
        <v>945</v>
      </c>
      <c r="F432">
        <v>75</v>
      </c>
      <c r="G432" t="b">
        <v>0</v>
      </c>
      <c r="H432">
        <v>1</v>
      </c>
    </row>
    <row r="433" spans="1:8" x14ac:dyDescent="0.25">
      <c r="A433" t="s">
        <v>3028</v>
      </c>
      <c r="B433" t="s">
        <v>2010</v>
      </c>
      <c r="C433">
        <v>3.55</v>
      </c>
      <c r="D433" t="s">
        <v>3156</v>
      </c>
      <c r="E433" t="s">
        <v>945</v>
      </c>
      <c r="F433">
        <v>75</v>
      </c>
      <c r="G433" t="b">
        <v>0</v>
      </c>
      <c r="H433">
        <v>1</v>
      </c>
    </row>
    <row r="434" spans="1:8" x14ac:dyDescent="0.25">
      <c r="A434" t="s">
        <v>3028</v>
      </c>
      <c r="B434" t="s">
        <v>2012</v>
      </c>
      <c r="C434">
        <v>4.1500000000000004</v>
      </c>
      <c r="D434" t="s">
        <v>3156</v>
      </c>
      <c r="E434" t="s">
        <v>945</v>
      </c>
      <c r="F434">
        <v>75</v>
      </c>
      <c r="G434" t="b">
        <v>0</v>
      </c>
      <c r="H434">
        <v>1</v>
      </c>
    </row>
    <row r="435" spans="1:8" x14ac:dyDescent="0.25">
      <c r="A435" t="s">
        <v>3028</v>
      </c>
      <c r="B435" t="s">
        <v>2018</v>
      </c>
      <c r="C435">
        <v>2.7</v>
      </c>
      <c r="D435" t="s">
        <v>3156</v>
      </c>
      <c r="E435" t="s">
        <v>945</v>
      </c>
      <c r="F435">
        <v>75</v>
      </c>
      <c r="G435" t="b">
        <v>0</v>
      </c>
      <c r="H435">
        <v>1</v>
      </c>
    </row>
    <row r="436" spans="1:8" x14ac:dyDescent="0.25">
      <c r="A436" t="s">
        <v>3028</v>
      </c>
      <c r="B436" t="s">
        <v>2016</v>
      </c>
      <c r="C436">
        <v>8.0500000000000007</v>
      </c>
      <c r="D436" t="s">
        <v>3156</v>
      </c>
      <c r="E436" t="s">
        <v>945</v>
      </c>
      <c r="F436">
        <v>75</v>
      </c>
      <c r="G436" t="b">
        <v>0</v>
      </c>
      <c r="H436">
        <v>1</v>
      </c>
    </row>
    <row r="437" spans="1:8" x14ac:dyDescent="0.25">
      <c r="A437" t="s">
        <v>3028</v>
      </c>
      <c r="B437" t="s">
        <v>2014</v>
      </c>
      <c r="C437">
        <v>4.1500000000000004</v>
      </c>
      <c r="D437" t="s">
        <v>3156</v>
      </c>
      <c r="E437" t="s">
        <v>945</v>
      </c>
      <c r="F437">
        <v>75</v>
      </c>
      <c r="G437" t="b">
        <v>0</v>
      </c>
      <c r="H437">
        <v>1</v>
      </c>
    </row>
    <row r="438" spans="1:8" x14ac:dyDescent="0.25">
      <c r="A438" t="s">
        <v>3028</v>
      </c>
      <c r="B438" t="s">
        <v>2020</v>
      </c>
      <c r="C438">
        <v>5.35</v>
      </c>
      <c r="D438" t="s">
        <v>3156</v>
      </c>
      <c r="E438" t="s">
        <v>945</v>
      </c>
      <c r="F438">
        <v>75</v>
      </c>
      <c r="G438" t="b">
        <v>0</v>
      </c>
      <c r="H438">
        <v>1</v>
      </c>
    </row>
    <row r="439" spans="1:8" x14ac:dyDescent="0.25">
      <c r="A439" t="s">
        <v>3028</v>
      </c>
      <c r="B439" t="s">
        <v>2023</v>
      </c>
      <c r="C439">
        <v>6.5</v>
      </c>
      <c r="D439" t="s">
        <v>3156</v>
      </c>
      <c r="E439" t="s">
        <v>945</v>
      </c>
      <c r="F439">
        <v>75</v>
      </c>
      <c r="G439" t="b">
        <v>0</v>
      </c>
      <c r="H439">
        <v>1</v>
      </c>
    </row>
    <row r="440" spans="1:8" x14ac:dyDescent="0.25">
      <c r="A440" t="s">
        <v>3028</v>
      </c>
      <c r="B440" t="s">
        <v>2026</v>
      </c>
      <c r="C440">
        <v>8.0500000000000007</v>
      </c>
      <c r="D440" t="s">
        <v>3156</v>
      </c>
      <c r="E440" t="s">
        <v>945</v>
      </c>
      <c r="F440">
        <v>75</v>
      </c>
      <c r="G440" t="b">
        <v>0</v>
      </c>
      <c r="H440">
        <v>1</v>
      </c>
    </row>
    <row r="441" spans="1:8" x14ac:dyDescent="0.25">
      <c r="A441" t="s">
        <v>3028</v>
      </c>
      <c r="B441" t="s">
        <v>2029</v>
      </c>
      <c r="C441">
        <v>13.3</v>
      </c>
      <c r="D441" t="s">
        <v>3156</v>
      </c>
      <c r="E441" t="s">
        <v>945</v>
      </c>
      <c r="F441">
        <v>75</v>
      </c>
      <c r="G441" t="b">
        <v>0</v>
      </c>
      <c r="H441">
        <v>1</v>
      </c>
    </row>
    <row r="442" spans="1:8" x14ac:dyDescent="0.25">
      <c r="A442" t="s">
        <v>3028</v>
      </c>
      <c r="B442" t="s">
        <v>2032</v>
      </c>
      <c r="C442">
        <v>13.3</v>
      </c>
      <c r="D442" t="s">
        <v>3156</v>
      </c>
      <c r="E442" t="s">
        <v>945</v>
      </c>
      <c r="F442">
        <v>75</v>
      </c>
      <c r="G442" t="b">
        <v>0</v>
      </c>
      <c r="H442">
        <v>1</v>
      </c>
    </row>
    <row r="443" spans="1:8" x14ac:dyDescent="0.25">
      <c r="A443" t="s">
        <v>3028</v>
      </c>
      <c r="B443" t="s">
        <v>2035</v>
      </c>
      <c r="C443">
        <v>13.3</v>
      </c>
      <c r="D443" t="s">
        <v>3156</v>
      </c>
      <c r="E443" t="s">
        <v>945</v>
      </c>
      <c r="F443">
        <v>75</v>
      </c>
      <c r="G443" t="b">
        <v>0</v>
      </c>
      <c r="H443">
        <v>1</v>
      </c>
    </row>
    <row r="444" spans="1:8" x14ac:dyDescent="0.25">
      <c r="A444" t="s">
        <v>3028</v>
      </c>
      <c r="B444" t="s">
        <v>2041</v>
      </c>
      <c r="C444">
        <v>10.050000000000001</v>
      </c>
      <c r="D444" t="s">
        <v>3156</v>
      </c>
      <c r="E444" t="s">
        <v>945</v>
      </c>
      <c r="F444">
        <v>75</v>
      </c>
      <c r="G444" t="b">
        <v>0</v>
      </c>
      <c r="H444">
        <v>1</v>
      </c>
    </row>
    <row r="445" spans="1:8" x14ac:dyDescent="0.25">
      <c r="A445" t="s">
        <v>3028</v>
      </c>
      <c r="B445" t="s">
        <v>2046</v>
      </c>
      <c r="C445">
        <v>2.7</v>
      </c>
      <c r="D445" t="s">
        <v>3156</v>
      </c>
      <c r="E445" t="s">
        <v>945</v>
      </c>
      <c r="F445">
        <v>75</v>
      </c>
      <c r="G445" t="b">
        <v>0</v>
      </c>
      <c r="H445">
        <v>1</v>
      </c>
    </row>
    <row r="446" spans="1:8" x14ac:dyDescent="0.25">
      <c r="A446" t="s">
        <v>3028</v>
      </c>
      <c r="B446" t="s">
        <v>2044</v>
      </c>
      <c r="C446">
        <v>2.7</v>
      </c>
      <c r="D446" t="s">
        <v>3156</v>
      </c>
      <c r="E446" t="s">
        <v>945</v>
      </c>
      <c r="F446">
        <v>75</v>
      </c>
      <c r="G446" t="b">
        <v>0</v>
      </c>
      <c r="H446">
        <v>1</v>
      </c>
    </row>
    <row r="447" spans="1:8" x14ac:dyDescent="0.25">
      <c r="A447" t="s">
        <v>3028</v>
      </c>
      <c r="B447" t="s">
        <v>2174</v>
      </c>
      <c r="C447">
        <v>1.5</v>
      </c>
      <c r="D447" t="s">
        <v>3156</v>
      </c>
      <c r="E447" t="s">
        <v>945</v>
      </c>
      <c r="F447">
        <v>75</v>
      </c>
      <c r="G447" t="b">
        <v>0</v>
      </c>
      <c r="H447">
        <v>1</v>
      </c>
    </row>
    <row r="448" spans="1:8" x14ac:dyDescent="0.25">
      <c r="A448" t="s">
        <v>3028</v>
      </c>
      <c r="B448" t="s">
        <v>2048</v>
      </c>
      <c r="C448">
        <v>14.45</v>
      </c>
      <c r="D448" t="s">
        <v>3156</v>
      </c>
      <c r="E448" t="s">
        <v>945</v>
      </c>
      <c r="F448">
        <v>75</v>
      </c>
      <c r="G448" t="b">
        <v>0</v>
      </c>
      <c r="H448">
        <v>1</v>
      </c>
    </row>
    <row r="449" spans="1:8" x14ac:dyDescent="0.25">
      <c r="A449" t="s">
        <v>3028</v>
      </c>
      <c r="B449" t="s">
        <v>2061</v>
      </c>
      <c r="C449">
        <v>20.65</v>
      </c>
      <c r="D449" t="s">
        <v>3156</v>
      </c>
      <c r="E449" t="s">
        <v>945</v>
      </c>
      <c r="F449">
        <v>75</v>
      </c>
      <c r="G449" t="b">
        <v>0</v>
      </c>
      <c r="H449">
        <v>1</v>
      </c>
    </row>
    <row r="450" spans="1:8" x14ac:dyDescent="0.25">
      <c r="A450" t="s">
        <v>3028</v>
      </c>
      <c r="B450" t="s">
        <v>2039</v>
      </c>
      <c r="C450">
        <v>28.35</v>
      </c>
      <c r="D450" t="s">
        <v>3156</v>
      </c>
      <c r="E450" t="s">
        <v>945</v>
      </c>
      <c r="F450">
        <v>75</v>
      </c>
      <c r="G450" t="b">
        <v>0</v>
      </c>
      <c r="H450">
        <v>1</v>
      </c>
    </row>
    <row r="451" spans="1:8" x14ac:dyDescent="0.25">
      <c r="A451" t="s">
        <v>3028</v>
      </c>
      <c r="B451" t="s">
        <v>2959</v>
      </c>
      <c r="C451">
        <v>5.15</v>
      </c>
      <c r="D451" t="s">
        <v>3156</v>
      </c>
      <c r="E451" t="s">
        <v>945</v>
      </c>
      <c r="F451">
        <v>75</v>
      </c>
      <c r="G451" t="b">
        <v>0</v>
      </c>
      <c r="H451">
        <v>1</v>
      </c>
    </row>
    <row r="452" spans="1:8" x14ac:dyDescent="0.25">
      <c r="A452" t="s">
        <v>3028</v>
      </c>
      <c r="B452" t="s">
        <v>3029</v>
      </c>
      <c r="C452">
        <v>5.15</v>
      </c>
      <c r="D452" t="s">
        <v>3156</v>
      </c>
      <c r="E452" t="s">
        <v>945</v>
      </c>
      <c r="F452">
        <v>75</v>
      </c>
      <c r="G452" t="b">
        <v>0</v>
      </c>
      <c r="H452">
        <v>1</v>
      </c>
    </row>
    <row r="453" spans="1:8" x14ac:dyDescent="0.25">
      <c r="A453" t="s">
        <v>3028</v>
      </c>
      <c r="B453" t="s">
        <v>3030</v>
      </c>
      <c r="C453">
        <v>5.15</v>
      </c>
      <c r="D453" t="s">
        <v>3156</v>
      </c>
      <c r="E453" t="s">
        <v>945</v>
      </c>
      <c r="F453">
        <v>75</v>
      </c>
      <c r="G453" t="b">
        <v>0</v>
      </c>
      <c r="H453">
        <v>1</v>
      </c>
    </row>
    <row r="454" spans="1:8" x14ac:dyDescent="0.25">
      <c r="A454" t="s">
        <v>3028</v>
      </c>
      <c r="B454" t="s">
        <v>3031</v>
      </c>
      <c r="C454">
        <v>5.15</v>
      </c>
      <c r="D454" t="s">
        <v>3156</v>
      </c>
      <c r="E454" t="s">
        <v>945</v>
      </c>
      <c r="F454">
        <v>75</v>
      </c>
      <c r="G454" t="b">
        <v>0</v>
      </c>
      <c r="H454">
        <v>1</v>
      </c>
    </row>
    <row r="455" spans="1:8" x14ac:dyDescent="0.25">
      <c r="A455" t="s">
        <v>3028</v>
      </c>
      <c r="B455" t="s">
        <v>3032</v>
      </c>
      <c r="C455">
        <v>5.15</v>
      </c>
      <c r="D455" t="s">
        <v>3156</v>
      </c>
      <c r="E455" t="s">
        <v>945</v>
      </c>
      <c r="F455">
        <v>75</v>
      </c>
      <c r="G455" t="b">
        <v>0</v>
      </c>
      <c r="H455">
        <v>1</v>
      </c>
    </row>
    <row r="456" spans="1:8" x14ac:dyDescent="0.25">
      <c r="A456" t="s">
        <v>3028</v>
      </c>
      <c r="B456" t="s">
        <v>3033</v>
      </c>
      <c r="C456">
        <v>5.15</v>
      </c>
      <c r="D456" t="s">
        <v>3156</v>
      </c>
      <c r="E456" t="s">
        <v>945</v>
      </c>
      <c r="F456">
        <v>75</v>
      </c>
      <c r="G456" t="b">
        <v>0</v>
      </c>
      <c r="H456">
        <v>1</v>
      </c>
    </row>
    <row r="457" spans="1:8" x14ac:dyDescent="0.25">
      <c r="A457" t="s">
        <v>3028</v>
      </c>
      <c r="B457" t="s">
        <v>3034</v>
      </c>
      <c r="C457">
        <v>5.15</v>
      </c>
      <c r="D457" t="s">
        <v>3156</v>
      </c>
      <c r="E457" t="s">
        <v>945</v>
      </c>
      <c r="F457">
        <v>75</v>
      </c>
      <c r="G457" t="b">
        <v>0</v>
      </c>
      <c r="H457">
        <v>1</v>
      </c>
    </row>
    <row r="458" spans="1:8" x14ac:dyDescent="0.25">
      <c r="A458" t="s">
        <v>3028</v>
      </c>
      <c r="B458" t="s">
        <v>3035</v>
      </c>
      <c r="C458">
        <v>5.15</v>
      </c>
      <c r="D458" t="s">
        <v>3156</v>
      </c>
      <c r="E458" t="s">
        <v>945</v>
      </c>
      <c r="F458">
        <v>75</v>
      </c>
      <c r="G458" t="b">
        <v>0</v>
      </c>
      <c r="H458">
        <v>1</v>
      </c>
    </row>
    <row r="459" spans="1:8" x14ac:dyDescent="0.25">
      <c r="A459" t="s">
        <v>3028</v>
      </c>
      <c r="B459" t="s">
        <v>3036</v>
      </c>
      <c r="C459">
        <v>5.15</v>
      </c>
      <c r="D459" t="s">
        <v>3156</v>
      </c>
      <c r="E459" t="s">
        <v>945</v>
      </c>
      <c r="F459">
        <v>75</v>
      </c>
      <c r="G459" t="b">
        <v>0</v>
      </c>
      <c r="H459">
        <v>1</v>
      </c>
    </row>
    <row r="460" spans="1:8" x14ac:dyDescent="0.25">
      <c r="A460" t="s">
        <v>3028</v>
      </c>
      <c r="B460" t="s">
        <v>3037</v>
      </c>
      <c r="C460">
        <v>5.15</v>
      </c>
      <c r="D460" t="s">
        <v>3156</v>
      </c>
      <c r="E460" t="s">
        <v>945</v>
      </c>
      <c r="F460">
        <v>75</v>
      </c>
      <c r="G460" t="b">
        <v>0</v>
      </c>
      <c r="H460">
        <v>1</v>
      </c>
    </row>
    <row r="461" spans="1:8" x14ac:dyDescent="0.25">
      <c r="A461" t="s">
        <v>3028</v>
      </c>
      <c r="B461" t="s">
        <v>3038</v>
      </c>
      <c r="C461">
        <v>5.15</v>
      </c>
      <c r="D461" t="s">
        <v>3156</v>
      </c>
      <c r="E461" t="s">
        <v>945</v>
      </c>
      <c r="F461">
        <v>75</v>
      </c>
      <c r="G461" t="b">
        <v>0</v>
      </c>
      <c r="H461">
        <v>1</v>
      </c>
    </row>
    <row r="462" spans="1:8" x14ac:dyDescent="0.25">
      <c r="A462" t="s">
        <v>3028</v>
      </c>
      <c r="B462" t="s">
        <v>3039</v>
      </c>
      <c r="C462">
        <v>5.15</v>
      </c>
      <c r="D462" t="s">
        <v>3156</v>
      </c>
      <c r="E462" t="s">
        <v>945</v>
      </c>
      <c r="F462">
        <v>75</v>
      </c>
      <c r="G462" t="b">
        <v>0</v>
      </c>
      <c r="H462">
        <v>1</v>
      </c>
    </row>
    <row r="463" spans="1:8" x14ac:dyDescent="0.25">
      <c r="A463" t="s">
        <v>3028</v>
      </c>
      <c r="B463" t="s">
        <v>3040</v>
      </c>
      <c r="C463">
        <v>5.15</v>
      </c>
      <c r="D463" t="s">
        <v>3156</v>
      </c>
      <c r="E463" t="s">
        <v>945</v>
      </c>
      <c r="F463">
        <v>75</v>
      </c>
      <c r="G463" t="b">
        <v>0</v>
      </c>
      <c r="H463">
        <v>1</v>
      </c>
    </row>
    <row r="464" spans="1:8" x14ac:dyDescent="0.25">
      <c r="A464" t="s">
        <v>3028</v>
      </c>
      <c r="B464" t="s">
        <v>3041</v>
      </c>
      <c r="C464">
        <v>5.15</v>
      </c>
      <c r="D464" t="s">
        <v>3156</v>
      </c>
      <c r="E464" t="s">
        <v>945</v>
      </c>
      <c r="F464">
        <v>75</v>
      </c>
      <c r="G464" t="b">
        <v>0</v>
      </c>
      <c r="H464">
        <v>1</v>
      </c>
    </row>
    <row r="465" spans="1:8" x14ac:dyDescent="0.25">
      <c r="A465" t="s">
        <v>3028</v>
      </c>
      <c r="B465" t="s">
        <v>3042</v>
      </c>
      <c r="C465">
        <v>5.15</v>
      </c>
      <c r="D465" t="s">
        <v>3156</v>
      </c>
      <c r="E465" t="s">
        <v>945</v>
      </c>
      <c r="F465">
        <v>75</v>
      </c>
      <c r="G465" t="b">
        <v>0</v>
      </c>
      <c r="H465">
        <v>1</v>
      </c>
    </row>
    <row r="466" spans="1:8" x14ac:dyDescent="0.25">
      <c r="A466" t="s">
        <v>3028</v>
      </c>
      <c r="B466" t="s">
        <v>3043</v>
      </c>
      <c r="C466">
        <v>5.15</v>
      </c>
      <c r="D466" t="s">
        <v>3156</v>
      </c>
      <c r="E466" t="s">
        <v>945</v>
      </c>
      <c r="F466">
        <v>75</v>
      </c>
      <c r="G466" t="b">
        <v>0</v>
      </c>
      <c r="H466">
        <v>1</v>
      </c>
    </row>
    <row r="467" spans="1:8" x14ac:dyDescent="0.25">
      <c r="A467" t="s">
        <v>3028</v>
      </c>
      <c r="B467" t="s">
        <v>3044</v>
      </c>
      <c r="C467">
        <v>10.050000000000001</v>
      </c>
      <c r="D467" t="s">
        <v>3156</v>
      </c>
      <c r="E467" t="s">
        <v>945</v>
      </c>
      <c r="F467">
        <v>75</v>
      </c>
      <c r="G467" t="b">
        <v>0</v>
      </c>
      <c r="H467">
        <v>1</v>
      </c>
    </row>
    <row r="468" spans="1:8" x14ac:dyDescent="0.25">
      <c r="A468" t="s">
        <v>3028</v>
      </c>
      <c r="B468" t="s">
        <v>3045</v>
      </c>
      <c r="C468">
        <v>15</v>
      </c>
      <c r="D468" t="s">
        <v>3156</v>
      </c>
      <c r="E468" t="s">
        <v>945</v>
      </c>
      <c r="F468">
        <v>75</v>
      </c>
      <c r="G468" t="b">
        <v>0</v>
      </c>
      <c r="H468">
        <v>1</v>
      </c>
    </row>
    <row r="469" spans="1:8" x14ac:dyDescent="0.25">
      <c r="A469" t="s">
        <v>3028</v>
      </c>
      <c r="B469" t="s">
        <v>2947</v>
      </c>
      <c r="C469">
        <v>13.3</v>
      </c>
      <c r="D469" t="s">
        <v>3156</v>
      </c>
      <c r="E469" t="s">
        <v>945</v>
      </c>
      <c r="F469">
        <v>75</v>
      </c>
      <c r="G469" t="b">
        <v>0</v>
      </c>
      <c r="H469">
        <v>1</v>
      </c>
    </row>
    <row r="470" spans="1:8" x14ac:dyDescent="0.25">
      <c r="A470" t="s">
        <v>3028</v>
      </c>
      <c r="B470" t="s">
        <v>2949</v>
      </c>
      <c r="C470">
        <v>10.050000000000001</v>
      </c>
      <c r="D470" t="s">
        <v>3156</v>
      </c>
      <c r="E470" t="s">
        <v>945</v>
      </c>
      <c r="F470">
        <v>75</v>
      </c>
      <c r="G470" t="b">
        <v>0</v>
      </c>
      <c r="H470">
        <v>1</v>
      </c>
    </row>
    <row r="471" spans="1:8" x14ac:dyDescent="0.25">
      <c r="A471" t="s">
        <v>3028</v>
      </c>
      <c r="B471" t="s">
        <v>2957</v>
      </c>
      <c r="C471">
        <v>7.75</v>
      </c>
      <c r="D471" t="s">
        <v>3156</v>
      </c>
      <c r="E471" t="s">
        <v>945</v>
      </c>
      <c r="F471">
        <v>75</v>
      </c>
      <c r="G471" t="b">
        <v>0</v>
      </c>
      <c r="H471">
        <v>1</v>
      </c>
    </row>
    <row r="472" spans="1:8" x14ac:dyDescent="0.25">
      <c r="A472" t="s">
        <v>3028</v>
      </c>
      <c r="B472" t="s">
        <v>2951</v>
      </c>
      <c r="C472">
        <v>7.5</v>
      </c>
      <c r="D472" t="s">
        <v>3156</v>
      </c>
      <c r="E472" t="s">
        <v>945</v>
      </c>
      <c r="F472">
        <v>75</v>
      </c>
      <c r="G472" t="b">
        <v>0</v>
      </c>
      <c r="H472">
        <v>1</v>
      </c>
    </row>
    <row r="473" spans="1:8" x14ac:dyDescent="0.25">
      <c r="A473" t="s">
        <v>3028</v>
      </c>
      <c r="B473" t="s">
        <v>2945</v>
      </c>
      <c r="C473">
        <v>8.0500000000000007</v>
      </c>
      <c r="D473" t="s">
        <v>3156</v>
      </c>
      <c r="E473" t="s">
        <v>945</v>
      </c>
      <c r="F473">
        <v>75</v>
      </c>
      <c r="G473" t="b">
        <v>0</v>
      </c>
      <c r="H473">
        <v>1</v>
      </c>
    </row>
    <row r="474" spans="1:8" x14ac:dyDescent="0.25">
      <c r="A474" t="s">
        <v>3224</v>
      </c>
      <c r="B474" t="s">
        <v>2216</v>
      </c>
      <c r="C474">
        <v>41.6</v>
      </c>
      <c r="D474" t="s">
        <v>3156</v>
      </c>
      <c r="E474" t="s">
        <v>945</v>
      </c>
      <c r="F474">
        <v>75</v>
      </c>
      <c r="G474" t="b">
        <v>0</v>
      </c>
      <c r="H474">
        <v>1</v>
      </c>
    </row>
    <row r="475" spans="1:8" x14ac:dyDescent="0.25">
      <c r="A475" t="s">
        <v>3224</v>
      </c>
      <c r="B475" t="s">
        <v>2961</v>
      </c>
      <c r="C475">
        <v>14.15</v>
      </c>
      <c r="D475" t="s">
        <v>3156</v>
      </c>
      <c r="E475" t="s">
        <v>945</v>
      </c>
      <c r="F475">
        <v>75</v>
      </c>
      <c r="G475" t="b">
        <v>0</v>
      </c>
      <c r="H475">
        <v>1</v>
      </c>
    </row>
    <row r="476" spans="1:8" x14ac:dyDescent="0.25">
      <c r="A476" t="s">
        <v>3224</v>
      </c>
      <c r="B476" t="s">
        <v>2963</v>
      </c>
      <c r="C476">
        <v>5.55</v>
      </c>
      <c r="D476" t="s">
        <v>3156</v>
      </c>
      <c r="E476" t="s">
        <v>945</v>
      </c>
      <c r="F476">
        <v>75</v>
      </c>
      <c r="G476" t="b">
        <v>0</v>
      </c>
      <c r="H476">
        <v>1</v>
      </c>
    </row>
    <row r="477" spans="1:8" x14ac:dyDescent="0.25">
      <c r="A477" t="s">
        <v>3225</v>
      </c>
      <c r="B477" t="s">
        <v>2247</v>
      </c>
      <c r="C477">
        <v>126.25</v>
      </c>
      <c r="D477" t="s">
        <v>3156</v>
      </c>
      <c r="E477" t="s">
        <v>945</v>
      </c>
      <c r="F477">
        <v>75</v>
      </c>
      <c r="G477" t="b">
        <v>0</v>
      </c>
      <c r="H477">
        <v>1</v>
      </c>
    </row>
    <row r="478" spans="1:8" x14ac:dyDescent="0.25">
      <c r="A478" t="s">
        <v>3225</v>
      </c>
      <c r="B478" t="s">
        <v>2244</v>
      </c>
      <c r="C478">
        <v>189.25</v>
      </c>
      <c r="D478" t="s">
        <v>3156</v>
      </c>
      <c r="E478" t="s">
        <v>945</v>
      </c>
      <c r="F478">
        <v>75</v>
      </c>
      <c r="G478" t="b">
        <v>0</v>
      </c>
      <c r="H478">
        <v>1</v>
      </c>
    </row>
    <row r="479" spans="1:8" x14ac:dyDescent="0.25">
      <c r="A479" t="s">
        <v>3225</v>
      </c>
      <c r="B479" t="s">
        <v>2987</v>
      </c>
      <c r="C479">
        <v>13.3</v>
      </c>
      <c r="D479" t="s">
        <v>3156</v>
      </c>
      <c r="E479" t="s">
        <v>945</v>
      </c>
      <c r="F479">
        <v>75</v>
      </c>
      <c r="G479" t="b">
        <v>0</v>
      </c>
      <c r="H479">
        <v>1</v>
      </c>
    </row>
    <row r="480" spans="1:8" x14ac:dyDescent="0.25">
      <c r="A480" t="s">
        <v>3225</v>
      </c>
      <c r="B480" t="s">
        <v>2223</v>
      </c>
      <c r="C480">
        <v>3.55</v>
      </c>
      <c r="D480" t="s">
        <v>3156</v>
      </c>
      <c r="E480" t="s">
        <v>945</v>
      </c>
      <c r="F480">
        <v>75</v>
      </c>
      <c r="G480" t="b">
        <v>0</v>
      </c>
      <c r="H480">
        <v>1</v>
      </c>
    </row>
    <row r="481" spans="1:8" x14ac:dyDescent="0.25">
      <c r="A481" t="s">
        <v>3225</v>
      </c>
      <c r="B481" t="s">
        <v>2230</v>
      </c>
      <c r="C481">
        <v>5.85</v>
      </c>
      <c r="D481" t="s">
        <v>3156</v>
      </c>
      <c r="E481" t="s">
        <v>945</v>
      </c>
      <c r="F481">
        <v>75</v>
      </c>
      <c r="G481" t="b">
        <v>0</v>
      </c>
      <c r="H481">
        <v>1</v>
      </c>
    </row>
    <row r="482" spans="1:8" x14ac:dyDescent="0.25">
      <c r="A482" t="s">
        <v>3225</v>
      </c>
      <c r="B482" t="s">
        <v>2227</v>
      </c>
      <c r="C482">
        <v>13.3</v>
      </c>
      <c r="D482" t="s">
        <v>3156</v>
      </c>
      <c r="E482" t="s">
        <v>945</v>
      </c>
      <c r="F482">
        <v>75</v>
      </c>
      <c r="G482" t="b">
        <v>0</v>
      </c>
      <c r="H482">
        <v>1</v>
      </c>
    </row>
    <row r="483" spans="1:8" x14ac:dyDescent="0.25">
      <c r="A483" t="s">
        <v>3225</v>
      </c>
      <c r="B483" t="s">
        <v>2989</v>
      </c>
      <c r="C483">
        <v>59.6</v>
      </c>
      <c r="D483" t="s">
        <v>3156</v>
      </c>
      <c r="E483" t="s">
        <v>945</v>
      </c>
      <c r="F483">
        <v>75</v>
      </c>
      <c r="G483" t="b">
        <v>0</v>
      </c>
      <c r="H483">
        <v>1</v>
      </c>
    </row>
    <row r="484" spans="1:8" x14ac:dyDescent="0.25">
      <c r="A484" t="s">
        <v>3225</v>
      </c>
      <c r="B484" t="s">
        <v>2239</v>
      </c>
      <c r="C484">
        <v>26.5</v>
      </c>
      <c r="D484" t="s">
        <v>3156</v>
      </c>
      <c r="E484" t="s">
        <v>945</v>
      </c>
      <c r="F484">
        <v>75</v>
      </c>
      <c r="G484" t="b">
        <v>0</v>
      </c>
      <c r="H484">
        <v>1</v>
      </c>
    </row>
    <row r="485" spans="1:8" x14ac:dyDescent="0.25">
      <c r="A485" t="s">
        <v>3225</v>
      </c>
      <c r="B485" t="s">
        <v>2237</v>
      </c>
      <c r="C485">
        <v>12.1</v>
      </c>
      <c r="D485" t="s">
        <v>3156</v>
      </c>
      <c r="E485" t="s">
        <v>945</v>
      </c>
      <c r="F485">
        <v>75</v>
      </c>
      <c r="G485" t="b">
        <v>0</v>
      </c>
      <c r="H485">
        <v>1</v>
      </c>
    </row>
    <row r="486" spans="1:8" x14ac:dyDescent="0.25">
      <c r="A486" t="s">
        <v>3225</v>
      </c>
      <c r="B486" t="s">
        <v>2991</v>
      </c>
      <c r="C486">
        <v>10</v>
      </c>
      <c r="D486" t="s">
        <v>3156</v>
      </c>
      <c r="E486" t="s">
        <v>945</v>
      </c>
      <c r="F486">
        <v>75</v>
      </c>
      <c r="G486" t="b">
        <v>0</v>
      </c>
      <c r="H486">
        <v>1</v>
      </c>
    </row>
    <row r="487" spans="1:8" x14ac:dyDescent="0.25">
      <c r="A487" t="s">
        <v>3226</v>
      </c>
      <c r="B487" t="s">
        <v>2995</v>
      </c>
      <c r="C487">
        <v>16.2</v>
      </c>
      <c r="D487" t="s">
        <v>3156</v>
      </c>
      <c r="E487" t="s">
        <v>945</v>
      </c>
      <c r="F487">
        <v>75</v>
      </c>
      <c r="G487" t="b">
        <v>0</v>
      </c>
      <c r="H487">
        <v>1</v>
      </c>
    </row>
    <row r="488" spans="1:8" x14ac:dyDescent="0.25">
      <c r="A488" t="s">
        <v>3226</v>
      </c>
      <c r="B488" t="s">
        <v>2993</v>
      </c>
      <c r="C488">
        <v>7.65</v>
      </c>
      <c r="D488" t="s">
        <v>3156</v>
      </c>
      <c r="E488" t="s">
        <v>945</v>
      </c>
      <c r="F488">
        <v>75</v>
      </c>
      <c r="G488" t="b">
        <v>0</v>
      </c>
      <c r="H488">
        <v>1</v>
      </c>
    </row>
    <row r="489" spans="1:8" x14ac:dyDescent="0.25">
      <c r="A489" t="s">
        <v>3226</v>
      </c>
      <c r="B489" t="s">
        <v>2259</v>
      </c>
      <c r="C489">
        <v>22.4</v>
      </c>
      <c r="D489" t="s">
        <v>3156</v>
      </c>
      <c r="E489" t="s">
        <v>945</v>
      </c>
      <c r="F489">
        <v>75</v>
      </c>
      <c r="G489" t="b">
        <v>0</v>
      </c>
      <c r="H489">
        <v>1</v>
      </c>
    </row>
    <row r="490" spans="1:8" x14ac:dyDescent="0.25">
      <c r="A490" t="s">
        <v>3226</v>
      </c>
      <c r="B490" t="s">
        <v>2250</v>
      </c>
      <c r="C490">
        <v>18.600000000000001</v>
      </c>
      <c r="D490" t="s">
        <v>3156</v>
      </c>
      <c r="E490" t="s">
        <v>945</v>
      </c>
      <c r="F490">
        <v>75</v>
      </c>
      <c r="G490" t="b">
        <v>0</v>
      </c>
      <c r="H490">
        <v>1</v>
      </c>
    </row>
    <row r="491" spans="1:8" x14ac:dyDescent="0.25">
      <c r="A491" t="s">
        <v>3226</v>
      </c>
      <c r="B491" t="s">
        <v>2254</v>
      </c>
      <c r="C491">
        <v>6.5</v>
      </c>
      <c r="D491" t="s">
        <v>3156</v>
      </c>
      <c r="E491" t="s">
        <v>945</v>
      </c>
      <c r="F491">
        <v>75</v>
      </c>
      <c r="G491" t="b">
        <v>0</v>
      </c>
      <c r="H491">
        <v>1</v>
      </c>
    </row>
    <row r="492" spans="1:8" x14ac:dyDescent="0.25">
      <c r="A492" t="s">
        <v>3226</v>
      </c>
      <c r="B492" t="s">
        <v>2256</v>
      </c>
      <c r="C492">
        <v>18.600000000000001</v>
      </c>
      <c r="D492" t="s">
        <v>3156</v>
      </c>
      <c r="E492" t="s">
        <v>945</v>
      </c>
      <c r="F492">
        <v>75</v>
      </c>
      <c r="G492" t="b">
        <v>0</v>
      </c>
      <c r="H492">
        <v>1</v>
      </c>
    </row>
    <row r="493" spans="1:8" x14ac:dyDescent="0.25">
      <c r="A493" t="s">
        <v>3226</v>
      </c>
      <c r="B493" t="s">
        <v>2265</v>
      </c>
      <c r="C493">
        <v>37.15</v>
      </c>
      <c r="D493" t="s">
        <v>3156</v>
      </c>
      <c r="E493" t="s">
        <v>945</v>
      </c>
      <c r="F493">
        <v>75</v>
      </c>
      <c r="G493" t="b">
        <v>0</v>
      </c>
      <c r="H493">
        <v>1</v>
      </c>
    </row>
    <row r="494" spans="1:8" x14ac:dyDescent="0.25">
      <c r="A494" t="s">
        <v>3226</v>
      </c>
      <c r="B494" t="s">
        <v>2262</v>
      </c>
      <c r="C494">
        <v>39.799999999999997</v>
      </c>
      <c r="D494" t="s">
        <v>3156</v>
      </c>
      <c r="E494" t="s">
        <v>945</v>
      </c>
      <c r="F494">
        <v>75</v>
      </c>
      <c r="G494" t="b">
        <v>0</v>
      </c>
      <c r="H494">
        <v>1</v>
      </c>
    </row>
    <row r="495" spans="1:8" x14ac:dyDescent="0.25">
      <c r="A495" t="s">
        <v>3226</v>
      </c>
      <c r="B495" t="s">
        <v>2274</v>
      </c>
      <c r="C495">
        <v>21.25</v>
      </c>
      <c r="D495" t="s">
        <v>3156</v>
      </c>
      <c r="E495" t="s">
        <v>945</v>
      </c>
      <c r="F495">
        <v>75</v>
      </c>
      <c r="G495" t="b">
        <v>0</v>
      </c>
      <c r="H495">
        <v>1</v>
      </c>
    </row>
    <row r="496" spans="1:8" x14ac:dyDescent="0.25">
      <c r="A496" t="s">
        <v>3226</v>
      </c>
      <c r="B496" t="s">
        <v>2271</v>
      </c>
      <c r="C496">
        <v>26.5</v>
      </c>
      <c r="D496" t="s">
        <v>3156</v>
      </c>
      <c r="E496" t="s">
        <v>945</v>
      </c>
      <c r="F496">
        <v>75</v>
      </c>
      <c r="G496" t="b">
        <v>0</v>
      </c>
      <c r="H496">
        <v>1</v>
      </c>
    </row>
    <row r="497" spans="1:8" x14ac:dyDescent="0.25">
      <c r="A497" t="s">
        <v>3226</v>
      </c>
      <c r="B497" t="s">
        <v>2268</v>
      </c>
      <c r="C497">
        <v>31.9</v>
      </c>
      <c r="D497" t="s">
        <v>3156</v>
      </c>
      <c r="E497" t="s">
        <v>945</v>
      </c>
      <c r="F497">
        <v>75</v>
      </c>
      <c r="G497" t="b">
        <v>0</v>
      </c>
      <c r="H497">
        <v>1</v>
      </c>
    </row>
    <row r="498" spans="1:8" x14ac:dyDescent="0.25">
      <c r="A498" t="s">
        <v>3226</v>
      </c>
      <c r="B498" t="s">
        <v>2277</v>
      </c>
      <c r="C498">
        <v>59.6</v>
      </c>
      <c r="D498" t="s">
        <v>3156</v>
      </c>
      <c r="E498" t="s">
        <v>945</v>
      </c>
      <c r="F498">
        <v>75</v>
      </c>
      <c r="G498" t="b">
        <v>0</v>
      </c>
      <c r="H498">
        <v>1</v>
      </c>
    </row>
    <row r="499" spans="1:8" x14ac:dyDescent="0.25">
      <c r="A499" t="s">
        <v>3226</v>
      </c>
      <c r="B499" t="s">
        <v>2280</v>
      </c>
      <c r="C499">
        <v>7.4</v>
      </c>
      <c r="D499" t="s">
        <v>3156</v>
      </c>
      <c r="E499" t="s">
        <v>945</v>
      </c>
      <c r="F499">
        <v>75</v>
      </c>
      <c r="G499" t="b">
        <v>0</v>
      </c>
      <c r="H499">
        <v>1</v>
      </c>
    </row>
    <row r="500" spans="1:8" x14ac:dyDescent="0.25">
      <c r="A500" t="s">
        <v>3226</v>
      </c>
      <c r="B500" t="s">
        <v>2283</v>
      </c>
      <c r="C500">
        <v>15.95</v>
      </c>
      <c r="D500" t="s">
        <v>3156</v>
      </c>
      <c r="E500" t="s">
        <v>945</v>
      </c>
      <c r="F500">
        <v>75</v>
      </c>
      <c r="G500" t="b">
        <v>0</v>
      </c>
      <c r="H500">
        <v>1</v>
      </c>
    </row>
    <row r="501" spans="1:8" x14ac:dyDescent="0.25">
      <c r="A501" t="s">
        <v>3226</v>
      </c>
      <c r="B501" t="s">
        <v>2286</v>
      </c>
      <c r="C501">
        <v>22.4</v>
      </c>
      <c r="D501" t="s">
        <v>3156</v>
      </c>
      <c r="E501" t="s">
        <v>945</v>
      </c>
      <c r="F501">
        <v>75</v>
      </c>
      <c r="G501" t="b">
        <v>0</v>
      </c>
      <c r="H501">
        <v>1</v>
      </c>
    </row>
    <row r="502" spans="1:8" x14ac:dyDescent="0.25">
      <c r="A502" t="s">
        <v>3226</v>
      </c>
      <c r="B502" t="s">
        <v>2288</v>
      </c>
      <c r="C502">
        <v>22.4</v>
      </c>
      <c r="D502" t="s">
        <v>3156</v>
      </c>
      <c r="E502" t="s">
        <v>945</v>
      </c>
      <c r="F502">
        <v>75</v>
      </c>
      <c r="G502" t="b">
        <v>0</v>
      </c>
      <c r="H502">
        <v>1</v>
      </c>
    </row>
    <row r="503" spans="1:8" x14ac:dyDescent="0.25">
      <c r="A503" t="s">
        <v>3227</v>
      </c>
      <c r="B503" t="s">
        <v>1553</v>
      </c>
      <c r="C503">
        <v>26.5</v>
      </c>
      <c r="D503" t="s">
        <v>3156</v>
      </c>
      <c r="E503" t="s">
        <v>945</v>
      </c>
      <c r="F503">
        <v>75</v>
      </c>
      <c r="G503" t="b">
        <v>0</v>
      </c>
      <c r="H503">
        <v>1</v>
      </c>
    </row>
    <row r="504" spans="1:8" x14ac:dyDescent="0.25">
      <c r="A504" t="s">
        <v>3227</v>
      </c>
      <c r="B504" t="s">
        <v>1551</v>
      </c>
      <c r="C504">
        <v>53.05</v>
      </c>
      <c r="D504" t="s">
        <v>3156</v>
      </c>
      <c r="E504" t="s">
        <v>945</v>
      </c>
      <c r="F504">
        <v>75</v>
      </c>
      <c r="G504" t="b">
        <v>0</v>
      </c>
      <c r="H504">
        <v>1</v>
      </c>
    </row>
    <row r="505" spans="1:8" x14ac:dyDescent="0.25">
      <c r="A505" t="s">
        <v>3227</v>
      </c>
      <c r="B505" t="s">
        <v>1555</v>
      </c>
      <c r="C505">
        <v>53.05</v>
      </c>
      <c r="D505" t="s">
        <v>3156</v>
      </c>
      <c r="E505" t="s">
        <v>945</v>
      </c>
      <c r="F505">
        <v>75</v>
      </c>
      <c r="G505" t="b">
        <v>0</v>
      </c>
      <c r="H505">
        <v>1</v>
      </c>
    </row>
    <row r="506" spans="1:8" x14ac:dyDescent="0.25">
      <c r="A506" t="s">
        <v>3227</v>
      </c>
      <c r="B506" t="s">
        <v>1557</v>
      </c>
      <c r="C506">
        <v>28.95</v>
      </c>
      <c r="D506" t="s">
        <v>3156</v>
      </c>
      <c r="E506" t="s">
        <v>945</v>
      </c>
      <c r="F506">
        <v>75</v>
      </c>
      <c r="G506" t="b">
        <v>0</v>
      </c>
      <c r="H506">
        <v>1</v>
      </c>
    </row>
    <row r="507" spans="1:8" x14ac:dyDescent="0.25">
      <c r="A507" t="s">
        <v>3227</v>
      </c>
      <c r="B507" t="s">
        <v>1559</v>
      </c>
      <c r="C507">
        <v>28.35</v>
      </c>
      <c r="D507" t="s">
        <v>3156</v>
      </c>
      <c r="E507" t="s">
        <v>945</v>
      </c>
      <c r="F507">
        <v>75</v>
      </c>
      <c r="G507" t="b">
        <v>0</v>
      </c>
      <c r="H507">
        <v>1</v>
      </c>
    </row>
    <row r="508" spans="1:8" x14ac:dyDescent="0.25">
      <c r="A508" t="s">
        <v>3227</v>
      </c>
      <c r="B508" t="s">
        <v>1561</v>
      </c>
      <c r="C508">
        <v>28.35</v>
      </c>
      <c r="D508" t="s">
        <v>3156</v>
      </c>
      <c r="E508" t="s">
        <v>945</v>
      </c>
      <c r="F508">
        <v>75</v>
      </c>
      <c r="G508" t="b">
        <v>0</v>
      </c>
      <c r="H508">
        <v>1</v>
      </c>
    </row>
    <row r="509" spans="1:8" x14ac:dyDescent="0.25">
      <c r="A509" t="s">
        <v>3227</v>
      </c>
      <c r="B509" t="s">
        <v>1564</v>
      </c>
      <c r="C509">
        <v>22.4</v>
      </c>
      <c r="D509" t="s">
        <v>3156</v>
      </c>
      <c r="E509" t="s">
        <v>945</v>
      </c>
      <c r="F509">
        <v>75</v>
      </c>
      <c r="G509" t="b">
        <v>0</v>
      </c>
      <c r="H509">
        <v>1</v>
      </c>
    </row>
    <row r="510" spans="1:8" x14ac:dyDescent="0.25">
      <c r="A510" t="s">
        <v>3228</v>
      </c>
      <c r="B510" t="s">
        <v>2999</v>
      </c>
      <c r="C510">
        <v>26.5</v>
      </c>
      <c r="D510" t="s">
        <v>3156</v>
      </c>
      <c r="E510" t="s">
        <v>945</v>
      </c>
      <c r="F510">
        <v>75</v>
      </c>
      <c r="G510" t="b">
        <v>0</v>
      </c>
      <c r="H510">
        <v>1</v>
      </c>
    </row>
    <row r="511" spans="1:8" x14ac:dyDescent="0.25">
      <c r="A511" t="s">
        <v>3228</v>
      </c>
      <c r="B511" t="s">
        <v>1497</v>
      </c>
      <c r="C511">
        <v>8.0500000000000007</v>
      </c>
      <c r="D511" t="s">
        <v>3156</v>
      </c>
      <c r="E511" t="s">
        <v>945</v>
      </c>
      <c r="F511">
        <v>75</v>
      </c>
      <c r="G511" t="b">
        <v>0</v>
      </c>
      <c r="H511">
        <v>1</v>
      </c>
    </row>
    <row r="512" spans="1:8" x14ac:dyDescent="0.25">
      <c r="A512" t="s">
        <v>3228</v>
      </c>
      <c r="B512" t="s">
        <v>2997</v>
      </c>
      <c r="C512">
        <v>12.65</v>
      </c>
      <c r="D512" t="s">
        <v>3156</v>
      </c>
      <c r="E512" t="s">
        <v>945</v>
      </c>
      <c r="F512">
        <v>75</v>
      </c>
      <c r="G512" t="b">
        <v>0</v>
      </c>
      <c r="H512">
        <v>1</v>
      </c>
    </row>
    <row r="513" spans="1:8" x14ac:dyDescent="0.25">
      <c r="A513" t="s">
        <v>3228</v>
      </c>
      <c r="B513" t="s">
        <v>1494</v>
      </c>
      <c r="C513">
        <v>18.05</v>
      </c>
      <c r="D513" t="s">
        <v>3156</v>
      </c>
      <c r="E513" t="s">
        <v>945</v>
      </c>
      <c r="F513">
        <v>75</v>
      </c>
      <c r="G513" t="b">
        <v>0</v>
      </c>
      <c r="H513">
        <v>1</v>
      </c>
    </row>
    <row r="514" spans="1:8" x14ac:dyDescent="0.25">
      <c r="A514" t="s">
        <v>3228</v>
      </c>
      <c r="B514" t="s">
        <v>1500</v>
      </c>
      <c r="C514">
        <v>22.4</v>
      </c>
      <c r="D514" t="s">
        <v>3156</v>
      </c>
      <c r="E514" t="s">
        <v>945</v>
      </c>
      <c r="F514">
        <v>75</v>
      </c>
      <c r="G514" t="b">
        <v>0</v>
      </c>
      <c r="H514">
        <v>1</v>
      </c>
    </row>
    <row r="515" spans="1:8" x14ac:dyDescent="0.25">
      <c r="A515" t="s">
        <v>3228</v>
      </c>
      <c r="B515" t="s">
        <v>1503</v>
      </c>
      <c r="C515">
        <v>27.15</v>
      </c>
      <c r="D515" t="s">
        <v>3156</v>
      </c>
      <c r="E515" t="s">
        <v>945</v>
      </c>
      <c r="F515">
        <v>75</v>
      </c>
      <c r="G515" t="b">
        <v>0</v>
      </c>
      <c r="H515">
        <v>1</v>
      </c>
    </row>
    <row r="516" spans="1:8" x14ac:dyDescent="0.25">
      <c r="A516" t="s">
        <v>3228</v>
      </c>
      <c r="B516" t="s">
        <v>1630</v>
      </c>
      <c r="C516">
        <v>17.399999999999999</v>
      </c>
      <c r="D516" t="s">
        <v>3156</v>
      </c>
      <c r="E516" t="s">
        <v>945</v>
      </c>
      <c r="F516">
        <v>75</v>
      </c>
      <c r="G516" t="b">
        <v>0</v>
      </c>
      <c r="H516">
        <v>1</v>
      </c>
    </row>
    <row r="517" spans="1:8" x14ac:dyDescent="0.25">
      <c r="A517" t="s">
        <v>3228</v>
      </c>
      <c r="B517" t="s">
        <v>1484</v>
      </c>
      <c r="C517">
        <v>15.95</v>
      </c>
      <c r="D517" t="s">
        <v>3156</v>
      </c>
      <c r="E517" t="s">
        <v>945</v>
      </c>
      <c r="F517">
        <v>75</v>
      </c>
      <c r="G517" t="b">
        <v>0</v>
      </c>
      <c r="H517">
        <v>1</v>
      </c>
    </row>
    <row r="518" spans="1:8" x14ac:dyDescent="0.25">
      <c r="A518" t="s">
        <v>3228</v>
      </c>
      <c r="B518" t="s">
        <v>1487</v>
      </c>
      <c r="C518">
        <v>22.4</v>
      </c>
      <c r="D518" t="s">
        <v>3156</v>
      </c>
      <c r="E518" t="s">
        <v>945</v>
      </c>
      <c r="F518">
        <v>75</v>
      </c>
      <c r="G518" t="b">
        <v>0</v>
      </c>
      <c r="H518">
        <v>1</v>
      </c>
    </row>
    <row r="519" spans="1:8" x14ac:dyDescent="0.25">
      <c r="A519" t="s">
        <v>3228</v>
      </c>
      <c r="B519" t="s">
        <v>1481</v>
      </c>
      <c r="C519">
        <v>15.1</v>
      </c>
      <c r="D519" t="s">
        <v>3156</v>
      </c>
      <c r="E519" t="s">
        <v>945</v>
      </c>
      <c r="F519">
        <v>75</v>
      </c>
      <c r="G519" t="b">
        <v>0</v>
      </c>
      <c r="H519">
        <v>1</v>
      </c>
    </row>
    <row r="520" spans="1:8" x14ac:dyDescent="0.25">
      <c r="A520" t="s">
        <v>3228</v>
      </c>
      <c r="B520" t="s">
        <v>1518</v>
      </c>
      <c r="C520">
        <v>23.9</v>
      </c>
      <c r="D520" t="s">
        <v>3156</v>
      </c>
      <c r="E520" t="s">
        <v>945</v>
      </c>
      <c r="F520">
        <v>75</v>
      </c>
      <c r="G520" t="b">
        <v>0</v>
      </c>
      <c r="H520">
        <v>1</v>
      </c>
    </row>
    <row r="521" spans="1:8" x14ac:dyDescent="0.25">
      <c r="A521" t="s">
        <v>3228</v>
      </c>
      <c r="B521" t="s">
        <v>3001</v>
      </c>
      <c r="C521">
        <v>34.5</v>
      </c>
      <c r="D521" t="s">
        <v>3156</v>
      </c>
      <c r="E521" t="s">
        <v>945</v>
      </c>
      <c r="F521">
        <v>75</v>
      </c>
      <c r="G521" t="b">
        <v>0</v>
      </c>
      <c r="H521">
        <v>1</v>
      </c>
    </row>
    <row r="522" spans="1:8" x14ac:dyDescent="0.25">
      <c r="A522" t="s">
        <v>3229</v>
      </c>
      <c r="B522" t="s">
        <v>1478</v>
      </c>
      <c r="C522">
        <v>7.4</v>
      </c>
      <c r="D522" t="s">
        <v>3156</v>
      </c>
      <c r="E522" t="s">
        <v>945</v>
      </c>
      <c r="F522">
        <v>75</v>
      </c>
      <c r="G522" t="b">
        <v>0</v>
      </c>
      <c r="H522">
        <v>1</v>
      </c>
    </row>
    <row r="523" spans="1:8" x14ac:dyDescent="0.25">
      <c r="A523" t="s">
        <v>3229</v>
      </c>
      <c r="B523" t="s">
        <v>3003</v>
      </c>
      <c r="C523">
        <v>7.4</v>
      </c>
      <c r="D523" t="s">
        <v>3156</v>
      </c>
      <c r="E523" t="s">
        <v>945</v>
      </c>
      <c r="F523">
        <v>75</v>
      </c>
      <c r="G523" t="b">
        <v>0</v>
      </c>
      <c r="H523">
        <v>1</v>
      </c>
    </row>
    <row r="524" spans="1:8" x14ac:dyDescent="0.25">
      <c r="A524" t="s">
        <v>3229</v>
      </c>
      <c r="B524" t="s">
        <v>3005</v>
      </c>
      <c r="C524">
        <v>7.4</v>
      </c>
      <c r="D524" t="s">
        <v>3156</v>
      </c>
      <c r="E524" t="s">
        <v>945</v>
      </c>
      <c r="F524">
        <v>75</v>
      </c>
      <c r="G524" t="b">
        <v>0</v>
      </c>
      <c r="H524">
        <v>1</v>
      </c>
    </row>
    <row r="525" spans="1:8" x14ac:dyDescent="0.25">
      <c r="A525" t="s">
        <v>3229</v>
      </c>
      <c r="B525" t="s">
        <v>3007</v>
      </c>
      <c r="C525">
        <v>7.4</v>
      </c>
      <c r="D525" t="s">
        <v>3156</v>
      </c>
      <c r="E525" t="s">
        <v>945</v>
      </c>
      <c r="F525">
        <v>75</v>
      </c>
      <c r="G525" t="b">
        <v>0</v>
      </c>
      <c r="H525">
        <v>1</v>
      </c>
    </row>
    <row r="526" spans="1:8" x14ac:dyDescent="0.25">
      <c r="A526" t="s">
        <v>3229</v>
      </c>
      <c r="B526" t="s">
        <v>3009</v>
      </c>
      <c r="C526">
        <v>14.45</v>
      </c>
      <c r="D526" t="s">
        <v>3156</v>
      </c>
      <c r="E526" t="s">
        <v>945</v>
      </c>
      <c r="F526">
        <v>75</v>
      </c>
      <c r="G526" t="b">
        <v>0</v>
      </c>
      <c r="H526">
        <v>1</v>
      </c>
    </row>
    <row r="527" spans="1:8" x14ac:dyDescent="0.25">
      <c r="A527" t="s">
        <v>3229</v>
      </c>
      <c r="B527" t="s">
        <v>3011</v>
      </c>
      <c r="C527">
        <v>7.4</v>
      </c>
      <c r="D527" t="s">
        <v>3156</v>
      </c>
      <c r="E527" t="s">
        <v>945</v>
      </c>
      <c r="F527">
        <v>75</v>
      </c>
      <c r="G527" t="b">
        <v>0</v>
      </c>
      <c r="H527">
        <v>1</v>
      </c>
    </row>
    <row r="528" spans="1:8" x14ac:dyDescent="0.25">
      <c r="A528" t="s">
        <v>3229</v>
      </c>
      <c r="B528" t="s">
        <v>3013</v>
      </c>
      <c r="C528">
        <v>7.4</v>
      </c>
      <c r="D528" t="s">
        <v>3156</v>
      </c>
      <c r="E528" t="s">
        <v>945</v>
      </c>
      <c r="F528">
        <v>75</v>
      </c>
      <c r="G528" t="b">
        <v>0</v>
      </c>
      <c r="H528">
        <v>1</v>
      </c>
    </row>
    <row r="529" spans="1:8" x14ac:dyDescent="0.25">
      <c r="A529" t="s">
        <v>3229</v>
      </c>
      <c r="B529" t="s">
        <v>3015</v>
      </c>
      <c r="C529">
        <v>7.4</v>
      </c>
      <c r="D529" t="s">
        <v>3156</v>
      </c>
      <c r="E529" t="s">
        <v>945</v>
      </c>
      <c r="F529">
        <v>75</v>
      </c>
      <c r="G529" t="b">
        <v>0</v>
      </c>
      <c r="H529">
        <v>1</v>
      </c>
    </row>
    <row r="530" spans="1:8" x14ac:dyDescent="0.25">
      <c r="A530" t="s">
        <v>3229</v>
      </c>
      <c r="B530" t="s">
        <v>3017</v>
      </c>
      <c r="C530">
        <v>7.4</v>
      </c>
      <c r="D530" t="s">
        <v>3156</v>
      </c>
      <c r="E530" t="s">
        <v>945</v>
      </c>
      <c r="F530">
        <v>75</v>
      </c>
      <c r="G530" t="b">
        <v>0</v>
      </c>
      <c r="H530">
        <v>1</v>
      </c>
    </row>
    <row r="531" spans="1:8" x14ac:dyDescent="0.25">
      <c r="A531" t="s">
        <v>3229</v>
      </c>
      <c r="B531" t="s">
        <v>3019</v>
      </c>
      <c r="C531">
        <v>14.45</v>
      </c>
      <c r="D531" t="s">
        <v>3156</v>
      </c>
      <c r="E531" t="s">
        <v>945</v>
      </c>
      <c r="F531">
        <v>75</v>
      </c>
      <c r="G531" t="b">
        <v>0</v>
      </c>
      <c r="H531">
        <v>1</v>
      </c>
    </row>
    <row r="532" spans="1:8" x14ac:dyDescent="0.25">
      <c r="A532" t="s">
        <v>3229</v>
      </c>
      <c r="B532" t="s">
        <v>3021</v>
      </c>
      <c r="C532">
        <v>14.45</v>
      </c>
      <c r="D532" t="s">
        <v>3156</v>
      </c>
      <c r="E532" t="s">
        <v>945</v>
      </c>
      <c r="F532">
        <v>75</v>
      </c>
      <c r="G532" t="b">
        <v>0</v>
      </c>
      <c r="H532">
        <v>1</v>
      </c>
    </row>
    <row r="533" spans="1:8" x14ac:dyDescent="0.25">
      <c r="A533" t="s">
        <v>3229</v>
      </c>
      <c r="B533" t="s">
        <v>1379</v>
      </c>
      <c r="C533">
        <v>20.65</v>
      </c>
      <c r="D533" t="s">
        <v>3156</v>
      </c>
      <c r="E533" t="s">
        <v>945</v>
      </c>
      <c r="F533">
        <v>75</v>
      </c>
      <c r="G533" t="b">
        <v>0</v>
      </c>
      <c r="H533">
        <v>1</v>
      </c>
    </row>
    <row r="534" spans="1:8" x14ac:dyDescent="0.25">
      <c r="A534" t="s">
        <v>3230</v>
      </c>
      <c r="B534" t="s">
        <v>1655</v>
      </c>
      <c r="C534">
        <v>13.3</v>
      </c>
      <c r="D534" t="s">
        <v>3156</v>
      </c>
      <c r="E534" t="s">
        <v>945</v>
      </c>
      <c r="F534">
        <v>75</v>
      </c>
      <c r="G534" t="b">
        <v>0</v>
      </c>
      <c r="H534">
        <v>1</v>
      </c>
    </row>
    <row r="535" spans="1:8" x14ac:dyDescent="0.25">
      <c r="A535" t="s">
        <v>3230</v>
      </c>
      <c r="B535" t="s">
        <v>1657</v>
      </c>
      <c r="C535">
        <v>15.95</v>
      </c>
      <c r="D535" t="s">
        <v>3156</v>
      </c>
      <c r="E535" t="s">
        <v>945</v>
      </c>
      <c r="F535">
        <v>75</v>
      </c>
      <c r="G535" t="b">
        <v>0</v>
      </c>
      <c r="H535">
        <v>1</v>
      </c>
    </row>
    <row r="536" spans="1:8" x14ac:dyDescent="0.25">
      <c r="A536" t="s">
        <v>3230</v>
      </c>
      <c r="B536" t="s">
        <v>1643</v>
      </c>
      <c r="C536">
        <v>13.3</v>
      </c>
      <c r="D536" t="s">
        <v>3156</v>
      </c>
      <c r="E536" t="s">
        <v>945</v>
      </c>
      <c r="F536">
        <v>75</v>
      </c>
      <c r="G536" t="b">
        <v>0</v>
      </c>
      <c r="H536">
        <v>1</v>
      </c>
    </row>
    <row r="537" spans="1:8" x14ac:dyDescent="0.25">
      <c r="A537" t="s">
        <v>3230</v>
      </c>
      <c r="B537" t="s">
        <v>3231</v>
      </c>
      <c r="C537">
        <v>24.45</v>
      </c>
      <c r="D537" t="s">
        <v>3156</v>
      </c>
      <c r="E537" t="s">
        <v>945</v>
      </c>
      <c r="F537">
        <v>75</v>
      </c>
      <c r="G537" t="b">
        <v>0</v>
      </c>
      <c r="H537">
        <v>1</v>
      </c>
    </row>
    <row r="538" spans="1:8" x14ac:dyDescent="0.25">
      <c r="A538" t="s">
        <v>3230</v>
      </c>
      <c r="B538" t="s">
        <v>3232</v>
      </c>
      <c r="C538">
        <v>23.9</v>
      </c>
      <c r="D538" t="s">
        <v>3156</v>
      </c>
      <c r="E538" t="s">
        <v>945</v>
      </c>
      <c r="F538">
        <v>75</v>
      </c>
      <c r="G538" t="b">
        <v>0</v>
      </c>
      <c r="H538">
        <v>1</v>
      </c>
    </row>
    <row r="539" spans="1:8" x14ac:dyDescent="0.25">
      <c r="A539" t="s">
        <v>3230</v>
      </c>
      <c r="B539" t="s">
        <v>1382</v>
      </c>
      <c r="C539">
        <v>23.9</v>
      </c>
      <c r="D539" t="s">
        <v>3156</v>
      </c>
      <c r="E539" t="s">
        <v>945</v>
      </c>
      <c r="F539">
        <v>75</v>
      </c>
      <c r="G539" t="b">
        <v>0</v>
      </c>
      <c r="H539">
        <v>1</v>
      </c>
    </row>
    <row r="540" spans="1:8" x14ac:dyDescent="0.25">
      <c r="A540" t="s">
        <v>3230</v>
      </c>
      <c r="B540" t="s">
        <v>3233</v>
      </c>
      <c r="C540">
        <v>23.9</v>
      </c>
      <c r="D540" t="s">
        <v>3156</v>
      </c>
      <c r="E540" t="s">
        <v>945</v>
      </c>
      <c r="F540">
        <v>75</v>
      </c>
      <c r="G540" t="b">
        <v>0</v>
      </c>
      <c r="H540">
        <v>1</v>
      </c>
    </row>
    <row r="541" spans="1:8" x14ac:dyDescent="0.25">
      <c r="A541" t="s">
        <v>3230</v>
      </c>
      <c r="B541" t="s">
        <v>3234</v>
      </c>
      <c r="C541">
        <v>27.75</v>
      </c>
      <c r="D541" t="s">
        <v>3156</v>
      </c>
      <c r="E541" t="s">
        <v>945</v>
      </c>
      <c r="F541">
        <v>75</v>
      </c>
      <c r="G541" t="b">
        <v>0</v>
      </c>
      <c r="H541">
        <v>1</v>
      </c>
    </row>
    <row r="542" spans="1:8" x14ac:dyDescent="0.25">
      <c r="A542" t="s">
        <v>3046</v>
      </c>
      <c r="B542" t="s">
        <v>3047</v>
      </c>
      <c r="C542">
        <v>14.15</v>
      </c>
      <c r="D542" t="s">
        <v>3156</v>
      </c>
      <c r="E542" t="s">
        <v>945</v>
      </c>
      <c r="F542">
        <v>75</v>
      </c>
      <c r="G542" t="b">
        <v>0</v>
      </c>
      <c r="H542">
        <v>1</v>
      </c>
    </row>
    <row r="543" spans="1:8" x14ac:dyDescent="0.25">
      <c r="A543" t="s">
        <v>3237</v>
      </c>
      <c r="B543" t="s">
        <v>1384</v>
      </c>
      <c r="C543">
        <v>11.1</v>
      </c>
      <c r="D543" t="s">
        <v>3156</v>
      </c>
      <c r="E543" t="s">
        <v>945</v>
      </c>
      <c r="F543">
        <v>75</v>
      </c>
      <c r="G543" t="b">
        <v>0</v>
      </c>
      <c r="H543">
        <v>1</v>
      </c>
    </row>
    <row r="544" spans="1:8" x14ac:dyDescent="0.25">
      <c r="A544" t="s">
        <v>3048</v>
      </c>
      <c r="B544" t="s">
        <v>2097</v>
      </c>
      <c r="C544">
        <v>14.45</v>
      </c>
      <c r="D544" t="s">
        <v>3156</v>
      </c>
      <c r="E544" t="s">
        <v>945</v>
      </c>
      <c r="F544">
        <v>75</v>
      </c>
      <c r="G544" t="b">
        <v>0</v>
      </c>
      <c r="H544">
        <v>1</v>
      </c>
    </row>
    <row r="545" spans="1:8" x14ac:dyDescent="0.25">
      <c r="A545" t="s">
        <v>3048</v>
      </c>
      <c r="B545" t="s">
        <v>2094</v>
      </c>
      <c r="C545">
        <v>6.5</v>
      </c>
      <c r="D545" t="s">
        <v>3156</v>
      </c>
      <c r="E545" t="s">
        <v>945</v>
      </c>
      <c r="F545">
        <v>75</v>
      </c>
      <c r="G545" t="b">
        <v>0</v>
      </c>
      <c r="H545">
        <v>1</v>
      </c>
    </row>
    <row r="546" spans="1:8" x14ac:dyDescent="0.25">
      <c r="A546" t="s">
        <v>3048</v>
      </c>
      <c r="B546" t="s">
        <v>2971</v>
      </c>
      <c r="C546">
        <v>10.6</v>
      </c>
      <c r="D546" t="s">
        <v>3156</v>
      </c>
      <c r="E546" t="s">
        <v>945</v>
      </c>
      <c r="F546">
        <v>75</v>
      </c>
      <c r="G546" t="b">
        <v>0</v>
      </c>
      <c r="H546">
        <v>1</v>
      </c>
    </row>
    <row r="547" spans="1:8" x14ac:dyDescent="0.25">
      <c r="A547" t="s">
        <v>3048</v>
      </c>
      <c r="B547" t="s">
        <v>2973</v>
      </c>
      <c r="C547">
        <v>25.35</v>
      </c>
      <c r="D547" t="s">
        <v>3156</v>
      </c>
      <c r="E547" t="s">
        <v>945</v>
      </c>
      <c r="F547">
        <v>75</v>
      </c>
      <c r="G547" t="b">
        <v>0</v>
      </c>
      <c r="H547">
        <v>1</v>
      </c>
    </row>
    <row r="548" spans="1:8" x14ac:dyDescent="0.25">
      <c r="A548" t="s">
        <v>3048</v>
      </c>
      <c r="B548" t="s">
        <v>2965</v>
      </c>
      <c r="C548">
        <v>18.649999999999999</v>
      </c>
      <c r="D548" t="s">
        <v>3156</v>
      </c>
      <c r="E548" t="s">
        <v>945</v>
      </c>
      <c r="F548">
        <v>75</v>
      </c>
      <c r="G548" t="b">
        <v>0</v>
      </c>
      <c r="H548">
        <v>1</v>
      </c>
    </row>
    <row r="549" spans="1:8" x14ac:dyDescent="0.25">
      <c r="A549" t="s">
        <v>3048</v>
      </c>
      <c r="B549" t="s">
        <v>2166</v>
      </c>
      <c r="C549">
        <v>18.649999999999999</v>
      </c>
      <c r="D549" t="s">
        <v>3156</v>
      </c>
      <c r="E549" t="s">
        <v>945</v>
      </c>
      <c r="F549">
        <v>75</v>
      </c>
      <c r="G549" t="b">
        <v>0</v>
      </c>
      <c r="H549">
        <v>1</v>
      </c>
    </row>
    <row r="550" spans="1:8" x14ac:dyDescent="0.25">
      <c r="A550" t="s">
        <v>3048</v>
      </c>
      <c r="B550" t="s">
        <v>2168</v>
      </c>
      <c r="C550">
        <v>25.35</v>
      </c>
      <c r="D550" t="s">
        <v>3156</v>
      </c>
      <c r="E550" t="s">
        <v>945</v>
      </c>
      <c r="F550">
        <v>75</v>
      </c>
      <c r="G550" t="b">
        <v>0</v>
      </c>
      <c r="H550">
        <v>1</v>
      </c>
    </row>
    <row r="551" spans="1:8" x14ac:dyDescent="0.25">
      <c r="A551" t="s">
        <v>3048</v>
      </c>
      <c r="B551" t="s">
        <v>2105</v>
      </c>
      <c r="C551">
        <v>4.75</v>
      </c>
      <c r="D551" t="s">
        <v>3156</v>
      </c>
      <c r="E551" t="s">
        <v>945</v>
      </c>
      <c r="F551">
        <v>75</v>
      </c>
      <c r="G551" t="b">
        <v>0</v>
      </c>
      <c r="H551">
        <v>1</v>
      </c>
    </row>
    <row r="552" spans="1:8" x14ac:dyDescent="0.25">
      <c r="A552" t="s">
        <v>3048</v>
      </c>
      <c r="B552" t="s">
        <v>2108</v>
      </c>
      <c r="C552">
        <v>4.75</v>
      </c>
      <c r="D552" t="s">
        <v>3156</v>
      </c>
      <c r="E552" t="s">
        <v>945</v>
      </c>
      <c r="F552">
        <v>75</v>
      </c>
      <c r="G552" t="b">
        <v>0</v>
      </c>
      <c r="H552">
        <v>1</v>
      </c>
    </row>
    <row r="553" spans="1:8" x14ac:dyDescent="0.25">
      <c r="A553" t="s">
        <v>3048</v>
      </c>
      <c r="B553" t="s">
        <v>2111</v>
      </c>
      <c r="C553">
        <v>4.75</v>
      </c>
      <c r="D553" t="s">
        <v>3156</v>
      </c>
      <c r="E553" t="s">
        <v>945</v>
      </c>
      <c r="F553">
        <v>75</v>
      </c>
      <c r="G553" t="b">
        <v>0</v>
      </c>
      <c r="H553">
        <v>1</v>
      </c>
    </row>
    <row r="554" spans="1:8" x14ac:dyDescent="0.25">
      <c r="A554" t="s">
        <v>3048</v>
      </c>
      <c r="B554" t="s">
        <v>2114</v>
      </c>
      <c r="C554">
        <v>4.75</v>
      </c>
      <c r="D554" t="s">
        <v>3156</v>
      </c>
      <c r="E554" t="s">
        <v>945</v>
      </c>
      <c r="F554">
        <v>75</v>
      </c>
      <c r="G554" t="b">
        <v>0</v>
      </c>
      <c r="H554">
        <v>1</v>
      </c>
    </row>
    <row r="555" spans="1:8" x14ac:dyDescent="0.25">
      <c r="A555" t="s">
        <v>3048</v>
      </c>
      <c r="B555" t="s">
        <v>2969</v>
      </c>
      <c r="C555">
        <v>19.8</v>
      </c>
      <c r="D555" t="s">
        <v>3156</v>
      </c>
      <c r="E555" t="s">
        <v>945</v>
      </c>
      <c r="F555">
        <v>75</v>
      </c>
      <c r="G555" t="b">
        <v>0</v>
      </c>
      <c r="H555">
        <v>1</v>
      </c>
    </row>
    <row r="556" spans="1:8" x14ac:dyDescent="0.25">
      <c r="A556" t="s">
        <v>3048</v>
      </c>
      <c r="B556" t="s">
        <v>2078</v>
      </c>
      <c r="C556">
        <v>5.6</v>
      </c>
      <c r="D556" t="s">
        <v>3156</v>
      </c>
      <c r="E556" t="s">
        <v>945</v>
      </c>
      <c r="F556">
        <v>75</v>
      </c>
      <c r="G556" t="b">
        <v>0</v>
      </c>
      <c r="H556">
        <v>1</v>
      </c>
    </row>
    <row r="557" spans="1:8" x14ac:dyDescent="0.25">
      <c r="A557" t="s">
        <v>3048</v>
      </c>
      <c r="B557" t="s">
        <v>2082</v>
      </c>
      <c r="C557">
        <v>5.6</v>
      </c>
      <c r="D557" t="s">
        <v>3156</v>
      </c>
      <c r="E557" t="s">
        <v>945</v>
      </c>
      <c r="F557">
        <v>75</v>
      </c>
      <c r="G557" t="b">
        <v>0</v>
      </c>
      <c r="H557">
        <v>1</v>
      </c>
    </row>
    <row r="558" spans="1:8" x14ac:dyDescent="0.25">
      <c r="A558" t="s">
        <v>3048</v>
      </c>
      <c r="B558" t="s">
        <v>2085</v>
      </c>
      <c r="C558">
        <v>5.6</v>
      </c>
      <c r="D558" t="s">
        <v>3156</v>
      </c>
      <c r="E558" t="s">
        <v>945</v>
      </c>
      <c r="F558">
        <v>75</v>
      </c>
      <c r="G558" t="b">
        <v>0</v>
      </c>
      <c r="H558">
        <v>1</v>
      </c>
    </row>
    <row r="559" spans="1:8" x14ac:dyDescent="0.25">
      <c r="A559" t="s">
        <v>3048</v>
      </c>
      <c r="B559" t="s">
        <v>2088</v>
      </c>
      <c r="C559">
        <v>5.6</v>
      </c>
      <c r="D559" t="s">
        <v>3156</v>
      </c>
      <c r="E559" t="s">
        <v>945</v>
      </c>
      <c r="F559">
        <v>75</v>
      </c>
      <c r="G559" t="b">
        <v>0</v>
      </c>
      <c r="H559">
        <v>1</v>
      </c>
    </row>
    <row r="560" spans="1:8" x14ac:dyDescent="0.25">
      <c r="A560" t="s">
        <v>3048</v>
      </c>
      <c r="B560" t="s">
        <v>2091</v>
      </c>
      <c r="C560">
        <v>5.6</v>
      </c>
      <c r="D560" t="s">
        <v>3156</v>
      </c>
      <c r="E560" t="s">
        <v>945</v>
      </c>
      <c r="F560">
        <v>75</v>
      </c>
      <c r="G560" t="b">
        <v>0</v>
      </c>
      <c r="H560">
        <v>1</v>
      </c>
    </row>
    <row r="561" spans="1:8" x14ac:dyDescent="0.25">
      <c r="A561" t="s">
        <v>3048</v>
      </c>
      <c r="B561" t="s">
        <v>2143</v>
      </c>
      <c r="C561">
        <v>15.95</v>
      </c>
      <c r="D561" t="s">
        <v>3156</v>
      </c>
      <c r="E561" t="s">
        <v>945</v>
      </c>
      <c r="F561">
        <v>75</v>
      </c>
      <c r="G561" t="b">
        <v>0</v>
      </c>
      <c r="H561">
        <v>1</v>
      </c>
    </row>
    <row r="562" spans="1:8" x14ac:dyDescent="0.25">
      <c r="A562" t="s">
        <v>3048</v>
      </c>
      <c r="B562" t="s">
        <v>2146</v>
      </c>
      <c r="C562">
        <v>15.95</v>
      </c>
      <c r="D562" t="s">
        <v>3156</v>
      </c>
      <c r="E562" t="s">
        <v>945</v>
      </c>
      <c r="F562">
        <v>75</v>
      </c>
      <c r="G562" t="b">
        <v>0</v>
      </c>
      <c r="H562">
        <v>1</v>
      </c>
    </row>
    <row r="563" spans="1:8" x14ac:dyDescent="0.25">
      <c r="A563" t="s">
        <v>3048</v>
      </c>
      <c r="B563" t="s">
        <v>2975</v>
      </c>
      <c r="C563">
        <v>15.95</v>
      </c>
      <c r="D563" t="s">
        <v>3156</v>
      </c>
      <c r="E563" t="s">
        <v>945</v>
      </c>
      <c r="F563">
        <v>75</v>
      </c>
      <c r="G563" t="b">
        <v>0</v>
      </c>
      <c r="H563">
        <v>1</v>
      </c>
    </row>
    <row r="564" spans="1:8" x14ac:dyDescent="0.25">
      <c r="A564" t="s">
        <v>3048</v>
      </c>
      <c r="B564" t="s">
        <v>2152</v>
      </c>
      <c r="C564">
        <v>15.95</v>
      </c>
      <c r="D564" t="s">
        <v>3156</v>
      </c>
      <c r="E564" t="s">
        <v>945</v>
      </c>
      <c r="F564">
        <v>75</v>
      </c>
      <c r="G564" t="b">
        <v>0</v>
      </c>
      <c r="H564">
        <v>1</v>
      </c>
    </row>
    <row r="565" spans="1:8" x14ac:dyDescent="0.25">
      <c r="A565" t="s">
        <v>3048</v>
      </c>
      <c r="B565" t="s">
        <v>2154</v>
      </c>
      <c r="C565">
        <v>19.8</v>
      </c>
      <c r="D565" t="s">
        <v>3156</v>
      </c>
      <c r="E565" t="s">
        <v>945</v>
      </c>
      <c r="F565">
        <v>75</v>
      </c>
      <c r="G565" t="b">
        <v>0</v>
      </c>
      <c r="H565">
        <v>1</v>
      </c>
    </row>
    <row r="566" spans="1:8" x14ac:dyDescent="0.25">
      <c r="A566" t="s">
        <v>3048</v>
      </c>
      <c r="B566" t="s">
        <v>2149</v>
      </c>
      <c r="C566">
        <v>15.95</v>
      </c>
      <c r="D566" t="s">
        <v>3156</v>
      </c>
      <c r="E566" t="s">
        <v>945</v>
      </c>
      <c r="F566">
        <v>75</v>
      </c>
      <c r="G566" t="b">
        <v>0</v>
      </c>
      <c r="H566">
        <v>1</v>
      </c>
    </row>
    <row r="567" spans="1:8" x14ac:dyDescent="0.25">
      <c r="A567" t="s">
        <v>3048</v>
      </c>
      <c r="B567" t="s">
        <v>2977</v>
      </c>
      <c r="C567">
        <v>15.95</v>
      </c>
      <c r="D567" t="s">
        <v>3156</v>
      </c>
      <c r="E567" t="s">
        <v>945</v>
      </c>
      <c r="F567">
        <v>75</v>
      </c>
      <c r="G567" t="b">
        <v>0</v>
      </c>
      <c r="H567">
        <v>1</v>
      </c>
    </row>
    <row r="568" spans="1:8" x14ac:dyDescent="0.25">
      <c r="A568" t="s">
        <v>3048</v>
      </c>
      <c r="B568" t="s">
        <v>2156</v>
      </c>
      <c r="C568">
        <v>40.450000000000003</v>
      </c>
      <c r="D568" t="s">
        <v>3156</v>
      </c>
      <c r="E568" t="s">
        <v>945</v>
      </c>
      <c r="F568">
        <v>75</v>
      </c>
      <c r="G568" t="b">
        <v>0</v>
      </c>
      <c r="H568">
        <v>1</v>
      </c>
    </row>
    <row r="569" spans="1:8" x14ac:dyDescent="0.25">
      <c r="A569" t="s">
        <v>3048</v>
      </c>
      <c r="B569" t="s">
        <v>2981</v>
      </c>
      <c r="C569">
        <v>0.9</v>
      </c>
      <c r="D569" t="s">
        <v>3156</v>
      </c>
      <c r="E569" t="s">
        <v>945</v>
      </c>
      <c r="F569">
        <v>75</v>
      </c>
      <c r="G569" t="b">
        <v>0</v>
      </c>
      <c r="H569">
        <v>1</v>
      </c>
    </row>
    <row r="570" spans="1:8" x14ac:dyDescent="0.25">
      <c r="A570" t="s">
        <v>3048</v>
      </c>
      <c r="B570" t="s">
        <v>2177</v>
      </c>
      <c r="C570">
        <v>5.6</v>
      </c>
      <c r="D570" t="s">
        <v>3156</v>
      </c>
      <c r="E570" t="s">
        <v>945</v>
      </c>
      <c r="F570">
        <v>75</v>
      </c>
      <c r="G570" t="b">
        <v>0</v>
      </c>
      <c r="H570">
        <v>1</v>
      </c>
    </row>
    <row r="571" spans="1:8" x14ac:dyDescent="0.25">
      <c r="A571" t="s">
        <v>3048</v>
      </c>
      <c r="B571" t="s">
        <v>2187</v>
      </c>
      <c r="C571">
        <v>15.95</v>
      </c>
      <c r="D571" t="s">
        <v>3156</v>
      </c>
      <c r="E571" t="s">
        <v>945</v>
      </c>
      <c r="F571">
        <v>75</v>
      </c>
      <c r="G571" t="b">
        <v>0</v>
      </c>
      <c r="H571">
        <v>1</v>
      </c>
    </row>
    <row r="572" spans="1:8" x14ac:dyDescent="0.25">
      <c r="A572" t="s">
        <v>3048</v>
      </c>
      <c r="B572" t="s">
        <v>2179</v>
      </c>
      <c r="C572">
        <v>3.75</v>
      </c>
      <c r="D572" t="s">
        <v>3156</v>
      </c>
      <c r="E572" t="s">
        <v>945</v>
      </c>
      <c r="F572">
        <v>75</v>
      </c>
      <c r="G572" t="b">
        <v>0</v>
      </c>
      <c r="H572">
        <v>1</v>
      </c>
    </row>
    <row r="573" spans="1:8" x14ac:dyDescent="0.25">
      <c r="A573" t="s">
        <v>3048</v>
      </c>
      <c r="B573" t="s">
        <v>2182</v>
      </c>
      <c r="C573">
        <v>9.15</v>
      </c>
      <c r="D573" t="s">
        <v>3156</v>
      </c>
      <c r="E573" t="s">
        <v>945</v>
      </c>
      <c r="F573">
        <v>75</v>
      </c>
      <c r="G573" t="b">
        <v>0</v>
      </c>
      <c r="H573">
        <v>1</v>
      </c>
    </row>
    <row r="574" spans="1:8" x14ac:dyDescent="0.25">
      <c r="A574" t="s">
        <v>3048</v>
      </c>
      <c r="B574" t="s">
        <v>2184</v>
      </c>
      <c r="C574">
        <v>9.6999999999999993</v>
      </c>
      <c r="D574" t="s">
        <v>3156</v>
      </c>
      <c r="E574" t="s">
        <v>945</v>
      </c>
      <c r="F574">
        <v>75</v>
      </c>
      <c r="G574" t="b">
        <v>0</v>
      </c>
      <c r="H574">
        <v>1</v>
      </c>
    </row>
    <row r="575" spans="1:8" x14ac:dyDescent="0.25">
      <c r="A575" t="s">
        <v>3048</v>
      </c>
      <c r="B575" t="s">
        <v>2985</v>
      </c>
      <c r="C575">
        <v>3.55</v>
      </c>
      <c r="D575" t="s">
        <v>3156</v>
      </c>
      <c r="E575" t="s">
        <v>945</v>
      </c>
      <c r="F575">
        <v>75</v>
      </c>
      <c r="G575" t="b">
        <v>0</v>
      </c>
      <c r="H575">
        <v>1</v>
      </c>
    </row>
    <row r="576" spans="1:8" x14ac:dyDescent="0.25">
      <c r="A576" t="s">
        <v>3048</v>
      </c>
      <c r="B576" t="s">
        <v>3049</v>
      </c>
      <c r="C576">
        <v>41.25</v>
      </c>
      <c r="D576" t="s">
        <v>3156</v>
      </c>
      <c r="E576" t="s">
        <v>945</v>
      </c>
      <c r="F576">
        <v>75</v>
      </c>
      <c r="G576" t="b">
        <v>0</v>
      </c>
      <c r="H576">
        <v>1</v>
      </c>
    </row>
    <row r="577" spans="1:8" x14ac:dyDescent="0.25">
      <c r="A577" t="s">
        <v>3048</v>
      </c>
      <c r="B577" t="s">
        <v>2979</v>
      </c>
      <c r="C577">
        <v>15.95</v>
      </c>
      <c r="D577" t="s">
        <v>3156</v>
      </c>
      <c r="E577" t="s">
        <v>945</v>
      </c>
      <c r="F577">
        <v>75</v>
      </c>
      <c r="G577" t="b">
        <v>0</v>
      </c>
      <c r="H577">
        <v>1</v>
      </c>
    </row>
    <row r="578" spans="1:8" x14ac:dyDescent="0.25">
      <c r="A578" t="s">
        <v>3048</v>
      </c>
      <c r="B578" t="s">
        <v>2100</v>
      </c>
      <c r="C578">
        <v>19.05</v>
      </c>
      <c r="D578" t="s">
        <v>3156</v>
      </c>
      <c r="E578" t="s">
        <v>945</v>
      </c>
      <c r="F578">
        <v>75</v>
      </c>
      <c r="G578" t="b">
        <v>0</v>
      </c>
      <c r="H578">
        <v>1</v>
      </c>
    </row>
    <row r="579" spans="1:8" x14ac:dyDescent="0.25">
      <c r="A579" t="s">
        <v>3048</v>
      </c>
      <c r="B579" t="s">
        <v>2103</v>
      </c>
      <c r="C579">
        <v>36.049999999999997</v>
      </c>
      <c r="D579" t="s">
        <v>3156</v>
      </c>
      <c r="E579" t="s">
        <v>945</v>
      </c>
      <c r="F579">
        <v>75</v>
      </c>
      <c r="G579" t="b">
        <v>0</v>
      </c>
      <c r="H579">
        <v>1</v>
      </c>
    </row>
    <row r="580" spans="1:8" x14ac:dyDescent="0.25">
      <c r="A580" t="s">
        <v>3048</v>
      </c>
      <c r="B580" t="s">
        <v>2983</v>
      </c>
      <c r="C580">
        <v>10</v>
      </c>
      <c r="D580" t="s">
        <v>3156</v>
      </c>
      <c r="E580" t="s">
        <v>945</v>
      </c>
      <c r="F580">
        <v>75</v>
      </c>
      <c r="G580" t="b">
        <v>0</v>
      </c>
      <c r="H580">
        <v>1</v>
      </c>
    </row>
    <row r="581" spans="1:8" x14ac:dyDescent="0.25">
      <c r="A581" t="s">
        <v>3048</v>
      </c>
      <c r="B581" t="s">
        <v>2967</v>
      </c>
      <c r="C581">
        <v>18.649999999999999</v>
      </c>
      <c r="D581" t="s">
        <v>3156</v>
      </c>
      <c r="E581" t="s">
        <v>945</v>
      </c>
      <c r="F581">
        <v>75</v>
      </c>
      <c r="G581" t="b">
        <v>0</v>
      </c>
      <c r="H581">
        <v>1</v>
      </c>
    </row>
    <row r="582" spans="1:8" x14ac:dyDescent="0.25">
      <c r="A582" t="s">
        <v>3048</v>
      </c>
      <c r="B582" t="s">
        <v>3050</v>
      </c>
      <c r="C582">
        <v>5</v>
      </c>
      <c r="D582" t="s">
        <v>3156</v>
      </c>
      <c r="E582" t="s">
        <v>945</v>
      </c>
      <c r="F582">
        <v>75</v>
      </c>
      <c r="G582" t="b">
        <v>0</v>
      </c>
      <c r="H582">
        <v>1</v>
      </c>
    </row>
    <row r="583" spans="1:8" x14ac:dyDescent="0.25">
      <c r="A583" t="s">
        <v>736</v>
      </c>
      <c r="B583" t="s">
        <v>737</v>
      </c>
      <c r="C583">
        <v>26.5</v>
      </c>
      <c r="D583" t="s">
        <v>3078</v>
      </c>
      <c r="E583" t="s">
        <v>821</v>
      </c>
      <c r="F583">
        <v>75</v>
      </c>
      <c r="G583" t="b">
        <v>1</v>
      </c>
      <c r="H583">
        <v>1</v>
      </c>
    </row>
    <row r="584" spans="1:8" x14ac:dyDescent="0.25">
      <c r="A584" t="s">
        <v>818</v>
      </c>
      <c r="B584" t="s">
        <v>819</v>
      </c>
      <c r="C584">
        <v>26.5</v>
      </c>
      <c r="D584" t="s">
        <v>3078</v>
      </c>
      <c r="E584" t="s">
        <v>821</v>
      </c>
      <c r="F584">
        <v>75</v>
      </c>
      <c r="G584" t="b">
        <v>1</v>
      </c>
      <c r="H584">
        <v>1</v>
      </c>
    </row>
    <row r="585" spans="1:8" x14ac:dyDescent="0.25">
      <c r="A585" t="s">
        <v>741</v>
      </c>
      <c r="B585" t="s">
        <v>742</v>
      </c>
      <c r="C585">
        <v>64.849999999999994</v>
      </c>
      <c r="D585" t="s">
        <v>3078</v>
      </c>
      <c r="E585" t="s">
        <v>821</v>
      </c>
      <c r="F585">
        <v>75</v>
      </c>
      <c r="G585" t="b">
        <v>1</v>
      </c>
      <c r="H585">
        <v>1</v>
      </c>
    </row>
    <row r="586" spans="1:8" x14ac:dyDescent="0.25">
      <c r="A586" t="s">
        <v>744</v>
      </c>
      <c r="B586" t="s">
        <v>745</v>
      </c>
      <c r="C586">
        <v>64.849999999999994</v>
      </c>
      <c r="D586" t="s">
        <v>3078</v>
      </c>
      <c r="E586" t="s">
        <v>821</v>
      </c>
      <c r="F586">
        <v>75</v>
      </c>
      <c r="G586" t="b">
        <v>1</v>
      </c>
      <c r="H586">
        <v>1</v>
      </c>
    </row>
    <row r="587" spans="1:8" x14ac:dyDescent="0.25">
      <c r="A587" t="s">
        <v>822</v>
      </c>
      <c r="B587" t="s">
        <v>823</v>
      </c>
      <c r="C587">
        <v>64.849999999999994</v>
      </c>
      <c r="D587" t="s">
        <v>3078</v>
      </c>
      <c r="E587" t="s">
        <v>821</v>
      </c>
      <c r="F587">
        <v>75</v>
      </c>
      <c r="G587" t="b">
        <v>1</v>
      </c>
      <c r="H587">
        <v>1</v>
      </c>
    </row>
    <row r="588" spans="1:8" x14ac:dyDescent="0.25">
      <c r="A588" t="s">
        <v>824</v>
      </c>
      <c r="B588" t="s">
        <v>825</v>
      </c>
      <c r="C588">
        <v>83.45</v>
      </c>
      <c r="D588" t="s">
        <v>3078</v>
      </c>
      <c r="E588" t="s">
        <v>821</v>
      </c>
      <c r="F588">
        <v>75</v>
      </c>
      <c r="G588" t="b">
        <v>1</v>
      </c>
      <c r="H588">
        <v>1</v>
      </c>
    </row>
    <row r="589" spans="1:8" x14ac:dyDescent="0.25">
      <c r="A589" t="s">
        <v>826</v>
      </c>
      <c r="B589" t="s">
        <v>827</v>
      </c>
      <c r="C589">
        <v>99.65</v>
      </c>
      <c r="D589" t="s">
        <v>3078</v>
      </c>
      <c r="E589" t="s">
        <v>821</v>
      </c>
      <c r="F589">
        <v>75</v>
      </c>
      <c r="G589" t="b">
        <v>1</v>
      </c>
      <c r="H589">
        <v>1</v>
      </c>
    </row>
    <row r="590" spans="1:8" x14ac:dyDescent="0.25">
      <c r="A590" t="s">
        <v>758</v>
      </c>
      <c r="B590" t="s">
        <v>759</v>
      </c>
      <c r="C590">
        <v>99.65</v>
      </c>
      <c r="D590" t="s">
        <v>3078</v>
      </c>
      <c r="E590" t="s">
        <v>821</v>
      </c>
      <c r="F590">
        <v>75</v>
      </c>
      <c r="G590" t="b">
        <v>1</v>
      </c>
      <c r="H590">
        <v>1</v>
      </c>
    </row>
    <row r="591" spans="1:8" x14ac:dyDescent="0.25">
      <c r="A591" t="s">
        <v>828</v>
      </c>
      <c r="B591" t="s">
        <v>829</v>
      </c>
      <c r="C591">
        <v>99.65</v>
      </c>
      <c r="D591" t="s">
        <v>3078</v>
      </c>
      <c r="E591" t="s">
        <v>821</v>
      </c>
      <c r="F591">
        <v>75</v>
      </c>
      <c r="G591" t="b">
        <v>1</v>
      </c>
      <c r="H591">
        <v>1</v>
      </c>
    </row>
    <row r="592" spans="1:8" x14ac:dyDescent="0.25">
      <c r="A592" t="s">
        <v>830</v>
      </c>
      <c r="B592" t="s">
        <v>831</v>
      </c>
      <c r="C592">
        <v>99.65</v>
      </c>
      <c r="D592" t="s">
        <v>3078</v>
      </c>
      <c r="E592" t="s">
        <v>821</v>
      </c>
      <c r="F592">
        <v>75</v>
      </c>
      <c r="G592" t="b">
        <v>1</v>
      </c>
      <c r="H592">
        <v>1</v>
      </c>
    </row>
    <row r="593" spans="1:8" x14ac:dyDescent="0.25">
      <c r="A593" t="s">
        <v>830</v>
      </c>
      <c r="B593" t="s">
        <v>759</v>
      </c>
      <c r="C593">
        <v>99.65</v>
      </c>
      <c r="D593" t="s">
        <v>3078</v>
      </c>
      <c r="E593" t="s">
        <v>821</v>
      </c>
      <c r="F593">
        <v>75</v>
      </c>
      <c r="G593" t="b">
        <v>1</v>
      </c>
      <c r="H593">
        <v>1</v>
      </c>
    </row>
    <row r="594" spans="1:8" x14ac:dyDescent="0.25">
      <c r="A594" t="s">
        <v>755</v>
      </c>
      <c r="B594" t="s">
        <v>756</v>
      </c>
      <c r="C594">
        <v>85.8</v>
      </c>
      <c r="D594" t="s">
        <v>3078</v>
      </c>
      <c r="E594" t="s">
        <v>821</v>
      </c>
      <c r="F594">
        <v>75</v>
      </c>
      <c r="G594" t="b">
        <v>1</v>
      </c>
      <c r="H594">
        <v>1</v>
      </c>
    </row>
    <row r="595" spans="1:8" x14ac:dyDescent="0.25">
      <c r="A595" t="s">
        <v>747</v>
      </c>
      <c r="B595" t="s">
        <v>748</v>
      </c>
      <c r="C595">
        <v>105.7</v>
      </c>
      <c r="D595" t="s">
        <v>3078</v>
      </c>
      <c r="E595" t="s">
        <v>821</v>
      </c>
      <c r="F595">
        <v>75</v>
      </c>
      <c r="G595" t="b">
        <v>1</v>
      </c>
      <c r="H595">
        <v>1</v>
      </c>
    </row>
    <row r="596" spans="1:8" x14ac:dyDescent="0.25">
      <c r="A596" t="s">
        <v>805</v>
      </c>
      <c r="B596" t="s">
        <v>806</v>
      </c>
      <c r="C596">
        <v>74</v>
      </c>
      <c r="D596" t="s">
        <v>3078</v>
      </c>
      <c r="E596" t="s">
        <v>813</v>
      </c>
      <c r="F596">
        <v>75</v>
      </c>
      <c r="G596" t="b">
        <v>1</v>
      </c>
      <c r="H596">
        <v>1</v>
      </c>
    </row>
    <row r="597" spans="1:8" x14ac:dyDescent="0.25">
      <c r="A597" t="s">
        <v>832</v>
      </c>
      <c r="B597" t="s">
        <v>749</v>
      </c>
      <c r="C597">
        <v>105.7</v>
      </c>
      <c r="D597" t="s">
        <v>3078</v>
      </c>
      <c r="E597" t="s">
        <v>821</v>
      </c>
      <c r="F597">
        <v>75</v>
      </c>
      <c r="G597" t="b">
        <v>1</v>
      </c>
      <c r="H597">
        <v>1</v>
      </c>
    </row>
    <row r="598" spans="1:8" x14ac:dyDescent="0.25">
      <c r="A598" t="s">
        <v>808</v>
      </c>
      <c r="B598" t="s">
        <v>809</v>
      </c>
      <c r="C598">
        <v>53.05</v>
      </c>
      <c r="D598" t="s">
        <v>3078</v>
      </c>
      <c r="E598" t="s">
        <v>813</v>
      </c>
      <c r="F598">
        <v>75</v>
      </c>
      <c r="G598" t="b">
        <v>1</v>
      </c>
      <c r="H598">
        <v>1</v>
      </c>
    </row>
    <row r="599" spans="1:8" x14ac:dyDescent="0.25">
      <c r="A599" t="s">
        <v>810</v>
      </c>
      <c r="B599" t="s">
        <v>811</v>
      </c>
      <c r="C599">
        <v>50</v>
      </c>
      <c r="D599" t="s">
        <v>3078</v>
      </c>
      <c r="E599" t="s">
        <v>813</v>
      </c>
      <c r="F599">
        <v>75</v>
      </c>
      <c r="G599" t="b">
        <v>1</v>
      </c>
      <c r="H599">
        <v>1</v>
      </c>
    </row>
    <row r="600" spans="1:8" x14ac:dyDescent="0.25">
      <c r="A600" t="s">
        <v>814</v>
      </c>
      <c r="B600" t="s">
        <v>815</v>
      </c>
      <c r="C600">
        <v>129.15</v>
      </c>
      <c r="D600" t="s">
        <v>3078</v>
      </c>
      <c r="E600" t="s">
        <v>777</v>
      </c>
      <c r="F600">
        <v>75</v>
      </c>
      <c r="G600" t="b">
        <v>1</v>
      </c>
      <c r="H600">
        <v>1</v>
      </c>
    </row>
    <row r="601" spans="1:8" x14ac:dyDescent="0.25">
      <c r="A601" t="s">
        <v>781</v>
      </c>
      <c r="B601" t="s">
        <v>782</v>
      </c>
      <c r="C601">
        <v>108.5</v>
      </c>
      <c r="D601" t="s">
        <v>3078</v>
      </c>
      <c r="E601" t="s">
        <v>777</v>
      </c>
      <c r="F601">
        <v>75</v>
      </c>
      <c r="G601" t="b">
        <v>1</v>
      </c>
      <c r="H601">
        <v>1</v>
      </c>
    </row>
    <row r="602" spans="1:8" x14ac:dyDescent="0.25">
      <c r="A602" t="s">
        <v>783</v>
      </c>
      <c r="B602" t="s">
        <v>784</v>
      </c>
      <c r="C602">
        <v>135.05000000000001</v>
      </c>
      <c r="D602" t="s">
        <v>3078</v>
      </c>
      <c r="E602" t="s">
        <v>777</v>
      </c>
      <c r="F602">
        <v>75</v>
      </c>
      <c r="G602" t="b">
        <v>1</v>
      </c>
      <c r="H602">
        <v>1</v>
      </c>
    </row>
    <row r="603" spans="1:8" x14ac:dyDescent="0.25">
      <c r="A603" t="s">
        <v>789</v>
      </c>
      <c r="B603" t="s">
        <v>790</v>
      </c>
      <c r="C603">
        <v>194.55</v>
      </c>
      <c r="D603" t="s">
        <v>3078</v>
      </c>
      <c r="E603" t="s">
        <v>777</v>
      </c>
      <c r="F603">
        <v>75</v>
      </c>
      <c r="G603" t="b">
        <v>1</v>
      </c>
      <c r="H603">
        <v>1</v>
      </c>
    </row>
    <row r="604" spans="1:8" x14ac:dyDescent="0.25">
      <c r="A604" t="s">
        <v>786</v>
      </c>
      <c r="B604" t="s">
        <v>787</v>
      </c>
      <c r="C604">
        <v>223.4</v>
      </c>
      <c r="D604" t="s">
        <v>3078</v>
      </c>
      <c r="E604" t="s">
        <v>777</v>
      </c>
      <c r="F604">
        <v>75</v>
      </c>
      <c r="G604" t="b">
        <v>1</v>
      </c>
      <c r="H604">
        <v>1</v>
      </c>
    </row>
    <row r="605" spans="1:8" x14ac:dyDescent="0.25">
      <c r="A605" t="s">
        <v>799</v>
      </c>
      <c r="B605" t="s">
        <v>800</v>
      </c>
      <c r="C605">
        <v>82</v>
      </c>
      <c r="D605" t="s">
        <v>3078</v>
      </c>
      <c r="E605" t="s">
        <v>945</v>
      </c>
      <c r="F605">
        <v>75</v>
      </c>
      <c r="G605" t="b">
        <v>1</v>
      </c>
      <c r="H605">
        <v>1</v>
      </c>
    </row>
    <row r="606" spans="1:8" x14ac:dyDescent="0.25">
      <c r="A606" t="s">
        <v>816</v>
      </c>
      <c r="B606" t="s">
        <v>817</v>
      </c>
      <c r="C606">
        <v>82</v>
      </c>
      <c r="D606" t="s">
        <v>3078</v>
      </c>
      <c r="E606" t="s">
        <v>945</v>
      </c>
      <c r="F606">
        <v>75</v>
      </c>
      <c r="G606" t="b">
        <v>1</v>
      </c>
      <c r="H606">
        <v>1</v>
      </c>
    </row>
    <row r="607" spans="1:8" x14ac:dyDescent="0.25">
      <c r="A607" t="s">
        <v>750</v>
      </c>
      <c r="B607" t="s">
        <v>751</v>
      </c>
      <c r="C607">
        <v>79.55</v>
      </c>
      <c r="D607" t="s">
        <v>3078</v>
      </c>
      <c r="E607" t="s">
        <v>821</v>
      </c>
      <c r="F607">
        <v>75</v>
      </c>
      <c r="G607" t="b">
        <v>1</v>
      </c>
      <c r="H607">
        <v>1</v>
      </c>
    </row>
    <row r="608" spans="1:8" x14ac:dyDescent="0.25">
      <c r="A608" t="s">
        <v>753</v>
      </c>
      <c r="B608" t="s">
        <v>754</v>
      </c>
      <c r="C608">
        <v>120.3</v>
      </c>
      <c r="D608" t="s">
        <v>3078</v>
      </c>
      <c r="E608" t="s">
        <v>821</v>
      </c>
      <c r="F608">
        <v>75</v>
      </c>
      <c r="G608" t="b">
        <v>1</v>
      </c>
      <c r="H608">
        <v>1</v>
      </c>
    </row>
    <row r="609" spans="1:8" x14ac:dyDescent="0.25">
      <c r="A609" t="s">
        <v>769</v>
      </c>
      <c r="B609" t="s">
        <v>770</v>
      </c>
      <c r="C609">
        <v>128.25</v>
      </c>
      <c r="D609" t="s">
        <v>3078</v>
      </c>
      <c r="E609" t="s">
        <v>3258</v>
      </c>
      <c r="F609">
        <v>75</v>
      </c>
      <c r="G609" t="b">
        <v>1</v>
      </c>
      <c r="H609">
        <v>1</v>
      </c>
    </row>
    <row r="610" spans="1:8" x14ac:dyDescent="0.25">
      <c r="A610" t="s">
        <v>767</v>
      </c>
      <c r="B610" t="s">
        <v>768</v>
      </c>
      <c r="C610">
        <v>133.9</v>
      </c>
      <c r="D610" t="s">
        <v>3078</v>
      </c>
      <c r="E610" t="s">
        <v>3258</v>
      </c>
      <c r="F610">
        <v>75</v>
      </c>
      <c r="G610" t="b">
        <v>1</v>
      </c>
      <c r="H610">
        <v>1</v>
      </c>
    </row>
    <row r="611" spans="1:8" x14ac:dyDescent="0.25">
      <c r="A611" t="s">
        <v>761</v>
      </c>
      <c r="B611" t="s">
        <v>762</v>
      </c>
      <c r="C611">
        <v>61.65</v>
      </c>
      <c r="D611" t="s">
        <v>3078</v>
      </c>
      <c r="E611" t="s">
        <v>3258</v>
      </c>
      <c r="F611">
        <v>75</v>
      </c>
      <c r="G611" t="b">
        <v>1</v>
      </c>
      <c r="H611">
        <v>1</v>
      </c>
    </row>
    <row r="612" spans="1:8" x14ac:dyDescent="0.25">
      <c r="A612" t="s">
        <v>765</v>
      </c>
      <c r="B612" t="s">
        <v>766</v>
      </c>
      <c r="C612">
        <v>94.35</v>
      </c>
      <c r="D612" t="s">
        <v>3078</v>
      </c>
      <c r="E612" t="s">
        <v>3258</v>
      </c>
      <c r="F612">
        <v>75</v>
      </c>
      <c r="G612" t="b">
        <v>1</v>
      </c>
      <c r="H612">
        <v>1</v>
      </c>
    </row>
    <row r="613" spans="1:8" x14ac:dyDescent="0.25">
      <c r="A613" t="s">
        <v>774</v>
      </c>
      <c r="B613" t="s">
        <v>775</v>
      </c>
      <c r="C613">
        <v>222.6</v>
      </c>
      <c r="D613" t="s">
        <v>3078</v>
      </c>
      <c r="E613" t="s">
        <v>945</v>
      </c>
      <c r="F613">
        <v>75</v>
      </c>
      <c r="G613" t="b">
        <v>1</v>
      </c>
      <c r="H613">
        <v>1</v>
      </c>
    </row>
    <row r="614" spans="1:8" x14ac:dyDescent="0.25">
      <c r="A614" t="s">
        <v>778</v>
      </c>
      <c r="B614" t="s">
        <v>779</v>
      </c>
      <c r="C614">
        <v>88.45</v>
      </c>
      <c r="D614" t="s">
        <v>3078</v>
      </c>
      <c r="E614" t="s">
        <v>945</v>
      </c>
      <c r="F614">
        <v>75</v>
      </c>
      <c r="G614" t="b">
        <v>1</v>
      </c>
      <c r="H614">
        <v>1</v>
      </c>
    </row>
    <row r="615" spans="1:8" x14ac:dyDescent="0.25">
      <c r="A615" t="s">
        <v>791</v>
      </c>
      <c r="B615" t="s">
        <v>792</v>
      </c>
      <c r="C615">
        <v>193.3</v>
      </c>
      <c r="D615" t="s">
        <v>3078</v>
      </c>
      <c r="E615" t="s">
        <v>777</v>
      </c>
      <c r="F615">
        <v>75</v>
      </c>
      <c r="G615" t="b">
        <v>1</v>
      </c>
      <c r="H615">
        <v>1</v>
      </c>
    </row>
    <row r="616" spans="1:8" x14ac:dyDescent="0.25">
      <c r="A616" t="s">
        <v>795</v>
      </c>
      <c r="B616" t="s">
        <v>796</v>
      </c>
      <c r="C616">
        <v>315.45</v>
      </c>
      <c r="D616" t="s">
        <v>3078</v>
      </c>
      <c r="E616" t="s">
        <v>777</v>
      </c>
      <c r="F616">
        <v>75</v>
      </c>
      <c r="G616" t="b">
        <v>1</v>
      </c>
      <c r="H616">
        <v>1</v>
      </c>
    </row>
    <row r="617" spans="1:8" x14ac:dyDescent="0.25">
      <c r="A617" t="s">
        <v>793</v>
      </c>
      <c r="B617" t="s">
        <v>794</v>
      </c>
      <c r="C617">
        <v>362.15</v>
      </c>
      <c r="D617" t="s">
        <v>3078</v>
      </c>
      <c r="E617" t="s">
        <v>777</v>
      </c>
      <c r="F617">
        <v>75</v>
      </c>
      <c r="G617" t="b">
        <v>1</v>
      </c>
      <c r="H617">
        <v>1</v>
      </c>
    </row>
    <row r="618" spans="1:8" x14ac:dyDescent="0.25">
      <c r="A618" t="s">
        <v>797</v>
      </c>
      <c r="B618" t="s">
        <v>798</v>
      </c>
      <c r="C618">
        <v>252.35</v>
      </c>
      <c r="D618" t="s">
        <v>3078</v>
      </c>
      <c r="E618" t="s">
        <v>777</v>
      </c>
      <c r="F618">
        <v>75</v>
      </c>
      <c r="G618" t="b">
        <v>1</v>
      </c>
      <c r="H618">
        <v>1</v>
      </c>
    </row>
    <row r="619" spans="1:8" x14ac:dyDescent="0.25">
      <c r="A619" t="s">
        <v>3171</v>
      </c>
      <c r="B619" t="s">
        <v>2646</v>
      </c>
      <c r="C619">
        <v>23.35</v>
      </c>
      <c r="D619" t="s">
        <v>3259</v>
      </c>
      <c r="E619" t="s">
        <v>945</v>
      </c>
      <c r="F619">
        <v>75</v>
      </c>
      <c r="G619" t="b">
        <v>1</v>
      </c>
      <c r="H619">
        <v>1</v>
      </c>
    </row>
    <row r="620" spans="1:8" x14ac:dyDescent="0.25">
      <c r="A620" t="s">
        <v>3171</v>
      </c>
      <c r="B620" t="s">
        <v>772</v>
      </c>
      <c r="C620">
        <v>15.95</v>
      </c>
      <c r="D620" t="s">
        <v>3259</v>
      </c>
      <c r="E620" t="s">
        <v>945</v>
      </c>
      <c r="F620">
        <v>75</v>
      </c>
      <c r="G620" t="b">
        <v>1</v>
      </c>
      <c r="H620">
        <v>1</v>
      </c>
    </row>
    <row r="621" spans="1:8" x14ac:dyDescent="0.25">
      <c r="A621" t="s">
        <v>3171</v>
      </c>
      <c r="B621" t="s">
        <v>803</v>
      </c>
      <c r="C621">
        <v>12.1</v>
      </c>
      <c r="D621" t="s">
        <v>3259</v>
      </c>
      <c r="E621" t="s">
        <v>945</v>
      </c>
      <c r="F621">
        <v>75</v>
      </c>
      <c r="G621" t="b">
        <v>1</v>
      </c>
      <c r="H621">
        <v>1</v>
      </c>
    </row>
    <row r="622" spans="1:8" x14ac:dyDescent="0.25">
      <c r="A622" t="s">
        <v>3171</v>
      </c>
      <c r="B622" t="s">
        <v>2650</v>
      </c>
      <c r="C622">
        <v>11.8</v>
      </c>
      <c r="D622" t="s">
        <v>3259</v>
      </c>
      <c r="E622" t="s">
        <v>945</v>
      </c>
      <c r="F622">
        <v>75</v>
      </c>
      <c r="G622" t="b">
        <v>1</v>
      </c>
      <c r="H622">
        <v>1</v>
      </c>
    </row>
    <row r="623" spans="1:8" x14ac:dyDescent="0.25">
      <c r="A623" t="s">
        <v>3171</v>
      </c>
      <c r="B623" t="s">
        <v>2684</v>
      </c>
      <c r="C623">
        <v>15.95</v>
      </c>
      <c r="D623" t="s">
        <v>3259</v>
      </c>
      <c r="E623" t="s">
        <v>945</v>
      </c>
      <c r="F623">
        <v>75</v>
      </c>
      <c r="G623" t="b">
        <v>1</v>
      </c>
      <c r="H623">
        <v>1</v>
      </c>
    </row>
    <row r="624" spans="1:8" x14ac:dyDescent="0.25">
      <c r="A624" t="s">
        <v>3171</v>
      </c>
      <c r="B624" t="s">
        <v>2652</v>
      </c>
      <c r="C624">
        <v>62.5</v>
      </c>
      <c r="D624" t="s">
        <v>3259</v>
      </c>
      <c r="E624" t="s">
        <v>945</v>
      </c>
      <c r="F624">
        <v>75</v>
      </c>
      <c r="G624" t="b">
        <v>1</v>
      </c>
      <c r="H624">
        <v>1</v>
      </c>
    </row>
    <row r="625" spans="1:8" x14ac:dyDescent="0.25">
      <c r="A625" t="s">
        <v>924</v>
      </c>
      <c r="B625" t="s">
        <v>925</v>
      </c>
      <c r="C625">
        <v>62.25</v>
      </c>
      <c r="D625" t="s">
        <v>3082</v>
      </c>
      <c r="E625" t="s">
        <v>836</v>
      </c>
      <c r="F625">
        <v>75</v>
      </c>
      <c r="G625" t="b">
        <v>1</v>
      </c>
      <c r="H625">
        <v>1</v>
      </c>
    </row>
    <row r="626" spans="1:8" x14ac:dyDescent="0.25">
      <c r="A626" t="s">
        <v>927</v>
      </c>
      <c r="B626" t="s">
        <v>928</v>
      </c>
      <c r="C626">
        <v>59.6</v>
      </c>
      <c r="D626" t="s">
        <v>3082</v>
      </c>
      <c r="E626" t="s">
        <v>836</v>
      </c>
      <c r="F626">
        <v>75</v>
      </c>
      <c r="G626" t="b">
        <v>1</v>
      </c>
      <c r="H626">
        <v>1</v>
      </c>
    </row>
    <row r="627" spans="1:8" x14ac:dyDescent="0.25">
      <c r="A627" t="s">
        <v>933</v>
      </c>
      <c r="B627" t="s">
        <v>934</v>
      </c>
      <c r="C627">
        <v>87.3</v>
      </c>
      <c r="D627" t="s">
        <v>3082</v>
      </c>
      <c r="E627" t="s">
        <v>836</v>
      </c>
      <c r="F627">
        <v>75</v>
      </c>
      <c r="G627" t="b">
        <v>1</v>
      </c>
      <c r="H627">
        <v>1</v>
      </c>
    </row>
    <row r="628" spans="1:8" x14ac:dyDescent="0.25">
      <c r="A628" t="s">
        <v>833</v>
      </c>
      <c r="B628" t="s">
        <v>834</v>
      </c>
      <c r="C628">
        <v>59.6</v>
      </c>
      <c r="D628" t="s">
        <v>3082</v>
      </c>
      <c r="E628" t="s">
        <v>836</v>
      </c>
      <c r="F628">
        <v>75</v>
      </c>
      <c r="G628" t="b">
        <v>1</v>
      </c>
      <c r="H628">
        <v>1</v>
      </c>
    </row>
    <row r="629" spans="1:8" x14ac:dyDescent="0.25">
      <c r="A629" t="s">
        <v>937</v>
      </c>
      <c r="B629" t="s">
        <v>938</v>
      </c>
      <c r="C629">
        <v>215.8</v>
      </c>
      <c r="D629" t="s">
        <v>3082</v>
      </c>
      <c r="E629" t="s">
        <v>836</v>
      </c>
      <c r="F629">
        <v>75</v>
      </c>
      <c r="G629" t="b">
        <v>1</v>
      </c>
      <c r="H629">
        <v>1</v>
      </c>
    </row>
    <row r="630" spans="1:8" x14ac:dyDescent="0.25">
      <c r="A630" t="s">
        <v>935</v>
      </c>
      <c r="B630" t="s">
        <v>936</v>
      </c>
      <c r="C630">
        <v>161.55000000000001</v>
      </c>
      <c r="D630" t="s">
        <v>3082</v>
      </c>
      <c r="E630" t="s">
        <v>836</v>
      </c>
      <c r="F630">
        <v>75</v>
      </c>
      <c r="G630" t="b">
        <v>1</v>
      </c>
      <c r="H630">
        <v>1</v>
      </c>
    </row>
    <row r="631" spans="1:8" x14ac:dyDescent="0.25">
      <c r="A631" t="s">
        <v>940</v>
      </c>
      <c r="B631" t="s">
        <v>941</v>
      </c>
      <c r="C631">
        <v>113.8</v>
      </c>
      <c r="D631" t="s">
        <v>3082</v>
      </c>
      <c r="E631" t="s">
        <v>836</v>
      </c>
      <c r="F631">
        <v>75</v>
      </c>
      <c r="G631" t="b">
        <v>1</v>
      </c>
      <c r="H631">
        <v>1</v>
      </c>
    </row>
    <row r="632" spans="1:8" x14ac:dyDescent="0.25">
      <c r="A632" t="s">
        <v>837</v>
      </c>
      <c r="B632" t="s">
        <v>838</v>
      </c>
      <c r="C632">
        <v>200</v>
      </c>
      <c r="D632" t="s">
        <v>3082</v>
      </c>
      <c r="E632" t="s">
        <v>836</v>
      </c>
      <c r="F632">
        <v>75</v>
      </c>
      <c r="G632" t="b">
        <v>1</v>
      </c>
      <c r="H632">
        <v>1</v>
      </c>
    </row>
    <row r="633" spans="1:8" x14ac:dyDescent="0.25">
      <c r="A633" t="s">
        <v>912</v>
      </c>
      <c r="B633" t="s">
        <v>913</v>
      </c>
      <c r="C633">
        <v>51.6</v>
      </c>
      <c r="D633" t="s">
        <v>3082</v>
      </c>
      <c r="E633" t="s">
        <v>841</v>
      </c>
      <c r="F633">
        <v>75</v>
      </c>
      <c r="G633" t="b">
        <v>1</v>
      </c>
      <c r="H633">
        <v>1</v>
      </c>
    </row>
    <row r="634" spans="1:8" x14ac:dyDescent="0.25">
      <c r="A634" t="s">
        <v>908</v>
      </c>
      <c r="B634" t="s">
        <v>909</v>
      </c>
      <c r="C634">
        <v>58.4</v>
      </c>
      <c r="D634" t="s">
        <v>3082</v>
      </c>
      <c r="E634" t="s">
        <v>841</v>
      </c>
      <c r="F634">
        <v>75</v>
      </c>
      <c r="G634" t="b">
        <v>1</v>
      </c>
      <c r="H634">
        <v>1</v>
      </c>
    </row>
    <row r="635" spans="1:8" x14ac:dyDescent="0.25">
      <c r="A635" t="s">
        <v>906</v>
      </c>
      <c r="B635" t="s">
        <v>907</v>
      </c>
      <c r="C635">
        <v>42.2</v>
      </c>
      <c r="D635" t="s">
        <v>3082</v>
      </c>
      <c r="E635" t="s">
        <v>841</v>
      </c>
      <c r="F635">
        <v>75</v>
      </c>
      <c r="G635" t="b">
        <v>1</v>
      </c>
      <c r="H635">
        <v>1</v>
      </c>
    </row>
    <row r="636" spans="1:8" x14ac:dyDescent="0.25">
      <c r="A636" t="s">
        <v>839</v>
      </c>
      <c r="B636" t="s">
        <v>840</v>
      </c>
      <c r="C636">
        <v>117.95</v>
      </c>
      <c r="D636" t="s">
        <v>3082</v>
      </c>
      <c r="E636" t="s">
        <v>841</v>
      </c>
      <c r="F636">
        <v>75</v>
      </c>
      <c r="G636" t="b">
        <v>1</v>
      </c>
      <c r="H636">
        <v>1</v>
      </c>
    </row>
    <row r="637" spans="1:8" x14ac:dyDescent="0.25">
      <c r="A637" t="s">
        <v>902</v>
      </c>
      <c r="B637" t="s">
        <v>903</v>
      </c>
      <c r="C637">
        <v>117.95</v>
      </c>
      <c r="D637" t="s">
        <v>3082</v>
      </c>
      <c r="E637" t="s">
        <v>841</v>
      </c>
      <c r="F637">
        <v>75</v>
      </c>
      <c r="G637" t="b">
        <v>1</v>
      </c>
      <c r="H637">
        <v>1</v>
      </c>
    </row>
    <row r="638" spans="1:8" x14ac:dyDescent="0.25">
      <c r="A638" t="s">
        <v>888</v>
      </c>
      <c r="B638" t="s">
        <v>889</v>
      </c>
      <c r="C638">
        <v>51.6</v>
      </c>
      <c r="D638" t="s">
        <v>3082</v>
      </c>
      <c r="E638" t="s">
        <v>516</v>
      </c>
      <c r="F638">
        <v>75</v>
      </c>
      <c r="G638" t="b">
        <v>1</v>
      </c>
      <c r="H638">
        <v>1</v>
      </c>
    </row>
    <row r="639" spans="1:8" x14ac:dyDescent="0.25">
      <c r="A639" t="s">
        <v>890</v>
      </c>
      <c r="B639" t="s">
        <v>891</v>
      </c>
      <c r="C639">
        <v>62.25</v>
      </c>
      <c r="D639" t="s">
        <v>3082</v>
      </c>
      <c r="E639" t="s">
        <v>516</v>
      </c>
      <c r="F639">
        <v>75</v>
      </c>
      <c r="G639" t="b">
        <v>1</v>
      </c>
      <c r="H639">
        <v>1</v>
      </c>
    </row>
    <row r="640" spans="1:8" x14ac:dyDescent="0.25">
      <c r="A640" t="s">
        <v>877</v>
      </c>
      <c r="B640" t="s">
        <v>878</v>
      </c>
      <c r="C640">
        <v>192.2</v>
      </c>
      <c r="D640" t="s">
        <v>3082</v>
      </c>
      <c r="E640" t="s">
        <v>516</v>
      </c>
      <c r="F640">
        <v>75</v>
      </c>
      <c r="G640" t="b">
        <v>1</v>
      </c>
      <c r="H640">
        <v>1</v>
      </c>
    </row>
    <row r="641" spans="1:8" x14ac:dyDescent="0.25">
      <c r="A641" t="s">
        <v>846</v>
      </c>
      <c r="B641" t="s">
        <v>847</v>
      </c>
      <c r="C641">
        <v>192.2</v>
      </c>
      <c r="D641" t="s">
        <v>3082</v>
      </c>
      <c r="E641" t="s">
        <v>516</v>
      </c>
      <c r="F641">
        <v>75</v>
      </c>
      <c r="G641" t="b">
        <v>1</v>
      </c>
      <c r="H641">
        <v>1</v>
      </c>
    </row>
    <row r="642" spans="1:8" x14ac:dyDescent="0.25">
      <c r="A642" t="s">
        <v>848</v>
      </c>
      <c r="B642" t="s">
        <v>849</v>
      </c>
      <c r="C642">
        <v>192.2</v>
      </c>
      <c r="D642" t="s">
        <v>3082</v>
      </c>
      <c r="E642" t="s">
        <v>516</v>
      </c>
      <c r="F642">
        <v>75</v>
      </c>
      <c r="G642" t="b">
        <v>1</v>
      </c>
      <c r="H642">
        <v>1</v>
      </c>
    </row>
    <row r="643" spans="1:8" x14ac:dyDescent="0.25">
      <c r="A643" t="s">
        <v>850</v>
      </c>
      <c r="B643" t="s">
        <v>851</v>
      </c>
      <c r="C643">
        <v>192.2</v>
      </c>
      <c r="D643" t="s">
        <v>3082</v>
      </c>
      <c r="E643" t="s">
        <v>516</v>
      </c>
      <c r="F643">
        <v>75</v>
      </c>
      <c r="G643" t="b">
        <v>1</v>
      </c>
      <c r="H643">
        <v>1</v>
      </c>
    </row>
    <row r="644" spans="1:8" x14ac:dyDescent="0.25">
      <c r="A644" t="s">
        <v>850</v>
      </c>
      <c r="B644" t="s">
        <v>849</v>
      </c>
      <c r="C644">
        <v>192.2</v>
      </c>
      <c r="D644" t="s">
        <v>3082</v>
      </c>
      <c r="E644" t="s">
        <v>516</v>
      </c>
      <c r="F644">
        <v>75</v>
      </c>
      <c r="G644" t="b">
        <v>1</v>
      </c>
      <c r="H644">
        <v>1</v>
      </c>
    </row>
    <row r="645" spans="1:8" x14ac:dyDescent="0.25">
      <c r="A645" t="s">
        <v>850</v>
      </c>
      <c r="B645" t="s">
        <v>852</v>
      </c>
      <c r="C645">
        <v>250.3</v>
      </c>
      <c r="D645" t="s">
        <v>3082</v>
      </c>
      <c r="E645" t="s">
        <v>516</v>
      </c>
      <c r="F645">
        <v>75</v>
      </c>
      <c r="G645" t="b">
        <v>1</v>
      </c>
      <c r="H645">
        <v>1</v>
      </c>
    </row>
    <row r="646" spans="1:8" x14ac:dyDescent="0.25">
      <c r="A646" t="s">
        <v>850</v>
      </c>
      <c r="B646" t="s">
        <v>847</v>
      </c>
      <c r="C646">
        <v>192.2</v>
      </c>
      <c r="D646" t="s">
        <v>3082</v>
      </c>
      <c r="E646" t="s">
        <v>516</v>
      </c>
      <c r="F646">
        <v>75</v>
      </c>
      <c r="G646" t="b">
        <v>1</v>
      </c>
      <c r="H646">
        <v>1</v>
      </c>
    </row>
    <row r="647" spans="1:8" x14ac:dyDescent="0.25">
      <c r="A647" t="s">
        <v>882</v>
      </c>
      <c r="B647" t="s">
        <v>883</v>
      </c>
      <c r="C647">
        <v>211.4</v>
      </c>
      <c r="D647" t="s">
        <v>3082</v>
      </c>
      <c r="E647" t="s">
        <v>516</v>
      </c>
      <c r="F647">
        <v>75</v>
      </c>
      <c r="G647" t="b">
        <v>1</v>
      </c>
      <c r="H647">
        <v>1</v>
      </c>
    </row>
    <row r="648" spans="1:8" x14ac:dyDescent="0.25">
      <c r="A648" t="s">
        <v>892</v>
      </c>
      <c r="B648" t="s">
        <v>893</v>
      </c>
      <c r="C648">
        <v>30.7</v>
      </c>
      <c r="D648" t="s">
        <v>3082</v>
      </c>
      <c r="E648" t="s">
        <v>516</v>
      </c>
      <c r="F648">
        <v>75</v>
      </c>
      <c r="G648" t="b">
        <v>1</v>
      </c>
      <c r="H648">
        <v>1</v>
      </c>
    </row>
    <row r="649" spans="1:8" x14ac:dyDescent="0.25">
      <c r="A649" t="s">
        <v>894</v>
      </c>
      <c r="B649" t="s">
        <v>895</v>
      </c>
      <c r="C649">
        <v>43.95</v>
      </c>
      <c r="D649" t="s">
        <v>3082</v>
      </c>
      <c r="E649" t="s">
        <v>516</v>
      </c>
      <c r="F649">
        <v>75</v>
      </c>
      <c r="G649" t="b">
        <v>1</v>
      </c>
      <c r="H649">
        <v>1</v>
      </c>
    </row>
    <row r="650" spans="1:8" x14ac:dyDescent="0.25">
      <c r="A650" t="s">
        <v>853</v>
      </c>
      <c r="B650" t="s">
        <v>854</v>
      </c>
      <c r="C650">
        <v>43.95</v>
      </c>
      <c r="D650" t="s">
        <v>3082</v>
      </c>
      <c r="E650" t="s">
        <v>516</v>
      </c>
      <c r="F650">
        <v>75</v>
      </c>
      <c r="G650" t="b">
        <v>1</v>
      </c>
      <c r="H650">
        <v>1</v>
      </c>
    </row>
    <row r="651" spans="1:8" x14ac:dyDescent="0.25">
      <c r="A651" t="s">
        <v>896</v>
      </c>
      <c r="B651" t="s">
        <v>897</v>
      </c>
      <c r="C651">
        <v>43.95</v>
      </c>
      <c r="D651" t="s">
        <v>3082</v>
      </c>
      <c r="E651" t="s">
        <v>516</v>
      </c>
      <c r="F651">
        <v>75</v>
      </c>
      <c r="G651" t="b">
        <v>1</v>
      </c>
      <c r="H651">
        <v>1</v>
      </c>
    </row>
    <row r="652" spans="1:8" x14ac:dyDescent="0.25">
      <c r="A652" t="s">
        <v>855</v>
      </c>
      <c r="B652" t="s">
        <v>856</v>
      </c>
      <c r="C652">
        <v>150</v>
      </c>
      <c r="D652" t="s">
        <v>3082</v>
      </c>
      <c r="E652" t="s">
        <v>516</v>
      </c>
      <c r="F652">
        <v>75</v>
      </c>
      <c r="G652" t="b">
        <v>1</v>
      </c>
      <c r="H652">
        <v>1</v>
      </c>
    </row>
    <row r="653" spans="1:8" x14ac:dyDescent="0.25">
      <c r="A653" t="s">
        <v>857</v>
      </c>
      <c r="B653" t="s">
        <v>858</v>
      </c>
      <c r="C653">
        <v>50</v>
      </c>
      <c r="D653" t="s">
        <v>3082</v>
      </c>
      <c r="E653" t="s">
        <v>516</v>
      </c>
      <c r="F653">
        <v>75</v>
      </c>
      <c r="G653" t="b">
        <v>1</v>
      </c>
      <c r="H653">
        <v>1</v>
      </c>
    </row>
    <row r="654" spans="1:8" x14ac:dyDescent="0.25">
      <c r="A654" t="s">
        <v>859</v>
      </c>
      <c r="B654" t="s">
        <v>860</v>
      </c>
      <c r="C654">
        <v>50</v>
      </c>
      <c r="D654" t="s">
        <v>3082</v>
      </c>
      <c r="E654" t="s">
        <v>516</v>
      </c>
      <c r="F654">
        <v>75</v>
      </c>
      <c r="G654" t="b">
        <v>1</v>
      </c>
      <c r="H654">
        <v>1</v>
      </c>
    </row>
    <row r="655" spans="1:8" x14ac:dyDescent="0.25">
      <c r="A655" t="s">
        <v>861</v>
      </c>
      <c r="B655" t="s">
        <v>862</v>
      </c>
      <c r="C655">
        <v>25.35</v>
      </c>
      <c r="D655" t="s">
        <v>3082</v>
      </c>
      <c r="E655" t="s">
        <v>841</v>
      </c>
      <c r="F655">
        <v>75</v>
      </c>
      <c r="G655" t="b">
        <v>1</v>
      </c>
      <c r="H655">
        <v>1</v>
      </c>
    </row>
    <row r="656" spans="1:8" x14ac:dyDescent="0.25">
      <c r="A656" t="s">
        <v>865</v>
      </c>
      <c r="B656" t="s">
        <v>866</v>
      </c>
      <c r="C656">
        <v>30.7</v>
      </c>
      <c r="D656" t="s">
        <v>3082</v>
      </c>
      <c r="E656" t="s">
        <v>841</v>
      </c>
      <c r="F656">
        <v>75</v>
      </c>
      <c r="G656" t="b">
        <v>1</v>
      </c>
      <c r="H656">
        <v>1</v>
      </c>
    </row>
    <row r="657" spans="1:8" x14ac:dyDescent="0.25">
      <c r="A657" t="s">
        <v>874</v>
      </c>
      <c r="B657" t="s">
        <v>875</v>
      </c>
      <c r="C657">
        <v>302.8</v>
      </c>
      <c r="D657" t="s">
        <v>3082</v>
      </c>
      <c r="E657" t="s">
        <v>841</v>
      </c>
      <c r="F657">
        <v>75</v>
      </c>
      <c r="G657" t="b">
        <v>1</v>
      </c>
      <c r="H657">
        <v>1</v>
      </c>
    </row>
    <row r="658" spans="1:8" x14ac:dyDescent="0.25">
      <c r="A658" t="s">
        <v>870</v>
      </c>
      <c r="B658" t="s">
        <v>871</v>
      </c>
      <c r="C658">
        <v>119.1</v>
      </c>
      <c r="D658" t="s">
        <v>3082</v>
      </c>
      <c r="E658" t="s">
        <v>841</v>
      </c>
      <c r="F658">
        <v>75</v>
      </c>
      <c r="G658" t="b">
        <v>1</v>
      </c>
      <c r="H658">
        <v>1</v>
      </c>
    </row>
    <row r="659" spans="1:8" x14ac:dyDescent="0.25">
      <c r="A659" t="s">
        <v>872</v>
      </c>
      <c r="B659" t="s">
        <v>873</v>
      </c>
      <c r="C659">
        <v>239.7</v>
      </c>
      <c r="D659" t="s">
        <v>3082</v>
      </c>
      <c r="E659" t="s">
        <v>841</v>
      </c>
      <c r="F659">
        <v>75</v>
      </c>
      <c r="G659" t="b">
        <v>1</v>
      </c>
      <c r="H659">
        <v>1</v>
      </c>
    </row>
    <row r="660" spans="1:8" x14ac:dyDescent="0.25">
      <c r="A660" t="s">
        <v>868</v>
      </c>
      <c r="B660" t="s">
        <v>869</v>
      </c>
      <c r="C660">
        <v>112</v>
      </c>
      <c r="D660" t="s">
        <v>3082</v>
      </c>
      <c r="E660" t="s">
        <v>841</v>
      </c>
      <c r="F660">
        <v>75</v>
      </c>
      <c r="G660" t="b">
        <v>1</v>
      </c>
      <c r="H660">
        <v>1</v>
      </c>
    </row>
    <row r="661" spans="1:8" x14ac:dyDescent="0.25">
      <c r="A661" t="s">
        <v>910</v>
      </c>
      <c r="B661" t="s">
        <v>911</v>
      </c>
      <c r="C661">
        <v>55.45</v>
      </c>
      <c r="D661" t="s">
        <v>3082</v>
      </c>
      <c r="E661" t="s">
        <v>841</v>
      </c>
      <c r="F661">
        <v>75</v>
      </c>
      <c r="G661" t="b">
        <v>1</v>
      </c>
      <c r="H661">
        <v>1</v>
      </c>
    </row>
    <row r="662" spans="1:8" x14ac:dyDescent="0.25">
      <c r="A662" t="s">
        <v>919</v>
      </c>
      <c r="B662" t="s">
        <v>920</v>
      </c>
      <c r="C662">
        <v>341.95</v>
      </c>
      <c r="D662" t="s">
        <v>3082</v>
      </c>
      <c r="E662" t="s">
        <v>841</v>
      </c>
      <c r="F662">
        <v>75</v>
      </c>
      <c r="G662" t="b">
        <v>1</v>
      </c>
      <c r="H662">
        <v>1</v>
      </c>
    </row>
    <row r="663" spans="1:8" x14ac:dyDescent="0.25">
      <c r="A663" t="s">
        <v>842</v>
      </c>
      <c r="B663" t="s">
        <v>843</v>
      </c>
      <c r="C663">
        <v>53.05</v>
      </c>
      <c r="D663" t="s">
        <v>3082</v>
      </c>
      <c r="E663" t="s">
        <v>841</v>
      </c>
      <c r="F663">
        <v>75</v>
      </c>
      <c r="G663" t="b">
        <v>1</v>
      </c>
      <c r="H663">
        <v>1</v>
      </c>
    </row>
    <row r="664" spans="1:8" x14ac:dyDescent="0.25">
      <c r="A664" t="s">
        <v>898</v>
      </c>
      <c r="B664" t="s">
        <v>899</v>
      </c>
      <c r="C664">
        <v>233.5</v>
      </c>
      <c r="D664" t="s">
        <v>3082</v>
      </c>
      <c r="E664" t="s">
        <v>841</v>
      </c>
      <c r="F664">
        <v>75</v>
      </c>
      <c r="G664" t="b">
        <v>1</v>
      </c>
      <c r="H664">
        <v>1</v>
      </c>
    </row>
    <row r="665" spans="1:8" x14ac:dyDescent="0.25">
      <c r="A665" t="s">
        <v>881</v>
      </c>
      <c r="B665" t="s">
        <v>852</v>
      </c>
      <c r="C665">
        <v>250.3</v>
      </c>
      <c r="D665" t="s">
        <v>3082</v>
      </c>
      <c r="E665" t="s">
        <v>841</v>
      </c>
      <c r="F665">
        <v>75</v>
      </c>
      <c r="G665" t="b">
        <v>1</v>
      </c>
      <c r="H665">
        <v>1</v>
      </c>
    </row>
    <row r="666" spans="1:8" x14ac:dyDescent="0.25">
      <c r="A666" t="s">
        <v>885</v>
      </c>
      <c r="B666" t="s">
        <v>886</v>
      </c>
      <c r="C666">
        <v>178</v>
      </c>
      <c r="D666" t="s">
        <v>3082</v>
      </c>
      <c r="E666" t="s">
        <v>841</v>
      </c>
      <c r="F666">
        <v>75</v>
      </c>
      <c r="G666" t="b">
        <v>1</v>
      </c>
      <c r="H666">
        <v>1</v>
      </c>
    </row>
    <row r="667" spans="1:8" x14ac:dyDescent="0.25">
      <c r="A667" t="s">
        <v>844</v>
      </c>
      <c r="B667" t="s">
        <v>845</v>
      </c>
      <c r="C667">
        <v>500</v>
      </c>
      <c r="D667" t="s">
        <v>3082</v>
      </c>
      <c r="E667" t="s">
        <v>841</v>
      </c>
      <c r="F667">
        <v>75</v>
      </c>
      <c r="G667" t="b">
        <v>1</v>
      </c>
      <c r="H667">
        <v>1</v>
      </c>
    </row>
    <row r="668" spans="1:8" x14ac:dyDescent="0.25">
      <c r="A668" t="s">
        <v>1298</v>
      </c>
      <c r="B668" t="s">
        <v>1299</v>
      </c>
      <c r="C668">
        <v>117.95</v>
      </c>
      <c r="D668" t="s">
        <v>3085</v>
      </c>
      <c r="E668" t="s">
        <v>1300</v>
      </c>
      <c r="F668">
        <v>75</v>
      </c>
      <c r="G668" t="b">
        <v>1</v>
      </c>
      <c r="H668">
        <v>1</v>
      </c>
    </row>
    <row r="669" spans="1:8" x14ac:dyDescent="0.25">
      <c r="A669" t="s">
        <v>1311</v>
      </c>
      <c r="B669" t="s">
        <v>1312</v>
      </c>
      <c r="C669">
        <v>97.85</v>
      </c>
      <c r="D669" t="s">
        <v>3085</v>
      </c>
      <c r="E669" t="s">
        <v>1300</v>
      </c>
      <c r="F669">
        <v>75</v>
      </c>
      <c r="G669" t="b">
        <v>1</v>
      </c>
      <c r="H669">
        <v>1</v>
      </c>
    </row>
    <row r="670" spans="1:8" x14ac:dyDescent="0.25">
      <c r="A670" t="s">
        <v>1318</v>
      </c>
      <c r="B670" t="s">
        <v>1319</v>
      </c>
      <c r="C670">
        <v>79.55</v>
      </c>
      <c r="D670" t="s">
        <v>3085</v>
      </c>
      <c r="E670" t="s">
        <v>1256</v>
      </c>
      <c r="F670">
        <v>75</v>
      </c>
      <c r="G670" t="b">
        <v>1</v>
      </c>
      <c r="H670">
        <v>1</v>
      </c>
    </row>
    <row r="671" spans="1:8" x14ac:dyDescent="0.25">
      <c r="A671" t="s">
        <v>1253</v>
      </c>
      <c r="B671" t="s">
        <v>1254</v>
      </c>
      <c r="C671">
        <v>79.55</v>
      </c>
      <c r="D671" t="s">
        <v>3085</v>
      </c>
      <c r="E671" t="s">
        <v>1256</v>
      </c>
      <c r="F671">
        <v>75</v>
      </c>
      <c r="G671" t="b">
        <v>1</v>
      </c>
      <c r="H671">
        <v>1</v>
      </c>
    </row>
    <row r="672" spans="1:8" x14ac:dyDescent="0.25">
      <c r="A672" t="s">
        <v>1320</v>
      </c>
      <c r="B672" t="s">
        <v>1321</v>
      </c>
      <c r="C672">
        <v>113.8</v>
      </c>
      <c r="D672" t="s">
        <v>3085</v>
      </c>
      <c r="E672" t="s">
        <v>1256</v>
      </c>
      <c r="F672">
        <v>75</v>
      </c>
      <c r="G672" t="b">
        <v>1</v>
      </c>
      <c r="H672">
        <v>1</v>
      </c>
    </row>
    <row r="673" spans="1:8" x14ac:dyDescent="0.25">
      <c r="A673" t="s">
        <v>1322</v>
      </c>
      <c r="B673" t="s">
        <v>1323</v>
      </c>
      <c r="C673">
        <v>128.85</v>
      </c>
      <c r="D673" t="s">
        <v>3085</v>
      </c>
      <c r="E673" t="s">
        <v>1256</v>
      </c>
      <c r="F673">
        <v>75</v>
      </c>
      <c r="G673" t="b">
        <v>1</v>
      </c>
      <c r="H673">
        <v>1</v>
      </c>
    </row>
    <row r="674" spans="1:8" x14ac:dyDescent="0.25">
      <c r="A674" t="s">
        <v>1324</v>
      </c>
      <c r="B674" t="s">
        <v>1325</v>
      </c>
      <c r="C674">
        <v>144.6</v>
      </c>
      <c r="D674" t="s">
        <v>3085</v>
      </c>
      <c r="E674" t="s">
        <v>1256</v>
      </c>
      <c r="F674">
        <v>75</v>
      </c>
      <c r="G674" t="b">
        <v>1</v>
      </c>
      <c r="H674">
        <v>1</v>
      </c>
    </row>
    <row r="675" spans="1:8" x14ac:dyDescent="0.25">
      <c r="A675" t="s">
        <v>1301</v>
      </c>
      <c r="B675" t="s">
        <v>1302</v>
      </c>
      <c r="C675">
        <v>23.9</v>
      </c>
      <c r="D675" t="s">
        <v>3085</v>
      </c>
      <c r="E675" t="s">
        <v>1300</v>
      </c>
      <c r="F675">
        <v>75</v>
      </c>
      <c r="G675" t="b">
        <v>1</v>
      </c>
      <c r="H675">
        <v>1</v>
      </c>
    </row>
    <row r="676" spans="1:8" x14ac:dyDescent="0.25">
      <c r="A676" t="s">
        <v>1303</v>
      </c>
      <c r="B676" t="s">
        <v>1304</v>
      </c>
      <c r="C676">
        <v>35.700000000000003</v>
      </c>
      <c r="D676" t="s">
        <v>3085</v>
      </c>
      <c r="E676" t="s">
        <v>1300</v>
      </c>
      <c r="F676">
        <v>75</v>
      </c>
      <c r="G676" t="b">
        <v>1</v>
      </c>
      <c r="H676">
        <v>1</v>
      </c>
    </row>
    <row r="677" spans="1:8" x14ac:dyDescent="0.25">
      <c r="A677" t="s">
        <v>1305</v>
      </c>
      <c r="B677" t="s">
        <v>1306</v>
      </c>
      <c r="C677">
        <v>71.650000000000006</v>
      </c>
      <c r="D677" t="s">
        <v>3085</v>
      </c>
      <c r="E677" t="s">
        <v>1300</v>
      </c>
      <c r="F677">
        <v>75</v>
      </c>
      <c r="G677" t="b">
        <v>1</v>
      </c>
      <c r="H677">
        <v>1</v>
      </c>
    </row>
    <row r="678" spans="1:8" x14ac:dyDescent="0.25">
      <c r="A678" t="s">
        <v>1308</v>
      </c>
      <c r="B678" t="s">
        <v>1309</v>
      </c>
      <c r="C678">
        <v>74</v>
      </c>
      <c r="D678" t="s">
        <v>3085</v>
      </c>
      <c r="E678" t="s">
        <v>1300</v>
      </c>
      <c r="F678">
        <v>75</v>
      </c>
      <c r="G678" t="b">
        <v>1</v>
      </c>
      <c r="H678">
        <v>1</v>
      </c>
    </row>
    <row r="679" spans="1:8" x14ac:dyDescent="0.25">
      <c r="A679" t="s">
        <v>1011</v>
      </c>
      <c r="B679" t="s">
        <v>1012</v>
      </c>
      <c r="C679">
        <v>55.35</v>
      </c>
      <c r="D679" t="s">
        <v>3088</v>
      </c>
      <c r="E679" t="s">
        <v>992</v>
      </c>
      <c r="F679">
        <v>75</v>
      </c>
      <c r="G679" t="b">
        <v>1</v>
      </c>
      <c r="H679">
        <v>1</v>
      </c>
    </row>
    <row r="680" spans="1:8" x14ac:dyDescent="0.25">
      <c r="A680" t="s">
        <v>1009</v>
      </c>
      <c r="B680" t="s">
        <v>1010</v>
      </c>
      <c r="C680">
        <v>55.35</v>
      </c>
      <c r="D680" t="s">
        <v>3088</v>
      </c>
      <c r="E680" t="s">
        <v>992</v>
      </c>
      <c r="F680">
        <v>75</v>
      </c>
      <c r="G680" t="b">
        <v>1</v>
      </c>
      <c r="H680">
        <v>1</v>
      </c>
    </row>
    <row r="681" spans="1:8" x14ac:dyDescent="0.25">
      <c r="A681" t="s">
        <v>1000</v>
      </c>
      <c r="B681" t="s">
        <v>1001</v>
      </c>
      <c r="C681">
        <v>34.200000000000003</v>
      </c>
      <c r="D681" t="s">
        <v>3088</v>
      </c>
      <c r="E681" t="s">
        <v>992</v>
      </c>
      <c r="F681">
        <v>75</v>
      </c>
      <c r="G681" t="b">
        <v>1</v>
      </c>
      <c r="H681">
        <v>1</v>
      </c>
    </row>
    <row r="682" spans="1:8" x14ac:dyDescent="0.25">
      <c r="A682" t="s">
        <v>990</v>
      </c>
      <c r="B682" t="s">
        <v>991</v>
      </c>
      <c r="C682">
        <v>41.25</v>
      </c>
      <c r="D682" t="s">
        <v>3088</v>
      </c>
      <c r="E682" t="s">
        <v>992</v>
      </c>
      <c r="F682">
        <v>75</v>
      </c>
      <c r="G682" t="b">
        <v>1</v>
      </c>
      <c r="H682">
        <v>1</v>
      </c>
    </row>
    <row r="683" spans="1:8" x14ac:dyDescent="0.25">
      <c r="A683" t="s">
        <v>1002</v>
      </c>
      <c r="B683" t="s">
        <v>1003</v>
      </c>
      <c r="C683">
        <v>15.95</v>
      </c>
      <c r="D683" t="s">
        <v>3088</v>
      </c>
      <c r="E683" t="s">
        <v>992</v>
      </c>
      <c r="F683">
        <v>75</v>
      </c>
      <c r="G683" t="b">
        <v>1</v>
      </c>
      <c r="H683">
        <v>1</v>
      </c>
    </row>
    <row r="684" spans="1:8" x14ac:dyDescent="0.25">
      <c r="A684" t="s">
        <v>1021</v>
      </c>
      <c r="B684" t="s">
        <v>1022</v>
      </c>
      <c r="C684">
        <v>66.5</v>
      </c>
      <c r="D684" t="s">
        <v>3088</v>
      </c>
      <c r="E684" t="s">
        <v>992</v>
      </c>
      <c r="F684">
        <v>75</v>
      </c>
      <c r="G684" t="b">
        <v>1</v>
      </c>
      <c r="H684">
        <v>1</v>
      </c>
    </row>
    <row r="685" spans="1:8" x14ac:dyDescent="0.25">
      <c r="A685" t="s">
        <v>1004</v>
      </c>
      <c r="B685" t="s">
        <v>1005</v>
      </c>
      <c r="C685">
        <v>18.899999999999999</v>
      </c>
      <c r="D685" t="s">
        <v>3088</v>
      </c>
      <c r="E685" t="s">
        <v>992</v>
      </c>
      <c r="F685">
        <v>75</v>
      </c>
      <c r="G685" t="b">
        <v>1</v>
      </c>
      <c r="H685">
        <v>1</v>
      </c>
    </row>
    <row r="686" spans="1:8" x14ac:dyDescent="0.25">
      <c r="A686" t="s">
        <v>1013</v>
      </c>
      <c r="B686" t="s">
        <v>1014</v>
      </c>
      <c r="C686">
        <v>19.45</v>
      </c>
      <c r="D686" t="s">
        <v>3088</v>
      </c>
      <c r="E686" t="s">
        <v>992</v>
      </c>
      <c r="F686">
        <v>75</v>
      </c>
      <c r="G686" t="b">
        <v>1</v>
      </c>
      <c r="H686">
        <v>1</v>
      </c>
    </row>
    <row r="687" spans="1:8" x14ac:dyDescent="0.25">
      <c r="A687" t="s">
        <v>1015</v>
      </c>
      <c r="B687" t="s">
        <v>1016</v>
      </c>
      <c r="C687">
        <v>22.15</v>
      </c>
      <c r="D687" t="s">
        <v>3088</v>
      </c>
      <c r="E687" t="s">
        <v>992</v>
      </c>
      <c r="F687">
        <v>75</v>
      </c>
      <c r="G687" t="b">
        <v>1</v>
      </c>
      <c r="H687">
        <v>1</v>
      </c>
    </row>
    <row r="688" spans="1:8" x14ac:dyDescent="0.25">
      <c r="A688" t="s">
        <v>993</v>
      </c>
      <c r="B688" t="s">
        <v>994</v>
      </c>
      <c r="C688">
        <v>34.200000000000003</v>
      </c>
      <c r="D688" t="s">
        <v>3088</v>
      </c>
      <c r="E688" t="s">
        <v>992</v>
      </c>
      <c r="F688">
        <v>75</v>
      </c>
      <c r="G688" t="b">
        <v>1</v>
      </c>
      <c r="H688">
        <v>1</v>
      </c>
    </row>
    <row r="689" spans="1:8" x14ac:dyDescent="0.25">
      <c r="A689" t="s">
        <v>1007</v>
      </c>
      <c r="B689" t="s">
        <v>950</v>
      </c>
      <c r="C689">
        <v>15.35</v>
      </c>
      <c r="D689" t="s">
        <v>3088</v>
      </c>
      <c r="E689" t="s">
        <v>945</v>
      </c>
      <c r="F689">
        <v>75</v>
      </c>
      <c r="G689" t="b">
        <v>1</v>
      </c>
      <c r="H689">
        <v>1</v>
      </c>
    </row>
    <row r="690" spans="1:8" x14ac:dyDescent="0.25">
      <c r="A690" t="s">
        <v>942</v>
      </c>
      <c r="B690" t="s">
        <v>943</v>
      </c>
      <c r="C690">
        <v>25.7</v>
      </c>
      <c r="D690" t="s">
        <v>3088</v>
      </c>
      <c r="E690" t="s">
        <v>945</v>
      </c>
      <c r="F690">
        <v>75</v>
      </c>
      <c r="G690" t="b">
        <v>1</v>
      </c>
      <c r="H690">
        <v>1</v>
      </c>
    </row>
    <row r="691" spans="1:8" x14ac:dyDescent="0.25">
      <c r="A691" t="s">
        <v>1018</v>
      </c>
      <c r="B691" t="s">
        <v>1019</v>
      </c>
      <c r="C691">
        <v>15.35</v>
      </c>
      <c r="D691" t="s">
        <v>3088</v>
      </c>
      <c r="E691" t="s">
        <v>945</v>
      </c>
      <c r="F691">
        <v>75</v>
      </c>
      <c r="G691" t="b">
        <v>1</v>
      </c>
      <c r="H691">
        <v>1</v>
      </c>
    </row>
    <row r="692" spans="1:8" x14ac:dyDescent="0.25">
      <c r="A692" t="s">
        <v>946</v>
      </c>
      <c r="B692" t="s">
        <v>947</v>
      </c>
      <c r="C692">
        <v>14.45</v>
      </c>
      <c r="D692" t="s">
        <v>3088</v>
      </c>
      <c r="E692" t="s">
        <v>945</v>
      </c>
      <c r="F692">
        <v>75</v>
      </c>
      <c r="G692" t="b">
        <v>1</v>
      </c>
      <c r="H692">
        <v>1</v>
      </c>
    </row>
    <row r="693" spans="1:8" x14ac:dyDescent="0.25">
      <c r="A693" t="s">
        <v>1055</v>
      </c>
      <c r="B693" t="s">
        <v>1056</v>
      </c>
      <c r="C693">
        <v>54.3</v>
      </c>
      <c r="D693" t="s">
        <v>3088</v>
      </c>
      <c r="E693" t="s">
        <v>969</v>
      </c>
      <c r="F693">
        <v>75</v>
      </c>
      <c r="G693" t="b">
        <v>1</v>
      </c>
      <c r="H693">
        <v>1</v>
      </c>
    </row>
    <row r="694" spans="1:8" x14ac:dyDescent="0.25">
      <c r="A694" t="s">
        <v>948</v>
      </c>
      <c r="B694" t="s">
        <v>949</v>
      </c>
      <c r="C694">
        <v>15.35</v>
      </c>
      <c r="D694" t="s">
        <v>3088</v>
      </c>
      <c r="E694" t="s">
        <v>945</v>
      </c>
      <c r="F694">
        <v>75</v>
      </c>
      <c r="G694" t="b">
        <v>1</v>
      </c>
      <c r="H694">
        <v>1</v>
      </c>
    </row>
    <row r="695" spans="1:8" x14ac:dyDescent="0.25">
      <c r="A695" t="s">
        <v>948</v>
      </c>
      <c r="B695" t="s">
        <v>950</v>
      </c>
      <c r="C695">
        <v>15.35</v>
      </c>
      <c r="D695" t="s">
        <v>3088</v>
      </c>
      <c r="E695" t="s">
        <v>945</v>
      </c>
      <c r="F695">
        <v>75</v>
      </c>
      <c r="G695" t="b">
        <v>1</v>
      </c>
      <c r="H695">
        <v>1</v>
      </c>
    </row>
    <row r="696" spans="1:8" x14ac:dyDescent="0.25">
      <c r="A696" t="s">
        <v>951</v>
      </c>
      <c r="B696" t="s">
        <v>952</v>
      </c>
      <c r="C696">
        <v>15.35</v>
      </c>
      <c r="D696" t="s">
        <v>3088</v>
      </c>
      <c r="E696" t="s">
        <v>945</v>
      </c>
      <c r="F696">
        <v>75</v>
      </c>
      <c r="G696" t="b">
        <v>1</v>
      </c>
      <c r="H696">
        <v>1</v>
      </c>
    </row>
    <row r="697" spans="1:8" x14ac:dyDescent="0.25">
      <c r="A697" t="s">
        <v>988</v>
      </c>
      <c r="B697" t="s">
        <v>989</v>
      </c>
      <c r="C697">
        <v>15.35</v>
      </c>
      <c r="D697" t="s">
        <v>3088</v>
      </c>
      <c r="E697" t="s">
        <v>945</v>
      </c>
      <c r="F697">
        <v>75</v>
      </c>
      <c r="G697" t="b">
        <v>1</v>
      </c>
      <c r="H697">
        <v>1</v>
      </c>
    </row>
    <row r="698" spans="1:8" x14ac:dyDescent="0.25">
      <c r="A698" t="s">
        <v>1053</v>
      </c>
      <c r="B698" t="s">
        <v>1054</v>
      </c>
      <c r="C698">
        <v>67.5</v>
      </c>
      <c r="D698" t="s">
        <v>3088</v>
      </c>
      <c r="E698" t="s">
        <v>969</v>
      </c>
      <c r="F698">
        <v>75</v>
      </c>
      <c r="G698" t="b">
        <v>1</v>
      </c>
      <c r="H698">
        <v>1</v>
      </c>
    </row>
    <row r="699" spans="1:8" x14ac:dyDescent="0.25">
      <c r="A699" t="s">
        <v>967</v>
      </c>
      <c r="B699" t="s">
        <v>968</v>
      </c>
      <c r="C699">
        <v>41.25</v>
      </c>
      <c r="D699" t="s">
        <v>3088</v>
      </c>
      <c r="E699" t="s">
        <v>969</v>
      </c>
      <c r="F699">
        <v>75</v>
      </c>
      <c r="G699" t="b">
        <v>1</v>
      </c>
      <c r="H699">
        <v>1</v>
      </c>
    </row>
    <row r="700" spans="1:8" x14ac:dyDescent="0.25">
      <c r="A700" t="s">
        <v>1069</v>
      </c>
      <c r="B700" t="s">
        <v>1070</v>
      </c>
      <c r="C700">
        <v>61.1</v>
      </c>
      <c r="D700" t="s">
        <v>3088</v>
      </c>
      <c r="E700" t="s">
        <v>969</v>
      </c>
      <c r="F700">
        <v>75</v>
      </c>
      <c r="G700" t="b">
        <v>1</v>
      </c>
      <c r="H700">
        <v>1</v>
      </c>
    </row>
    <row r="701" spans="1:8" x14ac:dyDescent="0.25">
      <c r="A701" t="s">
        <v>1134</v>
      </c>
      <c r="B701" t="s">
        <v>1135</v>
      </c>
      <c r="C701">
        <v>66.75</v>
      </c>
      <c r="D701" t="s">
        <v>3088</v>
      </c>
      <c r="E701" t="s">
        <v>969</v>
      </c>
      <c r="F701">
        <v>75</v>
      </c>
      <c r="G701" t="b">
        <v>1</v>
      </c>
      <c r="H701">
        <v>1</v>
      </c>
    </row>
    <row r="702" spans="1:8" x14ac:dyDescent="0.25">
      <c r="A702" t="s">
        <v>1023</v>
      </c>
      <c r="B702" t="s">
        <v>1024</v>
      </c>
      <c r="C702">
        <v>47.5</v>
      </c>
      <c r="D702" t="s">
        <v>3088</v>
      </c>
      <c r="E702" t="s">
        <v>969</v>
      </c>
      <c r="F702">
        <v>75</v>
      </c>
      <c r="G702" t="b">
        <v>1</v>
      </c>
      <c r="H702">
        <v>1</v>
      </c>
    </row>
    <row r="703" spans="1:8" x14ac:dyDescent="0.25">
      <c r="A703" t="s">
        <v>970</v>
      </c>
      <c r="B703" t="s">
        <v>971</v>
      </c>
      <c r="C703">
        <v>64.849999999999994</v>
      </c>
      <c r="D703" t="s">
        <v>3088</v>
      </c>
      <c r="E703" t="s">
        <v>969</v>
      </c>
      <c r="F703">
        <v>75</v>
      </c>
      <c r="G703" t="b">
        <v>1</v>
      </c>
      <c r="H703">
        <v>1</v>
      </c>
    </row>
    <row r="704" spans="1:8" x14ac:dyDescent="0.25">
      <c r="A704" t="s">
        <v>972</v>
      </c>
      <c r="B704" t="s">
        <v>973</v>
      </c>
      <c r="C704">
        <v>80</v>
      </c>
      <c r="D704" t="s">
        <v>3088</v>
      </c>
      <c r="E704" t="s">
        <v>969</v>
      </c>
      <c r="F704">
        <v>75</v>
      </c>
      <c r="G704" t="b">
        <v>1</v>
      </c>
      <c r="H704">
        <v>1</v>
      </c>
    </row>
    <row r="705" spans="1:8" x14ac:dyDescent="0.25">
      <c r="A705" t="s">
        <v>1032</v>
      </c>
      <c r="B705" t="s">
        <v>1033</v>
      </c>
      <c r="C705">
        <v>116.8</v>
      </c>
      <c r="D705" t="s">
        <v>3088</v>
      </c>
      <c r="E705" t="s">
        <v>969</v>
      </c>
      <c r="F705">
        <v>75</v>
      </c>
      <c r="G705" t="b">
        <v>1</v>
      </c>
      <c r="H705">
        <v>1</v>
      </c>
    </row>
    <row r="706" spans="1:8" x14ac:dyDescent="0.25">
      <c r="A706" t="s">
        <v>1027</v>
      </c>
      <c r="B706" t="s">
        <v>1028</v>
      </c>
      <c r="C706">
        <v>25.35</v>
      </c>
      <c r="D706" t="s">
        <v>3088</v>
      </c>
      <c r="E706" t="s">
        <v>969</v>
      </c>
      <c r="F706">
        <v>75</v>
      </c>
      <c r="G706" t="b">
        <v>1</v>
      </c>
      <c r="H706">
        <v>1</v>
      </c>
    </row>
    <row r="707" spans="1:8" x14ac:dyDescent="0.25">
      <c r="A707" t="s">
        <v>974</v>
      </c>
      <c r="B707" t="s">
        <v>975</v>
      </c>
      <c r="C707">
        <v>80</v>
      </c>
      <c r="D707" t="s">
        <v>3088</v>
      </c>
      <c r="E707" t="s">
        <v>969</v>
      </c>
      <c r="F707">
        <v>75</v>
      </c>
      <c r="G707" t="b">
        <v>1</v>
      </c>
      <c r="H707">
        <v>1</v>
      </c>
    </row>
    <row r="708" spans="1:8" x14ac:dyDescent="0.25">
      <c r="A708" t="s">
        <v>1046</v>
      </c>
      <c r="B708" t="s">
        <v>1047</v>
      </c>
      <c r="C708">
        <v>149.30000000000001</v>
      </c>
      <c r="D708" t="s">
        <v>3088</v>
      </c>
      <c r="E708" t="s">
        <v>969</v>
      </c>
      <c r="F708">
        <v>75</v>
      </c>
      <c r="G708" t="b">
        <v>1</v>
      </c>
      <c r="H708">
        <v>1</v>
      </c>
    </row>
    <row r="709" spans="1:8" x14ac:dyDescent="0.25">
      <c r="A709" t="s">
        <v>976</v>
      </c>
      <c r="B709" t="s">
        <v>977</v>
      </c>
      <c r="C709">
        <v>26</v>
      </c>
      <c r="D709" t="s">
        <v>3088</v>
      </c>
      <c r="E709" t="s">
        <v>969</v>
      </c>
      <c r="F709">
        <v>75</v>
      </c>
      <c r="G709" t="b">
        <v>1</v>
      </c>
      <c r="H709">
        <v>1</v>
      </c>
    </row>
    <row r="710" spans="1:8" x14ac:dyDescent="0.25">
      <c r="A710" t="s">
        <v>1048</v>
      </c>
      <c r="B710" t="s">
        <v>1049</v>
      </c>
      <c r="C710">
        <v>130.05000000000001</v>
      </c>
      <c r="D710" t="s">
        <v>3088</v>
      </c>
      <c r="E710" t="s">
        <v>969</v>
      </c>
      <c r="F710">
        <v>75</v>
      </c>
      <c r="G710" t="b">
        <v>1</v>
      </c>
      <c r="H710">
        <v>1</v>
      </c>
    </row>
    <row r="711" spans="1:8" x14ac:dyDescent="0.25">
      <c r="A711" t="s">
        <v>1044</v>
      </c>
      <c r="B711" t="s">
        <v>1045</v>
      </c>
      <c r="C711">
        <v>107.35</v>
      </c>
      <c r="D711" t="s">
        <v>3088</v>
      </c>
      <c r="E711" t="s">
        <v>969</v>
      </c>
      <c r="F711">
        <v>75</v>
      </c>
      <c r="G711" t="b">
        <v>1</v>
      </c>
      <c r="H711">
        <v>1</v>
      </c>
    </row>
    <row r="712" spans="1:8" x14ac:dyDescent="0.25">
      <c r="A712" t="s">
        <v>1065</v>
      </c>
      <c r="B712" t="s">
        <v>1066</v>
      </c>
      <c r="C712">
        <v>107.35</v>
      </c>
      <c r="D712" t="s">
        <v>3088</v>
      </c>
      <c r="E712" t="s">
        <v>969</v>
      </c>
      <c r="F712">
        <v>75</v>
      </c>
      <c r="G712" t="b">
        <v>1</v>
      </c>
      <c r="H712">
        <v>1</v>
      </c>
    </row>
    <row r="713" spans="1:8" x14ac:dyDescent="0.25">
      <c r="A713" t="s">
        <v>1067</v>
      </c>
      <c r="B713" t="s">
        <v>1068</v>
      </c>
      <c r="C713">
        <v>20.65</v>
      </c>
      <c r="D713" t="s">
        <v>3088</v>
      </c>
      <c r="E713" t="s">
        <v>969</v>
      </c>
      <c r="F713">
        <v>75</v>
      </c>
      <c r="G713" t="b">
        <v>1</v>
      </c>
      <c r="H713">
        <v>1</v>
      </c>
    </row>
    <row r="714" spans="1:8" x14ac:dyDescent="0.25">
      <c r="A714" t="s">
        <v>1073</v>
      </c>
      <c r="B714" t="s">
        <v>1074</v>
      </c>
      <c r="C714">
        <v>92.9</v>
      </c>
      <c r="D714" t="s">
        <v>3088</v>
      </c>
      <c r="E714" t="s">
        <v>969</v>
      </c>
      <c r="F714">
        <v>75</v>
      </c>
      <c r="G714" t="b">
        <v>1</v>
      </c>
      <c r="H714">
        <v>1</v>
      </c>
    </row>
    <row r="715" spans="1:8" x14ac:dyDescent="0.25">
      <c r="A715" t="s">
        <v>1030</v>
      </c>
      <c r="B715" t="s">
        <v>1031</v>
      </c>
      <c r="C715">
        <v>65.099999999999994</v>
      </c>
      <c r="D715" t="s">
        <v>3088</v>
      </c>
      <c r="E715" t="s">
        <v>969</v>
      </c>
      <c r="F715">
        <v>75</v>
      </c>
      <c r="G715" t="b">
        <v>1</v>
      </c>
      <c r="H715">
        <v>1</v>
      </c>
    </row>
    <row r="716" spans="1:8" x14ac:dyDescent="0.25">
      <c r="A716" t="s">
        <v>1063</v>
      </c>
      <c r="B716" t="s">
        <v>1064</v>
      </c>
      <c r="C716">
        <v>80.8</v>
      </c>
      <c r="D716" t="s">
        <v>3088</v>
      </c>
      <c r="E716" t="s">
        <v>969</v>
      </c>
      <c r="F716">
        <v>75</v>
      </c>
      <c r="G716" t="b">
        <v>1</v>
      </c>
      <c r="H716">
        <v>1</v>
      </c>
    </row>
    <row r="717" spans="1:8" x14ac:dyDescent="0.25">
      <c r="A717" t="s">
        <v>1050</v>
      </c>
      <c r="B717" t="s">
        <v>1051</v>
      </c>
      <c r="C717">
        <v>176.6</v>
      </c>
      <c r="D717" t="s">
        <v>3088</v>
      </c>
      <c r="E717" t="s">
        <v>969</v>
      </c>
      <c r="F717">
        <v>75</v>
      </c>
      <c r="G717" t="b">
        <v>1</v>
      </c>
      <c r="H717">
        <v>1</v>
      </c>
    </row>
    <row r="718" spans="1:8" x14ac:dyDescent="0.25">
      <c r="A718" t="s">
        <v>978</v>
      </c>
      <c r="B718" t="s">
        <v>979</v>
      </c>
      <c r="C718">
        <v>191.65</v>
      </c>
      <c r="D718" t="s">
        <v>3088</v>
      </c>
      <c r="E718" t="s">
        <v>969</v>
      </c>
      <c r="F718">
        <v>75</v>
      </c>
      <c r="G718" t="b">
        <v>1</v>
      </c>
      <c r="H718">
        <v>1</v>
      </c>
    </row>
    <row r="719" spans="1:8" x14ac:dyDescent="0.25">
      <c r="A719" t="s">
        <v>980</v>
      </c>
      <c r="B719" t="s">
        <v>981</v>
      </c>
      <c r="C719">
        <v>204.6</v>
      </c>
      <c r="D719" t="s">
        <v>3088</v>
      </c>
      <c r="E719" t="s">
        <v>969</v>
      </c>
      <c r="F719">
        <v>75</v>
      </c>
      <c r="G719" t="b">
        <v>1</v>
      </c>
      <c r="H719">
        <v>1</v>
      </c>
    </row>
    <row r="720" spans="1:8" x14ac:dyDescent="0.25">
      <c r="A720" t="s">
        <v>1041</v>
      </c>
      <c r="B720" t="s">
        <v>1042</v>
      </c>
      <c r="C720">
        <v>122.1</v>
      </c>
      <c r="D720" t="s">
        <v>3088</v>
      </c>
      <c r="E720" t="s">
        <v>969</v>
      </c>
      <c r="F720">
        <v>75</v>
      </c>
      <c r="G720" t="b">
        <v>1</v>
      </c>
      <c r="H720">
        <v>1</v>
      </c>
    </row>
    <row r="721" spans="1:8" x14ac:dyDescent="0.25">
      <c r="A721" t="s">
        <v>1091</v>
      </c>
      <c r="B721" t="s">
        <v>1092</v>
      </c>
      <c r="C721">
        <v>25.35</v>
      </c>
      <c r="D721" t="s">
        <v>3088</v>
      </c>
      <c r="E721" t="s">
        <v>969</v>
      </c>
      <c r="F721">
        <v>75</v>
      </c>
      <c r="G721" t="b">
        <v>1</v>
      </c>
      <c r="H721">
        <v>1</v>
      </c>
    </row>
    <row r="722" spans="1:8" x14ac:dyDescent="0.25">
      <c r="A722" t="s">
        <v>1082</v>
      </c>
      <c r="B722" t="s">
        <v>1083</v>
      </c>
      <c r="C722">
        <v>55.45</v>
      </c>
      <c r="D722" t="s">
        <v>3088</v>
      </c>
      <c r="E722" t="s">
        <v>969</v>
      </c>
      <c r="F722">
        <v>75</v>
      </c>
      <c r="G722" t="b">
        <v>1</v>
      </c>
      <c r="H722">
        <v>1</v>
      </c>
    </row>
    <row r="723" spans="1:8" x14ac:dyDescent="0.25">
      <c r="A723" t="s">
        <v>1085</v>
      </c>
      <c r="B723" t="s">
        <v>1086</v>
      </c>
      <c r="C723">
        <v>69.3</v>
      </c>
      <c r="D723" t="s">
        <v>3088</v>
      </c>
      <c r="E723" t="s">
        <v>969</v>
      </c>
      <c r="F723">
        <v>75</v>
      </c>
      <c r="G723" t="b">
        <v>1</v>
      </c>
      <c r="H723">
        <v>1</v>
      </c>
    </row>
    <row r="724" spans="1:8" x14ac:dyDescent="0.25">
      <c r="A724" t="s">
        <v>1088</v>
      </c>
      <c r="B724" t="s">
        <v>1089</v>
      </c>
      <c r="C724">
        <v>54.3</v>
      </c>
      <c r="D724" t="s">
        <v>3088</v>
      </c>
      <c r="E724" t="s">
        <v>969</v>
      </c>
      <c r="F724">
        <v>75</v>
      </c>
      <c r="G724" t="b">
        <v>1</v>
      </c>
      <c r="H724">
        <v>1</v>
      </c>
    </row>
    <row r="725" spans="1:8" x14ac:dyDescent="0.25">
      <c r="A725" t="s">
        <v>1163</v>
      </c>
      <c r="B725" t="s">
        <v>1164</v>
      </c>
      <c r="C725">
        <v>30.4</v>
      </c>
      <c r="D725" t="s">
        <v>3088</v>
      </c>
      <c r="E725" t="s">
        <v>969</v>
      </c>
      <c r="F725">
        <v>75</v>
      </c>
      <c r="G725" t="b">
        <v>1</v>
      </c>
      <c r="H725">
        <v>1</v>
      </c>
    </row>
    <row r="726" spans="1:8" x14ac:dyDescent="0.25">
      <c r="A726" t="s">
        <v>1060</v>
      </c>
      <c r="B726" t="s">
        <v>1061</v>
      </c>
      <c r="C726">
        <v>26.5</v>
      </c>
      <c r="D726" t="s">
        <v>3088</v>
      </c>
      <c r="E726" t="s">
        <v>969</v>
      </c>
      <c r="F726">
        <v>75</v>
      </c>
      <c r="G726" t="b">
        <v>1</v>
      </c>
      <c r="H726">
        <v>1</v>
      </c>
    </row>
    <row r="727" spans="1:8" x14ac:dyDescent="0.25">
      <c r="A727" t="s">
        <v>982</v>
      </c>
      <c r="B727" t="s">
        <v>983</v>
      </c>
      <c r="C727">
        <v>61.8</v>
      </c>
      <c r="D727" t="s">
        <v>3088</v>
      </c>
      <c r="E727" t="s">
        <v>969</v>
      </c>
      <c r="F727">
        <v>75</v>
      </c>
      <c r="G727" t="b">
        <v>1</v>
      </c>
      <c r="H727">
        <v>1</v>
      </c>
    </row>
    <row r="728" spans="1:8" x14ac:dyDescent="0.25">
      <c r="A728" t="s">
        <v>1079</v>
      </c>
      <c r="B728" t="s">
        <v>1080</v>
      </c>
      <c r="C728">
        <v>84.9</v>
      </c>
      <c r="D728" t="s">
        <v>3088</v>
      </c>
      <c r="E728" t="s">
        <v>969</v>
      </c>
      <c r="F728">
        <v>75</v>
      </c>
      <c r="G728" t="b">
        <v>1</v>
      </c>
      <c r="H728">
        <v>1</v>
      </c>
    </row>
    <row r="729" spans="1:8" x14ac:dyDescent="0.25">
      <c r="A729" t="s">
        <v>1076</v>
      </c>
      <c r="B729" t="s">
        <v>1077</v>
      </c>
      <c r="C729">
        <v>58.4</v>
      </c>
      <c r="D729" t="s">
        <v>3088</v>
      </c>
      <c r="E729" t="s">
        <v>969</v>
      </c>
      <c r="F729">
        <v>75</v>
      </c>
      <c r="G729" t="b">
        <v>1</v>
      </c>
      <c r="H729">
        <v>1</v>
      </c>
    </row>
    <row r="730" spans="1:8" x14ac:dyDescent="0.25">
      <c r="A730" t="s">
        <v>1131</v>
      </c>
      <c r="B730" t="s">
        <v>1132</v>
      </c>
      <c r="C730">
        <v>165.7</v>
      </c>
      <c r="D730" t="s">
        <v>3088</v>
      </c>
      <c r="E730" t="s">
        <v>969</v>
      </c>
      <c r="F730">
        <v>75</v>
      </c>
      <c r="G730" t="b">
        <v>1</v>
      </c>
      <c r="H730">
        <v>1</v>
      </c>
    </row>
    <row r="731" spans="1:8" x14ac:dyDescent="0.25">
      <c r="A731" t="s">
        <v>1034</v>
      </c>
      <c r="B731" t="s">
        <v>1035</v>
      </c>
      <c r="C731">
        <v>76.349999999999994</v>
      </c>
      <c r="D731" t="s">
        <v>3088</v>
      </c>
      <c r="E731" t="s">
        <v>969</v>
      </c>
      <c r="F731">
        <v>75</v>
      </c>
      <c r="G731" t="b">
        <v>1</v>
      </c>
      <c r="H731">
        <v>1</v>
      </c>
    </row>
    <row r="732" spans="1:8" x14ac:dyDescent="0.25">
      <c r="A732" t="s">
        <v>1039</v>
      </c>
      <c r="B732" t="s">
        <v>1040</v>
      </c>
      <c r="C732">
        <v>121.2</v>
      </c>
      <c r="D732" t="s">
        <v>3088</v>
      </c>
      <c r="E732" t="s">
        <v>969</v>
      </c>
      <c r="F732">
        <v>75</v>
      </c>
      <c r="G732" t="b">
        <v>1</v>
      </c>
      <c r="H732">
        <v>1</v>
      </c>
    </row>
    <row r="733" spans="1:8" x14ac:dyDescent="0.25">
      <c r="A733" t="s">
        <v>1037</v>
      </c>
      <c r="B733" t="s">
        <v>1038</v>
      </c>
      <c r="C733">
        <v>142.1</v>
      </c>
      <c r="D733" t="s">
        <v>3088</v>
      </c>
      <c r="E733" t="s">
        <v>969</v>
      </c>
      <c r="F733">
        <v>75</v>
      </c>
      <c r="G733" t="b">
        <v>1</v>
      </c>
      <c r="H733">
        <v>1</v>
      </c>
    </row>
    <row r="734" spans="1:8" x14ac:dyDescent="0.25">
      <c r="A734" t="s">
        <v>1139</v>
      </c>
      <c r="B734" t="s">
        <v>1140</v>
      </c>
      <c r="C734">
        <v>163.5</v>
      </c>
      <c r="D734" t="s">
        <v>3088</v>
      </c>
      <c r="E734" t="s">
        <v>969</v>
      </c>
      <c r="F734">
        <v>75</v>
      </c>
      <c r="G734" t="b">
        <v>1</v>
      </c>
      <c r="H734">
        <v>1</v>
      </c>
    </row>
    <row r="735" spans="1:8" x14ac:dyDescent="0.25">
      <c r="A735" t="s">
        <v>1141</v>
      </c>
      <c r="B735" t="s">
        <v>1142</v>
      </c>
      <c r="C735">
        <v>180.15</v>
      </c>
      <c r="D735" t="s">
        <v>3088</v>
      </c>
      <c r="E735" t="s">
        <v>969</v>
      </c>
      <c r="F735">
        <v>75</v>
      </c>
      <c r="G735" t="b">
        <v>1</v>
      </c>
      <c r="H735">
        <v>1</v>
      </c>
    </row>
    <row r="736" spans="1:8" x14ac:dyDescent="0.25">
      <c r="A736" t="s">
        <v>984</v>
      </c>
      <c r="B736" t="s">
        <v>985</v>
      </c>
      <c r="C736">
        <v>163.5</v>
      </c>
      <c r="D736" t="s">
        <v>3088</v>
      </c>
      <c r="E736" t="s">
        <v>969</v>
      </c>
      <c r="F736">
        <v>75</v>
      </c>
      <c r="G736" t="b">
        <v>1</v>
      </c>
      <c r="H736">
        <v>1</v>
      </c>
    </row>
    <row r="737" spans="1:8" x14ac:dyDescent="0.25">
      <c r="A737" t="s">
        <v>986</v>
      </c>
      <c r="B737" t="s">
        <v>987</v>
      </c>
      <c r="C737">
        <v>51.5</v>
      </c>
      <c r="D737" t="s">
        <v>3088</v>
      </c>
      <c r="E737" t="s">
        <v>969</v>
      </c>
      <c r="F737">
        <v>75</v>
      </c>
      <c r="G737" t="b">
        <v>1</v>
      </c>
      <c r="H737">
        <v>1</v>
      </c>
    </row>
    <row r="738" spans="1:8" x14ac:dyDescent="0.25">
      <c r="A738" t="s">
        <v>581</v>
      </c>
      <c r="B738" t="s">
        <v>582</v>
      </c>
      <c r="C738">
        <v>53.05</v>
      </c>
      <c r="D738" t="s">
        <v>593</v>
      </c>
      <c r="E738" t="s">
        <v>577</v>
      </c>
      <c r="F738">
        <v>75</v>
      </c>
      <c r="G738" t="b">
        <v>1</v>
      </c>
      <c r="H738">
        <v>1</v>
      </c>
    </row>
    <row r="739" spans="1:8" x14ac:dyDescent="0.25">
      <c r="A739" t="s">
        <v>692</v>
      </c>
      <c r="B739" t="s">
        <v>693</v>
      </c>
      <c r="C739">
        <v>61</v>
      </c>
      <c r="D739" t="s">
        <v>593</v>
      </c>
      <c r="E739" t="s">
        <v>577</v>
      </c>
      <c r="F739">
        <v>75</v>
      </c>
      <c r="G739" t="b">
        <v>1</v>
      </c>
      <c r="H739">
        <v>1</v>
      </c>
    </row>
    <row r="740" spans="1:8" x14ac:dyDescent="0.25">
      <c r="A740" t="s">
        <v>584</v>
      </c>
      <c r="B740" t="s">
        <v>585</v>
      </c>
      <c r="C740">
        <v>58.4</v>
      </c>
      <c r="D740" t="s">
        <v>593</v>
      </c>
      <c r="E740" t="s">
        <v>577</v>
      </c>
      <c r="F740">
        <v>75</v>
      </c>
      <c r="G740" t="b">
        <v>1</v>
      </c>
      <c r="H740">
        <v>1</v>
      </c>
    </row>
    <row r="741" spans="1:8" x14ac:dyDescent="0.25">
      <c r="A741" t="s">
        <v>694</v>
      </c>
      <c r="B741" t="s">
        <v>695</v>
      </c>
      <c r="C741">
        <v>65</v>
      </c>
      <c r="D741" t="s">
        <v>593</v>
      </c>
      <c r="E741" t="s">
        <v>577</v>
      </c>
      <c r="F741">
        <v>75</v>
      </c>
      <c r="G741" t="b">
        <v>1</v>
      </c>
      <c r="H741">
        <v>1</v>
      </c>
    </row>
    <row r="742" spans="1:8" x14ac:dyDescent="0.25">
      <c r="A742" t="s">
        <v>696</v>
      </c>
      <c r="B742" t="s">
        <v>697</v>
      </c>
      <c r="C742">
        <v>74.95</v>
      </c>
      <c r="D742" t="s">
        <v>593</v>
      </c>
      <c r="E742" t="s">
        <v>577</v>
      </c>
      <c r="F742">
        <v>75</v>
      </c>
      <c r="G742" t="b">
        <v>1</v>
      </c>
      <c r="H742">
        <v>1</v>
      </c>
    </row>
    <row r="743" spans="1:8" x14ac:dyDescent="0.25">
      <c r="A743" t="s">
        <v>587</v>
      </c>
      <c r="B743" t="s">
        <v>588</v>
      </c>
      <c r="C743">
        <v>74.95</v>
      </c>
      <c r="D743" t="s">
        <v>593</v>
      </c>
      <c r="E743" t="s">
        <v>577</v>
      </c>
      <c r="F743">
        <v>75</v>
      </c>
      <c r="G743" t="b">
        <v>1</v>
      </c>
      <c r="H743">
        <v>1</v>
      </c>
    </row>
    <row r="744" spans="1:8" x14ac:dyDescent="0.25">
      <c r="A744" t="s">
        <v>574</v>
      </c>
      <c r="B744" t="s">
        <v>575</v>
      </c>
      <c r="C744">
        <v>56.9</v>
      </c>
      <c r="D744" t="s">
        <v>593</v>
      </c>
      <c r="E744" t="s">
        <v>577</v>
      </c>
      <c r="F744">
        <v>75</v>
      </c>
      <c r="G744" t="b">
        <v>1</v>
      </c>
      <c r="H744">
        <v>1</v>
      </c>
    </row>
    <row r="745" spans="1:8" x14ac:dyDescent="0.25">
      <c r="A745" t="s">
        <v>606</v>
      </c>
      <c r="B745" t="s">
        <v>607</v>
      </c>
      <c r="C745">
        <v>47.8</v>
      </c>
      <c r="D745" t="s">
        <v>593</v>
      </c>
      <c r="E745" t="s">
        <v>1417</v>
      </c>
      <c r="F745">
        <v>75</v>
      </c>
      <c r="G745" t="b">
        <v>1</v>
      </c>
      <c r="H745">
        <v>1</v>
      </c>
    </row>
    <row r="746" spans="1:8" x14ac:dyDescent="0.25">
      <c r="A746" t="s">
        <v>620</v>
      </c>
      <c r="B746" t="s">
        <v>621</v>
      </c>
      <c r="C746">
        <v>49.85</v>
      </c>
      <c r="D746" t="s">
        <v>593</v>
      </c>
      <c r="E746" t="s">
        <v>1417</v>
      </c>
      <c r="F746">
        <v>75</v>
      </c>
      <c r="G746" t="b">
        <v>1</v>
      </c>
      <c r="H746">
        <v>1</v>
      </c>
    </row>
    <row r="747" spans="1:8" x14ac:dyDescent="0.25">
      <c r="A747" t="s">
        <v>615</v>
      </c>
      <c r="B747" t="s">
        <v>616</v>
      </c>
      <c r="C747">
        <v>28.35</v>
      </c>
      <c r="D747" t="s">
        <v>593</v>
      </c>
      <c r="E747" t="s">
        <v>1417</v>
      </c>
      <c r="F747">
        <v>75</v>
      </c>
      <c r="G747" t="b">
        <v>1</v>
      </c>
      <c r="H747">
        <v>1</v>
      </c>
    </row>
    <row r="748" spans="1:8" x14ac:dyDescent="0.25">
      <c r="A748" t="s">
        <v>708</v>
      </c>
      <c r="B748" t="s">
        <v>709</v>
      </c>
      <c r="C748">
        <v>47.8</v>
      </c>
      <c r="D748" t="s">
        <v>593</v>
      </c>
      <c r="E748" t="s">
        <v>1417</v>
      </c>
      <c r="F748">
        <v>75</v>
      </c>
      <c r="G748" t="b">
        <v>1</v>
      </c>
      <c r="H748">
        <v>1</v>
      </c>
    </row>
    <row r="749" spans="1:8" x14ac:dyDescent="0.25">
      <c r="A749" t="s">
        <v>625</v>
      </c>
      <c r="B749" t="s">
        <v>626</v>
      </c>
      <c r="C749">
        <v>54.3</v>
      </c>
      <c r="D749" t="s">
        <v>593</v>
      </c>
      <c r="E749" t="s">
        <v>1417</v>
      </c>
      <c r="F749">
        <v>75</v>
      </c>
      <c r="G749" t="b">
        <v>1</v>
      </c>
      <c r="H749">
        <v>1</v>
      </c>
    </row>
    <row r="750" spans="1:8" x14ac:dyDescent="0.25">
      <c r="A750" t="s">
        <v>628</v>
      </c>
      <c r="B750" t="s">
        <v>629</v>
      </c>
      <c r="C750">
        <v>58.15</v>
      </c>
      <c r="D750" t="s">
        <v>593</v>
      </c>
      <c r="E750" t="s">
        <v>1417</v>
      </c>
      <c r="F750">
        <v>75</v>
      </c>
      <c r="G750" t="b">
        <v>1</v>
      </c>
      <c r="H750">
        <v>1</v>
      </c>
    </row>
    <row r="751" spans="1:8" x14ac:dyDescent="0.25">
      <c r="A751" t="s">
        <v>631</v>
      </c>
      <c r="B751" t="s">
        <v>632</v>
      </c>
      <c r="C751">
        <v>63.7</v>
      </c>
      <c r="D751" t="s">
        <v>593</v>
      </c>
      <c r="E751" t="s">
        <v>1417</v>
      </c>
      <c r="F751">
        <v>75</v>
      </c>
      <c r="G751" t="b">
        <v>1</v>
      </c>
      <c r="H751">
        <v>1</v>
      </c>
    </row>
    <row r="752" spans="1:8" x14ac:dyDescent="0.25">
      <c r="A752" t="s">
        <v>713</v>
      </c>
      <c r="B752" t="s">
        <v>714</v>
      </c>
      <c r="C752">
        <v>13.3</v>
      </c>
      <c r="D752" t="s">
        <v>593</v>
      </c>
      <c r="E752" t="s">
        <v>1417</v>
      </c>
      <c r="F752">
        <v>75</v>
      </c>
      <c r="G752" t="b">
        <v>1</v>
      </c>
      <c r="H752">
        <v>1</v>
      </c>
    </row>
    <row r="753" spans="1:8" x14ac:dyDescent="0.25">
      <c r="A753" t="s">
        <v>698</v>
      </c>
      <c r="B753" t="s">
        <v>699</v>
      </c>
      <c r="C753">
        <v>33.35</v>
      </c>
      <c r="D753" t="s">
        <v>593</v>
      </c>
      <c r="E753" t="s">
        <v>1417</v>
      </c>
      <c r="F753">
        <v>75</v>
      </c>
      <c r="G753" t="b">
        <v>1</v>
      </c>
      <c r="H753">
        <v>1</v>
      </c>
    </row>
    <row r="754" spans="1:8" x14ac:dyDescent="0.25">
      <c r="A754" t="s">
        <v>602</v>
      </c>
      <c r="B754" t="s">
        <v>603</v>
      </c>
      <c r="C754">
        <v>43.95</v>
      </c>
      <c r="D754" t="s">
        <v>593</v>
      </c>
      <c r="E754" t="s">
        <v>1417</v>
      </c>
      <c r="F754">
        <v>75</v>
      </c>
      <c r="G754" t="b">
        <v>1</v>
      </c>
      <c r="H754">
        <v>1</v>
      </c>
    </row>
    <row r="755" spans="1:8" x14ac:dyDescent="0.25">
      <c r="A755" t="s">
        <v>700</v>
      </c>
      <c r="B755" t="s">
        <v>701</v>
      </c>
      <c r="C755">
        <v>63.7</v>
      </c>
      <c r="D755" t="s">
        <v>593</v>
      </c>
      <c r="E755" t="s">
        <v>1417</v>
      </c>
      <c r="F755">
        <v>75</v>
      </c>
      <c r="G755" t="b">
        <v>1</v>
      </c>
      <c r="H755">
        <v>1</v>
      </c>
    </row>
    <row r="756" spans="1:8" x14ac:dyDescent="0.25">
      <c r="A756" t="s">
        <v>702</v>
      </c>
      <c r="B756" t="s">
        <v>703</v>
      </c>
      <c r="C756">
        <v>43.95</v>
      </c>
      <c r="D756" t="s">
        <v>593</v>
      </c>
      <c r="E756" t="s">
        <v>1417</v>
      </c>
      <c r="F756">
        <v>75</v>
      </c>
      <c r="G756" t="b">
        <v>1</v>
      </c>
      <c r="H756">
        <v>1</v>
      </c>
    </row>
    <row r="757" spans="1:8" x14ac:dyDescent="0.25">
      <c r="A757" t="s">
        <v>604</v>
      </c>
      <c r="B757" t="s">
        <v>605</v>
      </c>
      <c r="C757">
        <v>45.1</v>
      </c>
      <c r="D757" t="s">
        <v>593</v>
      </c>
      <c r="E757" t="s">
        <v>1417</v>
      </c>
      <c r="F757">
        <v>75</v>
      </c>
      <c r="G757" t="b">
        <v>1</v>
      </c>
      <c r="H757">
        <v>1</v>
      </c>
    </row>
    <row r="758" spans="1:8" x14ac:dyDescent="0.25">
      <c r="A758" t="s">
        <v>600</v>
      </c>
      <c r="B758" t="s">
        <v>601</v>
      </c>
      <c r="C758">
        <v>23.9</v>
      </c>
      <c r="D758" t="s">
        <v>593</v>
      </c>
      <c r="E758" t="s">
        <v>1417</v>
      </c>
      <c r="F758">
        <v>75</v>
      </c>
      <c r="G758" t="b">
        <v>1</v>
      </c>
      <c r="H758">
        <v>1</v>
      </c>
    </row>
    <row r="759" spans="1:8" x14ac:dyDescent="0.25">
      <c r="A759" t="s">
        <v>647</v>
      </c>
      <c r="B759" t="s">
        <v>648</v>
      </c>
      <c r="C759">
        <v>48.95</v>
      </c>
      <c r="D759" t="s">
        <v>593</v>
      </c>
      <c r="E759" t="s">
        <v>1417</v>
      </c>
      <c r="F759">
        <v>75</v>
      </c>
      <c r="G759" t="b">
        <v>1</v>
      </c>
      <c r="H759">
        <v>1</v>
      </c>
    </row>
    <row r="760" spans="1:8" x14ac:dyDescent="0.25">
      <c r="A760" t="s">
        <v>656</v>
      </c>
      <c r="B760" t="s">
        <v>657</v>
      </c>
      <c r="C760">
        <v>110.85</v>
      </c>
      <c r="D760" t="s">
        <v>593</v>
      </c>
      <c r="E760" t="s">
        <v>1417</v>
      </c>
      <c r="F760">
        <v>75</v>
      </c>
      <c r="G760" t="b">
        <v>1</v>
      </c>
      <c r="H760">
        <v>1</v>
      </c>
    </row>
    <row r="761" spans="1:8" x14ac:dyDescent="0.25">
      <c r="A761" t="s">
        <v>662</v>
      </c>
      <c r="B761" t="s">
        <v>663</v>
      </c>
      <c r="C761">
        <v>263.89999999999998</v>
      </c>
      <c r="D761" t="s">
        <v>593</v>
      </c>
      <c r="E761" t="s">
        <v>1417</v>
      </c>
      <c r="F761">
        <v>75</v>
      </c>
      <c r="G761" t="b">
        <v>1</v>
      </c>
      <c r="H761">
        <v>1</v>
      </c>
    </row>
    <row r="762" spans="1:8" x14ac:dyDescent="0.25">
      <c r="A762" t="s">
        <v>650</v>
      </c>
      <c r="B762" t="s">
        <v>651</v>
      </c>
      <c r="C762">
        <v>100.2</v>
      </c>
      <c r="D762" t="s">
        <v>593</v>
      </c>
      <c r="E762" t="s">
        <v>1417</v>
      </c>
      <c r="F762">
        <v>75</v>
      </c>
      <c r="G762" t="b">
        <v>1</v>
      </c>
      <c r="H762">
        <v>1</v>
      </c>
    </row>
    <row r="763" spans="1:8" x14ac:dyDescent="0.25">
      <c r="A763" t="s">
        <v>653</v>
      </c>
      <c r="B763" t="s">
        <v>654</v>
      </c>
      <c r="C763">
        <v>76.650000000000006</v>
      </c>
      <c r="D763" t="s">
        <v>593</v>
      </c>
      <c r="E763" t="s">
        <v>1417</v>
      </c>
      <c r="F763">
        <v>75</v>
      </c>
      <c r="G763" t="b">
        <v>1</v>
      </c>
      <c r="H763">
        <v>1</v>
      </c>
    </row>
    <row r="764" spans="1:8" x14ac:dyDescent="0.25">
      <c r="A764" t="s">
        <v>668</v>
      </c>
      <c r="B764" t="s">
        <v>669</v>
      </c>
      <c r="C764">
        <v>23.5</v>
      </c>
      <c r="D764" t="s">
        <v>593</v>
      </c>
      <c r="E764" t="s">
        <v>1417</v>
      </c>
      <c r="F764">
        <v>75</v>
      </c>
      <c r="G764" t="b">
        <v>1</v>
      </c>
      <c r="H764">
        <v>1</v>
      </c>
    </row>
    <row r="765" spans="1:8" x14ac:dyDescent="0.25">
      <c r="A765" t="s">
        <v>723</v>
      </c>
      <c r="B765" t="s">
        <v>724</v>
      </c>
      <c r="C765">
        <v>263.89999999999998</v>
      </c>
      <c r="D765" t="s">
        <v>593</v>
      </c>
      <c r="E765" t="s">
        <v>1417</v>
      </c>
      <c r="F765">
        <v>75</v>
      </c>
      <c r="G765" t="b">
        <v>1</v>
      </c>
      <c r="H765">
        <v>1</v>
      </c>
    </row>
    <row r="766" spans="1:8" x14ac:dyDescent="0.25">
      <c r="A766" t="s">
        <v>726</v>
      </c>
      <c r="B766" t="s">
        <v>727</v>
      </c>
      <c r="C766">
        <v>100.2</v>
      </c>
      <c r="D766" t="s">
        <v>593</v>
      </c>
      <c r="E766" t="s">
        <v>1417</v>
      </c>
      <c r="F766">
        <v>75</v>
      </c>
      <c r="G766" t="b">
        <v>1</v>
      </c>
      <c r="H766">
        <v>1</v>
      </c>
    </row>
    <row r="767" spans="1:8" x14ac:dyDescent="0.25">
      <c r="A767" t="s">
        <v>728</v>
      </c>
      <c r="B767" t="s">
        <v>729</v>
      </c>
      <c r="C767">
        <v>76.75</v>
      </c>
      <c r="D767" t="s">
        <v>593</v>
      </c>
      <c r="E767" t="s">
        <v>1417</v>
      </c>
      <c r="F767">
        <v>75</v>
      </c>
      <c r="G767" t="b">
        <v>1</v>
      </c>
      <c r="H767">
        <v>1</v>
      </c>
    </row>
    <row r="768" spans="1:8" x14ac:dyDescent="0.25">
      <c r="A768" t="s">
        <v>730</v>
      </c>
      <c r="B768" t="s">
        <v>731</v>
      </c>
      <c r="C768">
        <v>200</v>
      </c>
      <c r="D768" t="s">
        <v>593</v>
      </c>
      <c r="E768" t="s">
        <v>1417</v>
      </c>
      <c r="F768">
        <v>75</v>
      </c>
      <c r="G768" t="b">
        <v>1</v>
      </c>
      <c r="H768">
        <v>1</v>
      </c>
    </row>
    <row r="769" spans="1:8" x14ac:dyDescent="0.25">
      <c r="A769" t="s">
        <v>732</v>
      </c>
      <c r="B769" t="s">
        <v>733</v>
      </c>
      <c r="C769">
        <v>100</v>
      </c>
      <c r="D769" t="s">
        <v>593</v>
      </c>
      <c r="E769" t="s">
        <v>1417</v>
      </c>
      <c r="F769">
        <v>75</v>
      </c>
      <c r="G769" t="b">
        <v>1</v>
      </c>
      <c r="H769">
        <v>1</v>
      </c>
    </row>
    <row r="770" spans="1:8" x14ac:dyDescent="0.25">
      <c r="A770" t="s">
        <v>710</v>
      </c>
      <c r="B770" t="s">
        <v>711</v>
      </c>
      <c r="C770">
        <v>37.15</v>
      </c>
      <c r="D770" t="s">
        <v>593</v>
      </c>
      <c r="E770" t="s">
        <v>1417</v>
      </c>
      <c r="F770">
        <v>75</v>
      </c>
      <c r="G770" t="b">
        <v>1</v>
      </c>
      <c r="H770">
        <v>1</v>
      </c>
    </row>
    <row r="771" spans="1:8" x14ac:dyDescent="0.25">
      <c r="A771" t="s">
        <v>636</v>
      </c>
      <c r="B771" t="s">
        <v>637</v>
      </c>
      <c r="C771">
        <v>39.200000000000003</v>
      </c>
      <c r="D771" t="s">
        <v>593</v>
      </c>
      <c r="E771" t="s">
        <v>1417</v>
      </c>
      <c r="F771">
        <v>75</v>
      </c>
      <c r="G771" t="b">
        <v>1</v>
      </c>
      <c r="H771">
        <v>1</v>
      </c>
    </row>
    <row r="772" spans="1:8" x14ac:dyDescent="0.25">
      <c r="A772" t="s">
        <v>671</v>
      </c>
      <c r="B772" t="s">
        <v>672</v>
      </c>
      <c r="C772">
        <v>117.95</v>
      </c>
      <c r="D772" t="s">
        <v>593</v>
      </c>
      <c r="E772" t="s">
        <v>1417</v>
      </c>
      <c r="F772">
        <v>75</v>
      </c>
      <c r="G772" t="b">
        <v>1</v>
      </c>
      <c r="H772">
        <v>1</v>
      </c>
    </row>
    <row r="773" spans="1:8" x14ac:dyDescent="0.25">
      <c r="A773" t="s">
        <v>673</v>
      </c>
      <c r="B773" t="s">
        <v>674</v>
      </c>
      <c r="C773">
        <v>138.9</v>
      </c>
      <c r="D773" t="s">
        <v>593</v>
      </c>
      <c r="E773" t="s">
        <v>1417</v>
      </c>
      <c r="F773">
        <v>75</v>
      </c>
      <c r="G773" t="b">
        <v>1</v>
      </c>
      <c r="H773">
        <v>1</v>
      </c>
    </row>
    <row r="774" spans="1:8" x14ac:dyDescent="0.25">
      <c r="A774" t="s">
        <v>734</v>
      </c>
      <c r="B774" t="s">
        <v>735</v>
      </c>
      <c r="C774">
        <v>189</v>
      </c>
      <c r="D774" t="s">
        <v>593</v>
      </c>
      <c r="E774" t="s">
        <v>1417</v>
      </c>
      <c r="F774">
        <v>75</v>
      </c>
      <c r="G774" t="b">
        <v>1</v>
      </c>
      <c r="H774">
        <v>1</v>
      </c>
    </row>
    <row r="775" spans="1:8" x14ac:dyDescent="0.25">
      <c r="A775" t="s">
        <v>642</v>
      </c>
      <c r="B775" t="s">
        <v>643</v>
      </c>
      <c r="C775">
        <v>54.3</v>
      </c>
      <c r="D775" t="s">
        <v>593</v>
      </c>
      <c r="E775" t="s">
        <v>1417</v>
      </c>
      <c r="F775">
        <v>75</v>
      </c>
      <c r="G775" t="b">
        <v>1</v>
      </c>
      <c r="H775">
        <v>1</v>
      </c>
    </row>
    <row r="776" spans="1:8" x14ac:dyDescent="0.25">
      <c r="A776" t="s">
        <v>639</v>
      </c>
      <c r="B776" t="s">
        <v>640</v>
      </c>
      <c r="C776">
        <v>47.15</v>
      </c>
      <c r="D776" t="s">
        <v>593</v>
      </c>
      <c r="E776" t="s">
        <v>1417</v>
      </c>
      <c r="F776">
        <v>75</v>
      </c>
      <c r="G776" t="b">
        <v>1</v>
      </c>
      <c r="H776">
        <v>1</v>
      </c>
    </row>
    <row r="777" spans="1:8" x14ac:dyDescent="0.25">
      <c r="A777" t="s">
        <v>704</v>
      </c>
      <c r="B777" t="s">
        <v>705</v>
      </c>
      <c r="C777">
        <v>66</v>
      </c>
      <c r="D777" t="s">
        <v>593</v>
      </c>
      <c r="E777" t="s">
        <v>1417</v>
      </c>
      <c r="F777">
        <v>75</v>
      </c>
      <c r="G777" t="b">
        <v>1</v>
      </c>
      <c r="H777">
        <v>1</v>
      </c>
    </row>
    <row r="778" spans="1:8" x14ac:dyDescent="0.25">
      <c r="A778" t="s">
        <v>716</v>
      </c>
      <c r="B778" t="s">
        <v>717</v>
      </c>
      <c r="C778">
        <v>13.3</v>
      </c>
      <c r="D778" t="s">
        <v>593</v>
      </c>
      <c r="E778" t="s">
        <v>1417</v>
      </c>
      <c r="F778">
        <v>75</v>
      </c>
      <c r="G778" t="b">
        <v>1</v>
      </c>
      <c r="H778">
        <v>1</v>
      </c>
    </row>
    <row r="779" spans="1:8" x14ac:dyDescent="0.25">
      <c r="A779" t="s">
        <v>718</v>
      </c>
      <c r="B779" t="s">
        <v>719</v>
      </c>
      <c r="C779">
        <v>13.3</v>
      </c>
      <c r="D779" t="s">
        <v>593</v>
      </c>
      <c r="E779" t="s">
        <v>1417</v>
      </c>
      <c r="F779">
        <v>75</v>
      </c>
      <c r="G779" t="b">
        <v>1</v>
      </c>
      <c r="H779">
        <v>1</v>
      </c>
    </row>
    <row r="780" spans="1:8" x14ac:dyDescent="0.25">
      <c r="A780" t="s">
        <v>665</v>
      </c>
      <c r="B780" t="s">
        <v>666</v>
      </c>
      <c r="C780">
        <v>57.2</v>
      </c>
      <c r="D780" t="s">
        <v>593</v>
      </c>
      <c r="E780" t="s">
        <v>1417</v>
      </c>
      <c r="F780">
        <v>75</v>
      </c>
      <c r="G780" t="b">
        <v>1</v>
      </c>
      <c r="H780">
        <v>1</v>
      </c>
    </row>
    <row r="781" spans="1:8" x14ac:dyDescent="0.25">
      <c r="A781" t="s">
        <v>590</v>
      </c>
      <c r="B781" t="s">
        <v>591</v>
      </c>
      <c r="C781">
        <v>63.7</v>
      </c>
      <c r="D781" t="s">
        <v>593</v>
      </c>
      <c r="E781" t="s">
        <v>1417</v>
      </c>
      <c r="F781">
        <v>75</v>
      </c>
      <c r="G781" t="b">
        <v>1</v>
      </c>
      <c r="H781">
        <v>1</v>
      </c>
    </row>
    <row r="782" spans="1:8" x14ac:dyDescent="0.25">
      <c r="A782" t="s">
        <v>612</v>
      </c>
      <c r="B782" t="s">
        <v>613</v>
      </c>
      <c r="C782">
        <v>54.3</v>
      </c>
      <c r="D782" t="s">
        <v>593</v>
      </c>
      <c r="E782" t="s">
        <v>1417</v>
      </c>
      <c r="F782">
        <v>75</v>
      </c>
      <c r="G782" t="b">
        <v>1</v>
      </c>
      <c r="H782">
        <v>1</v>
      </c>
    </row>
    <row r="783" spans="1:8" x14ac:dyDescent="0.25">
      <c r="A783" t="s">
        <v>597</v>
      </c>
      <c r="B783" t="s">
        <v>598</v>
      </c>
      <c r="C783">
        <v>69.8</v>
      </c>
      <c r="D783" t="s">
        <v>593</v>
      </c>
      <c r="E783" t="s">
        <v>1417</v>
      </c>
      <c r="F783">
        <v>75</v>
      </c>
      <c r="G783" t="b">
        <v>1</v>
      </c>
      <c r="H783">
        <v>1</v>
      </c>
    </row>
    <row r="784" spans="1:8" x14ac:dyDescent="0.25">
      <c r="A784" t="s">
        <v>617</v>
      </c>
      <c r="B784" t="s">
        <v>618</v>
      </c>
      <c r="C784">
        <v>35</v>
      </c>
      <c r="D784" t="s">
        <v>593</v>
      </c>
      <c r="E784" t="s">
        <v>1417</v>
      </c>
      <c r="F784">
        <v>75</v>
      </c>
      <c r="G784" t="b">
        <v>1</v>
      </c>
      <c r="H784">
        <v>1</v>
      </c>
    </row>
    <row r="785" spans="1:8" x14ac:dyDescent="0.25">
      <c r="A785" t="s">
        <v>609</v>
      </c>
      <c r="B785" t="s">
        <v>610</v>
      </c>
      <c r="C785">
        <v>54.45</v>
      </c>
      <c r="D785" t="s">
        <v>593</v>
      </c>
      <c r="E785" t="s">
        <v>1417</v>
      </c>
      <c r="F785">
        <v>75</v>
      </c>
      <c r="G785" t="b">
        <v>1</v>
      </c>
      <c r="H785">
        <v>1</v>
      </c>
    </row>
    <row r="786" spans="1:8" x14ac:dyDescent="0.25">
      <c r="A786" t="s">
        <v>594</v>
      </c>
      <c r="B786" t="s">
        <v>595</v>
      </c>
      <c r="C786">
        <v>65.099999999999994</v>
      </c>
      <c r="D786" t="s">
        <v>593</v>
      </c>
      <c r="E786" t="s">
        <v>1417</v>
      </c>
      <c r="F786">
        <v>75</v>
      </c>
      <c r="G786" t="b">
        <v>1</v>
      </c>
      <c r="H786">
        <v>1</v>
      </c>
    </row>
    <row r="787" spans="1:8" x14ac:dyDescent="0.25">
      <c r="A787" t="s">
        <v>706</v>
      </c>
      <c r="B787" t="s">
        <v>707</v>
      </c>
      <c r="C787">
        <v>58.15</v>
      </c>
      <c r="D787" t="s">
        <v>593</v>
      </c>
      <c r="E787" t="s">
        <v>1417</v>
      </c>
      <c r="F787">
        <v>75</v>
      </c>
      <c r="G787" t="b">
        <v>1</v>
      </c>
      <c r="H787">
        <v>1</v>
      </c>
    </row>
    <row r="788" spans="1:8" x14ac:dyDescent="0.25">
      <c r="A788" t="s">
        <v>3161</v>
      </c>
      <c r="B788" t="s">
        <v>2448</v>
      </c>
      <c r="C788">
        <v>3.55</v>
      </c>
      <c r="D788" t="s">
        <v>593</v>
      </c>
      <c r="E788" t="s">
        <v>945</v>
      </c>
      <c r="F788">
        <v>75</v>
      </c>
      <c r="G788" t="b">
        <v>0</v>
      </c>
      <c r="H788">
        <v>1</v>
      </c>
    </row>
    <row r="789" spans="1:8" x14ac:dyDescent="0.25">
      <c r="A789" t="s">
        <v>3161</v>
      </c>
      <c r="B789" t="s">
        <v>660</v>
      </c>
      <c r="C789">
        <v>16.55</v>
      </c>
      <c r="D789" t="s">
        <v>593</v>
      </c>
      <c r="E789" t="s">
        <v>945</v>
      </c>
      <c r="F789">
        <v>75</v>
      </c>
      <c r="G789" t="b">
        <v>0</v>
      </c>
      <c r="H789">
        <v>1</v>
      </c>
    </row>
    <row r="790" spans="1:8" x14ac:dyDescent="0.25">
      <c r="A790" t="s">
        <v>3161</v>
      </c>
      <c r="B790" t="s">
        <v>536</v>
      </c>
      <c r="C790">
        <v>10.6</v>
      </c>
      <c r="D790" t="s">
        <v>593</v>
      </c>
      <c r="E790" t="s">
        <v>945</v>
      </c>
      <c r="F790">
        <v>75</v>
      </c>
      <c r="G790" t="b">
        <v>0</v>
      </c>
      <c r="H790">
        <v>1</v>
      </c>
    </row>
    <row r="791" spans="1:8" x14ac:dyDescent="0.25">
      <c r="A791" t="s">
        <v>3161</v>
      </c>
      <c r="B791" t="s">
        <v>2450</v>
      </c>
      <c r="C791">
        <v>2.7</v>
      </c>
      <c r="D791" t="s">
        <v>593</v>
      </c>
      <c r="E791" t="s">
        <v>945</v>
      </c>
      <c r="F791">
        <v>75</v>
      </c>
      <c r="G791" t="b">
        <v>0</v>
      </c>
      <c r="H791">
        <v>1</v>
      </c>
    </row>
    <row r="792" spans="1:8" x14ac:dyDescent="0.25">
      <c r="A792" t="s">
        <v>3161</v>
      </c>
      <c r="B792" t="s">
        <v>2452</v>
      </c>
      <c r="C792">
        <v>4.1500000000000004</v>
      </c>
      <c r="D792" t="s">
        <v>593</v>
      </c>
      <c r="E792" t="s">
        <v>945</v>
      </c>
      <c r="F792">
        <v>75</v>
      </c>
      <c r="G792" t="b">
        <v>0</v>
      </c>
      <c r="H792">
        <v>1</v>
      </c>
    </row>
    <row r="793" spans="1:8" x14ac:dyDescent="0.25">
      <c r="A793" t="s">
        <v>3161</v>
      </c>
      <c r="B793" t="s">
        <v>2454</v>
      </c>
      <c r="C793">
        <v>3.85</v>
      </c>
      <c r="D793" t="s">
        <v>593</v>
      </c>
      <c r="E793" t="s">
        <v>945</v>
      </c>
      <c r="F793">
        <v>75</v>
      </c>
      <c r="G793" t="b">
        <v>0</v>
      </c>
      <c r="H793">
        <v>1</v>
      </c>
    </row>
    <row r="794" spans="1:8" x14ac:dyDescent="0.25">
      <c r="A794" t="s">
        <v>3161</v>
      </c>
      <c r="B794" t="s">
        <v>2456</v>
      </c>
      <c r="C794">
        <v>3.85</v>
      </c>
      <c r="D794" t="s">
        <v>593</v>
      </c>
      <c r="E794" t="s">
        <v>945</v>
      </c>
      <c r="F794">
        <v>75</v>
      </c>
      <c r="G794" t="b">
        <v>0</v>
      </c>
      <c r="H794">
        <v>1</v>
      </c>
    </row>
    <row r="795" spans="1:8" x14ac:dyDescent="0.25">
      <c r="A795" t="s">
        <v>3161</v>
      </c>
      <c r="B795" t="s">
        <v>2458</v>
      </c>
      <c r="C795">
        <v>3.85</v>
      </c>
      <c r="D795" t="s">
        <v>593</v>
      </c>
      <c r="E795" t="s">
        <v>945</v>
      </c>
      <c r="F795">
        <v>75</v>
      </c>
      <c r="G795" t="b">
        <v>0</v>
      </c>
      <c r="H795">
        <v>1</v>
      </c>
    </row>
    <row r="796" spans="1:8" x14ac:dyDescent="0.25">
      <c r="A796" t="s">
        <v>3161</v>
      </c>
      <c r="B796" t="s">
        <v>2466</v>
      </c>
      <c r="C796">
        <v>18.899999999999999</v>
      </c>
      <c r="D796" t="s">
        <v>593</v>
      </c>
      <c r="E796" t="s">
        <v>945</v>
      </c>
      <c r="F796">
        <v>75</v>
      </c>
      <c r="G796" t="b">
        <v>0</v>
      </c>
      <c r="H796">
        <v>1</v>
      </c>
    </row>
    <row r="797" spans="1:8" x14ac:dyDescent="0.25">
      <c r="A797" t="s">
        <v>3168</v>
      </c>
      <c r="B797" t="s">
        <v>2486</v>
      </c>
      <c r="C797">
        <v>3.55</v>
      </c>
      <c r="D797" t="s">
        <v>593</v>
      </c>
      <c r="E797" t="s">
        <v>945</v>
      </c>
      <c r="F797">
        <v>75</v>
      </c>
      <c r="G797" t="b">
        <v>0</v>
      </c>
      <c r="H797">
        <v>1</v>
      </c>
    </row>
    <row r="798" spans="1:8" x14ac:dyDescent="0.25">
      <c r="A798" t="s">
        <v>3168</v>
      </c>
      <c r="B798" t="s">
        <v>2484</v>
      </c>
      <c r="C798">
        <v>3.55</v>
      </c>
      <c r="D798" t="s">
        <v>593</v>
      </c>
      <c r="E798" t="s">
        <v>945</v>
      </c>
      <c r="F798">
        <v>75</v>
      </c>
      <c r="G798" t="b">
        <v>0</v>
      </c>
      <c r="H798">
        <v>1</v>
      </c>
    </row>
    <row r="799" spans="1:8" x14ac:dyDescent="0.25">
      <c r="A799" t="s">
        <v>3168</v>
      </c>
      <c r="B799" t="s">
        <v>2490</v>
      </c>
      <c r="C799">
        <v>3.55</v>
      </c>
      <c r="D799" t="s">
        <v>593</v>
      </c>
      <c r="E799" t="s">
        <v>945</v>
      </c>
      <c r="F799">
        <v>75</v>
      </c>
      <c r="G799" t="b">
        <v>0</v>
      </c>
      <c r="H799">
        <v>1</v>
      </c>
    </row>
    <row r="800" spans="1:8" x14ac:dyDescent="0.25">
      <c r="A800" t="s">
        <v>3168</v>
      </c>
      <c r="B800" t="s">
        <v>2492</v>
      </c>
      <c r="C800">
        <v>3.55</v>
      </c>
      <c r="D800" t="s">
        <v>593</v>
      </c>
      <c r="E800" t="s">
        <v>945</v>
      </c>
      <c r="F800">
        <v>75</v>
      </c>
      <c r="G800" t="b">
        <v>0</v>
      </c>
      <c r="H800">
        <v>1</v>
      </c>
    </row>
    <row r="801" spans="1:8" x14ac:dyDescent="0.25">
      <c r="A801" t="s">
        <v>3168</v>
      </c>
      <c r="B801" t="s">
        <v>2496</v>
      </c>
      <c r="C801">
        <v>3.55</v>
      </c>
      <c r="D801" t="s">
        <v>593</v>
      </c>
      <c r="E801" t="s">
        <v>945</v>
      </c>
      <c r="F801">
        <v>75</v>
      </c>
      <c r="G801" t="b">
        <v>0</v>
      </c>
      <c r="H801">
        <v>1</v>
      </c>
    </row>
    <row r="802" spans="1:8" x14ac:dyDescent="0.25">
      <c r="A802" t="s">
        <v>3168</v>
      </c>
      <c r="B802" t="s">
        <v>2498</v>
      </c>
      <c r="C802">
        <v>3.55</v>
      </c>
      <c r="D802" t="s">
        <v>593</v>
      </c>
      <c r="E802" t="s">
        <v>945</v>
      </c>
      <c r="F802">
        <v>75</v>
      </c>
      <c r="G802" t="b">
        <v>0</v>
      </c>
      <c r="H802">
        <v>1</v>
      </c>
    </row>
    <row r="803" spans="1:8" x14ac:dyDescent="0.25">
      <c r="A803" t="s">
        <v>3168</v>
      </c>
      <c r="B803" t="s">
        <v>2500</v>
      </c>
      <c r="C803">
        <v>3.55</v>
      </c>
      <c r="D803" t="s">
        <v>593</v>
      </c>
      <c r="E803" t="s">
        <v>945</v>
      </c>
      <c r="F803">
        <v>75</v>
      </c>
      <c r="G803" t="b">
        <v>0</v>
      </c>
      <c r="H803">
        <v>1</v>
      </c>
    </row>
    <row r="804" spans="1:8" x14ac:dyDescent="0.25">
      <c r="A804" t="s">
        <v>3168</v>
      </c>
      <c r="B804" t="s">
        <v>2502</v>
      </c>
      <c r="C804">
        <v>3.55</v>
      </c>
      <c r="D804" t="s">
        <v>593</v>
      </c>
      <c r="E804" t="s">
        <v>945</v>
      </c>
      <c r="F804">
        <v>75</v>
      </c>
      <c r="G804" t="b">
        <v>0</v>
      </c>
      <c r="H804">
        <v>1</v>
      </c>
    </row>
    <row r="805" spans="1:8" x14ac:dyDescent="0.25">
      <c r="A805" t="s">
        <v>3168</v>
      </c>
      <c r="B805" t="s">
        <v>2504</v>
      </c>
      <c r="C805">
        <v>3.55</v>
      </c>
      <c r="D805" t="s">
        <v>593</v>
      </c>
      <c r="E805" t="s">
        <v>945</v>
      </c>
      <c r="F805">
        <v>75</v>
      </c>
      <c r="G805" t="b">
        <v>0</v>
      </c>
      <c r="H805">
        <v>1</v>
      </c>
    </row>
    <row r="806" spans="1:8" x14ac:dyDescent="0.25">
      <c r="A806" t="s">
        <v>3168</v>
      </c>
      <c r="B806" t="s">
        <v>2506</v>
      </c>
      <c r="C806">
        <v>3.55</v>
      </c>
      <c r="D806" t="s">
        <v>593</v>
      </c>
      <c r="E806" t="s">
        <v>945</v>
      </c>
      <c r="F806">
        <v>75</v>
      </c>
      <c r="G806" t="b">
        <v>0</v>
      </c>
      <c r="H806">
        <v>1</v>
      </c>
    </row>
    <row r="807" spans="1:8" x14ac:dyDescent="0.25">
      <c r="A807" t="s">
        <v>3168</v>
      </c>
      <c r="B807" t="s">
        <v>2508</v>
      </c>
      <c r="C807">
        <v>3.55</v>
      </c>
      <c r="D807" t="s">
        <v>593</v>
      </c>
      <c r="E807" t="s">
        <v>945</v>
      </c>
      <c r="F807">
        <v>75</v>
      </c>
      <c r="G807" t="b">
        <v>0</v>
      </c>
      <c r="H807">
        <v>1</v>
      </c>
    </row>
    <row r="808" spans="1:8" x14ac:dyDescent="0.25">
      <c r="A808" t="s">
        <v>3168</v>
      </c>
      <c r="B808" t="s">
        <v>2510</v>
      </c>
      <c r="C808">
        <v>3.55</v>
      </c>
      <c r="D808" t="s">
        <v>593</v>
      </c>
      <c r="E808" t="s">
        <v>945</v>
      </c>
      <c r="F808">
        <v>75</v>
      </c>
      <c r="G808" t="b">
        <v>0</v>
      </c>
      <c r="H808">
        <v>1</v>
      </c>
    </row>
    <row r="809" spans="1:8" x14ac:dyDescent="0.25">
      <c r="A809" t="s">
        <v>3168</v>
      </c>
      <c r="B809" t="s">
        <v>2512</v>
      </c>
      <c r="C809">
        <v>3.55</v>
      </c>
      <c r="D809" t="s">
        <v>593</v>
      </c>
      <c r="E809" t="s">
        <v>945</v>
      </c>
      <c r="F809">
        <v>75</v>
      </c>
      <c r="G809" t="b">
        <v>0</v>
      </c>
      <c r="H809">
        <v>1</v>
      </c>
    </row>
    <row r="810" spans="1:8" x14ac:dyDescent="0.25">
      <c r="A810" t="s">
        <v>3168</v>
      </c>
      <c r="B810" t="s">
        <v>2488</v>
      </c>
      <c r="C810">
        <v>3.55</v>
      </c>
      <c r="D810" t="s">
        <v>593</v>
      </c>
      <c r="E810" t="s">
        <v>945</v>
      </c>
      <c r="F810">
        <v>75</v>
      </c>
      <c r="G810" t="b">
        <v>0</v>
      </c>
      <c r="H810">
        <v>1</v>
      </c>
    </row>
    <row r="811" spans="1:8" x14ac:dyDescent="0.25">
      <c r="A811" t="s">
        <v>3168</v>
      </c>
      <c r="B811" t="s">
        <v>2494</v>
      </c>
      <c r="C811">
        <v>3.55</v>
      </c>
      <c r="D811" t="s">
        <v>593</v>
      </c>
      <c r="E811" t="s">
        <v>945</v>
      </c>
      <c r="F811">
        <v>75</v>
      </c>
      <c r="G811" t="b">
        <v>0</v>
      </c>
      <c r="H811">
        <v>1</v>
      </c>
    </row>
    <row r="812" spans="1:8" x14ac:dyDescent="0.25">
      <c r="A812" t="s">
        <v>3170</v>
      </c>
      <c r="B812" t="s">
        <v>2614</v>
      </c>
      <c r="C812">
        <v>3.55</v>
      </c>
      <c r="D812" t="s">
        <v>593</v>
      </c>
      <c r="E812" t="s">
        <v>945</v>
      </c>
      <c r="F812">
        <v>75</v>
      </c>
      <c r="G812" t="b">
        <v>0</v>
      </c>
      <c r="H812">
        <v>1</v>
      </c>
    </row>
    <row r="813" spans="1:8" x14ac:dyDescent="0.25">
      <c r="A813" t="s">
        <v>3170</v>
      </c>
      <c r="B813" t="s">
        <v>2618</v>
      </c>
      <c r="C813">
        <v>3.55</v>
      </c>
      <c r="D813" t="s">
        <v>593</v>
      </c>
      <c r="E813" t="s">
        <v>945</v>
      </c>
      <c r="F813">
        <v>75</v>
      </c>
      <c r="G813" t="b">
        <v>0</v>
      </c>
      <c r="H813">
        <v>1</v>
      </c>
    </row>
    <row r="814" spans="1:8" x14ac:dyDescent="0.25">
      <c r="A814" t="s">
        <v>3170</v>
      </c>
      <c r="B814" t="s">
        <v>2572</v>
      </c>
      <c r="C814">
        <v>3.55</v>
      </c>
      <c r="D814" t="s">
        <v>593</v>
      </c>
      <c r="E814" t="s">
        <v>945</v>
      </c>
      <c r="F814">
        <v>75</v>
      </c>
      <c r="G814" t="b">
        <v>0</v>
      </c>
      <c r="H814">
        <v>1</v>
      </c>
    </row>
    <row r="815" spans="1:8" x14ac:dyDescent="0.25">
      <c r="A815" t="s">
        <v>3170</v>
      </c>
      <c r="B815" t="s">
        <v>2554</v>
      </c>
      <c r="C815">
        <v>3.55</v>
      </c>
      <c r="D815" t="s">
        <v>593</v>
      </c>
      <c r="E815" t="s">
        <v>945</v>
      </c>
      <c r="F815">
        <v>75</v>
      </c>
      <c r="G815" t="b">
        <v>0</v>
      </c>
      <c r="H815">
        <v>1</v>
      </c>
    </row>
    <row r="816" spans="1:8" x14ac:dyDescent="0.25">
      <c r="A816" t="s">
        <v>3170</v>
      </c>
      <c r="B816" t="s">
        <v>2556</v>
      </c>
      <c r="C816">
        <v>3.55</v>
      </c>
      <c r="D816" t="s">
        <v>593</v>
      </c>
      <c r="E816" t="s">
        <v>945</v>
      </c>
      <c r="F816">
        <v>75</v>
      </c>
      <c r="G816" t="b">
        <v>0</v>
      </c>
      <c r="H816">
        <v>1</v>
      </c>
    </row>
    <row r="817" spans="1:8" x14ac:dyDescent="0.25">
      <c r="A817" t="s">
        <v>3170</v>
      </c>
      <c r="B817" t="s">
        <v>2558</v>
      </c>
      <c r="C817">
        <v>3.55</v>
      </c>
      <c r="D817" t="s">
        <v>593</v>
      </c>
      <c r="E817" t="s">
        <v>945</v>
      </c>
      <c r="F817">
        <v>75</v>
      </c>
      <c r="G817" t="b">
        <v>0</v>
      </c>
      <c r="H817">
        <v>1</v>
      </c>
    </row>
    <row r="818" spans="1:8" x14ac:dyDescent="0.25">
      <c r="A818" t="s">
        <v>3170</v>
      </c>
      <c r="B818" t="s">
        <v>2560</v>
      </c>
      <c r="C818">
        <v>3.55</v>
      </c>
      <c r="D818" t="s">
        <v>593</v>
      </c>
      <c r="E818" t="s">
        <v>945</v>
      </c>
      <c r="F818">
        <v>75</v>
      </c>
      <c r="G818" t="b">
        <v>0</v>
      </c>
      <c r="H818">
        <v>1</v>
      </c>
    </row>
    <row r="819" spans="1:8" x14ac:dyDescent="0.25">
      <c r="A819" t="s">
        <v>3170</v>
      </c>
      <c r="B819" t="s">
        <v>2562</v>
      </c>
      <c r="C819">
        <v>3.55</v>
      </c>
      <c r="D819" t="s">
        <v>593</v>
      </c>
      <c r="E819" t="s">
        <v>945</v>
      </c>
      <c r="F819">
        <v>75</v>
      </c>
      <c r="G819" t="b">
        <v>0</v>
      </c>
      <c r="H819">
        <v>1</v>
      </c>
    </row>
    <row r="820" spans="1:8" x14ac:dyDescent="0.25">
      <c r="A820" t="s">
        <v>3170</v>
      </c>
      <c r="B820" t="s">
        <v>2564</v>
      </c>
      <c r="C820">
        <v>3.55</v>
      </c>
      <c r="D820" t="s">
        <v>593</v>
      </c>
      <c r="E820" t="s">
        <v>945</v>
      </c>
      <c r="F820">
        <v>75</v>
      </c>
      <c r="G820" t="b">
        <v>0</v>
      </c>
      <c r="H820">
        <v>1</v>
      </c>
    </row>
    <row r="821" spans="1:8" x14ac:dyDescent="0.25">
      <c r="A821" t="s">
        <v>3170</v>
      </c>
      <c r="B821" t="s">
        <v>2566</v>
      </c>
      <c r="C821">
        <v>3.55</v>
      </c>
      <c r="D821" t="s">
        <v>593</v>
      </c>
      <c r="E821" t="s">
        <v>945</v>
      </c>
      <c r="F821">
        <v>75</v>
      </c>
      <c r="G821" t="b">
        <v>0</v>
      </c>
      <c r="H821">
        <v>1</v>
      </c>
    </row>
    <row r="822" spans="1:8" x14ac:dyDescent="0.25">
      <c r="A822" t="s">
        <v>3170</v>
      </c>
      <c r="B822" t="s">
        <v>2568</v>
      </c>
      <c r="C822">
        <v>3.55</v>
      </c>
      <c r="D822" t="s">
        <v>593</v>
      </c>
      <c r="E822" t="s">
        <v>945</v>
      </c>
      <c r="F822">
        <v>75</v>
      </c>
      <c r="G822" t="b">
        <v>0</v>
      </c>
      <c r="H822">
        <v>1</v>
      </c>
    </row>
    <row r="823" spans="1:8" x14ac:dyDescent="0.25">
      <c r="A823" t="s">
        <v>3170</v>
      </c>
      <c r="B823" t="s">
        <v>2570</v>
      </c>
      <c r="C823">
        <v>3.55</v>
      </c>
      <c r="D823" t="s">
        <v>593</v>
      </c>
      <c r="E823" t="s">
        <v>945</v>
      </c>
      <c r="F823">
        <v>75</v>
      </c>
      <c r="G823" t="b">
        <v>0</v>
      </c>
      <c r="H823">
        <v>1</v>
      </c>
    </row>
    <row r="824" spans="1:8" x14ac:dyDescent="0.25">
      <c r="A824" t="s">
        <v>3170</v>
      </c>
      <c r="B824" t="s">
        <v>2574</v>
      </c>
      <c r="C824">
        <v>3.55</v>
      </c>
      <c r="D824" t="s">
        <v>593</v>
      </c>
      <c r="E824" t="s">
        <v>945</v>
      </c>
      <c r="F824">
        <v>75</v>
      </c>
      <c r="G824" t="b">
        <v>0</v>
      </c>
      <c r="H824">
        <v>1</v>
      </c>
    </row>
    <row r="825" spans="1:8" x14ac:dyDescent="0.25">
      <c r="A825" t="s">
        <v>3170</v>
      </c>
      <c r="B825" t="s">
        <v>2576</v>
      </c>
      <c r="C825">
        <v>3.55</v>
      </c>
      <c r="D825" t="s">
        <v>593</v>
      </c>
      <c r="E825" t="s">
        <v>945</v>
      </c>
      <c r="F825">
        <v>75</v>
      </c>
      <c r="G825" t="b">
        <v>0</v>
      </c>
      <c r="H825">
        <v>1</v>
      </c>
    </row>
    <row r="826" spans="1:8" x14ac:dyDescent="0.25">
      <c r="A826" t="s">
        <v>3170</v>
      </c>
      <c r="B826" t="s">
        <v>2578</v>
      </c>
      <c r="C826">
        <v>3.55</v>
      </c>
      <c r="D826" t="s">
        <v>593</v>
      </c>
      <c r="E826" t="s">
        <v>945</v>
      </c>
      <c r="F826">
        <v>75</v>
      </c>
      <c r="G826" t="b">
        <v>0</v>
      </c>
      <c r="H826">
        <v>1</v>
      </c>
    </row>
    <row r="827" spans="1:8" x14ac:dyDescent="0.25">
      <c r="A827" t="s">
        <v>3170</v>
      </c>
      <c r="B827" t="s">
        <v>2580</v>
      </c>
      <c r="C827">
        <v>3.55</v>
      </c>
      <c r="D827" t="s">
        <v>593</v>
      </c>
      <c r="E827" t="s">
        <v>945</v>
      </c>
      <c r="F827">
        <v>75</v>
      </c>
      <c r="G827" t="b">
        <v>0</v>
      </c>
      <c r="H827">
        <v>1</v>
      </c>
    </row>
    <row r="828" spans="1:8" x14ac:dyDescent="0.25">
      <c r="A828" t="s">
        <v>3170</v>
      </c>
      <c r="B828" t="s">
        <v>2582</v>
      </c>
      <c r="C828">
        <v>3.55</v>
      </c>
      <c r="D828" t="s">
        <v>593</v>
      </c>
      <c r="E828" t="s">
        <v>945</v>
      </c>
      <c r="F828">
        <v>75</v>
      </c>
      <c r="G828" t="b">
        <v>0</v>
      </c>
      <c r="H828">
        <v>1</v>
      </c>
    </row>
    <row r="829" spans="1:8" x14ac:dyDescent="0.25">
      <c r="A829" t="s">
        <v>3170</v>
      </c>
      <c r="B829" t="s">
        <v>2584</v>
      </c>
      <c r="C829">
        <v>3.55</v>
      </c>
      <c r="D829" t="s">
        <v>593</v>
      </c>
      <c r="E829" t="s">
        <v>945</v>
      </c>
      <c r="F829">
        <v>75</v>
      </c>
      <c r="G829" t="b">
        <v>0</v>
      </c>
      <c r="H829">
        <v>1</v>
      </c>
    </row>
    <row r="830" spans="1:8" x14ac:dyDescent="0.25">
      <c r="A830" t="s">
        <v>3170</v>
      </c>
      <c r="B830" t="s">
        <v>2586</v>
      </c>
      <c r="C830">
        <v>3.55</v>
      </c>
      <c r="D830" t="s">
        <v>593</v>
      </c>
      <c r="E830" t="s">
        <v>945</v>
      </c>
      <c r="F830">
        <v>75</v>
      </c>
      <c r="G830" t="b">
        <v>0</v>
      </c>
      <c r="H830">
        <v>1</v>
      </c>
    </row>
    <row r="831" spans="1:8" x14ac:dyDescent="0.25">
      <c r="A831" t="s">
        <v>3170</v>
      </c>
      <c r="B831" t="s">
        <v>2588</v>
      </c>
      <c r="C831">
        <v>3.55</v>
      </c>
      <c r="D831" t="s">
        <v>593</v>
      </c>
      <c r="E831" t="s">
        <v>945</v>
      </c>
      <c r="F831">
        <v>75</v>
      </c>
      <c r="G831" t="b">
        <v>0</v>
      </c>
      <c r="H831">
        <v>1</v>
      </c>
    </row>
    <row r="832" spans="1:8" x14ac:dyDescent="0.25">
      <c r="A832" t="s">
        <v>3170</v>
      </c>
      <c r="B832" t="s">
        <v>2590</v>
      </c>
      <c r="C832">
        <v>3.55</v>
      </c>
      <c r="D832" t="s">
        <v>593</v>
      </c>
      <c r="E832" t="s">
        <v>945</v>
      </c>
      <c r="F832">
        <v>75</v>
      </c>
      <c r="G832" t="b">
        <v>0</v>
      </c>
      <c r="H832">
        <v>1</v>
      </c>
    </row>
    <row r="833" spans="1:8" x14ac:dyDescent="0.25">
      <c r="A833" t="s">
        <v>3170</v>
      </c>
      <c r="B833" t="s">
        <v>2592</v>
      </c>
      <c r="C833">
        <v>3.55</v>
      </c>
      <c r="D833" t="s">
        <v>593</v>
      </c>
      <c r="E833" t="s">
        <v>945</v>
      </c>
      <c r="F833">
        <v>75</v>
      </c>
      <c r="G833" t="b">
        <v>0</v>
      </c>
      <c r="H833">
        <v>1</v>
      </c>
    </row>
    <row r="834" spans="1:8" x14ac:dyDescent="0.25">
      <c r="A834" t="s">
        <v>3170</v>
      </c>
      <c r="B834" t="s">
        <v>2596</v>
      </c>
      <c r="C834">
        <v>3.55</v>
      </c>
      <c r="D834" t="s">
        <v>593</v>
      </c>
      <c r="E834" t="s">
        <v>945</v>
      </c>
      <c r="F834">
        <v>75</v>
      </c>
      <c r="G834" t="b">
        <v>0</v>
      </c>
      <c r="H834">
        <v>1</v>
      </c>
    </row>
    <row r="835" spans="1:8" x14ac:dyDescent="0.25">
      <c r="A835" t="s">
        <v>3170</v>
      </c>
      <c r="B835" t="s">
        <v>2598</v>
      </c>
      <c r="C835">
        <v>3.55</v>
      </c>
      <c r="D835" t="s">
        <v>593</v>
      </c>
      <c r="E835" t="s">
        <v>945</v>
      </c>
      <c r="F835">
        <v>75</v>
      </c>
      <c r="G835" t="b">
        <v>0</v>
      </c>
      <c r="H835">
        <v>1</v>
      </c>
    </row>
    <row r="836" spans="1:8" x14ac:dyDescent="0.25">
      <c r="A836" t="s">
        <v>3170</v>
      </c>
      <c r="B836" t="s">
        <v>2600</v>
      </c>
      <c r="C836">
        <v>3.55</v>
      </c>
      <c r="D836" t="s">
        <v>593</v>
      </c>
      <c r="E836" t="s">
        <v>945</v>
      </c>
      <c r="F836">
        <v>75</v>
      </c>
      <c r="G836" t="b">
        <v>0</v>
      </c>
      <c r="H836">
        <v>1</v>
      </c>
    </row>
    <row r="837" spans="1:8" x14ac:dyDescent="0.25">
      <c r="A837" t="s">
        <v>3170</v>
      </c>
      <c r="B837" t="s">
        <v>2602</v>
      </c>
      <c r="C837">
        <v>3.55</v>
      </c>
      <c r="D837" t="s">
        <v>593</v>
      </c>
      <c r="E837" t="s">
        <v>945</v>
      </c>
      <c r="F837">
        <v>75</v>
      </c>
      <c r="G837" t="b">
        <v>0</v>
      </c>
      <c r="H837">
        <v>1</v>
      </c>
    </row>
    <row r="838" spans="1:8" x14ac:dyDescent="0.25">
      <c r="A838" t="s">
        <v>3170</v>
      </c>
      <c r="B838" t="s">
        <v>2604</v>
      </c>
      <c r="C838">
        <v>3.55</v>
      </c>
      <c r="D838" t="s">
        <v>593</v>
      </c>
      <c r="E838" t="s">
        <v>945</v>
      </c>
      <c r="F838">
        <v>75</v>
      </c>
      <c r="G838" t="b">
        <v>0</v>
      </c>
      <c r="H838">
        <v>1</v>
      </c>
    </row>
    <row r="839" spans="1:8" x14ac:dyDescent="0.25">
      <c r="A839" t="s">
        <v>3170</v>
      </c>
      <c r="B839" t="s">
        <v>2606</v>
      </c>
      <c r="C839">
        <v>3.55</v>
      </c>
      <c r="D839" t="s">
        <v>593</v>
      </c>
      <c r="E839" t="s">
        <v>945</v>
      </c>
      <c r="F839">
        <v>75</v>
      </c>
      <c r="G839" t="b">
        <v>0</v>
      </c>
      <c r="H839">
        <v>1</v>
      </c>
    </row>
    <row r="840" spans="1:8" x14ac:dyDescent="0.25">
      <c r="A840" t="s">
        <v>3170</v>
      </c>
      <c r="B840" t="s">
        <v>2608</v>
      </c>
      <c r="C840">
        <v>3.55</v>
      </c>
      <c r="D840" t="s">
        <v>593</v>
      </c>
      <c r="E840" t="s">
        <v>945</v>
      </c>
      <c r="F840">
        <v>75</v>
      </c>
      <c r="G840" t="b">
        <v>0</v>
      </c>
      <c r="H840">
        <v>1</v>
      </c>
    </row>
    <row r="841" spans="1:8" x14ac:dyDescent="0.25">
      <c r="A841" t="s">
        <v>3170</v>
      </c>
      <c r="B841" t="s">
        <v>2610</v>
      </c>
      <c r="C841">
        <v>3.55</v>
      </c>
      <c r="D841" t="s">
        <v>593</v>
      </c>
      <c r="E841" t="s">
        <v>945</v>
      </c>
      <c r="F841">
        <v>75</v>
      </c>
      <c r="G841" t="b">
        <v>0</v>
      </c>
      <c r="H841">
        <v>1</v>
      </c>
    </row>
    <row r="842" spans="1:8" x14ac:dyDescent="0.25">
      <c r="A842" t="s">
        <v>3170</v>
      </c>
      <c r="B842" t="s">
        <v>2612</v>
      </c>
      <c r="C842">
        <v>3.55</v>
      </c>
      <c r="D842" t="s">
        <v>593</v>
      </c>
      <c r="E842" t="s">
        <v>945</v>
      </c>
      <c r="F842">
        <v>75</v>
      </c>
      <c r="G842" t="b">
        <v>0</v>
      </c>
      <c r="H842">
        <v>1</v>
      </c>
    </row>
    <row r="843" spans="1:8" x14ac:dyDescent="0.25">
      <c r="A843" t="s">
        <v>3170</v>
      </c>
      <c r="B843" t="s">
        <v>2616</v>
      </c>
      <c r="C843">
        <v>3.55</v>
      </c>
      <c r="D843" t="s">
        <v>593</v>
      </c>
      <c r="E843" t="s">
        <v>945</v>
      </c>
      <c r="F843">
        <v>75</v>
      </c>
      <c r="G843" t="b">
        <v>0</v>
      </c>
      <c r="H843">
        <v>1</v>
      </c>
    </row>
    <row r="844" spans="1:8" x14ac:dyDescent="0.25">
      <c r="A844" t="s">
        <v>3170</v>
      </c>
      <c r="B844" t="s">
        <v>2620</v>
      </c>
      <c r="C844">
        <v>3.55</v>
      </c>
      <c r="D844" t="s">
        <v>593</v>
      </c>
      <c r="E844" t="s">
        <v>945</v>
      </c>
      <c r="F844">
        <v>75</v>
      </c>
      <c r="G844" t="b">
        <v>0</v>
      </c>
      <c r="H844">
        <v>1</v>
      </c>
    </row>
    <row r="845" spans="1:8" x14ac:dyDescent="0.25">
      <c r="A845" t="s">
        <v>3170</v>
      </c>
      <c r="B845" t="s">
        <v>2622</v>
      </c>
      <c r="C845">
        <v>3.55</v>
      </c>
      <c r="D845" t="s">
        <v>593</v>
      </c>
      <c r="E845" t="s">
        <v>945</v>
      </c>
      <c r="F845">
        <v>75</v>
      </c>
      <c r="G845" t="b">
        <v>0</v>
      </c>
      <c r="H845">
        <v>1</v>
      </c>
    </row>
    <row r="846" spans="1:8" x14ac:dyDescent="0.25">
      <c r="A846" t="s">
        <v>3170</v>
      </c>
      <c r="B846" t="s">
        <v>2624</v>
      </c>
      <c r="C846">
        <v>3.55</v>
      </c>
      <c r="D846" t="s">
        <v>593</v>
      </c>
      <c r="E846" t="s">
        <v>945</v>
      </c>
      <c r="F846">
        <v>75</v>
      </c>
      <c r="G846" t="b">
        <v>0</v>
      </c>
      <c r="H846">
        <v>1</v>
      </c>
    </row>
    <row r="847" spans="1:8" x14ac:dyDescent="0.25">
      <c r="A847" t="s">
        <v>3170</v>
      </c>
      <c r="B847" t="s">
        <v>2626</v>
      </c>
      <c r="C847">
        <v>3.55</v>
      </c>
      <c r="D847" t="s">
        <v>593</v>
      </c>
      <c r="E847" t="s">
        <v>945</v>
      </c>
      <c r="F847">
        <v>75</v>
      </c>
      <c r="G847" t="b">
        <v>0</v>
      </c>
      <c r="H847">
        <v>1</v>
      </c>
    </row>
    <row r="848" spans="1:8" x14ac:dyDescent="0.25">
      <c r="A848" t="s">
        <v>3170</v>
      </c>
      <c r="B848" t="s">
        <v>2630</v>
      </c>
      <c r="C848">
        <v>3.55</v>
      </c>
      <c r="D848" t="s">
        <v>593</v>
      </c>
      <c r="E848" t="s">
        <v>945</v>
      </c>
      <c r="F848">
        <v>75</v>
      </c>
      <c r="G848" t="b">
        <v>0</v>
      </c>
      <c r="H848">
        <v>1</v>
      </c>
    </row>
    <row r="849" spans="1:8" x14ac:dyDescent="0.25">
      <c r="A849" t="s">
        <v>3170</v>
      </c>
      <c r="B849" t="s">
        <v>2632</v>
      </c>
      <c r="C849">
        <v>3.55</v>
      </c>
      <c r="D849" t="s">
        <v>593</v>
      </c>
      <c r="E849" t="s">
        <v>945</v>
      </c>
      <c r="F849">
        <v>75</v>
      </c>
      <c r="G849" t="b">
        <v>0</v>
      </c>
      <c r="H849">
        <v>1</v>
      </c>
    </row>
    <row r="850" spans="1:8" x14ac:dyDescent="0.25">
      <c r="A850" t="s">
        <v>3170</v>
      </c>
      <c r="B850" t="s">
        <v>2634</v>
      </c>
      <c r="C850">
        <v>3.55</v>
      </c>
      <c r="D850" t="s">
        <v>593</v>
      </c>
      <c r="E850" t="s">
        <v>945</v>
      </c>
      <c r="F850">
        <v>75</v>
      </c>
      <c r="G850" t="b">
        <v>0</v>
      </c>
      <c r="H850">
        <v>1</v>
      </c>
    </row>
    <row r="851" spans="1:8" x14ac:dyDescent="0.25">
      <c r="A851" t="s">
        <v>3170</v>
      </c>
      <c r="B851" t="s">
        <v>2636</v>
      </c>
      <c r="C851">
        <v>6.5</v>
      </c>
      <c r="D851" t="s">
        <v>593</v>
      </c>
      <c r="E851" t="s">
        <v>945</v>
      </c>
      <c r="F851">
        <v>75</v>
      </c>
      <c r="G851" t="b">
        <v>0</v>
      </c>
      <c r="H851">
        <v>1</v>
      </c>
    </row>
    <row r="852" spans="1:8" x14ac:dyDescent="0.25">
      <c r="A852" t="s">
        <v>3170</v>
      </c>
      <c r="B852" t="s">
        <v>2638</v>
      </c>
      <c r="C852">
        <v>6.5</v>
      </c>
      <c r="D852" t="s">
        <v>593</v>
      </c>
      <c r="E852" t="s">
        <v>945</v>
      </c>
      <c r="F852">
        <v>75</v>
      </c>
      <c r="G852" t="b">
        <v>0</v>
      </c>
      <c r="H852">
        <v>1</v>
      </c>
    </row>
    <row r="853" spans="1:8" x14ac:dyDescent="0.25">
      <c r="A853" t="s">
        <v>3170</v>
      </c>
      <c r="B853" t="s">
        <v>2640</v>
      </c>
      <c r="C853">
        <v>6.5</v>
      </c>
      <c r="D853" t="s">
        <v>593</v>
      </c>
      <c r="E853" t="s">
        <v>945</v>
      </c>
      <c r="F853">
        <v>75</v>
      </c>
      <c r="G853" t="b">
        <v>0</v>
      </c>
      <c r="H853">
        <v>1</v>
      </c>
    </row>
    <row r="854" spans="1:8" x14ac:dyDescent="0.25">
      <c r="A854" t="s">
        <v>3170</v>
      </c>
      <c r="B854" t="s">
        <v>2628</v>
      </c>
      <c r="C854">
        <v>3.55</v>
      </c>
      <c r="D854" t="s">
        <v>593</v>
      </c>
      <c r="E854" t="s">
        <v>945</v>
      </c>
      <c r="F854">
        <v>75</v>
      </c>
      <c r="G854" t="b">
        <v>0</v>
      </c>
      <c r="H854">
        <v>1</v>
      </c>
    </row>
    <row r="855" spans="1:8" x14ac:dyDescent="0.25">
      <c r="A855" t="s">
        <v>3170</v>
      </c>
      <c r="B855" t="s">
        <v>2642</v>
      </c>
      <c r="C855">
        <v>6.5</v>
      </c>
      <c r="D855" t="s">
        <v>593</v>
      </c>
      <c r="E855" t="s">
        <v>945</v>
      </c>
      <c r="F855">
        <v>75</v>
      </c>
      <c r="G855" t="b">
        <v>0</v>
      </c>
      <c r="H855">
        <v>1</v>
      </c>
    </row>
    <row r="856" spans="1:8" x14ac:dyDescent="0.25">
      <c r="A856" t="s">
        <v>3170</v>
      </c>
      <c r="B856" t="s">
        <v>2594</v>
      </c>
      <c r="C856">
        <v>3.55</v>
      </c>
      <c r="D856" t="s">
        <v>593</v>
      </c>
      <c r="E856" t="s">
        <v>945</v>
      </c>
      <c r="F856">
        <v>75</v>
      </c>
      <c r="G856" t="b">
        <v>0</v>
      </c>
      <c r="H856">
        <v>1</v>
      </c>
    </row>
    <row r="857" spans="1:8" x14ac:dyDescent="0.25">
      <c r="A857" t="s">
        <v>1210</v>
      </c>
      <c r="B857" t="s">
        <v>1211</v>
      </c>
      <c r="C857">
        <v>70.45</v>
      </c>
      <c r="D857" t="s">
        <v>3095</v>
      </c>
      <c r="E857" t="s">
        <v>1417</v>
      </c>
      <c r="F857">
        <v>75</v>
      </c>
      <c r="G857" t="b">
        <v>1</v>
      </c>
      <c r="H857">
        <v>1</v>
      </c>
    </row>
    <row r="858" spans="1:8" x14ac:dyDescent="0.25">
      <c r="A858" t="s">
        <v>1184</v>
      </c>
      <c r="B858" t="s">
        <v>1185</v>
      </c>
      <c r="C858">
        <v>70.45</v>
      </c>
      <c r="D858" t="s">
        <v>3095</v>
      </c>
      <c r="E858" t="s">
        <v>1417</v>
      </c>
      <c r="F858">
        <v>75</v>
      </c>
      <c r="G858" t="b">
        <v>1</v>
      </c>
      <c r="H858">
        <v>1</v>
      </c>
    </row>
    <row r="859" spans="1:8" x14ac:dyDescent="0.25">
      <c r="A859" t="s">
        <v>1187</v>
      </c>
      <c r="B859" t="s">
        <v>1188</v>
      </c>
      <c r="C859">
        <v>70.45</v>
      </c>
      <c r="D859" t="s">
        <v>3095</v>
      </c>
      <c r="E859" t="s">
        <v>1417</v>
      </c>
      <c r="F859">
        <v>75</v>
      </c>
      <c r="G859" t="b">
        <v>1</v>
      </c>
      <c r="H859">
        <v>1</v>
      </c>
    </row>
    <row r="860" spans="1:8" x14ac:dyDescent="0.25">
      <c r="A860" t="s">
        <v>1199</v>
      </c>
      <c r="B860" t="s">
        <v>1200</v>
      </c>
      <c r="C860">
        <v>57.3</v>
      </c>
      <c r="D860" t="s">
        <v>3095</v>
      </c>
      <c r="E860" t="s">
        <v>1417</v>
      </c>
      <c r="F860">
        <v>75</v>
      </c>
      <c r="G860" t="b">
        <v>1</v>
      </c>
      <c r="H860">
        <v>1</v>
      </c>
    </row>
    <row r="861" spans="1:8" x14ac:dyDescent="0.25">
      <c r="A861" t="s">
        <v>1189</v>
      </c>
      <c r="B861" t="s">
        <v>1190</v>
      </c>
      <c r="C861">
        <v>57.3</v>
      </c>
      <c r="D861" t="s">
        <v>3095</v>
      </c>
      <c r="E861" t="s">
        <v>1417</v>
      </c>
      <c r="F861">
        <v>75</v>
      </c>
      <c r="G861" t="b">
        <v>1</v>
      </c>
      <c r="H861">
        <v>1</v>
      </c>
    </row>
    <row r="862" spans="1:8" x14ac:dyDescent="0.25">
      <c r="A862" t="s">
        <v>1218</v>
      </c>
      <c r="B862" t="s">
        <v>1219</v>
      </c>
      <c r="C862">
        <v>43.95</v>
      </c>
      <c r="D862" t="s">
        <v>3095</v>
      </c>
      <c r="E862" t="s">
        <v>1417</v>
      </c>
      <c r="F862">
        <v>75</v>
      </c>
      <c r="G862" t="b">
        <v>1</v>
      </c>
      <c r="H862">
        <v>1</v>
      </c>
    </row>
    <row r="863" spans="1:8" x14ac:dyDescent="0.25">
      <c r="A863" t="s">
        <v>1191</v>
      </c>
      <c r="B863" t="s">
        <v>1192</v>
      </c>
      <c r="C863">
        <v>67.5</v>
      </c>
      <c r="D863" t="s">
        <v>3095</v>
      </c>
      <c r="E863" t="s">
        <v>1417</v>
      </c>
      <c r="F863">
        <v>75</v>
      </c>
      <c r="G863" t="b">
        <v>1</v>
      </c>
      <c r="H863">
        <v>1</v>
      </c>
    </row>
    <row r="864" spans="1:8" x14ac:dyDescent="0.25">
      <c r="A864" t="s">
        <v>1216</v>
      </c>
      <c r="B864" t="s">
        <v>1217</v>
      </c>
      <c r="C864">
        <v>67.5</v>
      </c>
      <c r="D864" t="s">
        <v>3095</v>
      </c>
      <c r="E864" t="s">
        <v>1417</v>
      </c>
      <c r="F864">
        <v>75</v>
      </c>
      <c r="G864" t="b">
        <v>1</v>
      </c>
      <c r="H864">
        <v>1</v>
      </c>
    </row>
    <row r="865" spans="1:8" x14ac:dyDescent="0.25">
      <c r="A865" t="s">
        <v>1207</v>
      </c>
      <c r="B865" t="s">
        <v>1208</v>
      </c>
      <c r="C865">
        <v>67.5</v>
      </c>
      <c r="D865" t="s">
        <v>3095</v>
      </c>
      <c r="E865" t="s">
        <v>1417</v>
      </c>
      <c r="F865">
        <v>75</v>
      </c>
      <c r="G865" t="b">
        <v>1</v>
      </c>
      <c r="H865">
        <v>1</v>
      </c>
    </row>
    <row r="866" spans="1:8" x14ac:dyDescent="0.25">
      <c r="A866" t="s">
        <v>1193</v>
      </c>
      <c r="B866" t="s">
        <v>1194</v>
      </c>
      <c r="C866">
        <v>48.95</v>
      </c>
      <c r="D866" t="s">
        <v>3095</v>
      </c>
      <c r="E866" t="s">
        <v>1417</v>
      </c>
      <c r="F866">
        <v>75</v>
      </c>
      <c r="G866" t="b">
        <v>1</v>
      </c>
      <c r="H866">
        <v>1</v>
      </c>
    </row>
    <row r="867" spans="1:8" x14ac:dyDescent="0.25">
      <c r="A867" t="s">
        <v>1221</v>
      </c>
      <c r="B867" t="s">
        <v>1222</v>
      </c>
      <c r="C867">
        <v>54.3</v>
      </c>
      <c r="D867" t="s">
        <v>3095</v>
      </c>
      <c r="E867" t="s">
        <v>1417</v>
      </c>
      <c r="F867">
        <v>75</v>
      </c>
      <c r="G867" t="b">
        <v>1</v>
      </c>
      <c r="H867">
        <v>1</v>
      </c>
    </row>
    <row r="868" spans="1:8" x14ac:dyDescent="0.25">
      <c r="A868" t="s">
        <v>1224</v>
      </c>
      <c r="B868" t="s">
        <v>1225</v>
      </c>
      <c r="C868">
        <v>61.1</v>
      </c>
      <c r="D868" t="s">
        <v>3095</v>
      </c>
      <c r="E868" t="s">
        <v>1417</v>
      </c>
      <c r="F868">
        <v>75</v>
      </c>
      <c r="G868" t="b">
        <v>1</v>
      </c>
      <c r="H868">
        <v>1</v>
      </c>
    </row>
    <row r="869" spans="1:8" x14ac:dyDescent="0.25">
      <c r="A869" t="s">
        <v>1230</v>
      </c>
      <c r="B869" t="s">
        <v>1231</v>
      </c>
      <c r="C869">
        <v>46</v>
      </c>
      <c r="D869" t="s">
        <v>3095</v>
      </c>
      <c r="E869" t="s">
        <v>1417</v>
      </c>
      <c r="F869">
        <v>75</v>
      </c>
      <c r="G869" t="b">
        <v>1</v>
      </c>
      <c r="H869">
        <v>1</v>
      </c>
    </row>
    <row r="870" spans="1:8" x14ac:dyDescent="0.25">
      <c r="A870" t="s">
        <v>1233</v>
      </c>
      <c r="B870" t="s">
        <v>1234</v>
      </c>
      <c r="C870">
        <v>61.35</v>
      </c>
      <c r="D870" t="s">
        <v>3095</v>
      </c>
      <c r="E870" t="s">
        <v>1417</v>
      </c>
      <c r="F870">
        <v>75</v>
      </c>
      <c r="G870" t="b">
        <v>1</v>
      </c>
      <c r="H870">
        <v>1</v>
      </c>
    </row>
    <row r="871" spans="1:8" x14ac:dyDescent="0.25">
      <c r="A871" t="s">
        <v>1178</v>
      </c>
      <c r="B871" t="s">
        <v>1179</v>
      </c>
      <c r="C871">
        <v>50.1</v>
      </c>
      <c r="D871" t="s">
        <v>3095</v>
      </c>
      <c r="E871" t="s">
        <v>1417</v>
      </c>
      <c r="F871">
        <v>75</v>
      </c>
      <c r="G871" t="b">
        <v>1</v>
      </c>
      <c r="H871">
        <v>1</v>
      </c>
    </row>
    <row r="872" spans="1:8" x14ac:dyDescent="0.25">
      <c r="A872" t="s">
        <v>1239</v>
      </c>
      <c r="B872" t="s">
        <v>1240</v>
      </c>
      <c r="C872">
        <v>56.05</v>
      </c>
      <c r="D872" t="s">
        <v>3095</v>
      </c>
      <c r="E872" t="s">
        <v>1417</v>
      </c>
      <c r="F872">
        <v>75</v>
      </c>
      <c r="G872" t="b">
        <v>1</v>
      </c>
      <c r="H872">
        <v>1</v>
      </c>
    </row>
    <row r="873" spans="1:8" x14ac:dyDescent="0.25">
      <c r="A873" t="s">
        <v>1236</v>
      </c>
      <c r="B873" t="s">
        <v>1237</v>
      </c>
      <c r="C873">
        <v>48.95</v>
      </c>
      <c r="D873" t="s">
        <v>3095</v>
      </c>
      <c r="E873" t="s">
        <v>1417</v>
      </c>
      <c r="F873">
        <v>75</v>
      </c>
      <c r="G873" t="b">
        <v>1</v>
      </c>
      <c r="H873">
        <v>1</v>
      </c>
    </row>
    <row r="874" spans="1:8" x14ac:dyDescent="0.25">
      <c r="A874" t="s">
        <v>1245</v>
      </c>
      <c r="B874" t="s">
        <v>1246</v>
      </c>
      <c r="C874">
        <v>35.700000000000003</v>
      </c>
      <c r="D874" t="s">
        <v>3095</v>
      </c>
      <c r="E874" t="s">
        <v>1417</v>
      </c>
      <c r="F874">
        <v>75</v>
      </c>
      <c r="G874" t="b">
        <v>1</v>
      </c>
      <c r="H874">
        <v>1</v>
      </c>
    </row>
    <row r="875" spans="1:8" x14ac:dyDescent="0.25">
      <c r="A875" t="s">
        <v>1182</v>
      </c>
      <c r="B875" t="s">
        <v>1183</v>
      </c>
      <c r="C875">
        <v>50.1</v>
      </c>
      <c r="D875" t="s">
        <v>3095</v>
      </c>
      <c r="E875" t="s">
        <v>1417</v>
      </c>
      <c r="F875">
        <v>75</v>
      </c>
      <c r="G875" t="b">
        <v>1</v>
      </c>
      <c r="H875">
        <v>1</v>
      </c>
    </row>
    <row r="876" spans="1:8" x14ac:dyDescent="0.25">
      <c r="A876" t="s">
        <v>1251</v>
      </c>
      <c r="B876" t="s">
        <v>1252</v>
      </c>
      <c r="C876">
        <v>68.150000000000006</v>
      </c>
      <c r="D876" t="s">
        <v>3095</v>
      </c>
      <c r="E876" t="s">
        <v>1417</v>
      </c>
      <c r="F876">
        <v>75</v>
      </c>
      <c r="G876" t="b">
        <v>1</v>
      </c>
      <c r="H876">
        <v>1</v>
      </c>
    </row>
    <row r="877" spans="1:8" x14ac:dyDescent="0.25">
      <c r="A877" t="s">
        <v>1227</v>
      </c>
      <c r="B877" t="s">
        <v>1228</v>
      </c>
      <c r="C877">
        <v>43.05</v>
      </c>
      <c r="D877" t="s">
        <v>3095</v>
      </c>
      <c r="E877" t="s">
        <v>1417</v>
      </c>
      <c r="F877">
        <v>75</v>
      </c>
      <c r="G877" t="b">
        <v>1</v>
      </c>
      <c r="H877">
        <v>1</v>
      </c>
    </row>
    <row r="878" spans="1:8" x14ac:dyDescent="0.25">
      <c r="A878" t="s">
        <v>1195</v>
      </c>
      <c r="B878" t="s">
        <v>1196</v>
      </c>
      <c r="C878">
        <v>48.65</v>
      </c>
      <c r="D878" t="s">
        <v>3095</v>
      </c>
      <c r="E878" t="s">
        <v>1417</v>
      </c>
      <c r="F878">
        <v>75</v>
      </c>
      <c r="G878" t="b">
        <v>1</v>
      </c>
      <c r="H878">
        <v>1</v>
      </c>
    </row>
    <row r="879" spans="1:8" x14ac:dyDescent="0.25">
      <c r="A879" t="s">
        <v>1204</v>
      </c>
      <c r="B879" t="s">
        <v>1205</v>
      </c>
      <c r="C879">
        <v>77.849999999999994</v>
      </c>
      <c r="D879" t="s">
        <v>3095</v>
      </c>
      <c r="E879" t="s">
        <v>1417</v>
      </c>
      <c r="F879">
        <v>75</v>
      </c>
      <c r="G879" t="b">
        <v>1</v>
      </c>
      <c r="H879">
        <v>1</v>
      </c>
    </row>
    <row r="880" spans="1:8" x14ac:dyDescent="0.25">
      <c r="A880" t="s">
        <v>1197</v>
      </c>
      <c r="B880" t="s">
        <v>1198</v>
      </c>
      <c r="C880">
        <v>77.849999999999994</v>
      </c>
      <c r="D880" t="s">
        <v>3095</v>
      </c>
      <c r="E880" t="s">
        <v>1417</v>
      </c>
      <c r="F880">
        <v>75</v>
      </c>
      <c r="G880" t="b">
        <v>1</v>
      </c>
      <c r="H880">
        <v>1</v>
      </c>
    </row>
    <row r="881" spans="1:8" x14ac:dyDescent="0.25">
      <c r="A881" t="s">
        <v>1242</v>
      </c>
      <c r="B881" t="s">
        <v>1243</v>
      </c>
      <c r="C881">
        <v>65.349999999999994</v>
      </c>
      <c r="D881" t="s">
        <v>3095</v>
      </c>
      <c r="E881" t="s">
        <v>1417</v>
      </c>
      <c r="F881">
        <v>75</v>
      </c>
      <c r="G881" t="b">
        <v>1</v>
      </c>
      <c r="H881">
        <v>1</v>
      </c>
    </row>
    <row r="882" spans="1:8" x14ac:dyDescent="0.25">
      <c r="A882" t="s">
        <v>1248</v>
      </c>
      <c r="B882" t="s">
        <v>1249</v>
      </c>
      <c r="C882">
        <v>68.400000000000006</v>
      </c>
      <c r="D882" t="s">
        <v>3095</v>
      </c>
      <c r="E882" t="s">
        <v>1417</v>
      </c>
      <c r="F882">
        <v>75</v>
      </c>
      <c r="G882" t="b">
        <v>1</v>
      </c>
      <c r="H882">
        <v>1</v>
      </c>
    </row>
    <row r="883" spans="1:8" x14ac:dyDescent="0.25">
      <c r="A883" t="s">
        <v>1314</v>
      </c>
      <c r="B883" t="s">
        <v>1315</v>
      </c>
      <c r="C883">
        <v>88.45</v>
      </c>
      <c r="D883" t="s">
        <v>3097</v>
      </c>
      <c r="E883" t="s">
        <v>1417</v>
      </c>
      <c r="F883">
        <v>75</v>
      </c>
      <c r="G883" t="b">
        <v>1</v>
      </c>
      <c r="H883">
        <v>1</v>
      </c>
    </row>
    <row r="884" spans="1:8" x14ac:dyDescent="0.25">
      <c r="A884" t="s">
        <v>1294</v>
      </c>
      <c r="B884" t="s">
        <v>1295</v>
      </c>
      <c r="C884">
        <v>16.850000000000001</v>
      </c>
      <c r="D884" t="s">
        <v>3097</v>
      </c>
      <c r="E884" t="s">
        <v>1417</v>
      </c>
      <c r="F884">
        <v>75</v>
      </c>
      <c r="G884" t="b">
        <v>1</v>
      </c>
      <c r="H884">
        <v>1</v>
      </c>
    </row>
    <row r="885" spans="1:8" x14ac:dyDescent="0.25">
      <c r="A885" t="s">
        <v>1276</v>
      </c>
      <c r="B885" t="s">
        <v>1277</v>
      </c>
      <c r="C885">
        <v>22.4</v>
      </c>
      <c r="D885" t="s">
        <v>3097</v>
      </c>
      <c r="E885" t="s">
        <v>1417</v>
      </c>
      <c r="F885">
        <v>75</v>
      </c>
      <c r="G885" t="b">
        <v>1</v>
      </c>
      <c r="H885">
        <v>1</v>
      </c>
    </row>
    <row r="886" spans="1:8" x14ac:dyDescent="0.25">
      <c r="A886" t="s">
        <v>1274</v>
      </c>
      <c r="B886" t="s">
        <v>1275</v>
      </c>
      <c r="C886">
        <v>48.95</v>
      </c>
      <c r="D886" t="s">
        <v>3097</v>
      </c>
      <c r="E886" t="s">
        <v>1417</v>
      </c>
      <c r="F886">
        <v>75</v>
      </c>
      <c r="G886" t="b">
        <v>1</v>
      </c>
      <c r="H886">
        <v>1</v>
      </c>
    </row>
    <row r="887" spans="1:8" x14ac:dyDescent="0.25">
      <c r="A887" t="s">
        <v>1296</v>
      </c>
      <c r="B887" t="s">
        <v>1297</v>
      </c>
      <c r="C887">
        <v>16.850000000000001</v>
      </c>
      <c r="D887" t="s">
        <v>3097</v>
      </c>
      <c r="E887" t="s">
        <v>1417</v>
      </c>
      <c r="F887">
        <v>75</v>
      </c>
      <c r="G887" t="b">
        <v>1</v>
      </c>
      <c r="H887">
        <v>1</v>
      </c>
    </row>
    <row r="888" spans="1:8" x14ac:dyDescent="0.25">
      <c r="A888" t="s">
        <v>1289</v>
      </c>
      <c r="B888" t="s">
        <v>1290</v>
      </c>
      <c r="C888">
        <v>35.700000000000003</v>
      </c>
      <c r="D888" t="s">
        <v>3097</v>
      </c>
      <c r="E888" t="s">
        <v>1417</v>
      </c>
      <c r="F888">
        <v>75</v>
      </c>
      <c r="G888" t="b">
        <v>1</v>
      </c>
      <c r="H888">
        <v>1</v>
      </c>
    </row>
    <row r="889" spans="1:8" x14ac:dyDescent="0.25">
      <c r="A889" t="s">
        <v>1257</v>
      </c>
      <c r="B889" t="s">
        <v>1258</v>
      </c>
      <c r="C889">
        <v>35.700000000000003</v>
      </c>
      <c r="D889" t="s">
        <v>3097</v>
      </c>
      <c r="E889" t="s">
        <v>1417</v>
      </c>
      <c r="F889">
        <v>75</v>
      </c>
      <c r="G889" t="b">
        <v>1</v>
      </c>
      <c r="H889">
        <v>1</v>
      </c>
    </row>
    <row r="890" spans="1:8" x14ac:dyDescent="0.25">
      <c r="A890" t="s">
        <v>1292</v>
      </c>
      <c r="B890" t="s">
        <v>1293</v>
      </c>
      <c r="C890">
        <v>104.95</v>
      </c>
      <c r="D890" t="s">
        <v>3097</v>
      </c>
      <c r="E890" t="s">
        <v>1417</v>
      </c>
      <c r="F890">
        <v>75</v>
      </c>
      <c r="G890" t="b">
        <v>1</v>
      </c>
      <c r="H890">
        <v>1</v>
      </c>
    </row>
    <row r="891" spans="1:8" x14ac:dyDescent="0.25">
      <c r="A891" t="s">
        <v>1260</v>
      </c>
      <c r="B891" t="s">
        <v>1261</v>
      </c>
      <c r="C891">
        <v>66.349999999999994</v>
      </c>
      <c r="D891" t="s">
        <v>3097</v>
      </c>
      <c r="E891" t="s">
        <v>1417</v>
      </c>
      <c r="F891">
        <v>75</v>
      </c>
      <c r="G891" t="b">
        <v>1</v>
      </c>
      <c r="H891">
        <v>1</v>
      </c>
    </row>
    <row r="892" spans="1:8" x14ac:dyDescent="0.25">
      <c r="A892" t="s">
        <v>1270</v>
      </c>
      <c r="B892" t="s">
        <v>1271</v>
      </c>
      <c r="C892">
        <v>66.349999999999994</v>
      </c>
      <c r="D892" t="s">
        <v>3097</v>
      </c>
      <c r="E892" t="s">
        <v>1417</v>
      </c>
      <c r="F892">
        <v>75</v>
      </c>
      <c r="G892" t="b">
        <v>1</v>
      </c>
      <c r="H892">
        <v>1</v>
      </c>
    </row>
    <row r="893" spans="1:8" x14ac:dyDescent="0.25">
      <c r="A893" t="s">
        <v>1262</v>
      </c>
      <c r="B893" t="s">
        <v>1263</v>
      </c>
      <c r="C893">
        <v>102</v>
      </c>
      <c r="D893" t="s">
        <v>3097</v>
      </c>
      <c r="E893" t="s">
        <v>1417</v>
      </c>
      <c r="F893">
        <v>75</v>
      </c>
      <c r="G893" t="b">
        <v>1</v>
      </c>
      <c r="H893">
        <v>1</v>
      </c>
    </row>
    <row r="894" spans="1:8" x14ac:dyDescent="0.25">
      <c r="A894" t="s">
        <v>1264</v>
      </c>
      <c r="B894" t="s">
        <v>1265</v>
      </c>
      <c r="C894">
        <v>133.9</v>
      </c>
      <c r="D894" t="s">
        <v>3097</v>
      </c>
      <c r="E894" t="s">
        <v>1417</v>
      </c>
      <c r="F894">
        <v>75</v>
      </c>
      <c r="G894" t="b">
        <v>1</v>
      </c>
      <c r="H894">
        <v>1</v>
      </c>
    </row>
    <row r="895" spans="1:8" x14ac:dyDescent="0.25">
      <c r="A895" t="s">
        <v>1282</v>
      </c>
      <c r="B895" t="s">
        <v>1283</v>
      </c>
      <c r="C895">
        <v>48.95</v>
      </c>
      <c r="D895" t="s">
        <v>3097</v>
      </c>
      <c r="E895" t="s">
        <v>1417</v>
      </c>
      <c r="F895">
        <v>75</v>
      </c>
      <c r="G895" t="b">
        <v>1</v>
      </c>
      <c r="H895">
        <v>1</v>
      </c>
    </row>
    <row r="896" spans="1:8" x14ac:dyDescent="0.25">
      <c r="A896" t="s">
        <v>1286</v>
      </c>
      <c r="B896" t="s">
        <v>1287</v>
      </c>
      <c r="C896">
        <v>61.1</v>
      </c>
      <c r="D896" t="s">
        <v>3097</v>
      </c>
      <c r="E896" t="s">
        <v>1417</v>
      </c>
      <c r="F896">
        <v>75</v>
      </c>
      <c r="G896" t="b">
        <v>1</v>
      </c>
      <c r="H896">
        <v>1</v>
      </c>
    </row>
    <row r="897" spans="1:8" x14ac:dyDescent="0.25">
      <c r="A897" t="s">
        <v>1266</v>
      </c>
      <c r="B897" t="s">
        <v>1267</v>
      </c>
      <c r="C897">
        <v>61.1</v>
      </c>
      <c r="D897" t="s">
        <v>3097</v>
      </c>
      <c r="E897" t="s">
        <v>1417</v>
      </c>
      <c r="F897">
        <v>75</v>
      </c>
      <c r="G897" t="b">
        <v>1</v>
      </c>
      <c r="H897">
        <v>1</v>
      </c>
    </row>
    <row r="898" spans="1:8" x14ac:dyDescent="0.25">
      <c r="A898" t="s">
        <v>1279</v>
      </c>
      <c r="B898" t="s">
        <v>1280</v>
      </c>
      <c r="C898">
        <v>222.5</v>
      </c>
      <c r="D898" t="s">
        <v>3097</v>
      </c>
      <c r="E898" t="s">
        <v>1417</v>
      </c>
      <c r="F898">
        <v>75</v>
      </c>
      <c r="G898" t="b">
        <v>1</v>
      </c>
      <c r="H898">
        <v>1</v>
      </c>
    </row>
    <row r="899" spans="1:8" x14ac:dyDescent="0.25">
      <c r="A899" t="s">
        <v>1268</v>
      </c>
      <c r="B899" t="s">
        <v>1269</v>
      </c>
      <c r="C899">
        <v>133.9</v>
      </c>
      <c r="D899" t="s">
        <v>3097</v>
      </c>
      <c r="E899" t="s">
        <v>1417</v>
      </c>
      <c r="F899">
        <v>75</v>
      </c>
      <c r="G899" t="b">
        <v>1</v>
      </c>
      <c r="H899">
        <v>1</v>
      </c>
    </row>
    <row r="900" spans="1:8" x14ac:dyDescent="0.25">
      <c r="A900" t="s">
        <v>3171</v>
      </c>
      <c r="B900" t="s">
        <v>2680</v>
      </c>
      <c r="C900">
        <v>17.5</v>
      </c>
      <c r="D900" t="s">
        <v>3260</v>
      </c>
      <c r="E900" t="s">
        <v>945</v>
      </c>
      <c r="F900">
        <v>75</v>
      </c>
      <c r="G900" t="b">
        <v>1</v>
      </c>
      <c r="H900">
        <v>1</v>
      </c>
    </row>
    <row r="901" spans="1:8" x14ac:dyDescent="0.25">
      <c r="A901" t="s">
        <v>3051</v>
      </c>
      <c r="B901" t="s">
        <v>3052</v>
      </c>
      <c r="D901" t="s">
        <v>3102</v>
      </c>
      <c r="E901" t="s">
        <v>1417</v>
      </c>
      <c r="F901">
        <v>75</v>
      </c>
      <c r="G901" t="b">
        <v>0</v>
      </c>
      <c r="H901">
        <v>1</v>
      </c>
    </row>
    <row r="902" spans="1:8" x14ac:dyDescent="0.25">
      <c r="A902" t="s">
        <v>3053</v>
      </c>
      <c r="B902" t="s">
        <v>3054</v>
      </c>
      <c r="D902" t="s">
        <v>3102</v>
      </c>
      <c r="E902" t="s">
        <v>1417</v>
      </c>
      <c r="F902">
        <v>75</v>
      </c>
      <c r="G902" t="b">
        <v>0</v>
      </c>
      <c r="H902">
        <v>1</v>
      </c>
    </row>
    <row r="903" spans="1:8" x14ac:dyDescent="0.25">
      <c r="A903" t="s">
        <v>3055</v>
      </c>
      <c r="B903" t="s">
        <v>3056</v>
      </c>
      <c r="D903" t="s">
        <v>3102</v>
      </c>
      <c r="E903" t="s">
        <v>1417</v>
      </c>
      <c r="F903">
        <v>75</v>
      </c>
      <c r="G903" t="b">
        <v>0</v>
      </c>
      <c r="H903">
        <v>1</v>
      </c>
    </row>
    <row r="904" spans="1:8" x14ac:dyDescent="0.25">
      <c r="A904" t="s">
        <v>3057</v>
      </c>
      <c r="B904" t="s">
        <v>3058</v>
      </c>
      <c r="D904" t="s">
        <v>3102</v>
      </c>
      <c r="E904" t="s">
        <v>1417</v>
      </c>
      <c r="F904">
        <v>75</v>
      </c>
      <c r="G904" t="b">
        <v>0</v>
      </c>
      <c r="H904">
        <v>1</v>
      </c>
    </row>
    <row r="905" spans="1:8" x14ac:dyDescent="0.25">
      <c r="A905" t="s">
        <v>3059</v>
      </c>
      <c r="B905" t="s">
        <v>3060</v>
      </c>
      <c r="D905" t="s">
        <v>3102</v>
      </c>
      <c r="E905" t="s">
        <v>1417</v>
      </c>
      <c r="F905">
        <v>75</v>
      </c>
      <c r="G905" t="b">
        <v>0</v>
      </c>
      <c r="H905">
        <v>1</v>
      </c>
    </row>
    <row r="906" spans="1:8" x14ac:dyDescent="0.25">
      <c r="A906" t="s">
        <v>3061</v>
      </c>
      <c r="B906" t="s">
        <v>3062</v>
      </c>
      <c r="D906" t="s">
        <v>3102</v>
      </c>
      <c r="E906" t="s">
        <v>1417</v>
      </c>
      <c r="F906">
        <v>75</v>
      </c>
      <c r="G906" t="b">
        <v>0</v>
      </c>
      <c r="H906">
        <v>1</v>
      </c>
    </row>
    <row r="907" spans="1:8" x14ac:dyDescent="0.25">
      <c r="A907" t="s">
        <v>3063</v>
      </c>
      <c r="B907" t="s">
        <v>3064</v>
      </c>
      <c r="D907" t="s">
        <v>3102</v>
      </c>
      <c r="E907" t="s">
        <v>1417</v>
      </c>
      <c r="F907">
        <v>75</v>
      </c>
      <c r="G907" t="b">
        <v>0</v>
      </c>
      <c r="H907">
        <v>1</v>
      </c>
    </row>
    <row r="908" spans="1:8" x14ac:dyDescent="0.25">
      <c r="A908" t="s">
        <v>3065</v>
      </c>
      <c r="B908" t="s">
        <v>3054</v>
      </c>
      <c r="D908" t="s">
        <v>3102</v>
      </c>
      <c r="E908" t="s">
        <v>1417</v>
      </c>
      <c r="F908">
        <v>75</v>
      </c>
      <c r="G908" t="b">
        <v>0</v>
      </c>
      <c r="H908">
        <v>1</v>
      </c>
    </row>
    <row r="909" spans="1:8" x14ac:dyDescent="0.25">
      <c r="A909" t="s">
        <v>1340</v>
      </c>
      <c r="B909" t="s">
        <v>1341</v>
      </c>
      <c r="C909">
        <v>68.7</v>
      </c>
      <c r="D909" t="s">
        <v>3104</v>
      </c>
      <c r="E909" t="s">
        <v>1417</v>
      </c>
      <c r="F909">
        <v>75</v>
      </c>
      <c r="G909" t="b">
        <v>1</v>
      </c>
      <c r="H909">
        <v>1</v>
      </c>
    </row>
    <row r="910" spans="1:8" x14ac:dyDescent="0.25">
      <c r="A910" t="s">
        <v>1342</v>
      </c>
      <c r="B910" t="s">
        <v>1343</v>
      </c>
      <c r="C910">
        <v>68.7</v>
      </c>
      <c r="D910" t="s">
        <v>3104</v>
      </c>
      <c r="E910" t="s">
        <v>1417</v>
      </c>
      <c r="F910">
        <v>75</v>
      </c>
      <c r="G910" t="b">
        <v>1</v>
      </c>
      <c r="H910">
        <v>1</v>
      </c>
    </row>
    <row r="911" spans="1:8" x14ac:dyDescent="0.25">
      <c r="A911" t="s">
        <v>1361</v>
      </c>
      <c r="B911" t="s">
        <v>1362</v>
      </c>
      <c r="C911">
        <v>18.600000000000001</v>
      </c>
      <c r="D911" t="s">
        <v>3104</v>
      </c>
      <c r="E911" t="s">
        <v>1417</v>
      </c>
      <c r="F911">
        <v>75</v>
      </c>
      <c r="G911" t="b">
        <v>1</v>
      </c>
      <c r="H911">
        <v>1</v>
      </c>
    </row>
    <row r="912" spans="1:8" x14ac:dyDescent="0.25">
      <c r="A912" t="s">
        <v>1351</v>
      </c>
      <c r="B912" t="s">
        <v>1352</v>
      </c>
      <c r="C912">
        <v>68.7</v>
      </c>
      <c r="D912" t="s">
        <v>3104</v>
      </c>
      <c r="E912" t="s">
        <v>1417</v>
      </c>
      <c r="F912">
        <v>75</v>
      </c>
      <c r="G912" t="b">
        <v>1</v>
      </c>
      <c r="H912">
        <v>1</v>
      </c>
    </row>
    <row r="913" spans="1:8" x14ac:dyDescent="0.25">
      <c r="A913" t="s">
        <v>1353</v>
      </c>
      <c r="B913" t="s">
        <v>1354</v>
      </c>
      <c r="C913">
        <v>78.849999999999994</v>
      </c>
      <c r="D913" t="s">
        <v>3104</v>
      </c>
      <c r="E913" t="s">
        <v>1417</v>
      </c>
      <c r="F913">
        <v>75</v>
      </c>
      <c r="G913" t="b">
        <v>1</v>
      </c>
      <c r="H913">
        <v>1</v>
      </c>
    </row>
    <row r="914" spans="1:8" x14ac:dyDescent="0.25">
      <c r="A914" t="s">
        <v>1326</v>
      </c>
      <c r="B914" t="s">
        <v>1327</v>
      </c>
      <c r="C914">
        <v>78.849999999999994</v>
      </c>
      <c r="D914" t="s">
        <v>3104</v>
      </c>
      <c r="E914" t="s">
        <v>1417</v>
      </c>
      <c r="F914">
        <v>75</v>
      </c>
      <c r="G914" t="b">
        <v>1</v>
      </c>
      <c r="H914">
        <v>1</v>
      </c>
    </row>
    <row r="915" spans="1:8" x14ac:dyDescent="0.25">
      <c r="A915" t="s">
        <v>1330</v>
      </c>
      <c r="B915" t="s">
        <v>1331</v>
      </c>
      <c r="C915">
        <v>78.849999999999994</v>
      </c>
      <c r="D915" t="s">
        <v>3104</v>
      </c>
      <c r="E915" t="s">
        <v>1417</v>
      </c>
      <c r="F915">
        <v>75</v>
      </c>
      <c r="G915" t="b">
        <v>1</v>
      </c>
      <c r="H915">
        <v>1</v>
      </c>
    </row>
    <row r="916" spans="1:8" x14ac:dyDescent="0.25">
      <c r="A916" t="s">
        <v>1363</v>
      </c>
      <c r="B916" t="s">
        <v>1364</v>
      </c>
      <c r="C916">
        <v>21.25</v>
      </c>
      <c r="D916" t="s">
        <v>3104</v>
      </c>
      <c r="E916" t="s">
        <v>1417</v>
      </c>
      <c r="F916">
        <v>75</v>
      </c>
      <c r="G916" t="b">
        <v>1</v>
      </c>
      <c r="H916">
        <v>1</v>
      </c>
    </row>
    <row r="917" spans="1:8" x14ac:dyDescent="0.25">
      <c r="A917" t="s">
        <v>1345</v>
      </c>
      <c r="B917" t="s">
        <v>1346</v>
      </c>
      <c r="C917">
        <v>62.25</v>
      </c>
      <c r="D917" t="s">
        <v>3104</v>
      </c>
      <c r="E917" t="s">
        <v>1417</v>
      </c>
      <c r="F917">
        <v>75</v>
      </c>
      <c r="G917" t="b">
        <v>1</v>
      </c>
      <c r="H917">
        <v>1</v>
      </c>
    </row>
    <row r="918" spans="1:8" x14ac:dyDescent="0.25">
      <c r="A918" t="s">
        <v>1349</v>
      </c>
      <c r="B918" t="s">
        <v>1350</v>
      </c>
      <c r="C918">
        <v>70.45</v>
      </c>
      <c r="D918" t="s">
        <v>3104</v>
      </c>
      <c r="E918" t="s">
        <v>1417</v>
      </c>
      <c r="F918">
        <v>75</v>
      </c>
      <c r="G918" t="b">
        <v>1</v>
      </c>
      <c r="H918">
        <v>1</v>
      </c>
    </row>
    <row r="919" spans="1:8" x14ac:dyDescent="0.25">
      <c r="A919" t="s">
        <v>1347</v>
      </c>
      <c r="B919" t="s">
        <v>1348</v>
      </c>
      <c r="C919">
        <v>62.25</v>
      </c>
      <c r="D919" t="s">
        <v>3104</v>
      </c>
      <c r="E919" t="s">
        <v>1417</v>
      </c>
      <c r="F919">
        <v>75</v>
      </c>
      <c r="G919" t="b">
        <v>1</v>
      </c>
      <c r="H919">
        <v>1</v>
      </c>
    </row>
    <row r="920" spans="1:8" x14ac:dyDescent="0.25">
      <c r="A920" t="s">
        <v>1355</v>
      </c>
      <c r="B920" t="s">
        <v>1356</v>
      </c>
      <c r="C920">
        <v>53.05</v>
      </c>
      <c r="D920" t="s">
        <v>3104</v>
      </c>
      <c r="E920" t="s">
        <v>1417</v>
      </c>
      <c r="F920">
        <v>75</v>
      </c>
      <c r="G920" t="b">
        <v>1</v>
      </c>
      <c r="H920">
        <v>1</v>
      </c>
    </row>
    <row r="921" spans="1:8" x14ac:dyDescent="0.25">
      <c r="A921" t="s">
        <v>1337</v>
      </c>
      <c r="B921" t="s">
        <v>1338</v>
      </c>
      <c r="C921">
        <v>172.2</v>
      </c>
      <c r="D921" t="s">
        <v>3104</v>
      </c>
      <c r="E921" t="s">
        <v>1417</v>
      </c>
      <c r="F921">
        <v>75</v>
      </c>
      <c r="G921" t="b">
        <v>1</v>
      </c>
      <c r="H921">
        <v>1</v>
      </c>
    </row>
    <row r="922" spans="1:8" x14ac:dyDescent="0.25">
      <c r="A922" t="s">
        <v>1372</v>
      </c>
      <c r="B922" t="s">
        <v>1373</v>
      </c>
      <c r="C922">
        <v>107.35</v>
      </c>
      <c r="D922" t="s">
        <v>3104</v>
      </c>
      <c r="E922" t="s">
        <v>1417</v>
      </c>
      <c r="F922">
        <v>75</v>
      </c>
      <c r="G922" t="b">
        <v>1</v>
      </c>
      <c r="H922">
        <v>1</v>
      </c>
    </row>
    <row r="923" spans="1:8" x14ac:dyDescent="0.25">
      <c r="A923" t="s">
        <v>1358</v>
      </c>
      <c r="B923" t="s">
        <v>1359</v>
      </c>
      <c r="C923">
        <v>98.15</v>
      </c>
      <c r="D923" t="s">
        <v>3104</v>
      </c>
      <c r="E923" t="s">
        <v>1417</v>
      </c>
      <c r="F923">
        <v>75</v>
      </c>
      <c r="G923" t="b">
        <v>1</v>
      </c>
      <c r="H923">
        <v>1</v>
      </c>
    </row>
    <row r="924" spans="1:8" x14ac:dyDescent="0.25">
      <c r="A924" t="s">
        <v>1334</v>
      </c>
      <c r="B924" t="s">
        <v>1335</v>
      </c>
      <c r="C924">
        <v>95.2</v>
      </c>
      <c r="D924" t="s">
        <v>3104</v>
      </c>
      <c r="E924" t="s">
        <v>1417</v>
      </c>
      <c r="F924">
        <v>75</v>
      </c>
      <c r="G924" t="b">
        <v>1</v>
      </c>
      <c r="H924">
        <v>1</v>
      </c>
    </row>
    <row r="925" spans="1:8" x14ac:dyDescent="0.25">
      <c r="A925" t="s">
        <v>1332</v>
      </c>
      <c r="B925" t="s">
        <v>1333</v>
      </c>
      <c r="C925">
        <v>133.9</v>
      </c>
      <c r="D925" t="s">
        <v>3104</v>
      </c>
      <c r="E925" t="s">
        <v>1417</v>
      </c>
      <c r="F925">
        <v>75</v>
      </c>
      <c r="G925" t="b">
        <v>1</v>
      </c>
      <c r="H925">
        <v>1</v>
      </c>
    </row>
    <row r="926" spans="1:8" x14ac:dyDescent="0.25">
      <c r="A926" t="s">
        <v>1412</v>
      </c>
      <c r="B926" t="s">
        <v>1413</v>
      </c>
      <c r="C926">
        <v>31.9</v>
      </c>
      <c r="D926" t="s">
        <v>3106</v>
      </c>
      <c r="E926" t="s">
        <v>1417</v>
      </c>
      <c r="F926">
        <v>75</v>
      </c>
      <c r="G926" t="b">
        <v>1</v>
      </c>
      <c r="H926">
        <v>1</v>
      </c>
    </row>
    <row r="927" spans="1:8" x14ac:dyDescent="0.25">
      <c r="A927" t="s">
        <v>1385</v>
      </c>
      <c r="B927" t="s">
        <v>1386</v>
      </c>
      <c r="C927">
        <v>44.55</v>
      </c>
      <c r="D927" t="s">
        <v>3106</v>
      </c>
      <c r="E927" t="s">
        <v>1417</v>
      </c>
      <c r="F927">
        <v>75</v>
      </c>
      <c r="G927" t="b">
        <v>1</v>
      </c>
      <c r="H927">
        <v>1</v>
      </c>
    </row>
    <row r="928" spans="1:8" x14ac:dyDescent="0.25">
      <c r="A928" t="s">
        <v>1388</v>
      </c>
      <c r="B928" t="s">
        <v>1389</v>
      </c>
      <c r="C928">
        <v>57.2</v>
      </c>
      <c r="D928" t="s">
        <v>3106</v>
      </c>
      <c r="E928" t="s">
        <v>1417</v>
      </c>
      <c r="F928">
        <v>75</v>
      </c>
      <c r="G928" t="b">
        <v>1</v>
      </c>
      <c r="H928">
        <v>1</v>
      </c>
    </row>
    <row r="929" spans="1:8" x14ac:dyDescent="0.25">
      <c r="A929" t="s">
        <v>1390</v>
      </c>
      <c r="B929" t="s">
        <v>1391</v>
      </c>
      <c r="C929">
        <v>69.599999999999994</v>
      </c>
      <c r="D929" t="s">
        <v>3106</v>
      </c>
      <c r="E929" t="s">
        <v>1417</v>
      </c>
      <c r="F929">
        <v>75</v>
      </c>
      <c r="G929" t="b">
        <v>1</v>
      </c>
      <c r="H929">
        <v>1</v>
      </c>
    </row>
    <row r="930" spans="1:8" x14ac:dyDescent="0.25">
      <c r="A930" t="s">
        <v>1392</v>
      </c>
      <c r="B930" t="s">
        <v>1393</v>
      </c>
      <c r="C930">
        <v>88.45</v>
      </c>
      <c r="D930" t="s">
        <v>3106</v>
      </c>
      <c r="E930" t="s">
        <v>1417</v>
      </c>
      <c r="F930">
        <v>75</v>
      </c>
      <c r="G930" t="b">
        <v>1</v>
      </c>
      <c r="H930">
        <v>1</v>
      </c>
    </row>
    <row r="931" spans="1:8" x14ac:dyDescent="0.25">
      <c r="A931" t="s">
        <v>1466</v>
      </c>
      <c r="B931" t="s">
        <v>1467</v>
      </c>
      <c r="C931">
        <v>45.1</v>
      </c>
      <c r="D931" t="s">
        <v>3106</v>
      </c>
      <c r="E931" t="s">
        <v>1417</v>
      </c>
      <c r="F931">
        <v>75</v>
      </c>
      <c r="G931" t="b">
        <v>1</v>
      </c>
      <c r="H931">
        <v>1</v>
      </c>
    </row>
    <row r="932" spans="1:8" x14ac:dyDescent="0.25">
      <c r="A932" t="s">
        <v>1394</v>
      </c>
      <c r="B932" t="s">
        <v>1395</v>
      </c>
      <c r="C932">
        <v>57.8</v>
      </c>
      <c r="D932" t="s">
        <v>3106</v>
      </c>
      <c r="E932" t="s">
        <v>1417</v>
      </c>
      <c r="F932">
        <v>75</v>
      </c>
      <c r="G932" t="b">
        <v>1</v>
      </c>
      <c r="H932">
        <v>1</v>
      </c>
    </row>
    <row r="933" spans="1:8" x14ac:dyDescent="0.25">
      <c r="A933" t="s">
        <v>1396</v>
      </c>
      <c r="B933" t="s">
        <v>1397</v>
      </c>
      <c r="C933">
        <v>70.45</v>
      </c>
      <c r="D933" t="s">
        <v>3106</v>
      </c>
      <c r="E933" t="s">
        <v>1417</v>
      </c>
      <c r="F933">
        <v>75</v>
      </c>
      <c r="G933" t="b">
        <v>1</v>
      </c>
      <c r="H933">
        <v>1</v>
      </c>
    </row>
    <row r="934" spans="1:8" x14ac:dyDescent="0.25">
      <c r="A934" t="s">
        <v>1398</v>
      </c>
      <c r="B934" t="s">
        <v>1399</v>
      </c>
      <c r="C934">
        <v>82.85</v>
      </c>
      <c r="D934" t="s">
        <v>3106</v>
      </c>
      <c r="E934" t="s">
        <v>1417</v>
      </c>
      <c r="F934">
        <v>75</v>
      </c>
      <c r="G934" t="b">
        <v>1</v>
      </c>
      <c r="H934">
        <v>1</v>
      </c>
    </row>
    <row r="935" spans="1:8" x14ac:dyDescent="0.25">
      <c r="A935" t="s">
        <v>1470</v>
      </c>
      <c r="B935" t="s">
        <v>1471</v>
      </c>
      <c r="C935">
        <v>54.3</v>
      </c>
      <c r="D935" t="s">
        <v>3106</v>
      </c>
      <c r="E935" t="s">
        <v>1417</v>
      </c>
      <c r="F935">
        <v>75</v>
      </c>
      <c r="G935" t="b">
        <v>1</v>
      </c>
      <c r="H935">
        <v>1</v>
      </c>
    </row>
    <row r="936" spans="1:8" x14ac:dyDescent="0.25">
      <c r="A936" t="s">
        <v>1400</v>
      </c>
      <c r="B936" t="s">
        <v>1401</v>
      </c>
      <c r="C936">
        <v>66.95</v>
      </c>
      <c r="D936" t="s">
        <v>3106</v>
      </c>
      <c r="E936" t="s">
        <v>1417</v>
      </c>
      <c r="F936">
        <v>75</v>
      </c>
      <c r="G936" t="b">
        <v>1</v>
      </c>
      <c r="H936">
        <v>1</v>
      </c>
    </row>
    <row r="937" spans="1:8" x14ac:dyDescent="0.25">
      <c r="A937" t="s">
        <v>1402</v>
      </c>
      <c r="B937" t="s">
        <v>1403</v>
      </c>
      <c r="C937">
        <v>83.75</v>
      </c>
      <c r="D937" t="s">
        <v>3106</v>
      </c>
      <c r="E937" t="s">
        <v>1417</v>
      </c>
      <c r="F937">
        <v>75</v>
      </c>
      <c r="G937" t="b">
        <v>1</v>
      </c>
      <c r="H937">
        <v>1</v>
      </c>
    </row>
    <row r="938" spans="1:8" x14ac:dyDescent="0.25">
      <c r="A938" t="s">
        <v>1404</v>
      </c>
      <c r="B938" t="s">
        <v>1405</v>
      </c>
      <c r="C938">
        <v>123.55</v>
      </c>
      <c r="D938" t="s">
        <v>3106</v>
      </c>
      <c r="E938" t="s">
        <v>1417</v>
      </c>
      <c r="F938">
        <v>75</v>
      </c>
      <c r="G938" t="b">
        <v>1</v>
      </c>
      <c r="H938">
        <v>1</v>
      </c>
    </row>
    <row r="939" spans="1:8" x14ac:dyDescent="0.25">
      <c r="A939" t="s">
        <v>1571</v>
      </c>
      <c r="B939" t="s">
        <v>1572</v>
      </c>
      <c r="C939">
        <v>17.399999999999999</v>
      </c>
      <c r="D939" t="s">
        <v>3106</v>
      </c>
      <c r="E939" t="s">
        <v>1417</v>
      </c>
      <c r="F939">
        <v>75</v>
      </c>
      <c r="G939" t="b">
        <v>1</v>
      </c>
      <c r="H939">
        <v>1</v>
      </c>
    </row>
    <row r="940" spans="1:8" x14ac:dyDescent="0.25">
      <c r="A940" t="s">
        <v>1575</v>
      </c>
      <c r="B940" t="s">
        <v>1576</v>
      </c>
      <c r="C940">
        <v>25.35</v>
      </c>
      <c r="D940" t="s">
        <v>3106</v>
      </c>
      <c r="E940" t="s">
        <v>1417</v>
      </c>
      <c r="F940">
        <v>75</v>
      </c>
      <c r="G940" t="b">
        <v>1</v>
      </c>
      <c r="H940">
        <v>1</v>
      </c>
    </row>
    <row r="941" spans="1:8" x14ac:dyDescent="0.25">
      <c r="A941" t="s">
        <v>1504</v>
      </c>
      <c r="B941" t="s">
        <v>1505</v>
      </c>
      <c r="C941">
        <v>146.25</v>
      </c>
      <c r="D941" t="s">
        <v>3106</v>
      </c>
      <c r="E941" t="s">
        <v>1417</v>
      </c>
      <c r="F941">
        <v>75</v>
      </c>
      <c r="G941" t="b">
        <v>1</v>
      </c>
      <c r="H941">
        <v>1</v>
      </c>
    </row>
    <row r="942" spans="1:8" x14ac:dyDescent="0.25">
      <c r="A942" t="s">
        <v>1520</v>
      </c>
      <c r="B942" t="s">
        <v>1521</v>
      </c>
      <c r="C942">
        <v>25.35</v>
      </c>
      <c r="D942" t="s">
        <v>3106</v>
      </c>
      <c r="E942" t="s">
        <v>1417</v>
      </c>
      <c r="F942">
        <v>75</v>
      </c>
      <c r="G942" t="b">
        <v>1</v>
      </c>
      <c r="H942">
        <v>1</v>
      </c>
    </row>
    <row r="943" spans="1:8" x14ac:dyDescent="0.25">
      <c r="A943" t="s">
        <v>3119</v>
      </c>
      <c r="B943" t="s">
        <v>3001</v>
      </c>
      <c r="C943">
        <v>34.5</v>
      </c>
      <c r="D943" t="s">
        <v>3106</v>
      </c>
      <c r="E943" t="s">
        <v>1417</v>
      </c>
      <c r="F943">
        <v>75</v>
      </c>
      <c r="G943" t="b">
        <v>1</v>
      </c>
      <c r="H943">
        <v>1</v>
      </c>
    </row>
    <row r="944" spans="1:8" x14ac:dyDescent="0.25">
      <c r="A944" t="s">
        <v>1508</v>
      </c>
      <c r="B944" t="s">
        <v>1509</v>
      </c>
      <c r="C944">
        <v>166.5</v>
      </c>
      <c r="D944" t="s">
        <v>3106</v>
      </c>
      <c r="E944" t="s">
        <v>1417</v>
      </c>
      <c r="F944">
        <v>75</v>
      </c>
      <c r="G944" t="b">
        <v>1</v>
      </c>
      <c r="H944">
        <v>1</v>
      </c>
    </row>
    <row r="945" spans="1:8" x14ac:dyDescent="0.25">
      <c r="A945" t="s">
        <v>1511</v>
      </c>
      <c r="B945" t="s">
        <v>1512</v>
      </c>
      <c r="C945">
        <v>172.05</v>
      </c>
      <c r="D945" t="s">
        <v>3106</v>
      </c>
      <c r="E945" t="s">
        <v>1417</v>
      </c>
      <c r="F945">
        <v>75</v>
      </c>
      <c r="G945" t="b">
        <v>1</v>
      </c>
      <c r="H945">
        <v>1</v>
      </c>
    </row>
    <row r="946" spans="1:8" x14ac:dyDescent="0.25">
      <c r="A946" t="s">
        <v>1514</v>
      </c>
      <c r="B946" t="s">
        <v>1515</v>
      </c>
      <c r="C946">
        <v>177.35</v>
      </c>
      <c r="D946" t="s">
        <v>3106</v>
      </c>
      <c r="E946" t="s">
        <v>1417</v>
      </c>
      <c r="F946">
        <v>75</v>
      </c>
      <c r="G946" t="b">
        <v>1</v>
      </c>
      <c r="H946">
        <v>1</v>
      </c>
    </row>
    <row r="947" spans="1:8" x14ac:dyDescent="0.25">
      <c r="A947" t="s">
        <v>1491</v>
      </c>
      <c r="B947" t="s">
        <v>1492</v>
      </c>
      <c r="C947">
        <v>28.95</v>
      </c>
      <c r="D947" t="s">
        <v>3106</v>
      </c>
      <c r="E947" t="s">
        <v>1417</v>
      </c>
      <c r="F947">
        <v>75</v>
      </c>
      <c r="G947" t="b">
        <v>1</v>
      </c>
      <c r="H947">
        <v>1</v>
      </c>
    </row>
    <row r="948" spans="1:8" x14ac:dyDescent="0.25">
      <c r="A948" t="s">
        <v>1547</v>
      </c>
      <c r="B948" t="s">
        <v>1548</v>
      </c>
      <c r="C948">
        <v>226.45</v>
      </c>
      <c r="D948" t="s">
        <v>3106</v>
      </c>
      <c r="E948" t="s">
        <v>1417</v>
      </c>
      <c r="F948">
        <v>75</v>
      </c>
      <c r="G948" t="b">
        <v>1</v>
      </c>
      <c r="H948">
        <v>1</v>
      </c>
    </row>
    <row r="949" spans="1:8" x14ac:dyDescent="0.25">
      <c r="A949" t="s">
        <v>1618</v>
      </c>
      <c r="B949" t="s">
        <v>1619</v>
      </c>
      <c r="C949">
        <v>46.4</v>
      </c>
      <c r="D949" t="s">
        <v>3106</v>
      </c>
      <c r="E949" t="s">
        <v>1417</v>
      </c>
      <c r="F949">
        <v>75</v>
      </c>
      <c r="G949" t="b">
        <v>1</v>
      </c>
      <c r="H949">
        <v>1</v>
      </c>
    </row>
    <row r="950" spans="1:8" x14ac:dyDescent="0.25">
      <c r="A950" t="s">
        <v>1621</v>
      </c>
      <c r="B950" t="s">
        <v>1622</v>
      </c>
      <c r="C950">
        <v>46.4</v>
      </c>
      <c r="D950" t="s">
        <v>3106</v>
      </c>
      <c r="E950" t="s">
        <v>1417</v>
      </c>
      <c r="F950">
        <v>75</v>
      </c>
      <c r="G950" t="b">
        <v>1</v>
      </c>
      <c r="H950">
        <v>1</v>
      </c>
    </row>
    <row r="951" spans="1:8" x14ac:dyDescent="0.25">
      <c r="A951" t="s">
        <v>1531</v>
      </c>
      <c r="B951" t="s">
        <v>1532</v>
      </c>
      <c r="C951">
        <v>135.05000000000001</v>
      </c>
      <c r="D951" t="s">
        <v>3106</v>
      </c>
      <c r="E951" t="s">
        <v>1417</v>
      </c>
      <c r="F951">
        <v>75</v>
      </c>
      <c r="G951" t="b">
        <v>1</v>
      </c>
      <c r="H951">
        <v>1</v>
      </c>
    </row>
    <row r="952" spans="1:8" x14ac:dyDescent="0.25">
      <c r="A952" t="s">
        <v>3116</v>
      </c>
      <c r="B952" t="s">
        <v>1630</v>
      </c>
      <c r="C952">
        <v>17.399999999999999</v>
      </c>
      <c r="D952" t="s">
        <v>3106</v>
      </c>
      <c r="E952" t="s">
        <v>1417</v>
      </c>
      <c r="F952">
        <v>75</v>
      </c>
      <c r="G952" t="b">
        <v>1</v>
      </c>
      <c r="H952">
        <v>1</v>
      </c>
    </row>
    <row r="953" spans="1:8" x14ac:dyDescent="0.25">
      <c r="A953" t="s">
        <v>1601</v>
      </c>
      <c r="B953" t="s">
        <v>1602</v>
      </c>
      <c r="C953">
        <v>33.65</v>
      </c>
      <c r="D953" t="s">
        <v>3106</v>
      </c>
      <c r="E953" t="s">
        <v>1417</v>
      </c>
      <c r="F953">
        <v>75</v>
      </c>
      <c r="G953" t="b">
        <v>1</v>
      </c>
      <c r="H953">
        <v>1</v>
      </c>
    </row>
    <row r="954" spans="1:8" x14ac:dyDescent="0.25">
      <c r="A954" t="s">
        <v>1457</v>
      </c>
      <c r="B954" t="s">
        <v>1458</v>
      </c>
      <c r="C954">
        <v>33.65</v>
      </c>
      <c r="D954" t="s">
        <v>3106</v>
      </c>
      <c r="E954" t="s">
        <v>1417</v>
      </c>
      <c r="F954">
        <v>75</v>
      </c>
      <c r="G954" t="b">
        <v>1</v>
      </c>
      <c r="H954">
        <v>1</v>
      </c>
    </row>
    <row r="955" spans="1:8" x14ac:dyDescent="0.25">
      <c r="A955" t="s">
        <v>1603</v>
      </c>
      <c r="B955" t="s">
        <v>1604</v>
      </c>
      <c r="C955">
        <v>33.65</v>
      </c>
      <c r="D955" t="s">
        <v>3106</v>
      </c>
      <c r="E955" t="s">
        <v>1417</v>
      </c>
      <c r="F955">
        <v>75</v>
      </c>
      <c r="G955" t="b">
        <v>1</v>
      </c>
      <c r="H955">
        <v>1</v>
      </c>
    </row>
    <row r="956" spans="1:8" x14ac:dyDescent="0.25">
      <c r="A956" t="s">
        <v>1605</v>
      </c>
      <c r="B956" t="s">
        <v>1606</v>
      </c>
      <c r="C956">
        <v>41.1</v>
      </c>
      <c r="D956" t="s">
        <v>3106</v>
      </c>
      <c r="E956" t="s">
        <v>1417</v>
      </c>
      <c r="F956">
        <v>75</v>
      </c>
      <c r="G956" t="b">
        <v>1</v>
      </c>
      <c r="H956">
        <v>1</v>
      </c>
    </row>
    <row r="957" spans="1:8" x14ac:dyDescent="0.25">
      <c r="A957" t="s">
        <v>1607</v>
      </c>
      <c r="B957" t="s">
        <v>1608</v>
      </c>
      <c r="C957">
        <v>41.1</v>
      </c>
      <c r="D957" t="s">
        <v>3106</v>
      </c>
      <c r="E957" t="s">
        <v>1417</v>
      </c>
      <c r="F957">
        <v>75</v>
      </c>
      <c r="G957" t="b">
        <v>1</v>
      </c>
      <c r="H957">
        <v>1</v>
      </c>
    </row>
    <row r="958" spans="1:8" x14ac:dyDescent="0.25">
      <c r="A958" t="s">
        <v>1415</v>
      </c>
      <c r="B958" t="s">
        <v>1416</v>
      </c>
      <c r="C958">
        <v>50.45</v>
      </c>
      <c r="D958" t="s">
        <v>3106</v>
      </c>
      <c r="E958" t="s">
        <v>1417</v>
      </c>
      <c r="F958">
        <v>75</v>
      </c>
      <c r="G958" t="b">
        <v>1</v>
      </c>
      <c r="H958">
        <v>1</v>
      </c>
    </row>
    <row r="959" spans="1:8" x14ac:dyDescent="0.25">
      <c r="A959" t="s">
        <v>1584</v>
      </c>
      <c r="B959" t="s">
        <v>1585</v>
      </c>
      <c r="C959">
        <v>51.65</v>
      </c>
      <c r="D959" t="s">
        <v>3106</v>
      </c>
      <c r="E959" t="s">
        <v>1417</v>
      </c>
      <c r="F959">
        <v>75</v>
      </c>
      <c r="G959" t="b">
        <v>1</v>
      </c>
      <c r="H959">
        <v>1</v>
      </c>
    </row>
    <row r="960" spans="1:8" x14ac:dyDescent="0.25">
      <c r="A960" t="s">
        <v>1460</v>
      </c>
      <c r="B960" t="s">
        <v>1461</v>
      </c>
      <c r="C960">
        <v>51.65</v>
      </c>
      <c r="D960" t="s">
        <v>3106</v>
      </c>
      <c r="E960" t="s">
        <v>1417</v>
      </c>
      <c r="F960">
        <v>75</v>
      </c>
      <c r="G960" t="b">
        <v>1</v>
      </c>
      <c r="H960">
        <v>1</v>
      </c>
    </row>
    <row r="961" spans="1:8" x14ac:dyDescent="0.25">
      <c r="A961" t="s">
        <v>1589</v>
      </c>
      <c r="B961" t="s">
        <v>1590</v>
      </c>
      <c r="C961">
        <v>64.849999999999994</v>
      </c>
      <c r="D961" t="s">
        <v>3106</v>
      </c>
      <c r="E961" t="s">
        <v>1417</v>
      </c>
      <c r="F961">
        <v>75</v>
      </c>
      <c r="G961" t="b">
        <v>1</v>
      </c>
      <c r="H961">
        <v>1</v>
      </c>
    </row>
    <row r="962" spans="1:8" x14ac:dyDescent="0.25">
      <c r="A962" t="s">
        <v>1592</v>
      </c>
      <c r="B962" t="s">
        <v>1593</v>
      </c>
      <c r="C962">
        <v>74.650000000000006</v>
      </c>
      <c r="D962" t="s">
        <v>3106</v>
      </c>
      <c r="E962" t="s">
        <v>1417</v>
      </c>
      <c r="F962">
        <v>75</v>
      </c>
      <c r="G962" t="b">
        <v>1</v>
      </c>
      <c r="H962">
        <v>1</v>
      </c>
    </row>
    <row r="963" spans="1:8" x14ac:dyDescent="0.25">
      <c r="A963" t="s">
        <v>1594</v>
      </c>
      <c r="B963" t="s">
        <v>1595</v>
      </c>
      <c r="C963">
        <v>80.900000000000006</v>
      </c>
      <c r="D963" t="s">
        <v>3106</v>
      </c>
      <c r="E963" t="s">
        <v>1417</v>
      </c>
      <c r="F963">
        <v>75</v>
      </c>
      <c r="G963" t="b">
        <v>1</v>
      </c>
      <c r="H963">
        <v>1</v>
      </c>
    </row>
    <row r="964" spans="1:8" x14ac:dyDescent="0.25">
      <c r="A964" t="s">
        <v>1596</v>
      </c>
      <c r="B964" t="s">
        <v>1597</v>
      </c>
      <c r="C964">
        <v>125.75</v>
      </c>
      <c r="D964" t="s">
        <v>3106</v>
      </c>
      <c r="E964" t="s">
        <v>1417</v>
      </c>
      <c r="F964">
        <v>75</v>
      </c>
      <c r="G964" t="b">
        <v>1</v>
      </c>
      <c r="H964">
        <v>1</v>
      </c>
    </row>
    <row r="965" spans="1:8" x14ac:dyDescent="0.25">
      <c r="A965" t="s">
        <v>1581</v>
      </c>
      <c r="B965" t="s">
        <v>1582</v>
      </c>
      <c r="C965">
        <v>28.95</v>
      </c>
      <c r="D965" t="s">
        <v>3106</v>
      </c>
      <c r="E965" t="s">
        <v>1417</v>
      </c>
      <c r="F965">
        <v>75</v>
      </c>
      <c r="G965" t="b">
        <v>1</v>
      </c>
      <c r="H965">
        <v>1</v>
      </c>
    </row>
    <row r="966" spans="1:8" x14ac:dyDescent="0.25">
      <c r="A966" t="s">
        <v>1599</v>
      </c>
      <c r="B966" t="s">
        <v>1419</v>
      </c>
      <c r="C966">
        <v>229.95</v>
      </c>
      <c r="D966" t="s">
        <v>3106</v>
      </c>
      <c r="E966" t="s">
        <v>1417</v>
      </c>
      <c r="F966">
        <v>75</v>
      </c>
      <c r="G966" t="b">
        <v>1</v>
      </c>
      <c r="H966">
        <v>1</v>
      </c>
    </row>
    <row r="967" spans="1:8" x14ac:dyDescent="0.25">
      <c r="A967" t="s">
        <v>1418</v>
      </c>
      <c r="B967" t="s">
        <v>1419</v>
      </c>
      <c r="C967">
        <v>229.95</v>
      </c>
      <c r="D967" t="s">
        <v>3106</v>
      </c>
      <c r="E967" t="s">
        <v>1417</v>
      </c>
      <c r="F967">
        <v>75</v>
      </c>
      <c r="G967" t="b">
        <v>1</v>
      </c>
      <c r="H967">
        <v>1</v>
      </c>
    </row>
    <row r="968" spans="1:8" x14ac:dyDescent="0.25">
      <c r="A968" t="s">
        <v>1536</v>
      </c>
      <c r="B968" t="s">
        <v>1537</v>
      </c>
      <c r="C968">
        <v>136.65</v>
      </c>
      <c r="D968" t="s">
        <v>3106</v>
      </c>
      <c r="E968" t="s">
        <v>1417</v>
      </c>
      <c r="F968">
        <v>75</v>
      </c>
      <c r="G968" t="b">
        <v>1</v>
      </c>
      <c r="H968">
        <v>1</v>
      </c>
    </row>
    <row r="969" spans="1:8" x14ac:dyDescent="0.25">
      <c r="A969" t="s">
        <v>1539</v>
      </c>
      <c r="B969" t="s">
        <v>1540</v>
      </c>
      <c r="C969">
        <v>33.049999999999997</v>
      </c>
      <c r="D969" t="s">
        <v>3106</v>
      </c>
      <c r="E969" t="s">
        <v>1417</v>
      </c>
      <c r="F969">
        <v>75</v>
      </c>
      <c r="G969" t="b">
        <v>1</v>
      </c>
      <c r="H969">
        <v>1</v>
      </c>
    </row>
    <row r="970" spans="1:8" x14ac:dyDescent="0.25">
      <c r="A970" t="s">
        <v>1406</v>
      </c>
      <c r="B970" t="s">
        <v>1407</v>
      </c>
      <c r="C970">
        <v>33.049999999999997</v>
      </c>
      <c r="D970" t="s">
        <v>3106</v>
      </c>
      <c r="E970" t="s">
        <v>1417</v>
      </c>
      <c r="F970">
        <v>75</v>
      </c>
      <c r="G970" t="b">
        <v>1</v>
      </c>
      <c r="H970">
        <v>1</v>
      </c>
    </row>
    <row r="971" spans="1:8" x14ac:dyDescent="0.25">
      <c r="A971" t="s">
        <v>1489</v>
      </c>
      <c r="B971" t="s">
        <v>1490</v>
      </c>
      <c r="C971">
        <v>74</v>
      </c>
      <c r="D971" t="s">
        <v>3106</v>
      </c>
      <c r="E971" t="s">
        <v>1417</v>
      </c>
      <c r="F971">
        <v>75</v>
      </c>
      <c r="G971" t="b">
        <v>1</v>
      </c>
      <c r="H971">
        <v>1</v>
      </c>
    </row>
    <row r="972" spans="1:8" x14ac:dyDescent="0.25">
      <c r="A972" t="s">
        <v>1534</v>
      </c>
      <c r="B972" t="s">
        <v>1535</v>
      </c>
      <c r="C972">
        <v>68.95</v>
      </c>
      <c r="D972" t="s">
        <v>3106</v>
      </c>
      <c r="E972" t="s">
        <v>1417</v>
      </c>
      <c r="F972">
        <v>75</v>
      </c>
      <c r="G972" t="b">
        <v>1</v>
      </c>
      <c r="H972">
        <v>1</v>
      </c>
    </row>
    <row r="973" spans="1:8" x14ac:dyDescent="0.25">
      <c r="A973" t="s">
        <v>1462</v>
      </c>
      <c r="B973" t="s">
        <v>1463</v>
      </c>
      <c r="C973">
        <v>28.95</v>
      </c>
      <c r="D973" t="s">
        <v>3106</v>
      </c>
      <c r="E973" t="s">
        <v>1417</v>
      </c>
      <c r="F973">
        <v>75</v>
      </c>
      <c r="G973" t="b">
        <v>1</v>
      </c>
      <c r="H973">
        <v>1</v>
      </c>
    </row>
    <row r="974" spans="1:8" x14ac:dyDescent="0.25">
      <c r="A974" t="s">
        <v>1609</v>
      </c>
      <c r="B974" t="s">
        <v>1610</v>
      </c>
      <c r="C974">
        <v>22.4</v>
      </c>
      <c r="D974" t="s">
        <v>3106</v>
      </c>
      <c r="E974" t="s">
        <v>1417</v>
      </c>
      <c r="F974">
        <v>75</v>
      </c>
      <c r="G974" t="b">
        <v>1</v>
      </c>
      <c r="H974">
        <v>1</v>
      </c>
    </row>
    <row r="975" spans="1:8" x14ac:dyDescent="0.25">
      <c r="A975" t="s">
        <v>1611</v>
      </c>
      <c r="B975" t="s">
        <v>1612</v>
      </c>
      <c r="C975">
        <v>30.7</v>
      </c>
      <c r="D975" t="s">
        <v>3106</v>
      </c>
      <c r="E975" t="s">
        <v>1417</v>
      </c>
      <c r="F975">
        <v>75</v>
      </c>
      <c r="G975" t="b">
        <v>1</v>
      </c>
      <c r="H975">
        <v>1</v>
      </c>
    </row>
    <row r="976" spans="1:8" x14ac:dyDescent="0.25">
      <c r="A976" t="s">
        <v>1614</v>
      </c>
      <c r="B976" t="s">
        <v>1615</v>
      </c>
      <c r="C976">
        <v>25.35</v>
      </c>
      <c r="D976" t="s">
        <v>3106</v>
      </c>
      <c r="E976" t="s">
        <v>1417</v>
      </c>
      <c r="F976">
        <v>75</v>
      </c>
      <c r="G976" t="b">
        <v>1</v>
      </c>
      <c r="H976">
        <v>1</v>
      </c>
    </row>
    <row r="977" spans="1:8" x14ac:dyDescent="0.25">
      <c r="A977" t="s">
        <v>1631</v>
      </c>
      <c r="B977" t="s">
        <v>1632</v>
      </c>
      <c r="C977">
        <v>30.7</v>
      </c>
      <c r="D977" t="s">
        <v>3106</v>
      </c>
      <c r="E977" t="s">
        <v>1417</v>
      </c>
      <c r="F977">
        <v>75</v>
      </c>
      <c r="G977" t="b">
        <v>1</v>
      </c>
      <c r="H977">
        <v>1</v>
      </c>
    </row>
    <row r="978" spans="1:8" x14ac:dyDescent="0.25">
      <c r="A978" t="s">
        <v>1616</v>
      </c>
      <c r="B978" t="s">
        <v>1617</v>
      </c>
      <c r="C978">
        <v>43.95</v>
      </c>
      <c r="D978" t="s">
        <v>3106</v>
      </c>
      <c r="E978" t="s">
        <v>1417</v>
      </c>
      <c r="F978">
        <v>75</v>
      </c>
      <c r="G978" t="b">
        <v>1</v>
      </c>
      <c r="H978">
        <v>1</v>
      </c>
    </row>
    <row r="979" spans="1:8" x14ac:dyDescent="0.25">
      <c r="A979" t="s">
        <v>1633</v>
      </c>
      <c r="B979" t="s">
        <v>1634</v>
      </c>
      <c r="C979">
        <v>25.35</v>
      </c>
      <c r="D979" t="s">
        <v>3106</v>
      </c>
      <c r="E979" t="s">
        <v>1417</v>
      </c>
      <c r="F979">
        <v>75</v>
      </c>
      <c r="G979" t="b">
        <v>1</v>
      </c>
      <c r="H979">
        <v>1</v>
      </c>
    </row>
    <row r="980" spans="1:8" x14ac:dyDescent="0.25">
      <c r="A980" t="s">
        <v>1525</v>
      </c>
      <c r="B980" t="s">
        <v>1526</v>
      </c>
      <c r="C980">
        <v>111.45</v>
      </c>
      <c r="D980" t="s">
        <v>3106</v>
      </c>
      <c r="E980" t="s">
        <v>1417</v>
      </c>
      <c r="F980">
        <v>75</v>
      </c>
      <c r="G980" t="b">
        <v>1</v>
      </c>
      <c r="H980">
        <v>1</v>
      </c>
    </row>
    <row r="981" spans="1:8" x14ac:dyDescent="0.25">
      <c r="A981" t="s">
        <v>1523</v>
      </c>
      <c r="B981" t="s">
        <v>1524</v>
      </c>
      <c r="C981">
        <v>106.15</v>
      </c>
      <c r="D981" t="s">
        <v>3106</v>
      </c>
      <c r="E981" t="s">
        <v>1417</v>
      </c>
      <c r="F981">
        <v>75</v>
      </c>
      <c r="G981" t="b">
        <v>1</v>
      </c>
      <c r="H981">
        <v>1</v>
      </c>
    </row>
    <row r="982" spans="1:8" x14ac:dyDescent="0.25">
      <c r="A982" t="s">
        <v>1587</v>
      </c>
      <c r="B982" t="s">
        <v>1588</v>
      </c>
      <c r="C982">
        <v>73.45</v>
      </c>
      <c r="D982" t="s">
        <v>3106</v>
      </c>
      <c r="E982" t="s">
        <v>1417</v>
      </c>
      <c r="F982">
        <v>75</v>
      </c>
      <c r="G982" t="b">
        <v>1</v>
      </c>
      <c r="H982">
        <v>1</v>
      </c>
    </row>
    <row r="983" spans="1:8" x14ac:dyDescent="0.25">
      <c r="A983" t="s">
        <v>1420</v>
      </c>
      <c r="B983" t="s">
        <v>1421</v>
      </c>
      <c r="C983">
        <v>87.55</v>
      </c>
      <c r="D983" t="s">
        <v>3106</v>
      </c>
      <c r="E983" t="s">
        <v>1417</v>
      </c>
      <c r="F983">
        <v>75</v>
      </c>
      <c r="G983" t="b">
        <v>1</v>
      </c>
      <c r="H983">
        <v>1</v>
      </c>
    </row>
    <row r="984" spans="1:8" x14ac:dyDescent="0.25">
      <c r="A984" t="s">
        <v>1577</v>
      </c>
      <c r="B984" t="s">
        <v>1578</v>
      </c>
      <c r="C984">
        <v>41</v>
      </c>
      <c r="D984" t="s">
        <v>3106</v>
      </c>
      <c r="E984" t="s">
        <v>1417</v>
      </c>
      <c r="F984">
        <v>75</v>
      </c>
      <c r="G984" t="b">
        <v>1</v>
      </c>
      <c r="H984">
        <v>1</v>
      </c>
    </row>
    <row r="985" spans="1:8" x14ac:dyDescent="0.25">
      <c r="A985" t="s">
        <v>1527</v>
      </c>
      <c r="B985" t="s">
        <v>1528</v>
      </c>
      <c r="C985">
        <v>32.75</v>
      </c>
      <c r="D985" t="s">
        <v>3106</v>
      </c>
      <c r="E985" t="s">
        <v>1417</v>
      </c>
      <c r="F985">
        <v>75</v>
      </c>
      <c r="G985" t="b">
        <v>1</v>
      </c>
      <c r="H985">
        <v>1</v>
      </c>
    </row>
    <row r="986" spans="1:8" x14ac:dyDescent="0.25">
      <c r="A986" t="s">
        <v>1565</v>
      </c>
      <c r="B986" t="s">
        <v>1566</v>
      </c>
      <c r="C986">
        <v>82</v>
      </c>
      <c r="D986" t="s">
        <v>3106</v>
      </c>
      <c r="E986" t="s">
        <v>1417</v>
      </c>
      <c r="F986">
        <v>75</v>
      </c>
      <c r="G986" t="b">
        <v>1</v>
      </c>
      <c r="H986">
        <v>1</v>
      </c>
    </row>
    <row r="987" spans="1:8" x14ac:dyDescent="0.25">
      <c r="A987" t="s">
        <v>1568</v>
      </c>
      <c r="B987" t="s">
        <v>1569</v>
      </c>
      <c r="C987">
        <v>73.7</v>
      </c>
      <c r="D987" t="s">
        <v>3106</v>
      </c>
      <c r="E987" t="s">
        <v>1417</v>
      </c>
      <c r="F987">
        <v>75</v>
      </c>
      <c r="G987" t="b">
        <v>1</v>
      </c>
      <c r="H987">
        <v>1</v>
      </c>
    </row>
    <row r="988" spans="1:8" x14ac:dyDescent="0.25">
      <c r="A988" t="s">
        <v>1640</v>
      </c>
      <c r="B988" t="s">
        <v>1641</v>
      </c>
      <c r="C988">
        <v>53.05</v>
      </c>
      <c r="D988" t="s">
        <v>3106</v>
      </c>
      <c r="E988" t="s">
        <v>1417</v>
      </c>
      <c r="F988">
        <v>75</v>
      </c>
      <c r="G988" t="b">
        <v>1</v>
      </c>
      <c r="H988">
        <v>1</v>
      </c>
    </row>
    <row r="989" spans="1:8" x14ac:dyDescent="0.25">
      <c r="A989" t="s">
        <v>1422</v>
      </c>
      <c r="B989" t="s">
        <v>1423</v>
      </c>
      <c r="C989">
        <v>65</v>
      </c>
      <c r="D989" t="s">
        <v>3106</v>
      </c>
      <c r="E989" t="s">
        <v>1417</v>
      </c>
      <c r="F989">
        <v>75</v>
      </c>
      <c r="G989" t="b">
        <v>1</v>
      </c>
      <c r="H989">
        <v>1</v>
      </c>
    </row>
    <row r="990" spans="1:8" x14ac:dyDescent="0.25">
      <c r="A990" t="s">
        <v>1424</v>
      </c>
      <c r="B990" t="s">
        <v>1425</v>
      </c>
      <c r="C990">
        <v>133.9</v>
      </c>
      <c r="D990" t="s">
        <v>3106</v>
      </c>
      <c r="E990" t="s">
        <v>1417</v>
      </c>
      <c r="F990">
        <v>75</v>
      </c>
      <c r="G990" t="b">
        <v>1</v>
      </c>
      <c r="H990">
        <v>1</v>
      </c>
    </row>
    <row r="991" spans="1:8" x14ac:dyDescent="0.25">
      <c r="A991" t="s">
        <v>1624</v>
      </c>
      <c r="B991" t="s">
        <v>1625</v>
      </c>
      <c r="C991">
        <v>72.849999999999994</v>
      </c>
      <c r="D991" t="s">
        <v>3106</v>
      </c>
      <c r="E991" t="s">
        <v>1417</v>
      </c>
      <c r="F991">
        <v>75</v>
      </c>
      <c r="G991" t="b">
        <v>1</v>
      </c>
      <c r="H991">
        <v>1</v>
      </c>
    </row>
    <row r="992" spans="1:8" x14ac:dyDescent="0.25">
      <c r="A992" t="s">
        <v>1464</v>
      </c>
      <c r="B992" t="s">
        <v>1465</v>
      </c>
      <c r="C992">
        <v>74.95</v>
      </c>
      <c r="D992" t="s">
        <v>3106</v>
      </c>
      <c r="E992" t="s">
        <v>1417</v>
      </c>
      <c r="F992">
        <v>75</v>
      </c>
      <c r="G992" t="b">
        <v>1</v>
      </c>
      <c r="H992">
        <v>1</v>
      </c>
    </row>
    <row r="993" spans="1:8" x14ac:dyDescent="0.25">
      <c r="A993" t="s">
        <v>1627</v>
      </c>
      <c r="B993" t="s">
        <v>1628</v>
      </c>
      <c r="C993">
        <v>69.599999999999994</v>
      </c>
      <c r="D993" t="s">
        <v>3106</v>
      </c>
      <c r="E993" t="s">
        <v>1417</v>
      </c>
      <c r="F993">
        <v>75</v>
      </c>
      <c r="G993" t="b">
        <v>1</v>
      </c>
      <c r="H993">
        <v>1</v>
      </c>
    </row>
    <row r="994" spans="1:8" x14ac:dyDescent="0.25">
      <c r="A994" t="s">
        <v>1473</v>
      </c>
      <c r="B994" t="s">
        <v>1474</v>
      </c>
      <c r="C994">
        <v>27.75</v>
      </c>
      <c r="D994" t="s">
        <v>3106</v>
      </c>
      <c r="E994" t="s">
        <v>1417</v>
      </c>
      <c r="F994">
        <v>75</v>
      </c>
      <c r="G994" t="b">
        <v>1</v>
      </c>
      <c r="H994">
        <v>1</v>
      </c>
    </row>
    <row r="995" spans="1:8" x14ac:dyDescent="0.25">
      <c r="A995" t="s">
        <v>1408</v>
      </c>
      <c r="B995" t="s">
        <v>1409</v>
      </c>
      <c r="C995">
        <v>39.549999999999997</v>
      </c>
      <c r="D995" t="s">
        <v>3106</v>
      </c>
      <c r="E995" t="s">
        <v>1417</v>
      </c>
      <c r="F995">
        <v>75</v>
      </c>
      <c r="G995" t="b">
        <v>1</v>
      </c>
      <c r="H995">
        <v>1</v>
      </c>
    </row>
    <row r="996" spans="1:8" x14ac:dyDescent="0.25">
      <c r="A996" t="s">
        <v>1635</v>
      </c>
      <c r="B996" t="s">
        <v>1636</v>
      </c>
      <c r="C996">
        <v>113.5</v>
      </c>
      <c r="D996" t="s">
        <v>3106</v>
      </c>
      <c r="E996" t="s">
        <v>1417</v>
      </c>
      <c r="F996">
        <v>75</v>
      </c>
      <c r="G996" t="b">
        <v>1</v>
      </c>
      <c r="H996">
        <v>1</v>
      </c>
    </row>
    <row r="997" spans="1:8" x14ac:dyDescent="0.25">
      <c r="A997" t="s">
        <v>1638</v>
      </c>
      <c r="B997" t="s">
        <v>1639</v>
      </c>
      <c r="C997">
        <v>151.55000000000001</v>
      </c>
      <c r="D997" t="s">
        <v>3106</v>
      </c>
      <c r="E997" t="s">
        <v>1417</v>
      </c>
      <c r="F997">
        <v>75</v>
      </c>
      <c r="G997" t="b">
        <v>1</v>
      </c>
      <c r="H997">
        <v>1</v>
      </c>
    </row>
    <row r="998" spans="1:8" x14ac:dyDescent="0.25">
      <c r="A998" t="s">
        <v>1542</v>
      </c>
      <c r="B998" t="s">
        <v>1543</v>
      </c>
      <c r="C998">
        <v>176.6</v>
      </c>
      <c r="D998" t="s">
        <v>3106</v>
      </c>
      <c r="E998" t="s">
        <v>1417</v>
      </c>
      <c r="F998">
        <v>75</v>
      </c>
      <c r="G998" t="b">
        <v>1</v>
      </c>
      <c r="H998">
        <v>1</v>
      </c>
    </row>
    <row r="999" spans="1:8" x14ac:dyDescent="0.25">
      <c r="A999" t="s">
        <v>1545</v>
      </c>
      <c r="B999" t="s">
        <v>1546</v>
      </c>
      <c r="C999">
        <v>189.25</v>
      </c>
      <c r="D999" t="s">
        <v>3106</v>
      </c>
      <c r="E999" t="s">
        <v>1417</v>
      </c>
      <c r="F999">
        <v>75</v>
      </c>
      <c r="G999" t="b">
        <v>1</v>
      </c>
      <c r="H999">
        <v>1</v>
      </c>
    </row>
    <row r="1000" spans="1:8" x14ac:dyDescent="0.25">
      <c r="A1000" t="s">
        <v>1410</v>
      </c>
      <c r="B1000" t="s">
        <v>1411</v>
      </c>
      <c r="C1000">
        <v>224.05</v>
      </c>
      <c r="D1000" t="s">
        <v>3106</v>
      </c>
      <c r="E1000" t="s">
        <v>1417</v>
      </c>
      <c r="F1000">
        <v>75</v>
      </c>
      <c r="G1000" t="b">
        <v>1</v>
      </c>
      <c r="H1000">
        <v>1</v>
      </c>
    </row>
    <row r="1001" spans="1:8" x14ac:dyDescent="0.25">
      <c r="A1001" t="s">
        <v>1579</v>
      </c>
      <c r="B1001" t="s">
        <v>1580</v>
      </c>
      <c r="C1001">
        <v>113.3</v>
      </c>
      <c r="D1001" t="s">
        <v>3106</v>
      </c>
      <c r="E1001" t="s">
        <v>1417</v>
      </c>
      <c r="F1001">
        <v>75</v>
      </c>
      <c r="G1001" t="b">
        <v>1</v>
      </c>
      <c r="H1001">
        <v>1</v>
      </c>
    </row>
    <row r="1002" spans="1:8" x14ac:dyDescent="0.25">
      <c r="A1002" t="s">
        <v>1426</v>
      </c>
      <c r="B1002" t="s">
        <v>1427</v>
      </c>
      <c r="C1002">
        <v>360</v>
      </c>
      <c r="D1002" t="s">
        <v>3106</v>
      </c>
      <c r="E1002" t="s">
        <v>1417</v>
      </c>
      <c r="F1002">
        <v>75</v>
      </c>
      <c r="G1002" t="b">
        <v>0</v>
      </c>
      <c r="H1002">
        <v>1</v>
      </c>
    </row>
    <row r="1003" spans="1:8" x14ac:dyDescent="0.25">
      <c r="A1003" t="s">
        <v>1426</v>
      </c>
      <c r="B1003" t="s">
        <v>1428</v>
      </c>
      <c r="C1003">
        <v>500</v>
      </c>
      <c r="D1003" t="s">
        <v>3106</v>
      </c>
      <c r="E1003" t="s">
        <v>1417</v>
      </c>
      <c r="F1003">
        <v>75</v>
      </c>
      <c r="G1003" t="b">
        <v>0</v>
      </c>
      <c r="H1003">
        <v>1</v>
      </c>
    </row>
    <row r="1004" spans="1:8" x14ac:dyDescent="0.25">
      <c r="A1004" t="s">
        <v>1426</v>
      </c>
      <c r="B1004" t="s">
        <v>1429</v>
      </c>
      <c r="C1004">
        <v>500</v>
      </c>
      <c r="D1004" t="s">
        <v>3106</v>
      </c>
      <c r="E1004" t="s">
        <v>1417</v>
      </c>
      <c r="F1004">
        <v>75</v>
      </c>
      <c r="G1004" t="b">
        <v>0</v>
      </c>
      <c r="H1004">
        <v>1</v>
      </c>
    </row>
    <row r="1005" spans="1:8" x14ac:dyDescent="0.25">
      <c r="A1005" t="s">
        <v>1426</v>
      </c>
      <c r="B1005" t="s">
        <v>1430</v>
      </c>
      <c r="C1005">
        <v>500</v>
      </c>
      <c r="D1005" t="s">
        <v>3106</v>
      </c>
      <c r="E1005" t="s">
        <v>1417</v>
      </c>
      <c r="F1005">
        <v>75</v>
      </c>
      <c r="G1005" t="b">
        <v>0</v>
      </c>
      <c r="H1005">
        <v>1</v>
      </c>
    </row>
    <row r="1006" spans="1:8" x14ac:dyDescent="0.25">
      <c r="A1006" t="s">
        <v>1426</v>
      </c>
      <c r="B1006" t="s">
        <v>1431</v>
      </c>
      <c r="C1006">
        <v>500</v>
      </c>
      <c r="D1006" t="s">
        <v>3106</v>
      </c>
      <c r="E1006" t="s">
        <v>1417</v>
      </c>
      <c r="F1006">
        <v>75</v>
      </c>
      <c r="G1006" t="b">
        <v>0</v>
      </c>
      <c r="H1006">
        <v>1</v>
      </c>
    </row>
    <row r="1007" spans="1:8" x14ac:dyDescent="0.25">
      <c r="A1007" t="s">
        <v>1426</v>
      </c>
      <c r="B1007" t="s">
        <v>1432</v>
      </c>
      <c r="C1007">
        <v>500</v>
      </c>
      <c r="D1007" t="s">
        <v>3106</v>
      </c>
      <c r="E1007" t="s">
        <v>1417</v>
      </c>
      <c r="F1007">
        <v>75</v>
      </c>
      <c r="G1007" t="b">
        <v>0</v>
      </c>
      <c r="H1007">
        <v>1</v>
      </c>
    </row>
    <row r="1008" spans="1:8" x14ac:dyDescent="0.25">
      <c r="A1008" t="s">
        <v>1426</v>
      </c>
      <c r="B1008" t="s">
        <v>1433</v>
      </c>
      <c r="C1008">
        <v>500</v>
      </c>
      <c r="D1008" t="s">
        <v>3106</v>
      </c>
      <c r="E1008" t="s">
        <v>1417</v>
      </c>
      <c r="F1008">
        <v>75</v>
      </c>
      <c r="G1008" t="b">
        <v>0</v>
      </c>
      <c r="H1008">
        <v>1</v>
      </c>
    </row>
    <row r="1009" spans="1:8" x14ac:dyDescent="0.25">
      <c r="A1009" t="s">
        <v>1426</v>
      </c>
      <c r="B1009" t="s">
        <v>1434</v>
      </c>
      <c r="C1009">
        <v>500</v>
      </c>
      <c r="D1009" t="s">
        <v>3106</v>
      </c>
      <c r="E1009" t="s">
        <v>1417</v>
      </c>
      <c r="F1009">
        <v>75</v>
      </c>
      <c r="G1009" t="b">
        <v>0</v>
      </c>
      <c r="H1009">
        <v>1</v>
      </c>
    </row>
    <row r="1010" spans="1:8" x14ac:dyDescent="0.25">
      <c r="A1010" t="s">
        <v>1426</v>
      </c>
      <c r="B1010" t="s">
        <v>1435</v>
      </c>
      <c r="C1010">
        <v>500</v>
      </c>
      <c r="D1010" t="s">
        <v>3106</v>
      </c>
      <c r="E1010" t="s">
        <v>1417</v>
      </c>
      <c r="F1010">
        <v>75</v>
      </c>
      <c r="G1010" t="b">
        <v>0</v>
      </c>
      <c r="H1010">
        <v>1</v>
      </c>
    </row>
    <row r="1011" spans="1:8" x14ac:dyDescent="0.25">
      <c r="A1011" t="s">
        <v>1426</v>
      </c>
      <c r="B1011" t="s">
        <v>1436</v>
      </c>
      <c r="C1011">
        <v>500</v>
      </c>
      <c r="D1011" t="s">
        <v>3106</v>
      </c>
      <c r="E1011" t="s">
        <v>1417</v>
      </c>
      <c r="F1011">
        <v>75</v>
      </c>
      <c r="G1011" t="b">
        <v>0</v>
      </c>
      <c r="H1011">
        <v>1</v>
      </c>
    </row>
    <row r="1012" spans="1:8" x14ac:dyDescent="0.25">
      <c r="A1012" t="s">
        <v>1426</v>
      </c>
      <c r="B1012" t="s">
        <v>1437</v>
      </c>
      <c r="C1012">
        <v>500</v>
      </c>
      <c r="D1012" t="s">
        <v>3106</v>
      </c>
      <c r="E1012" t="s">
        <v>1417</v>
      </c>
      <c r="F1012">
        <v>75</v>
      </c>
      <c r="G1012" t="b">
        <v>0</v>
      </c>
      <c r="H1012">
        <v>1</v>
      </c>
    </row>
    <row r="1013" spans="1:8" x14ac:dyDescent="0.25">
      <c r="A1013" t="s">
        <v>1426</v>
      </c>
      <c r="B1013" t="s">
        <v>1438</v>
      </c>
      <c r="C1013">
        <v>500</v>
      </c>
      <c r="D1013" t="s">
        <v>3106</v>
      </c>
      <c r="E1013" t="s">
        <v>1417</v>
      </c>
      <c r="F1013">
        <v>75</v>
      </c>
      <c r="G1013" t="b">
        <v>0</v>
      </c>
      <c r="H1013">
        <v>1</v>
      </c>
    </row>
    <row r="1014" spans="1:8" x14ac:dyDescent="0.25">
      <c r="A1014" t="s">
        <v>1426</v>
      </c>
      <c r="B1014" t="s">
        <v>1439</v>
      </c>
      <c r="C1014">
        <v>500</v>
      </c>
      <c r="D1014" t="s">
        <v>3106</v>
      </c>
      <c r="E1014" t="s">
        <v>1417</v>
      </c>
      <c r="F1014">
        <v>75</v>
      </c>
      <c r="G1014" t="b">
        <v>0</v>
      </c>
      <c r="H1014">
        <v>1</v>
      </c>
    </row>
    <row r="1015" spans="1:8" x14ac:dyDescent="0.25">
      <c r="A1015" t="s">
        <v>1426</v>
      </c>
      <c r="B1015" t="s">
        <v>1440</v>
      </c>
      <c r="C1015">
        <v>500</v>
      </c>
      <c r="D1015" t="s">
        <v>3106</v>
      </c>
      <c r="E1015" t="s">
        <v>1417</v>
      </c>
      <c r="F1015">
        <v>75</v>
      </c>
      <c r="G1015" t="b">
        <v>0</v>
      </c>
      <c r="H1015">
        <v>1</v>
      </c>
    </row>
    <row r="1016" spans="1:8" x14ac:dyDescent="0.25">
      <c r="A1016" t="s">
        <v>1426</v>
      </c>
      <c r="B1016" t="s">
        <v>1441</v>
      </c>
      <c r="C1016">
        <v>500</v>
      </c>
      <c r="D1016" t="s">
        <v>3106</v>
      </c>
      <c r="E1016" t="s">
        <v>1417</v>
      </c>
      <c r="F1016">
        <v>75</v>
      </c>
      <c r="G1016" t="b">
        <v>0</v>
      </c>
      <c r="H1016">
        <v>1</v>
      </c>
    </row>
    <row r="1017" spans="1:8" x14ac:dyDescent="0.25">
      <c r="A1017" t="s">
        <v>1426</v>
      </c>
      <c r="B1017" t="s">
        <v>1442</v>
      </c>
      <c r="C1017">
        <v>500</v>
      </c>
      <c r="D1017" t="s">
        <v>3106</v>
      </c>
      <c r="E1017" t="s">
        <v>1417</v>
      </c>
      <c r="F1017">
        <v>75</v>
      </c>
      <c r="G1017" t="b">
        <v>0</v>
      </c>
      <c r="H1017">
        <v>1</v>
      </c>
    </row>
    <row r="1018" spans="1:8" x14ac:dyDescent="0.25">
      <c r="A1018" t="s">
        <v>1426</v>
      </c>
      <c r="B1018" t="s">
        <v>1443</v>
      </c>
      <c r="C1018">
        <v>500</v>
      </c>
      <c r="D1018" t="s">
        <v>3106</v>
      </c>
      <c r="E1018" t="s">
        <v>1417</v>
      </c>
      <c r="F1018">
        <v>75</v>
      </c>
      <c r="G1018" t="b">
        <v>0</v>
      </c>
      <c r="H1018">
        <v>1</v>
      </c>
    </row>
    <row r="1019" spans="1:8" x14ac:dyDescent="0.25">
      <c r="A1019" t="s">
        <v>1426</v>
      </c>
      <c r="B1019" t="s">
        <v>1444</v>
      </c>
      <c r="C1019">
        <v>500</v>
      </c>
      <c r="D1019" t="s">
        <v>3106</v>
      </c>
      <c r="E1019" t="s">
        <v>1417</v>
      </c>
      <c r="F1019">
        <v>75</v>
      </c>
      <c r="G1019" t="b">
        <v>0</v>
      </c>
      <c r="H1019">
        <v>1</v>
      </c>
    </row>
    <row r="1020" spans="1:8" x14ac:dyDescent="0.25">
      <c r="A1020" t="s">
        <v>1426</v>
      </c>
      <c r="B1020" t="s">
        <v>1445</v>
      </c>
      <c r="C1020">
        <v>500</v>
      </c>
      <c r="D1020" t="s">
        <v>3106</v>
      </c>
      <c r="E1020" t="s">
        <v>1417</v>
      </c>
      <c r="F1020">
        <v>75</v>
      </c>
      <c r="G1020" t="b">
        <v>0</v>
      </c>
      <c r="H1020">
        <v>1</v>
      </c>
    </row>
    <row r="1021" spans="1:8" x14ac:dyDescent="0.25">
      <c r="A1021" t="s">
        <v>1426</v>
      </c>
      <c r="B1021" t="s">
        <v>1446</v>
      </c>
      <c r="C1021">
        <v>500</v>
      </c>
      <c r="D1021" t="s">
        <v>3106</v>
      </c>
      <c r="E1021" t="s">
        <v>1417</v>
      </c>
      <c r="F1021">
        <v>75</v>
      </c>
      <c r="G1021" t="b">
        <v>0</v>
      </c>
      <c r="H1021">
        <v>1</v>
      </c>
    </row>
    <row r="1022" spans="1:8" x14ac:dyDescent="0.25">
      <c r="A1022" t="s">
        <v>1426</v>
      </c>
      <c r="B1022" t="s">
        <v>1447</v>
      </c>
      <c r="C1022">
        <v>500</v>
      </c>
      <c r="D1022" t="s">
        <v>3106</v>
      </c>
      <c r="E1022" t="s">
        <v>1417</v>
      </c>
      <c r="F1022">
        <v>75</v>
      </c>
      <c r="G1022" t="b">
        <v>0</v>
      </c>
      <c r="H1022">
        <v>1</v>
      </c>
    </row>
    <row r="1023" spans="1:8" x14ac:dyDescent="0.25">
      <c r="A1023" t="s">
        <v>1426</v>
      </c>
      <c r="B1023" t="s">
        <v>1448</v>
      </c>
      <c r="C1023">
        <v>500</v>
      </c>
      <c r="D1023" t="s">
        <v>3106</v>
      </c>
      <c r="E1023" t="s">
        <v>1417</v>
      </c>
      <c r="F1023">
        <v>75</v>
      </c>
      <c r="G1023" t="b">
        <v>0</v>
      </c>
      <c r="H1023">
        <v>1</v>
      </c>
    </row>
    <row r="1024" spans="1:8" x14ac:dyDescent="0.25">
      <c r="A1024" t="s">
        <v>1426</v>
      </c>
      <c r="B1024" t="s">
        <v>1449</v>
      </c>
      <c r="C1024">
        <v>500</v>
      </c>
      <c r="D1024" t="s">
        <v>3106</v>
      </c>
      <c r="E1024" t="s">
        <v>1417</v>
      </c>
      <c r="F1024">
        <v>75</v>
      </c>
      <c r="G1024" t="b">
        <v>0</v>
      </c>
      <c r="H1024">
        <v>1</v>
      </c>
    </row>
    <row r="1025" spans="1:8" x14ac:dyDescent="0.25">
      <c r="A1025" t="s">
        <v>1426</v>
      </c>
      <c r="B1025" t="s">
        <v>1450</v>
      </c>
      <c r="C1025">
        <v>500</v>
      </c>
      <c r="D1025" t="s">
        <v>3106</v>
      </c>
      <c r="E1025" t="s">
        <v>1417</v>
      </c>
      <c r="F1025">
        <v>75</v>
      </c>
      <c r="G1025" t="b">
        <v>0</v>
      </c>
      <c r="H1025">
        <v>1</v>
      </c>
    </row>
    <row r="1026" spans="1:8" x14ac:dyDescent="0.25">
      <c r="A1026" t="s">
        <v>1426</v>
      </c>
      <c r="B1026" t="s">
        <v>1451</v>
      </c>
      <c r="C1026">
        <v>500</v>
      </c>
      <c r="D1026" t="s">
        <v>3106</v>
      </c>
      <c r="E1026" t="s">
        <v>1417</v>
      </c>
      <c r="F1026">
        <v>75</v>
      </c>
      <c r="G1026" t="b">
        <v>0</v>
      </c>
      <c r="H1026">
        <v>1</v>
      </c>
    </row>
    <row r="1027" spans="1:8" x14ac:dyDescent="0.25">
      <c r="A1027" t="s">
        <v>1426</v>
      </c>
      <c r="B1027" t="s">
        <v>1452</v>
      </c>
      <c r="C1027">
        <v>500</v>
      </c>
      <c r="D1027" t="s">
        <v>3106</v>
      </c>
      <c r="E1027" t="s">
        <v>1417</v>
      </c>
      <c r="F1027">
        <v>75</v>
      </c>
      <c r="G1027" t="b">
        <v>0</v>
      </c>
      <c r="H1027">
        <v>1</v>
      </c>
    </row>
    <row r="1028" spans="1:8" x14ac:dyDescent="0.25">
      <c r="A1028" t="s">
        <v>1426</v>
      </c>
      <c r="B1028" t="s">
        <v>1453</v>
      </c>
      <c r="C1028">
        <v>500</v>
      </c>
      <c r="D1028" t="s">
        <v>3106</v>
      </c>
      <c r="E1028" t="s">
        <v>1417</v>
      </c>
      <c r="F1028">
        <v>75</v>
      </c>
      <c r="G1028" t="b">
        <v>0</v>
      </c>
      <c r="H1028">
        <v>1</v>
      </c>
    </row>
    <row r="1029" spans="1:8" x14ac:dyDescent="0.25">
      <c r="A1029" t="s">
        <v>1426</v>
      </c>
      <c r="B1029" t="s">
        <v>1454</v>
      </c>
      <c r="C1029">
        <v>500</v>
      </c>
      <c r="D1029" t="s">
        <v>3106</v>
      </c>
      <c r="E1029" t="s">
        <v>1417</v>
      </c>
      <c r="F1029">
        <v>75</v>
      </c>
      <c r="G1029" t="b">
        <v>0</v>
      </c>
      <c r="H1029">
        <v>1</v>
      </c>
    </row>
    <row r="1030" spans="1:8" x14ac:dyDescent="0.25">
      <c r="A1030" t="s">
        <v>1426</v>
      </c>
      <c r="B1030" t="s">
        <v>1455</v>
      </c>
      <c r="C1030">
        <v>500</v>
      </c>
      <c r="D1030" t="s">
        <v>3106</v>
      </c>
      <c r="E1030" t="s">
        <v>1417</v>
      </c>
      <c r="F1030">
        <v>75</v>
      </c>
      <c r="G1030" t="b">
        <v>0</v>
      </c>
      <c r="H1030">
        <v>1</v>
      </c>
    </row>
    <row r="1031" spans="1:8" x14ac:dyDescent="0.25">
      <c r="A1031" t="s">
        <v>1426</v>
      </c>
      <c r="B1031" t="s">
        <v>1456</v>
      </c>
      <c r="C1031">
        <v>500</v>
      </c>
      <c r="D1031" t="s">
        <v>3106</v>
      </c>
      <c r="E1031" t="s">
        <v>1417</v>
      </c>
      <c r="F1031">
        <v>75</v>
      </c>
      <c r="G1031" t="b">
        <v>0</v>
      </c>
      <c r="H1031">
        <v>1</v>
      </c>
    </row>
    <row r="1032" spans="1:8" x14ac:dyDescent="0.25">
      <c r="A1032" t="s">
        <v>1687</v>
      </c>
      <c r="B1032" t="s">
        <v>1688</v>
      </c>
      <c r="C1032">
        <v>22.75</v>
      </c>
      <c r="D1032" t="s">
        <v>3120</v>
      </c>
      <c r="E1032" t="s">
        <v>1417</v>
      </c>
      <c r="F1032">
        <v>75</v>
      </c>
      <c r="G1032" t="b">
        <v>1</v>
      </c>
      <c r="H1032">
        <v>1</v>
      </c>
    </row>
    <row r="1033" spans="1:8" x14ac:dyDescent="0.25">
      <c r="A1033" t="s">
        <v>1684</v>
      </c>
      <c r="B1033" t="s">
        <v>1685</v>
      </c>
      <c r="C1033">
        <v>27.75</v>
      </c>
      <c r="D1033" t="s">
        <v>3120</v>
      </c>
      <c r="E1033" t="s">
        <v>1417</v>
      </c>
      <c r="F1033">
        <v>75</v>
      </c>
      <c r="G1033" t="b">
        <v>1</v>
      </c>
      <c r="H1033">
        <v>1</v>
      </c>
    </row>
    <row r="1034" spans="1:8" x14ac:dyDescent="0.25">
      <c r="A1034" t="s">
        <v>1690</v>
      </c>
      <c r="B1034" t="s">
        <v>1691</v>
      </c>
      <c r="C1034">
        <v>24</v>
      </c>
      <c r="D1034" t="s">
        <v>3120</v>
      </c>
      <c r="E1034" t="s">
        <v>1417</v>
      </c>
      <c r="F1034">
        <v>75</v>
      </c>
      <c r="G1034" t="b">
        <v>1</v>
      </c>
      <c r="H1034">
        <v>1</v>
      </c>
    </row>
    <row r="1035" spans="1:8" x14ac:dyDescent="0.25">
      <c r="A1035" t="s">
        <v>1693</v>
      </c>
      <c r="B1035" t="s">
        <v>1694</v>
      </c>
      <c r="C1035">
        <v>43.95</v>
      </c>
      <c r="D1035" t="s">
        <v>3120</v>
      </c>
      <c r="E1035" t="s">
        <v>1417</v>
      </c>
      <c r="F1035">
        <v>75</v>
      </c>
      <c r="G1035" t="b">
        <v>1</v>
      </c>
      <c r="H1035">
        <v>1</v>
      </c>
    </row>
    <row r="1036" spans="1:8" x14ac:dyDescent="0.25">
      <c r="A1036" t="s">
        <v>1696</v>
      </c>
      <c r="B1036" t="s">
        <v>1697</v>
      </c>
      <c r="C1036">
        <v>35.700000000000003</v>
      </c>
      <c r="D1036" t="s">
        <v>3120</v>
      </c>
      <c r="E1036" t="s">
        <v>1417</v>
      </c>
      <c r="F1036">
        <v>75</v>
      </c>
      <c r="G1036" t="b">
        <v>1</v>
      </c>
      <c r="H1036">
        <v>1</v>
      </c>
    </row>
    <row r="1037" spans="1:8" x14ac:dyDescent="0.25">
      <c r="A1037" t="s">
        <v>1658</v>
      </c>
      <c r="B1037" t="s">
        <v>1659</v>
      </c>
      <c r="C1037">
        <v>48.65</v>
      </c>
      <c r="D1037" t="s">
        <v>3120</v>
      </c>
      <c r="E1037" t="s">
        <v>1417</v>
      </c>
      <c r="F1037">
        <v>75</v>
      </c>
      <c r="G1037" t="b">
        <v>1</v>
      </c>
      <c r="H1037">
        <v>1</v>
      </c>
    </row>
    <row r="1038" spans="1:8" x14ac:dyDescent="0.25">
      <c r="A1038" t="s">
        <v>1699</v>
      </c>
      <c r="B1038" t="s">
        <v>1700</v>
      </c>
      <c r="C1038">
        <v>45.05</v>
      </c>
      <c r="D1038" t="s">
        <v>3120</v>
      </c>
      <c r="E1038" t="s">
        <v>1417</v>
      </c>
      <c r="F1038">
        <v>75</v>
      </c>
      <c r="G1038" t="b">
        <v>1</v>
      </c>
      <c r="H1038">
        <v>1</v>
      </c>
    </row>
    <row r="1039" spans="1:8" x14ac:dyDescent="0.25">
      <c r="A1039" t="s">
        <v>1662</v>
      </c>
      <c r="B1039" t="s">
        <v>1663</v>
      </c>
      <c r="C1039">
        <v>61.8</v>
      </c>
      <c r="D1039" t="s">
        <v>3120</v>
      </c>
      <c r="E1039" t="s">
        <v>1417</v>
      </c>
      <c r="F1039">
        <v>75</v>
      </c>
      <c r="G1039" t="b">
        <v>1</v>
      </c>
      <c r="H1039">
        <v>1</v>
      </c>
    </row>
    <row r="1040" spans="1:8" x14ac:dyDescent="0.25">
      <c r="A1040" t="s">
        <v>1716</v>
      </c>
      <c r="B1040" t="s">
        <v>1717</v>
      </c>
      <c r="C1040">
        <v>23.9</v>
      </c>
      <c r="D1040" t="s">
        <v>3120</v>
      </c>
      <c r="E1040" t="s">
        <v>1417</v>
      </c>
      <c r="F1040">
        <v>75</v>
      </c>
      <c r="G1040" t="b">
        <v>1</v>
      </c>
      <c r="H1040">
        <v>1</v>
      </c>
    </row>
    <row r="1041" spans="1:8" x14ac:dyDescent="0.25">
      <c r="A1041" t="s">
        <v>1664</v>
      </c>
      <c r="B1041" t="s">
        <v>1665</v>
      </c>
      <c r="C1041">
        <v>23.9</v>
      </c>
      <c r="D1041" t="s">
        <v>3120</v>
      </c>
      <c r="E1041" t="s">
        <v>1417</v>
      </c>
      <c r="F1041">
        <v>75</v>
      </c>
      <c r="G1041" t="b">
        <v>1</v>
      </c>
      <c r="H1041">
        <v>1</v>
      </c>
    </row>
    <row r="1042" spans="1:8" x14ac:dyDescent="0.25">
      <c r="A1042" t="s">
        <v>1713</v>
      </c>
      <c r="B1042" t="s">
        <v>1714</v>
      </c>
      <c r="C1042">
        <v>28.4</v>
      </c>
      <c r="D1042" t="s">
        <v>3120</v>
      </c>
      <c r="E1042" t="s">
        <v>1417</v>
      </c>
      <c r="F1042">
        <v>75</v>
      </c>
      <c r="G1042" t="b">
        <v>1</v>
      </c>
      <c r="H1042">
        <v>1</v>
      </c>
    </row>
    <row r="1043" spans="1:8" x14ac:dyDescent="0.25">
      <c r="A1043" t="s">
        <v>1666</v>
      </c>
      <c r="B1043" t="s">
        <v>1667</v>
      </c>
      <c r="C1043">
        <v>61.8</v>
      </c>
      <c r="D1043" t="s">
        <v>3120</v>
      </c>
      <c r="E1043" t="s">
        <v>1417</v>
      </c>
      <c r="F1043">
        <v>75</v>
      </c>
      <c r="G1043" t="b">
        <v>1</v>
      </c>
      <c r="H1043">
        <v>1</v>
      </c>
    </row>
    <row r="1044" spans="1:8" x14ac:dyDescent="0.25">
      <c r="A1044" t="s">
        <v>1668</v>
      </c>
      <c r="B1044" t="s">
        <v>1669</v>
      </c>
      <c r="C1044">
        <v>61.8</v>
      </c>
      <c r="D1044" t="s">
        <v>3120</v>
      </c>
      <c r="E1044" t="s">
        <v>1417</v>
      </c>
      <c r="F1044">
        <v>75</v>
      </c>
      <c r="G1044" t="b">
        <v>1</v>
      </c>
      <c r="H1044">
        <v>1</v>
      </c>
    </row>
    <row r="1045" spans="1:8" x14ac:dyDescent="0.25">
      <c r="A1045" t="s">
        <v>1701</v>
      </c>
      <c r="B1045" t="s">
        <v>1702</v>
      </c>
      <c r="C1045">
        <v>14.45</v>
      </c>
      <c r="D1045" t="s">
        <v>3120</v>
      </c>
      <c r="E1045" t="s">
        <v>1417</v>
      </c>
      <c r="F1045">
        <v>75</v>
      </c>
      <c r="G1045" t="b">
        <v>1</v>
      </c>
      <c r="H1045">
        <v>1</v>
      </c>
    </row>
    <row r="1046" spans="1:8" x14ac:dyDescent="0.25">
      <c r="A1046" t="s">
        <v>1705</v>
      </c>
      <c r="B1046" t="s">
        <v>1706</v>
      </c>
      <c r="C1046">
        <v>23.9</v>
      </c>
      <c r="D1046" t="s">
        <v>3120</v>
      </c>
      <c r="E1046" t="s">
        <v>1417</v>
      </c>
      <c r="F1046">
        <v>75</v>
      </c>
      <c r="G1046" t="b">
        <v>1</v>
      </c>
      <c r="H1046">
        <v>1</v>
      </c>
    </row>
    <row r="1047" spans="1:8" x14ac:dyDescent="0.25">
      <c r="A1047" t="s">
        <v>1710</v>
      </c>
      <c r="B1047" t="s">
        <v>1711</v>
      </c>
      <c r="C1047">
        <v>57.2</v>
      </c>
      <c r="D1047" t="s">
        <v>3120</v>
      </c>
      <c r="E1047" t="s">
        <v>1417</v>
      </c>
      <c r="F1047">
        <v>75</v>
      </c>
      <c r="G1047" t="b">
        <v>1</v>
      </c>
      <c r="H1047">
        <v>1</v>
      </c>
    </row>
    <row r="1048" spans="1:8" x14ac:dyDescent="0.25">
      <c r="A1048" t="s">
        <v>1719</v>
      </c>
      <c r="B1048" t="s">
        <v>1720</v>
      </c>
      <c r="C1048">
        <v>7.4</v>
      </c>
      <c r="D1048" t="s">
        <v>3120</v>
      </c>
      <c r="E1048" t="s">
        <v>1417</v>
      </c>
      <c r="F1048">
        <v>75</v>
      </c>
      <c r="G1048" t="b">
        <v>1</v>
      </c>
      <c r="H1048">
        <v>1</v>
      </c>
    </row>
    <row r="1049" spans="1:8" x14ac:dyDescent="0.25">
      <c r="A1049" t="s">
        <v>1670</v>
      </c>
      <c r="B1049" t="s">
        <v>1671</v>
      </c>
      <c r="C1049">
        <v>23</v>
      </c>
      <c r="D1049" t="s">
        <v>3120</v>
      </c>
      <c r="E1049" t="s">
        <v>1417</v>
      </c>
      <c r="F1049">
        <v>75</v>
      </c>
      <c r="G1049" t="b">
        <v>1</v>
      </c>
      <c r="H1049">
        <v>1</v>
      </c>
    </row>
    <row r="1050" spans="1:8" x14ac:dyDescent="0.25">
      <c r="A1050" t="s">
        <v>1672</v>
      </c>
      <c r="B1050" t="s">
        <v>1673</v>
      </c>
      <c r="C1050">
        <v>27.75</v>
      </c>
      <c r="D1050" t="s">
        <v>3120</v>
      </c>
      <c r="E1050" t="s">
        <v>1417</v>
      </c>
      <c r="F1050">
        <v>75</v>
      </c>
      <c r="G1050" t="b">
        <v>1</v>
      </c>
      <c r="H1050">
        <v>1</v>
      </c>
    </row>
    <row r="1051" spans="1:8" x14ac:dyDescent="0.25">
      <c r="A1051" t="s">
        <v>1677</v>
      </c>
      <c r="B1051" t="s">
        <v>1678</v>
      </c>
      <c r="C1051">
        <v>22.4</v>
      </c>
      <c r="D1051" t="s">
        <v>3120</v>
      </c>
      <c r="E1051" t="s">
        <v>1417</v>
      </c>
      <c r="F1051">
        <v>75</v>
      </c>
      <c r="G1051" t="b">
        <v>1</v>
      </c>
      <c r="H1051">
        <v>1</v>
      </c>
    </row>
    <row r="1052" spans="1:8" x14ac:dyDescent="0.25">
      <c r="A1052" t="s">
        <v>1681</v>
      </c>
      <c r="B1052" t="s">
        <v>1682</v>
      </c>
      <c r="C1052">
        <v>69.3</v>
      </c>
      <c r="D1052" t="s">
        <v>3120</v>
      </c>
      <c r="E1052" t="s">
        <v>1417</v>
      </c>
      <c r="F1052">
        <v>75</v>
      </c>
      <c r="G1052" t="b">
        <v>1</v>
      </c>
      <c r="H1052">
        <v>1</v>
      </c>
    </row>
    <row r="1053" spans="1:8" x14ac:dyDescent="0.25">
      <c r="A1053" t="s">
        <v>1708</v>
      </c>
      <c r="B1053" t="s">
        <v>1709</v>
      </c>
      <c r="C1053">
        <v>18.899999999999999</v>
      </c>
      <c r="D1053" t="s">
        <v>3120</v>
      </c>
      <c r="E1053" t="s">
        <v>1417</v>
      </c>
      <c r="F1053">
        <v>75</v>
      </c>
      <c r="G1053" t="b">
        <v>1</v>
      </c>
      <c r="H1053">
        <v>1</v>
      </c>
    </row>
    <row r="1054" spans="1:8" x14ac:dyDescent="0.25">
      <c r="A1054" t="s">
        <v>1674</v>
      </c>
      <c r="B1054" t="s">
        <v>1675</v>
      </c>
      <c r="C1054">
        <v>500</v>
      </c>
      <c r="D1054" t="s">
        <v>3120</v>
      </c>
      <c r="E1054" t="s">
        <v>1417</v>
      </c>
      <c r="F1054">
        <v>75</v>
      </c>
      <c r="G1054" t="b">
        <v>0</v>
      </c>
      <c r="H1054">
        <v>1</v>
      </c>
    </row>
    <row r="1055" spans="1:8" x14ac:dyDescent="0.25">
      <c r="A1055" t="s">
        <v>1674</v>
      </c>
      <c r="B1055" t="s">
        <v>1676</v>
      </c>
      <c r="C1055">
        <v>500</v>
      </c>
      <c r="D1055" t="s">
        <v>3120</v>
      </c>
      <c r="E1055" t="s">
        <v>1417</v>
      </c>
      <c r="F1055">
        <v>75</v>
      </c>
      <c r="G1055" t="b">
        <v>0</v>
      </c>
      <c r="H1055">
        <v>1</v>
      </c>
    </row>
    <row r="1056" spans="1:8" x14ac:dyDescent="0.25">
      <c r="A1056" t="s">
        <v>1728</v>
      </c>
      <c r="B1056" t="s">
        <v>1729</v>
      </c>
      <c r="C1056">
        <v>199.9</v>
      </c>
      <c r="D1056" t="s">
        <v>3123</v>
      </c>
      <c r="E1056" t="s">
        <v>1417</v>
      </c>
      <c r="F1056">
        <v>75</v>
      </c>
      <c r="G1056" t="b">
        <v>1</v>
      </c>
      <c r="H1056">
        <v>1</v>
      </c>
    </row>
    <row r="1057" spans="1:8" x14ac:dyDescent="0.25">
      <c r="A1057" t="s">
        <v>1747</v>
      </c>
      <c r="B1057" t="s">
        <v>1748</v>
      </c>
      <c r="C1057">
        <v>26.5</v>
      </c>
      <c r="D1057" t="s">
        <v>3123</v>
      </c>
      <c r="E1057" t="s">
        <v>1417</v>
      </c>
      <c r="F1057">
        <v>75</v>
      </c>
      <c r="G1057" t="b">
        <v>1</v>
      </c>
      <c r="H1057">
        <v>1</v>
      </c>
    </row>
    <row r="1058" spans="1:8" x14ac:dyDescent="0.25">
      <c r="A1058" t="s">
        <v>1743</v>
      </c>
      <c r="B1058" t="s">
        <v>1744</v>
      </c>
      <c r="C1058">
        <v>70.45</v>
      </c>
      <c r="D1058" t="s">
        <v>3123</v>
      </c>
      <c r="E1058" t="s">
        <v>1417</v>
      </c>
      <c r="F1058">
        <v>75</v>
      </c>
      <c r="G1058" t="b">
        <v>1</v>
      </c>
      <c r="H1058">
        <v>1</v>
      </c>
    </row>
    <row r="1059" spans="1:8" x14ac:dyDescent="0.25">
      <c r="A1059" t="s">
        <v>1722</v>
      </c>
      <c r="B1059" t="s">
        <v>1723</v>
      </c>
      <c r="C1059">
        <v>82</v>
      </c>
      <c r="D1059" t="s">
        <v>3123</v>
      </c>
      <c r="E1059" t="s">
        <v>1417</v>
      </c>
      <c r="F1059">
        <v>75</v>
      </c>
      <c r="G1059" t="b">
        <v>1</v>
      </c>
      <c r="H1059">
        <v>1</v>
      </c>
    </row>
    <row r="1060" spans="1:8" x14ac:dyDescent="0.25">
      <c r="A1060" t="s">
        <v>1745</v>
      </c>
      <c r="B1060" t="s">
        <v>1746</v>
      </c>
      <c r="C1060">
        <v>94.55</v>
      </c>
      <c r="D1060" t="s">
        <v>3123</v>
      </c>
      <c r="E1060" t="s">
        <v>1417</v>
      </c>
      <c r="F1060">
        <v>75</v>
      </c>
      <c r="G1060" t="b">
        <v>1</v>
      </c>
      <c r="H1060">
        <v>1</v>
      </c>
    </row>
    <row r="1061" spans="1:8" x14ac:dyDescent="0.25">
      <c r="A1061" t="s">
        <v>1736</v>
      </c>
      <c r="B1061" t="s">
        <v>1737</v>
      </c>
      <c r="C1061">
        <v>41</v>
      </c>
      <c r="D1061" t="s">
        <v>3123</v>
      </c>
      <c r="E1061" t="s">
        <v>1417</v>
      </c>
      <c r="F1061">
        <v>75</v>
      </c>
      <c r="G1061" t="b">
        <v>1</v>
      </c>
      <c r="H1061">
        <v>1</v>
      </c>
    </row>
    <row r="1062" spans="1:8" x14ac:dyDescent="0.25">
      <c r="A1062" t="s">
        <v>1726</v>
      </c>
      <c r="B1062" t="s">
        <v>1727</v>
      </c>
      <c r="C1062">
        <v>41</v>
      </c>
      <c r="D1062" t="s">
        <v>3123</v>
      </c>
      <c r="E1062" t="s">
        <v>1417</v>
      </c>
      <c r="F1062">
        <v>75</v>
      </c>
      <c r="G1062" t="b">
        <v>1</v>
      </c>
      <c r="H1062">
        <v>1</v>
      </c>
    </row>
    <row r="1063" spans="1:8" x14ac:dyDescent="0.25">
      <c r="A1063" t="s">
        <v>1750</v>
      </c>
      <c r="B1063" t="s">
        <v>1751</v>
      </c>
      <c r="C1063">
        <v>19.8</v>
      </c>
      <c r="D1063" t="s">
        <v>3123</v>
      </c>
      <c r="E1063" t="s">
        <v>1417</v>
      </c>
      <c r="F1063">
        <v>75</v>
      </c>
      <c r="G1063" t="b">
        <v>1</v>
      </c>
      <c r="H1063">
        <v>1</v>
      </c>
    </row>
    <row r="1064" spans="1:8" x14ac:dyDescent="0.25">
      <c r="A1064" t="s">
        <v>1839</v>
      </c>
      <c r="B1064" t="s">
        <v>1840</v>
      </c>
      <c r="C1064">
        <v>51.6</v>
      </c>
      <c r="D1064" t="s">
        <v>3124</v>
      </c>
      <c r="E1064" t="s">
        <v>1417</v>
      </c>
      <c r="F1064">
        <v>75</v>
      </c>
      <c r="G1064" t="b">
        <v>1</v>
      </c>
      <c r="H1064">
        <v>1</v>
      </c>
    </row>
    <row r="1065" spans="1:8" x14ac:dyDescent="0.25">
      <c r="A1065" t="s">
        <v>1836</v>
      </c>
      <c r="B1065" t="s">
        <v>1837</v>
      </c>
      <c r="C1065">
        <v>45.1</v>
      </c>
      <c r="D1065" t="s">
        <v>3124</v>
      </c>
      <c r="E1065" t="s">
        <v>1417</v>
      </c>
      <c r="F1065">
        <v>75</v>
      </c>
      <c r="G1065" t="b">
        <v>1</v>
      </c>
      <c r="H1065">
        <v>1</v>
      </c>
    </row>
    <row r="1066" spans="1:8" x14ac:dyDescent="0.25">
      <c r="A1066" t="s">
        <v>1832</v>
      </c>
      <c r="B1066" t="s">
        <v>1833</v>
      </c>
      <c r="C1066">
        <v>151.25</v>
      </c>
      <c r="D1066" t="s">
        <v>3124</v>
      </c>
      <c r="E1066" t="s">
        <v>1417</v>
      </c>
      <c r="F1066">
        <v>75</v>
      </c>
      <c r="G1066" t="b">
        <v>1</v>
      </c>
      <c r="H1066">
        <v>1</v>
      </c>
    </row>
    <row r="1067" spans="1:8" x14ac:dyDescent="0.25">
      <c r="A1067" t="s">
        <v>1826</v>
      </c>
      <c r="B1067" t="s">
        <v>1827</v>
      </c>
      <c r="C1067">
        <v>18.600000000000001</v>
      </c>
      <c r="D1067" t="s">
        <v>3124</v>
      </c>
      <c r="E1067" t="s">
        <v>1417</v>
      </c>
      <c r="F1067">
        <v>75</v>
      </c>
      <c r="G1067" t="b">
        <v>1</v>
      </c>
      <c r="H1067">
        <v>1</v>
      </c>
    </row>
    <row r="1068" spans="1:8" x14ac:dyDescent="0.25">
      <c r="A1068" t="s">
        <v>1830</v>
      </c>
      <c r="B1068" t="s">
        <v>1831</v>
      </c>
      <c r="C1068">
        <v>25.35</v>
      </c>
      <c r="D1068" t="s">
        <v>3124</v>
      </c>
      <c r="E1068" t="s">
        <v>1417</v>
      </c>
      <c r="F1068">
        <v>75</v>
      </c>
      <c r="G1068" t="b">
        <v>1</v>
      </c>
      <c r="H1068">
        <v>1</v>
      </c>
    </row>
    <row r="1069" spans="1:8" x14ac:dyDescent="0.25">
      <c r="A1069" t="s">
        <v>1828</v>
      </c>
      <c r="B1069" t="s">
        <v>1829</v>
      </c>
      <c r="C1069">
        <v>23.9</v>
      </c>
      <c r="D1069" t="s">
        <v>3124</v>
      </c>
      <c r="E1069" t="s">
        <v>1417</v>
      </c>
      <c r="F1069">
        <v>75</v>
      </c>
      <c r="G1069" t="b">
        <v>1</v>
      </c>
      <c r="H1069">
        <v>1</v>
      </c>
    </row>
    <row r="1070" spans="1:8" x14ac:dyDescent="0.25">
      <c r="A1070" t="s">
        <v>1800</v>
      </c>
      <c r="B1070" t="s">
        <v>1801</v>
      </c>
      <c r="C1070">
        <v>53.05</v>
      </c>
      <c r="D1070" t="s">
        <v>3124</v>
      </c>
      <c r="E1070" t="s">
        <v>1417</v>
      </c>
      <c r="F1070">
        <v>75</v>
      </c>
      <c r="G1070" t="b">
        <v>1</v>
      </c>
      <c r="H1070">
        <v>1</v>
      </c>
    </row>
    <row r="1071" spans="1:8" x14ac:dyDescent="0.25">
      <c r="A1071" t="s">
        <v>1781</v>
      </c>
      <c r="B1071" t="s">
        <v>1782</v>
      </c>
      <c r="C1071">
        <v>91.35</v>
      </c>
      <c r="D1071" t="s">
        <v>3124</v>
      </c>
      <c r="E1071" t="s">
        <v>1417</v>
      </c>
      <c r="F1071">
        <v>75</v>
      </c>
      <c r="G1071" t="b">
        <v>1</v>
      </c>
      <c r="H1071">
        <v>1</v>
      </c>
    </row>
    <row r="1072" spans="1:8" x14ac:dyDescent="0.25">
      <c r="A1072" t="s">
        <v>1784</v>
      </c>
      <c r="B1072" t="s">
        <v>1785</v>
      </c>
      <c r="C1072">
        <v>131.19999999999999</v>
      </c>
      <c r="D1072" t="s">
        <v>3124</v>
      </c>
      <c r="E1072" t="s">
        <v>1417</v>
      </c>
      <c r="F1072">
        <v>75</v>
      </c>
      <c r="G1072" t="b">
        <v>1</v>
      </c>
      <c r="H1072">
        <v>1</v>
      </c>
    </row>
    <row r="1073" spans="1:8" x14ac:dyDescent="0.25">
      <c r="A1073" t="s">
        <v>1787</v>
      </c>
      <c r="B1073" t="s">
        <v>1788</v>
      </c>
      <c r="C1073">
        <v>148.25</v>
      </c>
      <c r="D1073" t="s">
        <v>3124</v>
      </c>
      <c r="E1073" t="s">
        <v>1417</v>
      </c>
      <c r="F1073">
        <v>75</v>
      </c>
      <c r="G1073" t="b">
        <v>1</v>
      </c>
      <c r="H1073">
        <v>1</v>
      </c>
    </row>
    <row r="1074" spans="1:8" x14ac:dyDescent="0.25">
      <c r="A1074" t="s">
        <v>1774</v>
      </c>
      <c r="B1074" t="s">
        <v>1775</v>
      </c>
      <c r="C1074">
        <v>45.1</v>
      </c>
      <c r="D1074" t="s">
        <v>3124</v>
      </c>
      <c r="E1074" t="s">
        <v>1417</v>
      </c>
      <c r="F1074">
        <v>75</v>
      </c>
      <c r="G1074" t="b">
        <v>1</v>
      </c>
      <c r="H1074">
        <v>1</v>
      </c>
    </row>
    <row r="1075" spans="1:8" x14ac:dyDescent="0.25">
      <c r="A1075" t="s">
        <v>1778</v>
      </c>
      <c r="B1075" t="s">
        <v>1779</v>
      </c>
      <c r="C1075">
        <v>45.1</v>
      </c>
      <c r="D1075" t="s">
        <v>3124</v>
      </c>
      <c r="E1075" t="s">
        <v>1417</v>
      </c>
      <c r="F1075">
        <v>75</v>
      </c>
      <c r="G1075" t="b">
        <v>1</v>
      </c>
      <c r="H1075">
        <v>1</v>
      </c>
    </row>
    <row r="1076" spans="1:8" x14ac:dyDescent="0.25">
      <c r="A1076" t="s">
        <v>1812</v>
      </c>
      <c r="B1076" t="s">
        <v>1813</v>
      </c>
      <c r="C1076">
        <v>43.95</v>
      </c>
      <c r="D1076" t="s">
        <v>3124</v>
      </c>
      <c r="E1076" t="s">
        <v>1417</v>
      </c>
      <c r="F1076">
        <v>75</v>
      </c>
      <c r="G1076" t="b">
        <v>1</v>
      </c>
      <c r="H1076">
        <v>1</v>
      </c>
    </row>
    <row r="1077" spans="1:8" x14ac:dyDescent="0.25">
      <c r="A1077" t="s">
        <v>1803</v>
      </c>
      <c r="B1077" t="s">
        <v>1804</v>
      </c>
      <c r="C1077">
        <v>46.35</v>
      </c>
      <c r="D1077" t="s">
        <v>3124</v>
      </c>
      <c r="E1077" t="s">
        <v>1417</v>
      </c>
      <c r="F1077">
        <v>75</v>
      </c>
      <c r="G1077" t="b">
        <v>1</v>
      </c>
      <c r="H1077">
        <v>1</v>
      </c>
    </row>
    <row r="1078" spans="1:8" x14ac:dyDescent="0.25">
      <c r="A1078" t="s">
        <v>1816</v>
      </c>
      <c r="B1078" t="s">
        <v>1817</v>
      </c>
      <c r="C1078">
        <v>46.35</v>
      </c>
      <c r="D1078" t="s">
        <v>3124</v>
      </c>
      <c r="E1078" t="s">
        <v>1417</v>
      </c>
      <c r="F1078">
        <v>75</v>
      </c>
      <c r="G1078" t="b">
        <v>1</v>
      </c>
      <c r="H1078">
        <v>1</v>
      </c>
    </row>
    <row r="1079" spans="1:8" x14ac:dyDescent="0.25">
      <c r="A1079" t="s">
        <v>1814</v>
      </c>
      <c r="B1079" t="s">
        <v>1815</v>
      </c>
      <c r="C1079">
        <v>57.2</v>
      </c>
      <c r="D1079" t="s">
        <v>3124</v>
      </c>
      <c r="E1079" t="s">
        <v>1417</v>
      </c>
      <c r="F1079">
        <v>75</v>
      </c>
      <c r="G1079" t="b">
        <v>1</v>
      </c>
      <c r="H1079">
        <v>1</v>
      </c>
    </row>
    <row r="1080" spans="1:8" x14ac:dyDescent="0.25">
      <c r="A1080" t="s">
        <v>1922</v>
      </c>
      <c r="B1080" t="s">
        <v>1923</v>
      </c>
      <c r="C1080">
        <v>205.55</v>
      </c>
      <c r="D1080" t="s">
        <v>3124</v>
      </c>
      <c r="E1080" t="s">
        <v>1417</v>
      </c>
      <c r="F1080">
        <v>75</v>
      </c>
      <c r="G1080" t="b">
        <v>1</v>
      </c>
      <c r="H1080">
        <v>1</v>
      </c>
    </row>
    <row r="1081" spans="1:8" x14ac:dyDescent="0.25">
      <c r="A1081" t="s">
        <v>1807</v>
      </c>
      <c r="B1081" t="s">
        <v>1808</v>
      </c>
      <c r="C1081">
        <v>106.15</v>
      </c>
      <c r="D1081" t="s">
        <v>3124</v>
      </c>
      <c r="E1081" t="s">
        <v>1417</v>
      </c>
      <c r="F1081">
        <v>75</v>
      </c>
      <c r="G1081" t="b">
        <v>1</v>
      </c>
      <c r="H1081">
        <v>1</v>
      </c>
    </row>
    <row r="1082" spans="1:8" x14ac:dyDescent="0.25">
      <c r="A1082" t="s">
        <v>1809</v>
      </c>
      <c r="B1082" t="s">
        <v>1810</v>
      </c>
      <c r="C1082">
        <v>49.3</v>
      </c>
      <c r="D1082" t="s">
        <v>3124</v>
      </c>
      <c r="E1082" t="s">
        <v>1417</v>
      </c>
      <c r="F1082">
        <v>75</v>
      </c>
      <c r="G1082" t="b">
        <v>1</v>
      </c>
      <c r="H1082">
        <v>1</v>
      </c>
    </row>
    <row r="1083" spans="1:8" x14ac:dyDescent="0.25">
      <c r="A1083" t="s">
        <v>1793</v>
      </c>
      <c r="B1083" t="s">
        <v>1794</v>
      </c>
      <c r="C1083">
        <v>58.15</v>
      </c>
      <c r="D1083" t="s">
        <v>3124</v>
      </c>
      <c r="E1083" t="s">
        <v>1417</v>
      </c>
      <c r="F1083">
        <v>75</v>
      </c>
      <c r="G1083" t="b">
        <v>1</v>
      </c>
      <c r="H1083">
        <v>1</v>
      </c>
    </row>
    <row r="1084" spans="1:8" x14ac:dyDescent="0.25">
      <c r="A1084" t="s">
        <v>1770</v>
      </c>
      <c r="B1084" t="s">
        <v>1771</v>
      </c>
      <c r="C1084">
        <v>58.15</v>
      </c>
      <c r="D1084" t="s">
        <v>3124</v>
      </c>
      <c r="E1084" t="s">
        <v>1417</v>
      </c>
      <c r="F1084">
        <v>75</v>
      </c>
      <c r="G1084" t="b">
        <v>1</v>
      </c>
      <c r="H1084">
        <v>1</v>
      </c>
    </row>
    <row r="1085" spans="1:8" x14ac:dyDescent="0.25">
      <c r="A1085" t="s">
        <v>1795</v>
      </c>
      <c r="B1085" t="s">
        <v>1796</v>
      </c>
      <c r="C1085">
        <v>70.75</v>
      </c>
      <c r="D1085" t="s">
        <v>3124</v>
      </c>
      <c r="E1085" t="s">
        <v>1417</v>
      </c>
      <c r="F1085">
        <v>75</v>
      </c>
      <c r="G1085" t="b">
        <v>1</v>
      </c>
      <c r="H1085">
        <v>1</v>
      </c>
    </row>
    <row r="1086" spans="1:8" x14ac:dyDescent="0.25">
      <c r="A1086" t="s">
        <v>1797</v>
      </c>
      <c r="B1086" t="s">
        <v>1798</v>
      </c>
      <c r="C1086">
        <v>21.55</v>
      </c>
      <c r="D1086" t="s">
        <v>3124</v>
      </c>
      <c r="E1086" t="s">
        <v>1417</v>
      </c>
      <c r="F1086">
        <v>75</v>
      </c>
      <c r="G1086" t="b">
        <v>1</v>
      </c>
      <c r="H1086">
        <v>1</v>
      </c>
    </row>
    <row r="1087" spans="1:8" x14ac:dyDescent="0.25">
      <c r="A1087" t="s">
        <v>1899</v>
      </c>
      <c r="B1087" t="s">
        <v>1900</v>
      </c>
      <c r="C1087">
        <v>500</v>
      </c>
      <c r="D1087" t="s">
        <v>3124</v>
      </c>
      <c r="E1087" t="s">
        <v>1417</v>
      </c>
      <c r="F1087">
        <v>75</v>
      </c>
      <c r="G1087" t="b">
        <v>0</v>
      </c>
      <c r="H1087">
        <v>1</v>
      </c>
    </row>
    <row r="1088" spans="1:8" x14ac:dyDescent="0.25">
      <c r="A1088" t="s">
        <v>1899</v>
      </c>
      <c r="B1088" t="s">
        <v>1902</v>
      </c>
      <c r="C1088">
        <v>500</v>
      </c>
      <c r="D1088" t="s">
        <v>3124</v>
      </c>
      <c r="E1088" t="s">
        <v>1417</v>
      </c>
      <c r="F1088">
        <v>75</v>
      </c>
      <c r="G1088" t="b">
        <v>0</v>
      </c>
      <c r="H1088">
        <v>1</v>
      </c>
    </row>
    <row r="1089" spans="1:8" x14ac:dyDescent="0.25">
      <c r="A1089" t="s">
        <v>1752</v>
      </c>
      <c r="B1089" t="s">
        <v>1753</v>
      </c>
      <c r="C1089">
        <v>500</v>
      </c>
      <c r="D1089" t="s">
        <v>1755</v>
      </c>
      <c r="E1089" t="s">
        <v>1417</v>
      </c>
      <c r="F1089">
        <v>75</v>
      </c>
      <c r="G1089" t="b">
        <v>0</v>
      </c>
      <c r="H1089">
        <v>1</v>
      </c>
    </row>
    <row r="1090" spans="1:8" x14ac:dyDescent="0.25">
      <c r="A1090" t="s">
        <v>1752</v>
      </c>
      <c r="B1090" t="s">
        <v>1756</v>
      </c>
      <c r="C1090">
        <v>500</v>
      </c>
      <c r="D1090" t="s">
        <v>1755</v>
      </c>
      <c r="E1090" t="s">
        <v>1417</v>
      </c>
      <c r="F1090">
        <v>75</v>
      </c>
      <c r="G1090" t="b">
        <v>0</v>
      </c>
      <c r="H1090">
        <v>1</v>
      </c>
    </row>
    <row r="1091" spans="1:8" x14ac:dyDescent="0.25">
      <c r="A1091" t="s">
        <v>1752</v>
      </c>
      <c r="B1091" t="s">
        <v>1757</v>
      </c>
      <c r="C1091">
        <v>500</v>
      </c>
      <c r="D1091" t="s">
        <v>1755</v>
      </c>
      <c r="E1091" t="s">
        <v>1417</v>
      </c>
      <c r="F1091">
        <v>75</v>
      </c>
      <c r="G1091" t="b">
        <v>0</v>
      </c>
      <c r="H1091">
        <v>1</v>
      </c>
    </row>
    <row r="1092" spans="1:8" x14ac:dyDescent="0.25">
      <c r="A1092" t="s">
        <v>1752</v>
      </c>
      <c r="B1092" t="s">
        <v>1758</v>
      </c>
      <c r="C1092">
        <v>500</v>
      </c>
      <c r="D1092" t="s">
        <v>1755</v>
      </c>
      <c r="E1092" t="s">
        <v>1417</v>
      </c>
      <c r="F1092">
        <v>75</v>
      </c>
      <c r="G1092" t="b">
        <v>0</v>
      </c>
      <c r="H1092">
        <v>1</v>
      </c>
    </row>
    <row r="1093" spans="1:8" x14ac:dyDescent="0.25">
      <c r="A1093" t="s">
        <v>1752</v>
      </c>
      <c r="B1093" t="s">
        <v>1759</v>
      </c>
      <c r="C1093">
        <v>500</v>
      </c>
      <c r="D1093" t="s">
        <v>1755</v>
      </c>
      <c r="E1093" t="s">
        <v>1417</v>
      </c>
      <c r="F1093">
        <v>75</v>
      </c>
      <c r="G1093" t="b">
        <v>0</v>
      </c>
      <c r="H1093">
        <v>1</v>
      </c>
    </row>
    <row r="1094" spans="1:8" x14ac:dyDescent="0.25">
      <c r="A1094" t="s">
        <v>1752</v>
      </c>
      <c r="B1094" t="s">
        <v>1760</v>
      </c>
      <c r="C1094">
        <v>500</v>
      </c>
      <c r="D1094" t="s">
        <v>1755</v>
      </c>
      <c r="E1094" t="s">
        <v>1417</v>
      </c>
      <c r="F1094">
        <v>75</v>
      </c>
      <c r="G1094" t="b">
        <v>0</v>
      </c>
      <c r="H1094">
        <v>1</v>
      </c>
    </row>
    <row r="1095" spans="1:8" x14ac:dyDescent="0.25">
      <c r="A1095" t="s">
        <v>1752</v>
      </c>
      <c r="B1095" t="s">
        <v>1761</v>
      </c>
      <c r="C1095">
        <v>500</v>
      </c>
      <c r="D1095" t="s">
        <v>1755</v>
      </c>
      <c r="E1095" t="s">
        <v>1417</v>
      </c>
      <c r="F1095">
        <v>75</v>
      </c>
      <c r="G1095" t="b">
        <v>0</v>
      </c>
      <c r="H1095">
        <v>1</v>
      </c>
    </row>
    <row r="1096" spans="1:8" x14ac:dyDescent="0.25">
      <c r="A1096" t="s">
        <v>1752</v>
      </c>
      <c r="B1096" t="s">
        <v>1762</v>
      </c>
      <c r="C1096">
        <v>500</v>
      </c>
      <c r="D1096" t="s">
        <v>1755</v>
      </c>
      <c r="E1096" t="s">
        <v>1417</v>
      </c>
      <c r="F1096">
        <v>75</v>
      </c>
      <c r="G1096" t="b">
        <v>0</v>
      </c>
      <c r="H1096">
        <v>1</v>
      </c>
    </row>
    <row r="1097" spans="1:8" x14ac:dyDescent="0.25">
      <c r="A1097" t="s">
        <v>1752</v>
      </c>
      <c r="B1097" t="s">
        <v>1763</v>
      </c>
      <c r="C1097">
        <v>500</v>
      </c>
      <c r="D1097" t="s">
        <v>1755</v>
      </c>
      <c r="E1097" t="s">
        <v>1417</v>
      </c>
      <c r="F1097">
        <v>75</v>
      </c>
      <c r="G1097" t="b">
        <v>0</v>
      </c>
      <c r="H1097">
        <v>1</v>
      </c>
    </row>
    <row r="1098" spans="1:8" x14ac:dyDescent="0.25">
      <c r="A1098" t="s">
        <v>1752</v>
      </c>
      <c r="B1098" t="s">
        <v>1764</v>
      </c>
      <c r="C1098">
        <v>500</v>
      </c>
      <c r="D1098" t="s">
        <v>1755</v>
      </c>
      <c r="E1098" t="s">
        <v>1417</v>
      </c>
      <c r="F1098">
        <v>75</v>
      </c>
      <c r="G1098" t="b">
        <v>0</v>
      </c>
      <c r="H1098">
        <v>1</v>
      </c>
    </row>
    <row r="1099" spans="1:8" x14ac:dyDescent="0.25">
      <c r="A1099" t="s">
        <v>1752</v>
      </c>
      <c r="B1099" t="s">
        <v>1765</v>
      </c>
      <c r="C1099">
        <v>500</v>
      </c>
      <c r="D1099" t="s">
        <v>1755</v>
      </c>
      <c r="E1099" t="s">
        <v>1417</v>
      </c>
      <c r="F1099">
        <v>75</v>
      </c>
      <c r="G1099" t="b">
        <v>0</v>
      </c>
      <c r="H1099">
        <v>1</v>
      </c>
    </row>
    <row r="1100" spans="1:8" x14ac:dyDescent="0.25">
      <c r="A1100" t="s">
        <v>1752</v>
      </c>
      <c r="B1100" t="s">
        <v>1766</v>
      </c>
      <c r="C1100">
        <v>500</v>
      </c>
      <c r="D1100" t="s">
        <v>1755</v>
      </c>
      <c r="E1100" t="s">
        <v>1417</v>
      </c>
      <c r="F1100">
        <v>75</v>
      </c>
      <c r="G1100" t="b">
        <v>0</v>
      </c>
      <c r="H1100">
        <v>1</v>
      </c>
    </row>
    <row r="1101" spans="1:8" x14ac:dyDescent="0.25">
      <c r="A1101" t="s">
        <v>1752</v>
      </c>
      <c r="B1101" t="s">
        <v>1767</v>
      </c>
      <c r="C1101">
        <v>500</v>
      </c>
      <c r="D1101" t="s">
        <v>1755</v>
      </c>
      <c r="E1101" t="s">
        <v>1417</v>
      </c>
      <c r="F1101">
        <v>75</v>
      </c>
      <c r="G1101" t="b">
        <v>0</v>
      </c>
      <c r="H1101">
        <v>1</v>
      </c>
    </row>
    <row r="1102" spans="1:8" x14ac:dyDescent="0.25">
      <c r="A1102" t="s">
        <v>1752</v>
      </c>
      <c r="B1102" t="s">
        <v>1768</v>
      </c>
      <c r="C1102">
        <v>500</v>
      </c>
      <c r="D1102" t="s">
        <v>1755</v>
      </c>
      <c r="E1102" t="s">
        <v>1417</v>
      </c>
      <c r="F1102">
        <v>75</v>
      </c>
      <c r="G1102" t="b">
        <v>0</v>
      </c>
      <c r="H1102">
        <v>1</v>
      </c>
    </row>
    <row r="1103" spans="1:8" x14ac:dyDescent="0.25">
      <c r="A1103" t="s">
        <v>1752</v>
      </c>
      <c r="B1103" t="s">
        <v>1769</v>
      </c>
      <c r="C1103">
        <v>500</v>
      </c>
      <c r="D1103" t="s">
        <v>1755</v>
      </c>
      <c r="E1103" t="s">
        <v>1417</v>
      </c>
      <c r="F1103">
        <v>75</v>
      </c>
      <c r="G1103" t="b">
        <v>0</v>
      </c>
      <c r="H1103">
        <v>1</v>
      </c>
    </row>
    <row r="1104" spans="1:8" x14ac:dyDescent="0.25">
      <c r="A1104" t="s">
        <v>1752</v>
      </c>
      <c r="B1104" t="s">
        <v>2219</v>
      </c>
      <c r="C1104">
        <v>500</v>
      </c>
      <c r="D1104" t="s">
        <v>1755</v>
      </c>
      <c r="E1104" t="s">
        <v>1417</v>
      </c>
      <c r="F1104">
        <v>75</v>
      </c>
      <c r="G1104" t="b">
        <v>0</v>
      </c>
      <c r="H1104">
        <v>1</v>
      </c>
    </row>
    <row r="1105" spans="1:8" x14ac:dyDescent="0.25">
      <c r="A1105" t="s">
        <v>1752</v>
      </c>
      <c r="B1105" t="s">
        <v>2221</v>
      </c>
      <c r="C1105">
        <v>500</v>
      </c>
      <c r="D1105" t="s">
        <v>1755</v>
      </c>
      <c r="E1105" t="s">
        <v>1417</v>
      </c>
      <c r="F1105">
        <v>75</v>
      </c>
      <c r="G1105" t="b">
        <v>0</v>
      </c>
      <c r="H1105">
        <v>1</v>
      </c>
    </row>
    <row r="1106" spans="1:8" x14ac:dyDescent="0.25">
      <c r="A1106" t="s">
        <v>83</v>
      </c>
      <c r="B1106" t="s">
        <v>84</v>
      </c>
      <c r="C1106">
        <v>242.05</v>
      </c>
      <c r="D1106" t="s">
        <v>55</v>
      </c>
      <c r="E1106" t="s">
        <v>1417</v>
      </c>
      <c r="F1106">
        <v>75</v>
      </c>
      <c r="G1106" t="b">
        <v>1</v>
      </c>
      <c r="H1106">
        <v>1</v>
      </c>
    </row>
    <row r="1107" spans="1:8" x14ac:dyDescent="0.25">
      <c r="A1107" t="s">
        <v>77</v>
      </c>
      <c r="B1107" t="s">
        <v>78</v>
      </c>
      <c r="C1107">
        <v>205.85</v>
      </c>
      <c r="D1107" t="s">
        <v>55</v>
      </c>
      <c r="E1107" t="s">
        <v>1417</v>
      </c>
      <c r="F1107">
        <v>75</v>
      </c>
      <c r="G1107" t="b">
        <v>1</v>
      </c>
      <c r="H1107">
        <v>1</v>
      </c>
    </row>
    <row r="1108" spans="1:8" x14ac:dyDescent="0.25">
      <c r="A1108" t="s">
        <v>80</v>
      </c>
      <c r="B1108" t="s">
        <v>81</v>
      </c>
      <c r="C1108">
        <v>210.8</v>
      </c>
      <c r="D1108" t="s">
        <v>55</v>
      </c>
      <c r="E1108" t="s">
        <v>1417</v>
      </c>
      <c r="F1108">
        <v>75</v>
      </c>
      <c r="G1108" t="b">
        <v>1</v>
      </c>
      <c r="H1108">
        <v>1</v>
      </c>
    </row>
    <row r="1109" spans="1:8" x14ac:dyDescent="0.25">
      <c r="A1109" t="s">
        <v>52</v>
      </c>
      <c r="B1109" t="s">
        <v>53</v>
      </c>
      <c r="C1109">
        <v>210.8</v>
      </c>
      <c r="D1109" t="s">
        <v>55</v>
      </c>
      <c r="E1109" t="s">
        <v>1417</v>
      </c>
      <c r="F1109">
        <v>75</v>
      </c>
      <c r="G1109" t="b">
        <v>1</v>
      </c>
      <c r="H1109">
        <v>1</v>
      </c>
    </row>
    <row r="1110" spans="1:8" x14ac:dyDescent="0.25">
      <c r="A1110" t="s">
        <v>87</v>
      </c>
      <c r="B1110" t="s">
        <v>88</v>
      </c>
      <c r="C1110">
        <v>222.55</v>
      </c>
      <c r="D1110" t="s">
        <v>55</v>
      </c>
      <c r="E1110" t="s">
        <v>1417</v>
      </c>
      <c r="F1110">
        <v>75</v>
      </c>
      <c r="G1110" t="b">
        <v>1</v>
      </c>
      <c r="H1110">
        <v>1</v>
      </c>
    </row>
    <row r="1111" spans="1:8" x14ac:dyDescent="0.25">
      <c r="A1111" t="s">
        <v>58</v>
      </c>
      <c r="B1111" t="s">
        <v>59</v>
      </c>
      <c r="C1111">
        <v>120</v>
      </c>
      <c r="D1111" t="s">
        <v>55</v>
      </c>
      <c r="E1111" t="s">
        <v>1417</v>
      </c>
      <c r="F1111">
        <v>75</v>
      </c>
      <c r="G1111" t="b">
        <v>1</v>
      </c>
      <c r="H1111">
        <v>1</v>
      </c>
    </row>
    <row r="1112" spans="1:8" x14ac:dyDescent="0.25">
      <c r="A1112" t="s">
        <v>60</v>
      </c>
      <c r="B1112" t="s">
        <v>57</v>
      </c>
      <c r="C1112">
        <v>500</v>
      </c>
      <c r="D1112" t="s">
        <v>55</v>
      </c>
      <c r="E1112" t="s">
        <v>1417</v>
      </c>
      <c r="F1112">
        <v>75</v>
      </c>
      <c r="G1112" t="b">
        <v>0</v>
      </c>
      <c r="H1112">
        <v>1</v>
      </c>
    </row>
    <row r="1113" spans="1:8" x14ac:dyDescent="0.25">
      <c r="A1113" t="s">
        <v>60</v>
      </c>
      <c r="B1113" t="s">
        <v>61</v>
      </c>
      <c r="C1113">
        <v>500</v>
      </c>
      <c r="D1113" t="s">
        <v>55</v>
      </c>
      <c r="E1113" t="s">
        <v>1417</v>
      </c>
      <c r="F1113">
        <v>75</v>
      </c>
      <c r="G1113" t="b">
        <v>0</v>
      </c>
      <c r="H1113">
        <v>1</v>
      </c>
    </row>
    <row r="1114" spans="1:8" x14ac:dyDescent="0.25">
      <c r="A1114" t="s">
        <v>60</v>
      </c>
      <c r="B1114" t="s">
        <v>62</v>
      </c>
      <c r="C1114">
        <v>500</v>
      </c>
      <c r="D1114" t="s">
        <v>55</v>
      </c>
      <c r="E1114" t="s">
        <v>1417</v>
      </c>
      <c r="F1114">
        <v>75</v>
      </c>
      <c r="G1114" t="b">
        <v>0</v>
      </c>
      <c r="H1114">
        <v>1</v>
      </c>
    </row>
    <row r="1115" spans="1:8" x14ac:dyDescent="0.25">
      <c r="A1115" t="s">
        <v>60</v>
      </c>
      <c r="B1115" t="s">
        <v>63</v>
      </c>
      <c r="C1115">
        <v>500</v>
      </c>
      <c r="D1115" t="s">
        <v>55</v>
      </c>
      <c r="E1115" t="s">
        <v>1417</v>
      </c>
      <c r="F1115">
        <v>75</v>
      </c>
      <c r="G1115" t="b">
        <v>0</v>
      </c>
      <c r="H1115">
        <v>1</v>
      </c>
    </row>
    <row r="1116" spans="1:8" x14ac:dyDescent="0.25">
      <c r="A1116" t="s">
        <v>60</v>
      </c>
      <c r="B1116" t="s">
        <v>64</v>
      </c>
      <c r="C1116">
        <v>500</v>
      </c>
      <c r="D1116" t="s">
        <v>55</v>
      </c>
      <c r="E1116" t="s">
        <v>1417</v>
      </c>
      <c r="F1116">
        <v>75</v>
      </c>
      <c r="G1116" t="b">
        <v>0</v>
      </c>
      <c r="H1116">
        <v>1</v>
      </c>
    </row>
    <row r="1117" spans="1:8" x14ac:dyDescent="0.25">
      <c r="A1117" t="s">
        <v>60</v>
      </c>
      <c r="B1117" t="s">
        <v>65</v>
      </c>
      <c r="C1117">
        <v>500</v>
      </c>
      <c r="D1117" t="s">
        <v>55</v>
      </c>
      <c r="E1117" t="s">
        <v>1417</v>
      </c>
      <c r="F1117">
        <v>75</v>
      </c>
      <c r="G1117" t="b">
        <v>0</v>
      </c>
      <c r="H1117">
        <v>1</v>
      </c>
    </row>
    <row r="1118" spans="1:8" x14ac:dyDescent="0.25">
      <c r="A1118" t="s">
        <v>60</v>
      </c>
      <c r="B1118" t="s">
        <v>66</v>
      </c>
      <c r="C1118">
        <v>500</v>
      </c>
      <c r="D1118" t="s">
        <v>55</v>
      </c>
      <c r="E1118" t="s">
        <v>1417</v>
      </c>
      <c r="F1118">
        <v>75</v>
      </c>
      <c r="G1118" t="b">
        <v>0</v>
      </c>
      <c r="H1118">
        <v>1</v>
      </c>
    </row>
    <row r="1119" spans="1:8" x14ac:dyDescent="0.25">
      <c r="A1119" t="s">
        <v>60</v>
      </c>
      <c r="B1119" t="s">
        <v>67</v>
      </c>
      <c r="C1119">
        <v>500</v>
      </c>
      <c r="D1119" t="s">
        <v>55</v>
      </c>
      <c r="E1119" t="s">
        <v>1417</v>
      </c>
      <c r="F1119">
        <v>75</v>
      </c>
      <c r="G1119" t="b">
        <v>0</v>
      </c>
      <c r="H1119">
        <v>1</v>
      </c>
    </row>
    <row r="1120" spans="1:8" x14ac:dyDescent="0.25">
      <c r="A1120" t="s">
        <v>60</v>
      </c>
      <c r="B1120" t="s">
        <v>68</v>
      </c>
      <c r="C1120">
        <v>500</v>
      </c>
      <c r="D1120" t="s">
        <v>55</v>
      </c>
      <c r="E1120" t="s">
        <v>1417</v>
      </c>
      <c r="F1120">
        <v>75</v>
      </c>
      <c r="G1120" t="b">
        <v>0</v>
      </c>
      <c r="H1120">
        <v>1</v>
      </c>
    </row>
    <row r="1121" spans="1:8" x14ac:dyDescent="0.25">
      <c r="A1121" t="s">
        <v>60</v>
      </c>
      <c r="B1121" t="s">
        <v>69</v>
      </c>
      <c r="C1121">
        <v>500</v>
      </c>
      <c r="D1121" t="s">
        <v>55</v>
      </c>
      <c r="E1121" t="s">
        <v>1417</v>
      </c>
      <c r="F1121">
        <v>75</v>
      </c>
      <c r="G1121" t="b">
        <v>0</v>
      </c>
      <c r="H1121">
        <v>1</v>
      </c>
    </row>
    <row r="1122" spans="1:8" x14ac:dyDescent="0.25">
      <c r="A1122" t="s">
        <v>60</v>
      </c>
      <c r="B1122" t="s">
        <v>70</v>
      </c>
      <c r="C1122">
        <v>500</v>
      </c>
      <c r="D1122" t="s">
        <v>55</v>
      </c>
      <c r="E1122" t="s">
        <v>1417</v>
      </c>
      <c r="F1122">
        <v>75</v>
      </c>
      <c r="G1122" t="b">
        <v>0</v>
      </c>
      <c r="H1122">
        <v>1</v>
      </c>
    </row>
    <row r="1123" spans="1:8" x14ac:dyDescent="0.25">
      <c r="A1123" t="s">
        <v>60</v>
      </c>
      <c r="B1123" t="s">
        <v>71</v>
      </c>
      <c r="C1123">
        <v>500</v>
      </c>
      <c r="D1123" t="s">
        <v>55</v>
      </c>
      <c r="E1123" t="s">
        <v>1417</v>
      </c>
      <c r="F1123">
        <v>75</v>
      </c>
      <c r="G1123" t="b">
        <v>0</v>
      </c>
      <c r="H1123">
        <v>1</v>
      </c>
    </row>
    <row r="1124" spans="1:8" x14ac:dyDescent="0.25">
      <c r="A1124" t="s">
        <v>60</v>
      </c>
      <c r="B1124" t="s">
        <v>72</v>
      </c>
      <c r="C1124">
        <v>500</v>
      </c>
      <c r="D1124" t="s">
        <v>55</v>
      </c>
      <c r="E1124" t="s">
        <v>1417</v>
      </c>
      <c r="F1124">
        <v>75</v>
      </c>
      <c r="G1124" t="b">
        <v>0</v>
      </c>
      <c r="H1124">
        <v>1</v>
      </c>
    </row>
    <row r="1125" spans="1:8" x14ac:dyDescent="0.25">
      <c r="A1125" t="s">
        <v>60</v>
      </c>
      <c r="B1125" t="s">
        <v>73</v>
      </c>
      <c r="C1125">
        <v>500</v>
      </c>
      <c r="D1125" t="s">
        <v>55</v>
      </c>
      <c r="E1125" t="s">
        <v>1417</v>
      </c>
      <c r="F1125">
        <v>75</v>
      </c>
      <c r="G1125" t="b">
        <v>0</v>
      </c>
      <c r="H1125">
        <v>1</v>
      </c>
    </row>
    <row r="1126" spans="1:8" x14ac:dyDescent="0.25">
      <c r="A1126" t="s">
        <v>60</v>
      </c>
      <c r="B1126" t="s">
        <v>74</v>
      </c>
      <c r="C1126">
        <v>500</v>
      </c>
      <c r="D1126" t="s">
        <v>55</v>
      </c>
      <c r="E1126" t="s">
        <v>1417</v>
      </c>
      <c r="F1126">
        <v>75</v>
      </c>
      <c r="G1126" t="b">
        <v>0</v>
      </c>
      <c r="H1126">
        <v>1</v>
      </c>
    </row>
    <row r="1127" spans="1:8" x14ac:dyDescent="0.25">
      <c r="A1127" t="s">
        <v>60</v>
      </c>
      <c r="B1127" t="s">
        <v>75</v>
      </c>
      <c r="C1127">
        <v>500</v>
      </c>
      <c r="D1127" t="s">
        <v>55</v>
      </c>
      <c r="E1127" t="s">
        <v>1417</v>
      </c>
      <c r="F1127">
        <v>75</v>
      </c>
      <c r="G1127" t="b">
        <v>0</v>
      </c>
      <c r="H1127">
        <v>1</v>
      </c>
    </row>
    <row r="1128" spans="1:8" x14ac:dyDescent="0.25">
      <c r="A1128" t="s">
        <v>60</v>
      </c>
      <c r="B1128" t="s">
        <v>76</v>
      </c>
      <c r="C1128">
        <v>500</v>
      </c>
      <c r="D1128" t="s">
        <v>55</v>
      </c>
      <c r="E1128" t="s">
        <v>1417</v>
      </c>
      <c r="F1128">
        <v>75</v>
      </c>
      <c r="G1128" t="b">
        <v>0</v>
      </c>
      <c r="H1128">
        <v>1</v>
      </c>
    </row>
    <row r="1129" spans="1:8" x14ac:dyDescent="0.25">
      <c r="A1129" t="s">
        <v>56</v>
      </c>
      <c r="B1129" t="s">
        <v>57</v>
      </c>
      <c r="C1129">
        <v>500</v>
      </c>
      <c r="D1129" t="s">
        <v>3261</v>
      </c>
      <c r="E1129" t="s">
        <v>1417</v>
      </c>
      <c r="F1129">
        <v>75</v>
      </c>
      <c r="G1129" t="b">
        <v>1</v>
      </c>
      <c r="H1129">
        <v>1</v>
      </c>
    </row>
    <row r="1130" spans="1:8" x14ac:dyDescent="0.25">
      <c r="A1130" t="s">
        <v>1993</v>
      </c>
      <c r="B1130" t="s">
        <v>1994</v>
      </c>
      <c r="C1130">
        <v>62.25</v>
      </c>
      <c r="D1130" t="s">
        <v>1979</v>
      </c>
      <c r="E1130" t="s">
        <v>1417</v>
      </c>
      <c r="F1130">
        <v>75</v>
      </c>
      <c r="G1130" t="b">
        <v>1</v>
      </c>
      <c r="H1130">
        <v>1</v>
      </c>
    </row>
    <row r="1131" spans="1:8" x14ac:dyDescent="0.25">
      <c r="A1131" t="s">
        <v>1996</v>
      </c>
      <c r="B1131" t="s">
        <v>1997</v>
      </c>
      <c r="C1131">
        <v>136.19999999999999</v>
      </c>
      <c r="D1131" t="s">
        <v>1979</v>
      </c>
      <c r="E1131" t="s">
        <v>1417</v>
      </c>
      <c r="F1131">
        <v>75</v>
      </c>
      <c r="G1131" t="b">
        <v>1</v>
      </c>
      <c r="H1131">
        <v>1</v>
      </c>
    </row>
    <row r="1132" spans="1:8" x14ac:dyDescent="0.25">
      <c r="A1132" t="s">
        <v>1987</v>
      </c>
      <c r="B1132" t="s">
        <v>1988</v>
      </c>
      <c r="C1132">
        <v>64.849999999999994</v>
      </c>
      <c r="D1132" t="s">
        <v>1979</v>
      </c>
      <c r="E1132" t="s">
        <v>1417</v>
      </c>
      <c r="F1132">
        <v>75</v>
      </c>
      <c r="G1132" t="b">
        <v>1</v>
      </c>
      <c r="H1132">
        <v>1</v>
      </c>
    </row>
    <row r="1133" spans="1:8" x14ac:dyDescent="0.25">
      <c r="A1133" t="s">
        <v>1990</v>
      </c>
      <c r="B1133" t="s">
        <v>1991</v>
      </c>
      <c r="C1133">
        <v>74</v>
      </c>
      <c r="D1133" t="s">
        <v>1979</v>
      </c>
      <c r="E1133" t="s">
        <v>1417</v>
      </c>
      <c r="F1133">
        <v>75</v>
      </c>
      <c r="G1133" t="b">
        <v>1</v>
      </c>
      <c r="H1133">
        <v>1</v>
      </c>
    </row>
    <row r="1134" spans="1:8" x14ac:dyDescent="0.25">
      <c r="A1134" t="s">
        <v>1976</v>
      </c>
      <c r="B1134" t="s">
        <v>1977</v>
      </c>
      <c r="C1134">
        <v>81.900000000000006</v>
      </c>
      <c r="D1134" t="s">
        <v>1979</v>
      </c>
      <c r="E1134" t="s">
        <v>1417</v>
      </c>
      <c r="F1134">
        <v>75</v>
      </c>
      <c r="G1134" t="b">
        <v>1</v>
      </c>
      <c r="H1134">
        <v>1</v>
      </c>
    </row>
    <row r="1135" spans="1:8" x14ac:dyDescent="0.25">
      <c r="A1135" t="s">
        <v>1980</v>
      </c>
      <c r="B1135" t="s">
        <v>1981</v>
      </c>
      <c r="C1135">
        <v>96.7</v>
      </c>
      <c r="D1135" t="s">
        <v>1979</v>
      </c>
      <c r="E1135" t="s">
        <v>1417</v>
      </c>
      <c r="F1135">
        <v>75</v>
      </c>
      <c r="G1135" t="b">
        <v>1</v>
      </c>
      <c r="H1135">
        <v>1</v>
      </c>
    </row>
    <row r="1136" spans="1:8" x14ac:dyDescent="0.25">
      <c r="A1136" t="s">
        <v>1999</v>
      </c>
      <c r="B1136" t="s">
        <v>2000</v>
      </c>
      <c r="C1136">
        <v>143.25</v>
      </c>
      <c r="D1136" t="s">
        <v>1979</v>
      </c>
      <c r="E1136" t="s">
        <v>1417</v>
      </c>
      <c r="F1136">
        <v>75</v>
      </c>
      <c r="G1136" t="b">
        <v>1</v>
      </c>
      <c r="H1136">
        <v>1</v>
      </c>
    </row>
    <row r="1137" spans="1:8" x14ac:dyDescent="0.25">
      <c r="A1137" t="s">
        <v>1984</v>
      </c>
      <c r="B1137" t="s">
        <v>1985</v>
      </c>
      <c r="C1137">
        <v>64.849999999999994</v>
      </c>
      <c r="D1137" t="s">
        <v>1979</v>
      </c>
      <c r="E1137" t="s">
        <v>1417</v>
      </c>
      <c r="F1137">
        <v>75</v>
      </c>
      <c r="G1137" t="b">
        <v>1</v>
      </c>
      <c r="H1137">
        <v>1</v>
      </c>
    </row>
    <row r="1138" spans="1:8" x14ac:dyDescent="0.25">
      <c r="A1138" t="s">
        <v>1982</v>
      </c>
      <c r="B1138" t="s">
        <v>1983</v>
      </c>
      <c r="C1138">
        <v>53.05</v>
      </c>
      <c r="D1138" t="s">
        <v>1979</v>
      </c>
      <c r="E1138" t="s">
        <v>1417</v>
      </c>
      <c r="F1138">
        <v>75</v>
      </c>
      <c r="G1138" t="b">
        <v>1</v>
      </c>
      <c r="H1138">
        <v>1</v>
      </c>
    </row>
    <row r="1139" spans="1:8" x14ac:dyDescent="0.25">
      <c r="A1139" t="s">
        <v>1866</v>
      </c>
      <c r="B1139" t="s">
        <v>1867</v>
      </c>
      <c r="C1139">
        <v>21.25</v>
      </c>
      <c r="D1139" t="s">
        <v>3127</v>
      </c>
      <c r="E1139" t="s">
        <v>1417</v>
      </c>
      <c r="F1139">
        <v>75</v>
      </c>
      <c r="G1139" t="b">
        <v>1</v>
      </c>
      <c r="H1139">
        <v>1</v>
      </c>
    </row>
    <row r="1140" spans="1:8" x14ac:dyDescent="0.25">
      <c r="A1140" t="s">
        <v>1868</v>
      </c>
      <c r="B1140" t="s">
        <v>1869</v>
      </c>
      <c r="C1140">
        <v>34.549999999999997</v>
      </c>
      <c r="D1140" t="s">
        <v>3127</v>
      </c>
      <c r="E1140" t="s">
        <v>1417</v>
      </c>
      <c r="F1140">
        <v>75</v>
      </c>
      <c r="G1140" t="b">
        <v>1</v>
      </c>
      <c r="H1140">
        <v>1</v>
      </c>
    </row>
    <row r="1141" spans="1:8" x14ac:dyDescent="0.25">
      <c r="A1141" t="s">
        <v>1863</v>
      </c>
      <c r="B1141" t="s">
        <v>1864</v>
      </c>
      <c r="C1141">
        <v>18.600000000000001</v>
      </c>
      <c r="D1141" t="s">
        <v>3127</v>
      </c>
      <c r="E1141" t="s">
        <v>1417</v>
      </c>
      <c r="F1141">
        <v>75</v>
      </c>
      <c r="G1141" t="b">
        <v>1</v>
      </c>
      <c r="H1141">
        <v>1</v>
      </c>
    </row>
    <row r="1142" spans="1:8" x14ac:dyDescent="0.25">
      <c r="A1142" t="s">
        <v>2075</v>
      </c>
      <c r="B1142" t="s">
        <v>2076</v>
      </c>
      <c r="C1142">
        <v>10.6</v>
      </c>
      <c r="D1142" t="s">
        <v>3128</v>
      </c>
      <c r="E1142" t="s">
        <v>1417</v>
      </c>
      <c r="F1142">
        <v>75</v>
      </c>
      <c r="G1142" t="b">
        <v>1</v>
      </c>
      <c r="H1142">
        <v>1</v>
      </c>
    </row>
    <row r="1143" spans="1:8" x14ac:dyDescent="0.25">
      <c r="A1143" t="s">
        <v>2189</v>
      </c>
      <c r="B1143" t="s">
        <v>2190</v>
      </c>
      <c r="C1143">
        <v>33.049999999999997</v>
      </c>
      <c r="D1143" t="s">
        <v>3128</v>
      </c>
      <c r="E1143" t="s">
        <v>1417</v>
      </c>
      <c r="F1143">
        <v>75</v>
      </c>
      <c r="G1143" t="b">
        <v>1</v>
      </c>
      <c r="H1143">
        <v>1</v>
      </c>
    </row>
    <row r="1144" spans="1:8" x14ac:dyDescent="0.25">
      <c r="A1144" t="s">
        <v>2068</v>
      </c>
      <c r="B1144" t="s">
        <v>2069</v>
      </c>
      <c r="C1144">
        <v>42.2</v>
      </c>
      <c r="D1144" t="s">
        <v>3128</v>
      </c>
      <c r="E1144" t="s">
        <v>1417</v>
      </c>
      <c r="F1144">
        <v>75</v>
      </c>
      <c r="G1144" t="b">
        <v>1</v>
      </c>
      <c r="H1144">
        <v>1</v>
      </c>
    </row>
    <row r="1145" spans="1:8" x14ac:dyDescent="0.25">
      <c r="A1145" t="s">
        <v>2192</v>
      </c>
      <c r="B1145" t="s">
        <v>2193</v>
      </c>
      <c r="C1145">
        <v>42.2</v>
      </c>
      <c r="D1145" t="s">
        <v>3128</v>
      </c>
      <c r="E1145" t="s">
        <v>1417</v>
      </c>
      <c r="F1145">
        <v>75</v>
      </c>
      <c r="G1145" t="b">
        <v>1</v>
      </c>
      <c r="H1145">
        <v>1</v>
      </c>
    </row>
    <row r="1146" spans="1:8" x14ac:dyDescent="0.25">
      <c r="A1146" t="s">
        <v>2200</v>
      </c>
      <c r="B1146" t="s">
        <v>2201</v>
      </c>
      <c r="C1146">
        <v>46.35</v>
      </c>
      <c r="D1146" t="s">
        <v>3128</v>
      </c>
      <c r="E1146" t="s">
        <v>1417</v>
      </c>
      <c r="F1146">
        <v>75</v>
      </c>
      <c r="G1146" t="b">
        <v>1</v>
      </c>
      <c r="H1146">
        <v>1</v>
      </c>
    </row>
    <row r="1147" spans="1:8" x14ac:dyDescent="0.25">
      <c r="A1147" t="s">
        <v>2203</v>
      </c>
      <c r="B1147" t="s">
        <v>2204</v>
      </c>
      <c r="C1147">
        <v>46.6</v>
      </c>
      <c r="D1147" t="s">
        <v>3128</v>
      </c>
      <c r="E1147" t="s">
        <v>1417</v>
      </c>
      <c r="F1147">
        <v>75</v>
      </c>
      <c r="G1147" t="b">
        <v>1</v>
      </c>
      <c r="H1147">
        <v>1</v>
      </c>
    </row>
    <row r="1148" spans="1:8" x14ac:dyDescent="0.25">
      <c r="A1148" t="s">
        <v>2198</v>
      </c>
      <c r="B1148" t="s">
        <v>2199</v>
      </c>
      <c r="C1148">
        <v>33.049999999999997</v>
      </c>
      <c r="D1148" t="s">
        <v>3128</v>
      </c>
      <c r="E1148" t="s">
        <v>1417</v>
      </c>
      <c r="F1148">
        <v>75</v>
      </c>
      <c r="G1148" t="b">
        <v>1</v>
      </c>
      <c r="H1148">
        <v>1</v>
      </c>
    </row>
    <row r="1149" spans="1:8" x14ac:dyDescent="0.25">
      <c r="A1149" t="s">
        <v>2195</v>
      </c>
      <c r="B1149" t="s">
        <v>2196</v>
      </c>
      <c r="C1149">
        <v>78.150000000000006</v>
      </c>
      <c r="D1149" t="s">
        <v>3128</v>
      </c>
      <c r="E1149" t="s">
        <v>1417</v>
      </c>
      <c r="F1149">
        <v>75</v>
      </c>
      <c r="G1149" t="b">
        <v>1</v>
      </c>
      <c r="H1149">
        <v>1</v>
      </c>
    </row>
    <row r="1150" spans="1:8" x14ac:dyDescent="0.25">
      <c r="A1150" t="s">
        <v>2206</v>
      </c>
      <c r="B1150" t="s">
        <v>2207</v>
      </c>
      <c r="C1150">
        <v>82.55</v>
      </c>
      <c r="D1150" t="s">
        <v>3128</v>
      </c>
      <c r="E1150" t="s">
        <v>1417</v>
      </c>
      <c r="F1150">
        <v>75</v>
      </c>
      <c r="G1150" t="b">
        <v>1</v>
      </c>
      <c r="H1150">
        <v>1</v>
      </c>
    </row>
    <row r="1151" spans="1:8" x14ac:dyDescent="0.25">
      <c r="A1151" t="s">
        <v>2209</v>
      </c>
      <c r="B1151" t="s">
        <v>2210</v>
      </c>
      <c r="C1151">
        <v>63.6</v>
      </c>
      <c r="D1151" t="s">
        <v>3128</v>
      </c>
      <c r="E1151" t="s">
        <v>1417</v>
      </c>
      <c r="F1151">
        <v>75</v>
      </c>
      <c r="G1151" t="b">
        <v>1</v>
      </c>
      <c r="H1151">
        <v>1</v>
      </c>
    </row>
    <row r="1152" spans="1:8" x14ac:dyDescent="0.25">
      <c r="A1152" t="s">
        <v>2212</v>
      </c>
      <c r="B1152" t="s">
        <v>2213</v>
      </c>
      <c r="C1152">
        <v>46.35</v>
      </c>
      <c r="D1152" t="s">
        <v>3128</v>
      </c>
      <c r="E1152" t="s">
        <v>1417</v>
      </c>
      <c r="F1152">
        <v>75</v>
      </c>
      <c r="G1152" t="b">
        <v>1</v>
      </c>
      <c r="H1152">
        <v>1</v>
      </c>
    </row>
    <row r="1153" spans="1:8" x14ac:dyDescent="0.25">
      <c r="A1153" t="s">
        <v>2071</v>
      </c>
      <c r="B1153" t="s">
        <v>2072</v>
      </c>
      <c r="C1153">
        <v>78.150000000000006</v>
      </c>
      <c r="D1153" t="s">
        <v>3128</v>
      </c>
      <c r="E1153" t="s">
        <v>1417</v>
      </c>
      <c r="F1153">
        <v>75</v>
      </c>
      <c r="G1153" t="b">
        <v>1</v>
      </c>
      <c r="H1153">
        <v>1</v>
      </c>
    </row>
    <row r="1154" spans="1:8" x14ac:dyDescent="0.25">
      <c r="A1154" t="s">
        <v>2073</v>
      </c>
      <c r="B1154" t="s">
        <v>2074</v>
      </c>
      <c r="C1154">
        <v>120</v>
      </c>
      <c r="D1154" t="s">
        <v>3128</v>
      </c>
      <c r="E1154" t="s">
        <v>1417</v>
      </c>
      <c r="F1154">
        <v>75</v>
      </c>
      <c r="G1154" t="b">
        <v>1</v>
      </c>
      <c r="H1154">
        <v>1</v>
      </c>
    </row>
    <row r="1155" spans="1:8" x14ac:dyDescent="0.25">
      <c r="A1155" t="s">
        <v>2161</v>
      </c>
      <c r="B1155" t="s">
        <v>2162</v>
      </c>
      <c r="C1155">
        <v>31.9</v>
      </c>
      <c r="D1155" t="s">
        <v>3128</v>
      </c>
      <c r="E1155" t="s">
        <v>1417</v>
      </c>
      <c r="F1155">
        <v>75</v>
      </c>
      <c r="G1155" t="b">
        <v>1</v>
      </c>
      <c r="H1155">
        <v>1</v>
      </c>
    </row>
    <row r="1156" spans="1:8" x14ac:dyDescent="0.25">
      <c r="A1156" t="s">
        <v>2169</v>
      </c>
      <c r="B1156" t="s">
        <v>2170</v>
      </c>
      <c r="C1156">
        <v>31.9</v>
      </c>
      <c r="D1156" t="s">
        <v>3128</v>
      </c>
      <c r="E1156" t="s">
        <v>1417</v>
      </c>
      <c r="F1156">
        <v>75</v>
      </c>
      <c r="G1156" t="b">
        <v>1</v>
      </c>
      <c r="H1156">
        <v>1</v>
      </c>
    </row>
    <row r="1157" spans="1:8" x14ac:dyDescent="0.25">
      <c r="A1157" t="s">
        <v>2158</v>
      </c>
      <c r="B1157" t="s">
        <v>2159</v>
      </c>
      <c r="C1157">
        <v>53.05</v>
      </c>
      <c r="D1157" t="s">
        <v>3128</v>
      </c>
      <c r="E1157" t="s">
        <v>1417</v>
      </c>
      <c r="F1157">
        <v>75</v>
      </c>
      <c r="G1157" t="b">
        <v>1</v>
      </c>
      <c r="H1157">
        <v>1</v>
      </c>
    </row>
    <row r="1158" spans="1:8" x14ac:dyDescent="0.25">
      <c r="A1158" t="s">
        <v>2062</v>
      </c>
      <c r="B1158" t="s">
        <v>2063</v>
      </c>
      <c r="C1158">
        <v>68.150000000000006</v>
      </c>
      <c r="D1158" t="s">
        <v>3128</v>
      </c>
      <c r="E1158" t="s">
        <v>1417</v>
      </c>
      <c r="F1158">
        <v>75</v>
      </c>
      <c r="G1158" t="b">
        <v>1</v>
      </c>
      <c r="H1158">
        <v>1</v>
      </c>
    </row>
    <row r="1159" spans="1:8" x14ac:dyDescent="0.25">
      <c r="A1159" t="s">
        <v>2066</v>
      </c>
      <c r="B1159" t="s">
        <v>2067</v>
      </c>
      <c r="C1159">
        <v>21.1</v>
      </c>
      <c r="D1159" t="s">
        <v>3128</v>
      </c>
      <c r="E1159" t="s">
        <v>1417</v>
      </c>
      <c r="F1159">
        <v>75</v>
      </c>
      <c r="G1159" t="b">
        <v>1</v>
      </c>
      <c r="H1159">
        <v>1</v>
      </c>
    </row>
    <row r="1160" spans="1:8" x14ac:dyDescent="0.25">
      <c r="A1160" t="s">
        <v>94</v>
      </c>
      <c r="B1160" t="s">
        <v>95</v>
      </c>
      <c r="C1160">
        <v>110</v>
      </c>
      <c r="D1160" t="s">
        <v>93</v>
      </c>
      <c r="E1160" t="s">
        <v>1417</v>
      </c>
      <c r="F1160">
        <v>75</v>
      </c>
      <c r="G1160" t="b">
        <v>1</v>
      </c>
      <c r="H1160">
        <v>1</v>
      </c>
    </row>
    <row r="1161" spans="1:8" x14ac:dyDescent="0.25">
      <c r="A1161" t="s">
        <v>97</v>
      </c>
      <c r="B1161" t="s">
        <v>98</v>
      </c>
      <c r="C1161">
        <v>105</v>
      </c>
      <c r="D1161" t="s">
        <v>93</v>
      </c>
      <c r="E1161" t="s">
        <v>1417</v>
      </c>
      <c r="F1161">
        <v>75</v>
      </c>
      <c r="G1161" t="b">
        <v>1</v>
      </c>
      <c r="H1161">
        <v>1</v>
      </c>
    </row>
    <row r="1162" spans="1:8" x14ac:dyDescent="0.25">
      <c r="A1162" t="s">
        <v>100</v>
      </c>
      <c r="B1162" t="s">
        <v>101</v>
      </c>
      <c r="C1162">
        <v>120</v>
      </c>
      <c r="D1162" t="s">
        <v>93</v>
      </c>
      <c r="E1162" t="s">
        <v>1417</v>
      </c>
      <c r="F1162">
        <v>75</v>
      </c>
      <c r="G1162" t="b">
        <v>1</v>
      </c>
      <c r="H1162">
        <v>1</v>
      </c>
    </row>
    <row r="1163" spans="1:8" x14ac:dyDescent="0.25">
      <c r="A1163" t="s">
        <v>103</v>
      </c>
      <c r="B1163" t="s">
        <v>104</v>
      </c>
      <c r="C1163">
        <v>145</v>
      </c>
      <c r="D1163" t="s">
        <v>93</v>
      </c>
      <c r="E1163" t="s">
        <v>1417</v>
      </c>
      <c r="F1163">
        <v>75</v>
      </c>
      <c r="G1163" t="b">
        <v>1</v>
      </c>
      <c r="H1163">
        <v>1</v>
      </c>
    </row>
    <row r="1164" spans="1:8" x14ac:dyDescent="0.25">
      <c r="A1164" t="s">
        <v>106</v>
      </c>
      <c r="B1164" t="s">
        <v>107</v>
      </c>
      <c r="C1164">
        <v>338</v>
      </c>
      <c r="D1164" t="s">
        <v>93</v>
      </c>
      <c r="E1164" t="s">
        <v>1417</v>
      </c>
      <c r="F1164">
        <v>75</v>
      </c>
      <c r="G1164" t="b">
        <v>1</v>
      </c>
      <c r="H1164">
        <v>1</v>
      </c>
    </row>
    <row r="1165" spans="1:8" x14ac:dyDescent="0.25">
      <c r="A1165" t="s">
        <v>91</v>
      </c>
      <c r="B1165" t="s">
        <v>92</v>
      </c>
      <c r="C1165">
        <v>500</v>
      </c>
      <c r="D1165" t="s">
        <v>93</v>
      </c>
      <c r="E1165" t="s">
        <v>1417</v>
      </c>
      <c r="F1165">
        <v>75</v>
      </c>
      <c r="G1165" t="b">
        <v>1</v>
      </c>
      <c r="H1165">
        <v>1</v>
      </c>
    </row>
    <row r="1166" spans="1:8" x14ac:dyDescent="0.25">
      <c r="A1166" t="s">
        <v>2231</v>
      </c>
      <c r="B1166" t="s">
        <v>2232</v>
      </c>
      <c r="C1166">
        <v>42.2</v>
      </c>
      <c r="D1166" t="s">
        <v>3132</v>
      </c>
      <c r="E1166" t="s">
        <v>1417</v>
      </c>
      <c r="F1166">
        <v>75</v>
      </c>
      <c r="G1166" t="b">
        <v>1</v>
      </c>
      <c r="H1166">
        <v>1</v>
      </c>
    </row>
    <row r="1167" spans="1:8" x14ac:dyDescent="0.25">
      <c r="A1167" t="s">
        <v>2233</v>
      </c>
      <c r="B1167" t="s">
        <v>2234</v>
      </c>
      <c r="C1167">
        <v>42.5</v>
      </c>
      <c r="D1167" t="s">
        <v>3132</v>
      </c>
      <c r="E1167" t="s">
        <v>1417</v>
      </c>
      <c r="F1167">
        <v>75</v>
      </c>
      <c r="G1167" t="b">
        <v>1</v>
      </c>
      <c r="H1167">
        <v>1</v>
      </c>
    </row>
    <row r="1168" spans="1:8" x14ac:dyDescent="0.25">
      <c r="A1168" t="s">
        <v>2240</v>
      </c>
      <c r="B1168" t="s">
        <v>2241</v>
      </c>
      <c r="C1168">
        <v>97.6</v>
      </c>
      <c r="D1168" t="s">
        <v>3132</v>
      </c>
      <c r="E1168" t="s">
        <v>1417</v>
      </c>
      <c r="F1168">
        <v>75</v>
      </c>
      <c r="G1168" t="b">
        <v>1</v>
      </c>
      <c r="H1168">
        <v>1</v>
      </c>
    </row>
    <row r="1169" spans="1:8" x14ac:dyDescent="0.25">
      <c r="A1169" t="s">
        <v>2218</v>
      </c>
      <c r="B1169" t="s">
        <v>2219</v>
      </c>
      <c r="C1169">
        <v>500</v>
      </c>
      <c r="D1169" t="s">
        <v>3132</v>
      </c>
      <c r="E1169" t="s">
        <v>1417</v>
      </c>
      <c r="F1169">
        <v>75</v>
      </c>
      <c r="G1169" t="b">
        <v>0</v>
      </c>
      <c r="H1169">
        <v>1</v>
      </c>
    </row>
    <row r="1170" spans="1:8" x14ac:dyDescent="0.25">
      <c r="A1170" t="s">
        <v>2218</v>
      </c>
      <c r="B1170" t="s">
        <v>2221</v>
      </c>
      <c r="C1170">
        <v>500</v>
      </c>
      <c r="D1170" t="s">
        <v>3132</v>
      </c>
      <c r="E1170" t="s">
        <v>1417</v>
      </c>
      <c r="F1170">
        <v>75</v>
      </c>
      <c r="G1170" t="b">
        <v>0</v>
      </c>
      <c r="H1170">
        <v>1</v>
      </c>
    </row>
    <row r="1171" spans="1:8" x14ac:dyDescent="0.25">
      <c r="A1171" t="s">
        <v>465</v>
      </c>
      <c r="B1171" t="s">
        <v>466</v>
      </c>
      <c r="C1171">
        <v>219.9</v>
      </c>
      <c r="D1171" t="s">
        <v>3134</v>
      </c>
      <c r="E1171" t="s">
        <v>1417</v>
      </c>
      <c r="F1171">
        <v>75</v>
      </c>
      <c r="G1171" t="b">
        <v>1</v>
      </c>
      <c r="H1171">
        <v>1</v>
      </c>
    </row>
    <row r="1172" spans="1:8" x14ac:dyDescent="0.25">
      <c r="A1172" t="s">
        <v>470</v>
      </c>
      <c r="B1172" t="s">
        <v>471</v>
      </c>
      <c r="C1172">
        <v>312.89999999999998</v>
      </c>
      <c r="D1172" t="s">
        <v>3134</v>
      </c>
      <c r="E1172" t="s">
        <v>1417</v>
      </c>
      <c r="F1172">
        <v>75</v>
      </c>
      <c r="G1172" t="b">
        <v>1</v>
      </c>
      <c r="H1172">
        <v>1</v>
      </c>
    </row>
    <row r="1173" spans="1:8" x14ac:dyDescent="0.25">
      <c r="A1173" t="s">
        <v>475</v>
      </c>
      <c r="B1173" t="s">
        <v>476</v>
      </c>
      <c r="C1173">
        <v>90.25</v>
      </c>
      <c r="D1173" t="s">
        <v>3134</v>
      </c>
      <c r="E1173" t="s">
        <v>1417</v>
      </c>
      <c r="F1173">
        <v>75</v>
      </c>
      <c r="G1173" t="b">
        <v>1</v>
      </c>
      <c r="H1173">
        <v>1</v>
      </c>
    </row>
    <row r="1174" spans="1:8" x14ac:dyDescent="0.25">
      <c r="A1174" t="s">
        <v>1876</v>
      </c>
      <c r="B1174" t="s">
        <v>1877</v>
      </c>
      <c r="D1174" t="s">
        <v>3134</v>
      </c>
      <c r="E1174" t="s">
        <v>1417</v>
      </c>
      <c r="F1174">
        <v>75</v>
      </c>
      <c r="G1174" t="b">
        <v>0</v>
      </c>
      <c r="H1174">
        <v>1</v>
      </c>
    </row>
    <row r="1175" spans="1:8" x14ac:dyDescent="0.25">
      <c r="A1175" t="s">
        <v>1903</v>
      </c>
      <c r="B1175" t="s">
        <v>3138</v>
      </c>
      <c r="C1175">
        <v>70.45</v>
      </c>
      <c r="D1175" t="s">
        <v>3134</v>
      </c>
      <c r="E1175" t="s">
        <v>1417</v>
      </c>
      <c r="F1175">
        <v>75</v>
      </c>
      <c r="G1175" t="b">
        <v>1</v>
      </c>
      <c r="H1175">
        <v>1</v>
      </c>
    </row>
    <row r="1176" spans="1:8" x14ac:dyDescent="0.25">
      <c r="A1176" t="s">
        <v>1879</v>
      </c>
      <c r="B1176" t="s">
        <v>1880</v>
      </c>
      <c r="C1176">
        <v>138.9</v>
      </c>
      <c r="D1176" t="s">
        <v>3134</v>
      </c>
      <c r="E1176" t="s">
        <v>1417</v>
      </c>
      <c r="F1176">
        <v>75</v>
      </c>
      <c r="G1176" t="b">
        <v>1</v>
      </c>
      <c r="H1176">
        <v>1</v>
      </c>
    </row>
    <row r="1177" spans="1:8" x14ac:dyDescent="0.25">
      <c r="A1177" t="s">
        <v>1907</v>
      </c>
      <c r="B1177" t="s">
        <v>3139</v>
      </c>
      <c r="C1177">
        <v>117.95</v>
      </c>
      <c r="D1177" t="s">
        <v>3134</v>
      </c>
      <c r="E1177" t="s">
        <v>1417</v>
      </c>
      <c r="F1177">
        <v>75</v>
      </c>
      <c r="G1177" t="b">
        <v>1</v>
      </c>
      <c r="H1177">
        <v>1</v>
      </c>
    </row>
    <row r="1178" spans="1:8" x14ac:dyDescent="0.25">
      <c r="A1178" t="s">
        <v>1881</v>
      </c>
      <c r="B1178" t="s">
        <v>1882</v>
      </c>
      <c r="C1178">
        <v>95</v>
      </c>
      <c r="D1178" t="s">
        <v>3134</v>
      </c>
      <c r="E1178" t="s">
        <v>1417</v>
      </c>
      <c r="F1178">
        <v>75</v>
      </c>
      <c r="G1178" t="b">
        <v>1</v>
      </c>
      <c r="H1178">
        <v>1</v>
      </c>
    </row>
    <row r="1179" spans="1:8" x14ac:dyDescent="0.25">
      <c r="A1179" t="s">
        <v>1909</v>
      </c>
      <c r="B1179" t="s">
        <v>3140</v>
      </c>
      <c r="C1179">
        <v>210.8</v>
      </c>
      <c r="D1179" t="s">
        <v>3134</v>
      </c>
      <c r="E1179" t="s">
        <v>1417</v>
      </c>
      <c r="F1179">
        <v>75</v>
      </c>
      <c r="G1179" t="b">
        <v>1</v>
      </c>
      <c r="H1179">
        <v>1</v>
      </c>
    </row>
    <row r="1180" spans="1:8" x14ac:dyDescent="0.25">
      <c r="A1180" t="s">
        <v>1909</v>
      </c>
      <c r="B1180" t="s">
        <v>3262</v>
      </c>
      <c r="C1180">
        <v>276.5</v>
      </c>
      <c r="D1180" t="s">
        <v>3134</v>
      </c>
      <c r="E1180" t="s">
        <v>1417</v>
      </c>
      <c r="F1180">
        <v>75</v>
      </c>
      <c r="G1180" t="b">
        <v>1</v>
      </c>
      <c r="H1180">
        <v>1</v>
      </c>
    </row>
    <row r="1181" spans="1:8" x14ac:dyDescent="0.25">
      <c r="A1181" t="s">
        <v>1914</v>
      </c>
      <c r="B1181" t="s">
        <v>3135</v>
      </c>
      <c r="C1181">
        <v>294.2</v>
      </c>
      <c r="D1181" t="s">
        <v>3134</v>
      </c>
      <c r="E1181" t="s">
        <v>1417</v>
      </c>
      <c r="F1181">
        <v>75</v>
      </c>
      <c r="G1181" t="b">
        <v>1</v>
      </c>
      <c r="H1181">
        <v>1</v>
      </c>
    </row>
    <row r="1182" spans="1:8" x14ac:dyDescent="0.25">
      <c r="A1182" t="s">
        <v>1916</v>
      </c>
      <c r="B1182" t="s">
        <v>1917</v>
      </c>
      <c r="C1182">
        <v>311.45</v>
      </c>
      <c r="D1182" t="s">
        <v>3134</v>
      </c>
      <c r="E1182" t="s">
        <v>1417</v>
      </c>
      <c r="F1182">
        <v>75</v>
      </c>
      <c r="G1182" t="b">
        <v>1</v>
      </c>
      <c r="H1182">
        <v>1</v>
      </c>
    </row>
    <row r="1183" spans="1:8" x14ac:dyDescent="0.25">
      <c r="A1183" t="s">
        <v>1961</v>
      </c>
      <c r="B1183" t="s">
        <v>1962</v>
      </c>
      <c r="C1183">
        <v>14.45</v>
      </c>
      <c r="D1183" t="s">
        <v>3134</v>
      </c>
      <c r="E1183" t="s">
        <v>1417</v>
      </c>
      <c r="F1183">
        <v>75</v>
      </c>
      <c r="G1183" t="b">
        <v>1</v>
      </c>
      <c r="H1183">
        <v>1</v>
      </c>
    </row>
    <row r="1184" spans="1:8" x14ac:dyDescent="0.25">
      <c r="A1184" t="s">
        <v>1964</v>
      </c>
      <c r="B1184" t="s">
        <v>1965</v>
      </c>
      <c r="C1184">
        <v>33.049999999999997</v>
      </c>
      <c r="D1184" t="s">
        <v>3134</v>
      </c>
      <c r="E1184" t="s">
        <v>1417</v>
      </c>
      <c r="F1184">
        <v>75</v>
      </c>
      <c r="G1184" t="b">
        <v>1</v>
      </c>
      <c r="H1184">
        <v>1</v>
      </c>
    </row>
    <row r="1185" spans="1:8" x14ac:dyDescent="0.25">
      <c r="A1185" t="s">
        <v>1967</v>
      </c>
      <c r="B1185" t="s">
        <v>1968</v>
      </c>
      <c r="C1185">
        <v>33.049999999999997</v>
      </c>
      <c r="D1185" t="s">
        <v>3134</v>
      </c>
      <c r="E1185" t="s">
        <v>1417</v>
      </c>
      <c r="F1185">
        <v>75</v>
      </c>
      <c r="G1185" t="b">
        <v>1</v>
      </c>
      <c r="H1185">
        <v>1</v>
      </c>
    </row>
    <row r="1186" spans="1:8" x14ac:dyDescent="0.25">
      <c r="A1186" t="s">
        <v>1970</v>
      </c>
      <c r="B1186" t="s">
        <v>1971</v>
      </c>
      <c r="C1186">
        <v>35.700000000000003</v>
      </c>
      <c r="D1186" t="s">
        <v>3134</v>
      </c>
      <c r="E1186" t="s">
        <v>1417</v>
      </c>
      <c r="F1186">
        <v>75</v>
      </c>
      <c r="G1186" t="b">
        <v>1</v>
      </c>
      <c r="H1186">
        <v>1</v>
      </c>
    </row>
    <row r="1187" spans="1:8" x14ac:dyDescent="0.25">
      <c r="A1187" t="s">
        <v>1930</v>
      </c>
      <c r="B1187" t="s">
        <v>1931</v>
      </c>
      <c r="C1187">
        <v>38.700000000000003</v>
      </c>
      <c r="D1187" t="s">
        <v>3134</v>
      </c>
      <c r="E1187" t="s">
        <v>1417</v>
      </c>
      <c r="F1187">
        <v>75</v>
      </c>
      <c r="G1187" t="b">
        <v>1</v>
      </c>
      <c r="H1187">
        <v>1</v>
      </c>
    </row>
    <row r="1188" spans="1:8" x14ac:dyDescent="0.25">
      <c r="A1188" t="s">
        <v>1932</v>
      </c>
      <c r="B1188" t="s">
        <v>1933</v>
      </c>
      <c r="C1188">
        <v>14.45</v>
      </c>
      <c r="D1188" t="s">
        <v>3134</v>
      </c>
      <c r="E1188" t="s">
        <v>1417</v>
      </c>
      <c r="F1188">
        <v>75</v>
      </c>
      <c r="G1188" t="b">
        <v>1</v>
      </c>
      <c r="H1188">
        <v>1</v>
      </c>
    </row>
    <row r="1189" spans="1:8" x14ac:dyDescent="0.25">
      <c r="A1189" t="s">
        <v>1934</v>
      </c>
      <c r="B1189" t="s">
        <v>1935</v>
      </c>
      <c r="C1189">
        <v>14.45</v>
      </c>
      <c r="D1189" t="s">
        <v>3134</v>
      </c>
      <c r="E1189" t="s">
        <v>1417</v>
      </c>
      <c r="F1189">
        <v>75</v>
      </c>
      <c r="G1189" t="b">
        <v>1</v>
      </c>
      <c r="H1189">
        <v>1</v>
      </c>
    </row>
    <row r="1190" spans="1:8" x14ac:dyDescent="0.25">
      <c r="A1190" t="s">
        <v>1896</v>
      </c>
      <c r="B1190" t="s">
        <v>1897</v>
      </c>
      <c r="C1190">
        <v>20.45</v>
      </c>
      <c r="D1190" t="s">
        <v>3134</v>
      </c>
      <c r="E1190" t="s">
        <v>1417</v>
      </c>
      <c r="F1190">
        <v>75</v>
      </c>
      <c r="G1190" t="b">
        <v>1</v>
      </c>
      <c r="H1190">
        <v>1</v>
      </c>
    </row>
    <row r="1191" spans="1:8" x14ac:dyDescent="0.25">
      <c r="A1191" t="s">
        <v>1936</v>
      </c>
      <c r="B1191" t="s">
        <v>1937</v>
      </c>
      <c r="C1191">
        <v>27.75</v>
      </c>
      <c r="D1191" t="s">
        <v>3134</v>
      </c>
      <c r="E1191" t="s">
        <v>1417</v>
      </c>
      <c r="F1191">
        <v>75</v>
      </c>
      <c r="G1191" t="b">
        <v>1</v>
      </c>
      <c r="H1191">
        <v>1</v>
      </c>
    </row>
    <row r="1192" spans="1:8" x14ac:dyDescent="0.25">
      <c r="A1192" t="s">
        <v>1939</v>
      </c>
      <c r="B1192" t="s">
        <v>1940</v>
      </c>
      <c r="C1192">
        <v>54.3</v>
      </c>
      <c r="D1192" t="s">
        <v>3134</v>
      </c>
      <c r="E1192" t="s">
        <v>1417</v>
      </c>
      <c r="F1192">
        <v>75</v>
      </c>
      <c r="G1192" t="b">
        <v>1</v>
      </c>
      <c r="H1192">
        <v>1</v>
      </c>
    </row>
    <row r="1193" spans="1:8" x14ac:dyDescent="0.25">
      <c r="A1193" t="s">
        <v>1942</v>
      </c>
      <c r="B1193" t="s">
        <v>1943</v>
      </c>
      <c r="C1193">
        <v>66.349999999999994</v>
      </c>
      <c r="D1193" t="s">
        <v>3134</v>
      </c>
      <c r="E1193" t="s">
        <v>1417</v>
      </c>
      <c r="F1193">
        <v>75</v>
      </c>
      <c r="G1193" t="b">
        <v>1</v>
      </c>
      <c r="H1193">
        <v>1</v>
      </c>
    </row>
    <row r="1194" spans="1:8" x14ac:dyDescent="0.25">
      <c r="A1194" t="s">
        <v>1912</v>
      </c>
      <c r="B1194" t="s">
        <v>3142</v>
      </c>
      <c r="C1194">
        <v>262.35000000000002</v>
      </c>
      <c r="D1194" t="s">
        <v>3134</v>
      </c>
      <c r="E1194" t="s">
        <v>1417</v>
      </c>
      <c r="F1194">
        <v>75</v>
      </c>
      <c r="G1194" t="b">
        <v>1</v>
      </c>
      <c r="H1194">
        <v>1</v>
      </c>
    </row>
    <row r="1195" spans="1:8" x14ac:dyDescent="0.25">
      <c r="A1195" t="s">
        <v>1905</v>
      </c>
      <c r="B1195" t="s">
        <v>3141</v>
      </c>
      <c r="C1195">
        <v>141.5</v>
      </c>
      <c r="D1195" t="s">
        <v>3134</v>
      </c>
      <c r="E1195" t="s">
        <v>1417</v>
      </c>
      <c r="F1195">
        <v>75</v>
      </c>
      <c r="G1195" t="b">
        <v>1</v>
      </c>
      <c r="H1195">
        <v>1</v>
      </c>
    </row>
    <row r="1196" spans="1:8" x14ac:dyDescent="0.25">
      <c r="A1196" t="s">
        <v>1918</v>
      </c>
      <c r="B1196" t="s">
        <v>3136</v>
      </c>
      <c r="C1196">
        <v>312.45</v>
      </c>
      <c r="D1196" t="s">
        <v>3134</v>
      </c>
      <c r="E1196" t="s">
        <v>1417</v>
      </c>
      <c r="F1196">
        <v>75</v>
      </c>
      <c r="G1196" t="b">
        <v>1</v>
      </c>
      <c r="H1196">
        <v>1</v>
      </c>
    </row>
    <row r="1197" spans="1:8" x14ac:dyDescent="0.25">
      <c r="A1197" t="s">
        <v>1920</v>
      </c>
      <c r="B1197" t="s">
        <v>1921</v>
      </c>
      <c r="C1197">
        <v>447</v>
      </c>
      <c r="D1197" t="s">
        <v>3134</v>
      </c>
      <c r="E1197" t="s">
        <v>1417</v>
      </c>
      <c r="F1197">
        <v>75</v>
      </c>
      <c r="G1197" t="b">
        <v>1</v>
      </c>
      <c r="H1197">
        <v>1</v>
      </c>
    </row>
    <row r="1198" spans="1:8" x14ac:dyDescent="0.25">
      <c r="A1198" t="s">
        <v>1973</v>
      </c>
      <c r="B1198" t="s">
        <v>1974</v>
      </c>
      <c r="C1198">
        <v>33.049999999999997</v>
      </c>
      <c r="D1198" t="s">
        <v>3134</v>
      </c>
      <c r="E1198" t="s">
        <v>1417</v>
      </c>
      <c r="F1198">
        <v>75</v>
      </c>
      <c r="G1198" t="b">
        <v>1</v>
      </c>
      <c r="H1198">
        <v>1</v>
      </c>
    </row>
    <row r="1199" spans="1:8" x14ac:dyDescent="0.25">
      <c r="A1199" t="s">
        <v>1870</v>
      </c>
      <c r="B1199" t="s">
        <v>1871</v>
      </c>
      <c r="C1199">
        <v>13.9</v>
      </c>
      <c r="D1199" t="s">
        <v>3134</v>
      </c>
      <c r="E1199" t="s">
        <v>1417</v>
      </c>
      <c r="F1199">
        <v>75</v>
      </c>
      <c r="G1199" t="b">
        <v>1</v>
      </c>
      <c r="H1199">
        <v>1</v>
      </c>
    </row>
    <row r="1200" spans="1:8" x14ac:dyDescent="0.25">
      <c r="A1200" t="s">
        <v>1874</v>
      </c>
      <c r="B1200" t="s">
        <v>1875</v>
      </c>
      <c r="C1200">
        <v>13.9</v>
      </c>
      <c r="D1200" t="s">
        <v>3134</v>
      </c>
      <c r="E1200" t="s">
        <v>1417</v>
      </c>
      <c r="F1200">
        <v>75</v>
      </c>
      <c r="G1200" t="b">
        <v>1</v>
      </c>
      <c r="H1200">
        <v>1</v>
      </c>
    </row>
    <row r="1201" spans="1:8" x14ac:dyDescent="0.25">
      <c r="A1201" t="s">
        <v>1956</v>
      </c>
      <c r="B1201" t="s">
        <v>1957</v>
      </c>
      <c r="C1201">
        <v>13.9</v>
      </c>
      <c r="D1201" t="s">
        <v>3134</v>
      </c>
      <c r="E1201" t="s">
        <v>1417</v>
      </c>
      <c r="F1201">
        <v>75</v>
      </c>
      <c r="G1201" t="b">
        <v>1</v>
      </c>
      <c r="H1201">
        <v>1</v>
      </c>
    </row>
    <row r="1202" spans="1:8" x14ac:dyDescent="0.25">
      <c r="A1202" t="s">
        <v>1959</v>
      </c>
      <c r="B1202" t="s">
        <v>1960</v>
      </c>
      <c r="C1202">
        <v>2.7</v>
      </c>
      <c r="D1202" t="s">
        <v>3134</v>
      </c>
      <c r="E1202" t="s">
        <v>1417</v>
      </c>
      <c r="F1202">
        <v>75</v>
      </c>
      <c r="G1202" t="b">
        <v>1</v>
      </c>
      <c r="H1202">
        <v>1</v>
      </c>
    </row>
    <row r="1203" spans="1:8" x14ac:dyDescent="0.25">
      <c r="A1203" t="s">
        <v>1883</v>
      </c>
      <c r="B1203" t="s">
        <v>1884</v>
      </c>
      <c r="C1203">
        <v>500</v>
      </c>
      <c r="D1203" t="s">
        <v>3134</v>
      </c>
      <c r="E1203" t="s">
        <v>1417</v>
      </c>
      <c r="F1203">
        <v>75</v>
      </c>
      <c r="G1203" t="b">
        <v>0</v>
      </c>
      <c r="H1203">
        <v>1</v>
      </c>
    </row>
    <row r="1204" spans="1:8" x14ac:dyDescent="0.25">
      <c r="A1204" t="s">
        <v>1883</v>
      </c>
      <c r="B1204" t="s">
        <v>1885</v>
      </c>
      <c r="C1204">
        <v>500</v>
      </c>
      <c r="D1204" t="s">
        <v>3134</v>
      </c>
      <c r="E1204" t="s">
        <v>1417</v>
      </c>
      <c r="F1204">
        <v>75</v>
      </c>
      <c r="G1204" t="b">
        <v>0</v>
      </c>
      <c r="H1204">
        <v>1</v>
      </c>
    </row>
    <row r="1205" spans="1:8" x14ac:dyDescent="0.25">
      <c r="A1205" t="s">
        <v>1883</v>
      </c>
      <c r="B1205" t="s">
        <v>1886</v>
      </c>
      <c r="C1205">
        <v>500</v>
      </c>
      <c r="D1205" t="s">
        <v>3134</v>
      </c>
      <c r="E1205" t="s">
        <v>1417</v>
      </c>
      <c r="F1205">
        <v>75</v>
      </c>
      <c r="G1205" t="b">
        <v>0</v>
      </c>
      <c r="H1205">
        <v>1</v>
      </c>
    </row>
    <row r="1206" spans="1:8" x14ac:dyDescent="0.25">
      <c r="A1206" t="s">
        <v>1883</v>
      </c>
      <c r="B1206" t="s">
        <v>1887</v>
      </c>
      <c r="C1206">
        <v>500</v>
      </c>
      <c r="D1206" t="s">
        <v>3134</v>
      </c>
      <c r="E1206" t="s">
        <v>1417</v>
      </c>
      <c r="F1206">
        <v>75</v>
      </c>
      <c r="G1206" t="b">
        <v>0</v>
      </c>
      <c r="H1206">
        <v>1</v>
      </c>
    </row>
    <row r="1207" spans="1:8" x14ac:dyDescent="0.25">
      <c r="A1207" t="s">
        <v>1883</v>
      </c>
      <c r="B1207" t="s">
        <v>1888</v>
      </c>
      <c r="C1207">
        <v>500</v>
      </c>
      <c r="D1207" t="s">
        <v>3134</v>
      </c>
      <c r="E1207" t="s">
        <v>1417</v>
      </c>
      <c r="F1207">
        <v>75</v>
      </c>
      <c r="G1207" t="b">
        <v>0</v>
      </c>
      <c r="H1207">
        <v>1</v>
      </c>
    </row>
    <row r="1208" spans="1:8" x14ac:dyDescent="0.25">
      <c r="A1208" t="s">
        <v>1883</v>
      </c>
      <c r="B1208" t="s">
        <v>1889</v>
      </c>
      <c r="C1208">
        <v>500</v>
      </c>
      <c r="D1208" t="s">
        <v>3134</v>
      </c>
      <c r="E1208" t="s">
        <v>1417</v>
      </c>
      <c r="F1208">
        <v>75</v>
      </c>
      <c r="G1208" t="b">
        <v>0</v>
      </c>
      <c r="H1208">
        <v>1</v>
      </c>
    </row>
    <row r="1209" spans="1:8" x14ac:dyDescent="0.25">
      <c r="A1209" t="s">
        <v>1883</v>
      </c>
      <c r="B1209" t="s">
        <v>1890</v>
      </c>
      <c r="C1209">
        <v>500</v>
      </c>
      <c r="D1209" t="s">
        <v>3134</v>
      </c>
      <c r="E1209" t="s">
        <v>1417</v>
      </c>
      <c r="F1209">
        <v>75</v>
      </c>
      <c r="G1209" t="b">
        <v>0</v>
      </c>
      <c r="H1209">
        <v>1</v>
      </c>
    </row>
    <row r="1210" spans="1:8" x14ac:dyDescent="0.25">
      <c r="A1210" t="s">
        <v>1883</v>
      </c>
      <c r="B1210" t="s">
        <v>1891</v>
      </c>
      <c r="C1210">
        <v>500</v>
      </c>
      <c r="D1210" t="s">
        <v>3134</v>
      </c>
      <c r="E1210" t="s">
        <v>1417</v>
      </c>
      <c r="F1210">
        <v>75</v>
      </c>
      <c r="G1210" t="b">
        <v>0</v>
      </c>
      <c r="H1210">
        <v>1</v>
      </c>
    </row>
    <row r="1211" spans="1:8" x14ac:dyDescent="0.25">
      <c r="A1211" t="s">
        <v>1883</v>
      </c>
      <c r="B1211" t="s">
        <v>1892</v>
      </c>
      <c r="C1211">
        <v>500</v>
      </c>
      <c r="D1211" t="s">
        <v>3134</v>
      </c>
      <c r="E1211" t="s">
        <v>1417</v>
      </c>
      <c r="F1211">
        <v>75</v>
      </c>
      <c r="G1211" t="b">
        <v>0</v>
      </c>
      <c r="H1211">
        <v>1</v>
      </c>
    </row>
    <row r="1212" spans="1:8" x14ac:dyDescent="0.25">
      <c r="A1212" t="s">
        <v>1883</v>
      </c>
      <c r="B1212" t="s">
        <v>1893</v>
      </c>
      <c r="C1212">
        <v>500</v>
      </c>
      <c r="D1212" t="s">
        <v>3134</v>
      </c>
      <c r="E1212" t="s">
        <v>1417</v>
      </c>
      <c r="F1212">
        <v>75</v>
      </c>
      <c r="G1212" t="b">
        <v>0</v>
      </c>
      <c r="H1212">
        <v>1</v>
      </c>
    </row>
    <row r="1213" spans="1:8" x14ac:dyDescent="0.25">
      <c r="A1213" t="s">
        <v>1883</v>
      </c>
      <c r="B1213" t="s">
        <v>1894</v>
      </c>
      <c r="C1213">
        <v>500</v>
      </c>
      <c r="D1213" t="s">
        <v>3134</v>
      </c>
      <c r="E1213" t="s">
        <v>1417</v>
      </c>
      <c r="F1213">
        <v>75</v>
      </c>
      <c r="G1213" t="b">
        <v>0</v>
      </c>
      <c r="H1213">
        <v>1</v>
      </c>
    </row>
    <row r="1214" spans="1:8" x14ac:dyDescent="0.25">
      <c r="A1214" t="s">
        <v>1883</v>
      </c>
      <c r="B1214" t="s">
        <v>1895</v>
      </c>
      <c r="C1214">
        <v>500</v>
      </c>
      <c r="D1214" t="s">
        <v>3134</v>
      </c>
      <c r="E1214" t="s">
        <v>1417</v>
      </c>
      <c r="F1214">
        <v>75</v>
      </c>
      <c r="G1214" t="b">
        <v>0</v>
      </c>
      <c r="H1214">
        <v>1</v>
      </c>
    </row>
    <row r="1215" spans="1:8" x14ac:dyDescent="0.25">
      <c r="A1215" t="s">
        <v>2305</v>
      </c>
      <c r="B1215" t="s">
        <v>2306</v>
      </c>
      <c r="C1215">
        <v>33.049999999999997</v>
      </c>
      <c r="D1215" t="s">
        <v>3263</v>
      </c>
      <c r="E1215" t="s">
        <v>945</v>
      </c>
      <c r="F1215">
        <v>75</v>
      </c>
      <c r="G1215" t="b">
        <v>1</v>
      </c>
      <c r="H1215">
        <v>1</v>
      </c>
    </row>
    <row r="1216" spans="1:8" x14ac:dyDescent="0.25">
      <c r="A1216" t="s">
        <v>3145</v>
      </c>
      <c r="B1216" t="s">
        <v>2941</v>
      </c>
      <c r="C1216">
        <v>55.45</v>
      </c>
      <c r="D1216" t="s">
        <v>3146</v>
      </c>
      <c r="E1216" t="s">
        <v>1417</v>
      </c>
      <c r="F1216">
        <v>75</v>
      </c>
      <c r="G1216" t="b">
        <v>1</v>
      </c>
      <c r="H1216">
        <v>1</v>
      </c>
    </row>
    <row r="1217" spans="1:8" x14ac:dyDescent="0.25">
      <c r="A1217" t="s">
        <v>2314</v>
      </c>
      <c r="B1217" t="s">
        <v>2315</v>
      </c>
      <c r="C1217">
        <v>181.35</v>
      </c>
      <c r="D1217" t="s">
        <v>3146</v>
      </c>
      <c r="E1217" t="s">
        <v>1417</v>
      </c>
      <c r="F1217">
        <v>75</v>
      </c>
      <c r="G1217" t="b">
        <v>1</v>
      </c>
      <c r="H1217">
        <v>1</v>
      </c>
    </row>
    <row r="1218" spans="1:8" x14ac:dyDescent="0.25">
      <c r="A1218" t="s">
        <v>2289</v>
      </c>
      <c r="B1218" t="s">
        <v>2290</v>
      </c>
      <c r="C1218">
        <v>181.35</v>
      </c>
      <c r="D1218" t="s">
        <v>3146</v>
      </c>
      <c r="E1218" t="s">
        <v>1417</v>
      </c>
      <c r="F1218">
        <v>75</v>
      </c>
      <c r="G1218" t="b">
        <v>1</v>
      </c>
      <c r="H1218">
        <v>1</v>
      </c>
    </row>
    <row r="1219" spans="1:8" x14ac:dyDescent="0.25">
      <c r="A1219" t="s">
        <v>2319</v>
      </c>
      <c r="B1219" t="s">
        <v>2320</v>
      </c>
      <c r="C1219">
        <v>150.05000000000001</v>
      </c>
      <c r="D1219" t="s">
        <v>3146</v>
      </c>
      <c r="E1219" t="s">
        <v>1417</v>
      </c>
      <c r="F1219">
        <v>75</v>
      </c>
      <c r="G1219" t="b">
        <v>1</v>
      </c>
      <c r="H1219">
        <v>1</v>
      </c>
    </row>
    <row r="1220" spans="1:8" x14ac:dyDescent="0.25">
      <c r="A1220" t="s">
        <v>2317</v>
      </c>
      <c r="B1220" t="s">
        <v>2318</v>
      </c>
      <c r="C1220">
        <v>117.95</v>
      </c>
      <c r="D1220" t="s">
        <v>3146</v>
      </c>
      <c r="E1220" t="s">
        <v>1417</v>
      </c>
      <c r="F1220">
        <v>75</v>
      </c>
      <c r="G1220" t="b">
        <v>1</v>
      </c>
      <c r="H1220">
        <v>1</v>
      </c>
    </row>
    <row r="1221" spans="1:8" x14ac:dyDescent="0.25">
      <c r="A1221" t="s">
        <v>2293</v>
      </c>
      <c r="B1221" t="s">
        <v>2294</v>
      </c>
      <c r="C1221">
        <v>75.5</v>
      </c>
      <c r="D1221" t="s">
        <v>3146</v>
      </c>
      <c r="E1221" t="s">
        <v>1417</v>
      </c>
      <c r="F1221">
        <v>75</v>
      </c>
      <c r="G1221" t="b">
        <v>1</v>
      </c>
      <c r="H1221">
        <v>1</v>
      </c>
    </row>
    <row r="1222" spans="1:8" x14ac:dyDescent="0.25">
      <c r="A1222" t="s">
        <v>2311</v>
      </c>
      <c r="B1222" t="s">
        <v>2312</v>
      </c>
      <c r="C1222">
        <v>67.5</v>
      </c>
      <c r="D1222" t="s">
        <v>3146</v>
      </c>
      <c r="E1222" t="s">
        <v>1417</v>
      </c>
      <c r="F1222">
        <v>75</v>
      </c>
      <c r="G1222" t="b">
        <v>1</v>
      </c>
      <c r="H1222">
        <v>1</v>
      </c>
    </row>
    <row r="1223" spans="1:8" x14ac:dyDescent="0.25">
      <c r="A1223" t="s">
        <v>2296</v>
      </c>
      <c r="B1223" t="s">
        <v>2297</v>
      </c>
      <c r="C1223">
        <v>141.5</v>
      </c>
      <c r="D1223" t="s">
        <v>3146</v>
      </c>
      <c r="E1223" t="s">
        <v>1417</v>
      </c>
      <c r="F1223">
        <v>75</v>
      </c>
      <c r="G1223" t="b">
        <v>1</v>
      </c>
      <c r="H1223">
        <v>1</v>
      </c>
    </row>
    <row r="1224" spans="1:8" x14ac:dyDescent="0.25">
      <c r="A1224" t="s">
        <v>2299</v>
      </c>
      <c r="B1224" t="s">
        <v>2300</v>
      </c>
      <c r="C1224">
        <v>149.19999999999999</v>
      </c>
      <c r="D1224" t="s">
        <v>3146</v>
      </c>
      <c r="E1224" t="s">
        <v>1417</v>
      </c>
      <c r="F1224">
        <v>75</v>
      </c>
      <c r="G1224" t="b">
        <v>1</v>
      </c>
      <c r="H1224">
        <v>1</v>
      </c>
    </row>
    <row r="1225" spans="1:8" x14ac:dyDescent="0.25">
      <c r="A1225" t="s">
        <v>2308</v>
      </c>
      <c r="B1225" t="s">
        <v>2309</v>
      </c>
      <c r="C1225">
        <v>156.25</v>
      </c>
      <c r="D1225" t="s">
        <v>3146</v>
      </c>
      <c r="E1225" t="s">
        <v>1417</v>
      </c>
      <c r="F1225">
        <v>75</v>
      </c>
      <c r="G1225" t="b">
        <v>1</v>
      </c>
      <c r="H1225">
        <v>1</v>
      </c>
    </row>
    <row r="1226" spans="1:8" x14ac:dyDescent="0.25">
      <c r="A1226" t="s">
        <v>2336</v>
      </c>
      <c r="B1226" t="s">
        <v>2337</v>
      </c>
      <c r="C1226">
        <v>77</v>
      </c>
      <c r="D1226" t="s">
        <v>3147</v>
      </c>
      <c r="E1226" t="s">
        <v>1417</v>
      </c>
      <c r="F1226">
        <v>75</v>
      </c>
      <c r="G1226" t="b">
        <v>1</v>
      </c>
      <c r="H1226">
        <v>1</v>
      </c>
    </row>
    <row r="1227" spans="1:8" x14ac:dyDescent="0.25">
      <c r="A1227" t="s">
        <v>2340</v>
      </c>
      <c r="B1227" t="s">
        <v>2341</v>
      </c>
      <c r="C1227">
        <v>72.849999999999994</v>
      </c>
      <c r="D1227" t="s">
        <v>3147</v>
      </c>
      <c r="E1227" t="s">
        <v>1417</v>
      </c>
      <c r="F1227">
        <v>75</v>
      </c>
      <c r="G1227" t="b">
        <v>1</v>
      </c>
      <c r="H1227">
        <v>1</v>
      </c>
    </row>
    <row r="1228" spans="1:8" x14ac:dyDescent="0.25">
      <c r="A1228" t="s">
        <v>2364</v>
      </c>
      <c r="B1228" t="s">
        <v>2365</v>
      </c>
      <c r="C1228">
        <v>61.9</v>
      </c>
      <c r="D1228" t="s">
        <v>3147</v>
      </c>
      <c r="E1228" t="s">
        <v>1417</v>
      </c>
      <c r="F1228">
        <v>75</v>
      </c>
      <c r="G1228" t="b">
        <v>1</v>
      </c>
      <c r="H1228">
        <v>1</v>
      </c>
    </row>
    <row r="1229" spans="1:8" x14ac:dyDescent="0.25">
      <c r="A1229" t="s">
        <v>2357</v>
      </c>
      <c r="B1229" t="s">
        <v>2358</v>
      </c>
      <c r="C1229">
        <v>25.35</v>
      </c>
      <c r="D1229" t="s">
        <v>3147</v>
      </c>
      <c r="E1229" t="s">
        <v>1417</v>
      </c>
      <c r="F1229">
        <v>75</v>
      </c>
      <c r="G1229" t="b">
        <v>1</v>
      </c>
      <c r="H1229">
        <v>1</v>
      </c>
    </row>
    <row r="1230" spans="1:8" x14ac:dyDescent="0.25">
      <c r="A1230" t="s">
        <v>2371</v>
      </c>
      <c r="B1230" t="s">
        <v>2372</v>
      </c>
      <c r="C1230">
        <v>66.349999999999994</v>
      </c>
      <c r="D1230" t="s">
        <v>3147</v>
      </c>
      <c r="E1230" t="s">
        <v>1417</v>
      </c>
      <c r="F1230">
        <v>75</v>
      </c>
      <c r="G1230" t="b">
        <v>1</v>
      </c>
      <c r="H1230">
        <v>1</v>
      </c>
    </row>
    <row r="1231" spans="1:8" x14ac:dyDescent="0.25">
      <c r="A1231" t="s">
        <v>2375</v>
      </c>
      <c r="B1231" t="s">
        <v>2376</v>
      </c>
      <c r="C1231">
        <v>49.3</v>
      </c>
      <c r="D1231" t="s">
        <v>3147</v>
      </c>
      <c r="E1231" t="s">
        <v>1417</v>
      </c>
      <c r="F1231">
        <v>75</v>
      </c>
      <c r="G1231" t="b">
        <v>1</v>
      </c>
      <c r="H1231">
        <v>1</v>
      </c>
    </row>
    <row r="1232" spans="1:8" x14ac:dyDescent="0.25">
      <c r="A1232" t="s">
        <v>2379</v>
      </c>
      <c r="B1232" t="s">
        <v>2380</v>
      </c>
      <c r="C1232">
        <v>211.4</v>
      </c>
      <c r="D1232" t="s">
        <v>3147</v>
      </c>
      <c r="E1232" t="s">
        <v>1417</v>
      </c>
      <c r="F1232">
        <v>75</v>
      </c>
      <c r="G1232" t="b">
        <v>1</v>
      </c>
      <c r="H1232">
        <v>1</v>
      </c>
    </row>
    <row r="1233" spans="1:8" x14ac:dyDescent="0.25">
      <c r="A1233" t="s">
        <v>2382</v>
      </c>
      <c r="B1233" t="s">
        <v>2383</v>
      </c>
      <c r="C1233">
        <v>16.55</v>
      </c>
      <c r="D1233" t="s">
        <v>3147</v>
      </c>
      <c r="E1233" t="s">
        <v>1417</v>
      </c>
      <c r="F1233">
        <v>75</v>
      </c>
      <c r="G1233" t="b">
        <v>1</v>
      </c>
      <c r="H1233">
        <v>1</v>
      </c>
    </row>
    <row r="1234" spans="1:8" x14ac:dyDescent="0.25">
      <c r="A1234" t="s">
        <v>2322</v>
      </c>
      <c r="B1234" t="s">
        <v>2323</v>
      </c>
      <c r="C1234">
        <v>170.7</v>
      </c>
      <c r="D1234" t="s">
        <v>3147</v>
      </c>
      <c r="E1234" t="s">
        <v>1417</v>
      </c>
      <c r="F1234">
        <v>75</v>
      </c>
      <c r="G1234" t="b">
        <v>1</v>
      </c>
      <c r="H1234">
        <v>1</v>
      </c>
    </row>
    <row r="1235" spans="1:8" x14ac:dyDescent="0.25">
      <c r="A1235" t="s">
        <v>2322</v>
      </c>
      <c r="B1235" t="s">
        <v>2326</v>
      </c>
      <c r="C1235">
        <v>170.7</v>
      </c>
      <c r="D1235" t="s">
        <v>3147</v>
      </c>
      <c r="E1235" t="s">
        <v>1417</v>
      </c>
      <c r="F1235">
        <v>75</v>
      </c>
      <c r="G1235" t="b">
        <v>1</v>
      </c>
      <c r="H1235">
        <v>1</v>
      </c>
    </row>
    <row r="1236" spans="1:8" x14ac:dyDescent="0.25">
      <c r="A1236" t="s">
        <v>2377</v>
      </c>
      <c r="B1236" t="s">
        <v>2326</v>
      </c>
      <c r="C1236">
        <v>170.7</v>
      </c>
      <c r="D1236" t="s">
        <v>3147</v>
      </c>
      <c r="E1236" t="s">
        <v>1417</v>
      </c>
      <c r="F1236">
        <v>75</v>
      </c>
      <c r="G1236" t="b">
        <v>1</v>
      </c>
      <c r="H1236">
        <v>1</v>
      </c>
    </row>
    <row r="1237" spans="1:8" x14ac:dyDescent="0.25">
      <c r="A1237" t="s">
        <v>2327</v>
      </c>
      <c r="B1237" t="s">
        <v>2328</v>
      </c>
      <c r="C1237">
        <v>95</v>
      </c>
      <c r="D1237" t="s">
        <v>3147</v>
      </c>
      <c r="E1237" t="s">
        <v>1417</v>
      </c>
      <c r="F1237">
        <v>75</v>
      </c>
      <c r="G1237" t="b">
        <v>1</v>
      </c>
      <c r="H1237">
        <v>1</v>
      </c>
    </row>
    <row r="1238" spans="1:8" x14ac:dyDescent="0.25">
      <c r="A1238" t="s">
        <v>2342</v>
      </c>
      <c r="B1238" t="s">
        <v>2343</v>
      </c>
      <c r="C1238">
        <v>31.9</v>
      </c>
      <c r="D1238" t="s">
        <v>3147</v>
      </c>
      <c r="E1238" t="s">
        <v>1417</v>
      </c>
      <c r="F1238">
        <v>75</v>
      </c>
      <c r="G1238" t="b">
        <v>1</v>
      </c>
      <c r="H1238">
        <v>1</v>
      </c>
    </row>
    <row r="1239" spans="1:8" x14ac:dyDescent="0.25">
      <c r="A1239" t="s">
        <v>2350</v>
      </c>
      <c r="B1239" t="s">
        <v>2351</v>
      </c>
      <c r="C1239">
        <v>113.5</v>
      </c>
      <c r="D1239" t="s">
        <v>3147</v>
      </c>
      <c r="E1239" t="s">
        <v>1417</v>
      </c>
      <c r="F1239">
        <v>75</v>
      </c>
      <c r="G1239" t="b">
        <v>1</v>
      </c>
      <c r="H1239">
        <v>1</v>
      </c>
    </row>
    <row r="1240" spans="1:8" x14ac:dyDescent="0.25">
      <c r="A1240" t="s">
        <v>2355</v>
      </c>
      <c r="B1240" t="s">
        <v>2356</v>
      </c>
      <c r="C1240">
        <v>116.2</v>
      </c>
      <c r="D1240" t="s">
        <v>3147</v>
      </c>
      <c r="E1240" t="s">
        <v>1417</v>
      </c>
      <c r="F1240">
        <v>75</v>
      </c>
      <c r="G1240" t="b">
        <v>1</v>
      </c>
      <c r="H1240">
        <v>1</v>
      </c>
    </row>
    <row r="1241" spans="1:8" x14ac:dyDescent="0.25">
      <c r="A1241" t="s">
        <v>2329</v>
      </c>
      <c r="B1241" t="s">
        <v>2330</v>
      </c>
      <c r="C1241">
        <v>25.35</v>
      </c>
      <c r="D1241" t="s">
        <v>3147</v>
      </c>
      <c r="E1241" t="s">
        <v>1417</v>
      </c>
      <c r="F1241">
        <v>75</v>
      </c>
      <c r="G1241" t="b">
        <v>1</v>
      </c>
      <c r="H1241">
        <v>1</v>
      </c>
    </row>
    <row r="1242" spans="1:8" x14ac:dyDescent="0.25">
      <c r="A1242" t="s">
        <v>2345</v>
      </c>
      <c r="B1242" t="s">
        <v>2346</v>
      </c>
      <c r="C1242">
        <v>214.65</v>
      </c>
      <c r="D1242" t="s">
        <v>3147</v>
      </c>
      <c r="E1242" t="s">
        <v>1417</v>
      </c>
      <c r="F1242">
        <v>75</v>
      </c>
      <c r="G1242" t="b">
        <v>1</v>
      </c>
      <c r="H1242">
        <v>1</v>
      </c>
    </row>
    <row r="1243" spans="1:8" x14ac:dyDescent="0.25">
      <c r="A1243" t="s">
        <v>2348</v>
      </c>
      <c r="B1243" t="s">
        <v>2349</v>
      </c>
      <c r="C1243">
        <v>78.150000000000006</v>
      </c>
      <c r="D1243" t="s">
        <v>3147</v>
      </c>
      <c r="E1243" t="s">
        <v>1417</v>
      </c>
      <c r="F1243">
        <v>75</v>
      </c>
      <c r="G1243" t="b">
        <v>1</v>
      </c>
      <c r="H1243">
        <v>1</v>
      </c>
    </row>
    <row r="1244" spans="1:8" x14ac:dyDescent="0.25">
      <c r="A1244" t="s">
        <v>2360</v>
      </c>
      <c r="B1244" t="s">
        <v>2361</v>
      </c>
      <c r="C1244">
        <v>36.6</v>
      </c>
      <c r="D1244" t="s">
        <v>3147</v>
      </c>
      <c r="E1244" t="s">
        <v>1417</v>
      </c>
      <c r="F1244">
        <v>75</v>
      </c>
      <c r="G1244" t="b">
        <v>1</v>
      </c>
      <c r="H1244">
        <v>1</v>
      </c>
    </row>
    <row r="1245" spans="1:8" x14ac:dyDescent="0.25">
      <c r="A1245" t="s">
        <v>2362</v>
      </c>
      <c r="B1245" t="s">
        <v>2363</v>
      </c>
      <c r="C1245">
        <v>36.6</v>
      </c>
      <c r="D1245" t="s">
        <v>3147</v>
      </c>
      <c r="E1245" t="s">
        <v>1417</v>
      </c>
      <c r="F1245">
        <v>75</v>
      </c>
      <c r="G1245" t="b">
        <v>1</v>
      </c>
      <c r="H1245">
        <v>1</v>
      </c>
    </row>
    <row r="1246" spans="1:8" x14ac:dyDescent="0.25">
      <c r="A1246" t="s">
        <v>2331</v>
      </c>
      <c r="B1246" t="s">
        <v>2332</v>
      </c>
      <c r="D1246" t="s">
        <v>3147</v>
      </c>
      <c r="E1246" t="s">
        <v>1417</v>
      </c>
      <c r="F1246">
        <v>75</v>
      </c>
      <c r="G1246" t="b">
        <v>0</v>
      </c>
      <c r="H1246">
        <v>1</v>
      </c>
    </row>
    <row r="1247" spans="1:8" x14ac:dyDescent="0.25">
      <c r="A1247" t="s">
        <v>2366</v>
      </c>
      <c r="B1247" t="s">
        <v>2367</v>
      </c>
      <c r="C1247">
        <v>30.4</v>
      </c>
      <c r="D1247" t="s">
        <v>3147</v>
      </c>
      <c r="E1247" t="s">
        <v>1417</v>
      </c>
      <c r="F1247">
        <v>75</v>
      </c>
      <c r="G1247" t="b">
        <v>1</v>
      </c>
      <c r="H1247">
        <v>1</v>
      </c>
    </row>
    <row r="1248" spans="1:8" x14ac:dyDescent="0.25">
      <c r="A1248" t="s">
        <v>2353</v>
      </c>
      <c r="B1248" t="s">
        <v>2354</v>
      </c>
      <c r="C1248">
        <v>33.35</v>
      </c>
      <c r="D1248" t="s">
        <v>3147</v>
      </c>
      <c r="E1248" t="s">
        <v>1417</v>
      </c>
      <c r="F1248">
        <v>75</v>
      </c>
      <c r="G1248" t="b">
        <v>1</v>
      </c>
      <c r="H1248">
        <v>1</v>
      </c>
    </row>
    <row r="1249" spans="1:8" x14ac:dyDescent="0.25">
      <c r="A1249" t="s">
        <v>2369</v>
      </c>
      <c r="B1249" t="s">
        <v>2370</v>
      </c>
      <c r="C1249">
        <v>32.25</v>
      </c>
      <c r="D1249" t="s">
        <v>3147</v>
      </c>
      <c r="E1249" t="s">
        <v>1417</v>
      </c>
      <c r="F1249">
        <v>75</v>
      </c>
      <c r="G1249" t="b">
        <v>1</v>
      </c>
      <c r="H1249">
        <v>1</v>
      </c>
    </row>
    <row r="1250" spans="1:8" x14ac:dyDescent="0.25">
      <c r="A1250" t="s">
        <v>2333</v>
      </c>
      <c r="B1250" t="s">
        <v>2334</v>
      </c>
      <c r="C1250">
        <v>500</v>
      </c>
      <c r="D1250" t="s">
        <v>3147</v>
      </c>
      <c r="E1250" t="s">
        <v>1417</v>
      </c>
      <c r="F1250">
        <v>75</v>
      </c>
      <c r="G1250" t="b">
        <v>0</v>
      </c>
      <c r="H1250">
        <v>1</v>
      </c>
    </row>
    <row r="1251" spans="1:8" x14ac:dyDescent="0.25">
      <c r="A1251" t="s">
        <v>2333</v>
      </c>
      <c r="B1251" t="s">
        <v>2335</v>
      </c>
      <c r="C1251">
        <v>500</v>
      </c>
      <c r="D1251" t="s">
        <v>3147</v>
      </c>
      <c r="E1251" t="s">
        <v>1417</v>
      </c>
      <c r="F1251">
        <v>75</v>
      </c>
      <c r="G1251" t="b">
        <v>0</v>
      </c>
      <c r="H1251">
        <v>1</v>
      </c>
    </row>
    <row r="1252" spans="1:8" x14ac:dyDescent="0.25">
      <c r="A1252" t="s">
        <v>3264</v>
      </c>
      <c r="B1252" t="s">
        <v>3265</v>
      </c>
      <c r="C1252">
        <v>185.65</v>
      </c>
      <c r="D1252" t="s">
        <v>3253</v>
      </c>
      <c r="E1252" t="s">
        <v>1417</v>
      </c>
      <c r="F1252">
        <v>75</v>
      </c>
      <c r="G1252" t="b">
        <v>0</v>
      </c>
      <c r="H1252">
        <v>1</v>
      </c>
    </row>
    <row r="1253" spans="1:8" x14ac:dyDescent="0.25">
      <c r="A1253" t="s">
        <v>3264</v>
      </c>
      <c r="B1253" t="s">
        <v>3266</v>
      </c>
      <c r="C1253">
        <v>210.9</v>
      </c>
      <c r="D1253" t="s">
        <v>3253</v>
      </c>
      <c r="E1253" t="s">
        <v>1417</v>
      </c>
      <c r="F1253">
        <v>75</v>
      </c>
      <c r="G1253" t="b">
        <v>0</v>
      </c>
      <c r="H1253">
        <v>1</v>
      </c>
    </row>
    <row r="1254" spans="1:8" x14ac:dyDescent="0.25">
      <c r="A1254" t="s">
        <v>3264</v>
      </c>
      <c r="B1254" t="s">
        <v>3267</v>
      </c>
      <c r="C1254">
        <v>248.6</v>
      </c>
      <c r="D1254" t="s">
        <v>3253</v>
      </c>
      <c r="E1254" t="s">
        <v>1417</v>
      </c>
      <c r="F1254">
        <v>75</v>
      </c>
      <c r="G1254" t="b">
        <v>0</v>
      </c>
      <c r="H1254">
        <v>1</v>
      </c>
    </row>
    <row r="1255" spans="1:8" x14ac:dyDescent="0.25">
      <c r="A1255" t="s">
        <v>3264</v>
      </c>
      <c r="B1255" t="s">
        <v>3268</v>
      </c>
      <c r="C1255">
        <v>298.55</v>
      </c>
      <c r="D1255" t="s">
        <v>3253</v>
      </c>
      <c r="E1255" t="s">
        <v>1417</v>
      </c>
      <c r="F1255">
        <v>75</v>
      </c>
      <c r="G1255" t="b">
        <v>0</v>
      </c>
      <c r="H1255">
        <v>1</v>
      </c>
    </row>
    <row r="1256" spans="1:8" x14ac:dyDescent="0.25">
      <c r="A1256" t="s">
        <v>3264</v>
      </c>
      <c r="B1256" t="s">
        <v>3269</v>
      </c>
      <c r="C1256">
        <v>311.05</v>
      </c>
      <c r="D1256" t="s">
        <v>3253</v>
      </c>
      <c r="E1256" t="s">
        <v>1417</v>
      </c>
      <c r="F1256">
        <v>75</v>
      </c>
      <c r="G1256" t="b">
        <v>0</v>
      </c>
      <c r="H1256">
        <v>1</v>
      </c>
    </row>
    <row r="1257" spans="1:8" x14ac:dyDescent="0.25">
      <c r="A1257" t="s">
        <v>3264</v>
      </c>
      <c r="B1257" t="s">
        <v>3270</v>
      </c>
      <c r="C1257">
        <v>360.75</v>
      </c>
      <c r="D1257" t="s">
        <v>3253</v>
      </c>
      <c r="E1257" t="s">
        <v>1417</v>
      </c>
      <c r="F1257">
        <v>75</v>
      </c>
      <c r="G1257" t="b">
        <v>0</v>
      </c>
      <c r="H1257">
        <v>1</v>
      </c>
    </row>
    <row r="1258" spans="1:8" x14ac:dyDescent="0.25">
      <c r="A1258" t="s">
        <v>3264</v>
      </c>
      <c r="B1258" t="s">
        <v>3271</v>
      </c>
      <c r="C1258">
        <v>311.05</v>
      </c>
      <c r="D1258" t="s">
        <v>3253</v>
      </c>
      <c r="E1258" t="s">
        <v>1417</v>
      </c>
      <c r="F1258">
        <v>75</v>
      </c>
      <c r="G1258" t="b">
        <v>0</v>
      </c>
      <c r="H1258">
        <v>1</v>
      </c>
    </row>
    <row r="1259" spans="1:8" x14ac:dyDescent="0.25">
      <c r="A1259" t="s">
        <v>3264</v>
      </c>
      <c r="B1259" t="s">
        <v>3272</v>
      </c>
      <c r="C1259">
        <v>285.8</v>
      </c>
      <c r="D1259" t="s">
        <v>3253</v>
      </c>
      <c r="E1259" t="s">
        <v>1417</v>
      </c>
      <c r="F1259">
        <v>75</v>
      </c>
      <c r="G1259" t="b">
        <v>0</v>
      </c>
      <c r="H1259">
        <v>1</v>
      </c>
    </row>
    <row r="1260" spans="1:8" x14ac:dyDescent="0.25">
      <c r="A1260" t="s">
        <v>3264</v>
      </c>
      <c r="B1260" t="s">
        <v>3273</v>
      </c>
      <c r="C1260">
        <v>285.8</v>
      </c>
      <c r="D1260" t="s">
        <v>3253</v>
      </c>
      <c r="E1260" t="s">
        <v>1417</v>
      </c>
      <c r="F1260">
        <v>75</v>
      </c>
      <c r="G1260" t="b">
        <v>0</v>
      </c>
      <c r="H1260">
        <v>1</v>
      </c>
    </row>
    <row r="1261" spans="1:8" x14ac:dyDescent="0.25">
      <c r="A1261" t="s">
        <v>3264</v>
      </c>
      <c r="B1261" t="s">
        <v>3274</v>
      </c>
      <c r="C1261">
        <v>248.6</v>
      </c>
      <c r="D1261" t="s">
        <v>3253</v>
      </c>
      <c r="E1261" t="s">
        <v>1417</v>
      </c>
      <c r="F1261">
        <v>75</v>
      </c>
      <c r="G1261" t="b">
        <v>0</v>
      </c>
      <c r="H1261">
        <v>1</v>
      </c>
    </row>
    <row r="1262" spans="1:8" x14ac:dyDescent="0.25">
      <c r="A1262" t="s">
        <v>3264</v>
      </c>
      <c r="B1262" t="s">
        <v>3275</v>
      </c>
      <c r="C1262">
        <v>260.55</v>
      </c>
      <c r="D1262" t="s">
        <v>3253</v>
      </c>
      <c r="E1262" t="s">
        <v>1417</v>
      </c>
      <c r="F1262">
        <v>75</v>
      </c>
      <c r="G1262" t="b">
        <v>0</v>
      </c>
      <c r="H1262">
        <v>1</v>
      </c>
    </row>
    <row r="1263" spans="1:8" x14ac:dyDescent="0.25">
      <c r="A1263" t="s">
        <v>3264</v>
      </c>
      <c r="B1263" t="s">
        <v>3276</v>
      </c>
      <c r="C1263">
        <v>260.55</v>
      </c>
      <c r="D1263" t="s">
        <v>3253</v>
      </c>
      <c r="E1263" t="s">
        <v>1417</v>
      </c>
      <c r="F1263">
        <v>75</v>
      </c>
      <c r="G1263" t="b">
        <v>0</v>
      </c>
      <c r="H1263">
        <v>1</v>
      </c>
    </row>
    <row r="1264" spans="1:8" x14ac:dyDescent="0.25">
      <c r="A1264" t="s">
        <v>3264</v>
      </c>
      <c r="B1264" t="s">
        <v>3277</v>
      </c>
      <c r="C1264">
        <v>273.3</v>
      </c>
      <c r="D1264" t="s">
        <v>3253</v>
      </c>
      <c r="E1264" t="s">
        <v>1417</v>
      </c>
      <c r="F1264">
        <v>75</v>
      </c>
      <c r="G1264" t="b">
        <v>0</v>
      </c>
      <c r="H1264">
        <v>1</v>
      </c>
    </row>
    <row r="1265" spans="1:8" x14ac:dyDescent="0.25">
      <c r="A1265" t="s">
        <v>3264</v>
      </c>
      <c r="B1265" t="s">
        <v>3278</v>
      </c>
      <c r="C1265">
        <v>273.3</v>
      </c>
      <c r="D1265" t="s">
        <v>3253</v>
      </c>
      <c r="E1265" t="s">
        <v>1417</v>
      </c>
      <c r="F1265">
        <v>75</v>
      </c>
      <c r="G1265" t="b">
        <v>0</v>
      </c>
      <c r="H1265">
        <v>1</v>
      </c>
    </row>
    <row r="1266" spans="1:8" x14ac:dyDescent="0.25">
      <c r="A1266" t="s">
        <v>3264</v>
      </c>
      <c r="B1266" t="s">
        <v>3279</v>
      </c>
      <c r="C1266">
        <v>346.05</v>
      </c>
      <c r="D1266" t="s">
        <v>3253</v>
      </c>
      <c r="E1266" t="s">
        <v>1417</v>
      </c>
      <c r="F1266">
        <v>75</v>
      </c>
      <c r="G1266" t="b">
        <v>0</v>
      </c>
      <c r="H1266">
        <v>1</v>
      </c>
    </row>
    <row r="1267" spans="1:8" x14ac:dyDescent="0.25">
      <c r="A1267" t="s">
        <v>3264</v>
      </c>
      <c r="B1267" t="s">
        <v>3280</v>
      </c>
      <c r="C1267">
        <v>336.3</v>
      </c>
      <c r="D1267" t="s">
        <v>3253</v>
      </c>
      <c r="E1267" t="s">
        <v>1417</v>
      </c>
      <c r="F1267">
        <v>75</v>
      </c>
      <c r="G1267" t="b">
        <v>0</v>
      </c>
      <c r="H1267">
        <v>1</v>
      </c>
    </row>
    <row r="1268" spans="1:8" x14ac:dyDescent="0.25">
      <c r="A1268" t="s">
        <v>3264</v>
      </c>
      <c r="B1268" t="s">
        <v>3281</v>
      </c>
      <c r="C1268">
        <v>360.75</v>
      </c>
      <c r="D1268" t="s">
        <v>3253</v>
      </c>
      <c r="E1268" t="s">
        <v>1417</v>
      </c>
      <c r="F1268">
        <v>75</v>
      </c>
      <c r="G1268" t="b">
        <v>0</v>
      </c>
      <c r="H1268">
        <v>1</v>
      </c>
    </row>
    <row r="1269" spans="1:8" x14ac:dyDescent="0.25">
      <c r="A1269" t="s">
        <v>3264</v>
      </c>
      <c r="B1269" t="s">
        <v>3282</v>
      </c>
      <c r="C1269">
        <v>346.05</v>
      </c>
      <c r="D1269" t="s">
        <v>3253</v>
      </c>
      <c r="E1269" t="s">
        <v>1417</v>
      </c>
      <c r="F1269">
        <v>75</v>
      </c>
      <c r="G1269" t="b">
        <v>0</v>
      </c>
      <c r="H1269">
        <v>1</v>
      </c>
    </row>
    <row r="1270" spans="1:8" x14ac:dyDescent="0.25">
      <c r="A1270" t="s">
        <v>3264</v>
      </c>
      <c r="B1270" t="s">
        <v>3283</v>
      </c>
      <c r="C1270">
        <v>323.55</v>
      </c>
      <c r="D1270" t="s">
        <v>3253</v>
      </c>
      <c r="E1270" t="s">
        <v>1417</v>
      </c>
      <c r="F1270">
        <v>75</v>
      </c>
      <c r="G1270" t="b">
        <v>0</v>
      </c>
      <c r="H1270">
        <v>1</v>
      </c>
    </row>
    <row r="1271" spans="1:8" x14ac:dyDescent="0.25">
      <c r="A1271" t="s">
        <v>3264</v>
      </c>
      <c r="B1271" t="s">
        <v>3284</v>
      </c>
      <c r="C1271">
        <v>323.55</v>
      </c>
      <c r="D1271" t="s">
        <v>3253</v>
      </c>
      <c r="E1271" t="s">
        <v>1417</v>
      </c>
      <c r="F1271">
        <v>75</v>
      </c>
      <c r="G1271" t="b">
        <v>0</v>
      </c>
      <c r="H1271">
        <v>1</v>
      </c>
    </row>
    <row r="1272" spans="1:8" x14ac:dyDescent="0.25">
      <c r="A1272" t="s">
        <v>3264</v>
      </c>
      <c r="B1272" t="s">
        <v>3285</v>
      </c>
      <c r="C1272">
        <v>336.3</v>
      </c>
      <c r="D1272" t="s">
        <v>3253</v>
      </c>
      <c r="E1272" t="s">
        <v>1417</v>
      </c>
      <c r="F1272">
        <v>75</v>
      </c>
      <c r="G1272" t="b">
        <v>0</v>
      </c>
      <c r="H1272">
        <v>1</v>
      </c>
    </row>
    <row r="1273" spans="1:8" x14ac:dyDescent="0.25">
      <c r="A1273" t="s">
        <v>3264</v>
      </c>
      <c r="B1273" t="s">
        <v>3286</v>
      </c>
      <c r="C1273">
        <v>236.15</v>
      </c>
      <c r="D1273" t="s">
        <v>3253</v>
      </c>
      <c r="E1273" t="s">
        <v>1417</v>
      </c>
      <c r="F1273">
        <v>75</v>
      </c>
      <c r="G1273" t="b">
        <v>0</v>
      </c>
      <c r="H1273">
        <v>1</v>
      </c>
    </row>
    <row r="1274" spans="1:8" x14ac:dyDescent="0.25">
      <c r="A1274" t="s">
        <v>3264</v>
      </c>
      <c r="B1274" t="s">
        <v>3287</v>
      </c>
      <c r="C1274">
        <v>236.15</v>
      </c>
      <c r="D1274" t="s">
        <v>3253</v>
      </c>
      <c r="E1274" t="s">
        <v>1417</v>
      </c>
      <c r="F1274">
        <v>75</v>
      </c>
      <c r="G1274" t="b">
        <v>0</v>
      </c>
      <c r="H1274">
        <v>1</v>
      </c>
    </row>
    <row r="1275" spans="1:8" x14ac:dyDescent="0.25">
      <c r="A1275" t="s">
        <v>3264</v>
      </c>
      <c r="B1275" t="s">
        <v>3288</v>
      </c>
      <c r="C1275">
        <v>298.55</v>
      </c>
      <c r="D1275" t="s">
        <v>3253</v>
      </c>
      <c r="E1275" t="s">
        <v>1417</v>
      </c>
      <c r="F1275">
        <v>75</v>
      </c>
      <c r="G1275" t="b">
        <v>0</v>
      </c>
      <c r="H1275">
        <v>1</v>
      </c>
    </row>
    <row r="1276" spans="1:8" x14ac:dyDescent="0.25">
      <c r="A1276" t="s">
        <v>3264</v>
      </c>
      <c r="B1276" t="s">
        <v>3289</v>
      </c>
      <c r="C1276">
        <v>72.2</v>
      </c>
      <c r="D1276" t="s">
        <v>3253</v>
      </c>
      <c r="E1276" t="s">
        <v>1417</v>
      </c>
      <c r="F1276">
        <v>75</v>
      </c>
      <c r="G1276" t="b">
        <v>0</v>
      </c>
      <c r="H1276">
        <v>1</v>
      </c>
    </row>
    <row r="1277" spans="1:8" x14ac:dyDescent="0.25">
      <c r="A1277" t="s">
        <v>3264</v>
      </c>
      <c r="B1277" t="s">
        <v>3290</v>
      </c>
      <c r="C1277">
        <v>72.2</v>
      </c>
      <c r="D1277" t="s">
        <v>3253</v>
      </c>
      <c r="E1277" t="s">
        <v>1417</v>
      </c>
      <c r="F1277">
        <v>75</v>
      </c>
      <c r="G1277" t="b">
        <v>0</v>
      </c>
      <c r="H1277">
        <v>1</v>
      </c>
    </row>
    <row r="1278" spans="1:8" x14ac:dyDescent="0.25">
      <c r="A1278" t="s">
        <v>3264</v>
      </c>
      <c r="B1278" t="s">
        <v>3291</v>
      </c>
      <c r="C1278">
        <v>84.95</v>
      </c>
      <c r="D1278" t="s">
        <v>3253</v>
      </c>
      <c r="E1278" t="s">
        <v>1417</v>
      </c>
      <c r="F1278">
        <v>75</v>
      </c>
      <c r="G1278" t="b">
        <v>0</v>
      </c>
      <c r="H1278">
        <v>1</v>
      </c>
    </row>
    <row r="1279" spans="1:8" x14ac:dyDescent="0.25">
      <c r="A1279" t="s">
        <v>3264</v>
      </c>
      <c r="B1279" t="s">
        <v>3292</v>
      </c>
      <c r="C1279">
        <v>84.95</v>
      </c>
      <c r="D1279" t="s">
        <v>3253</v>
      </c>
      <c r="E1279" t="s">
        <v>1417</v>
      </c>
      <c r="F1279">
        <v>75</v>
      </c>
      <c r="G1279" t="b">
        <v>0</v>
      </c>
      <c r="H1279">
        <v>1</v>
      </c>
    </row>
    <row r="1280" spans="1:8" x14ac:dyDescent="0.25">
      <c r="A1280" t="s">
        <v>3264</v>
      </c>
      <c r="B1280" t="s">
        <v>3293</v>
      </c>
      <c r="C1280">
        <v>97.45</v>
      </c>
      <c r="D1280" t="s">
        <v>3253</v>
      </c>
      <c r="E1280" t="s">
        <v>1417</v>
      </c>
      <c r="F1280">
        <v>75</v>
      </c>
      <c r="G1280" t="b">
        <v>0</v>
      </c>
      <c r="H1280">
        <v>1</v>
      </c>
    </row>
    <row r="1281" spans="1:8" x14ac:dyDescent="0.25">
      <c r="A1281" t="s">
        <v>3264</v>
      </c>
      <c r="B1281" t="s">
        <v>3294</v>
      </c>
      <c r="C1281">
        <v>97.45</v>
      </c>
      <c r="D1281" t="s">
        <v>3253</v>
      </c>
      <c r="E1281" t="s">
        <v>1417</v>
      </c>
      <c r="F1281">
        <v>75</v>
      </c>
      <c r="G1281" t="b">
        <v>0</v>
      </c>
      <c r="H1281">
        <v>1</v>
      </c>
    </row>
    <row r="1282" spans="1:8" x14ac:dyDescent="0.25">
      <c r="A1282" t="s">
        <v>3264</v>
      </c>
      <c r="B1282" t="s">
        <v>3295</v>
      </c>
      <c r="C1282">
        <v>110.2</v>
      </c>
      <c r="D1282" t="s">
        <v>3253</v>
      </c>
      <c r="E1282" t="s">
        <v>1417</v>
      </c>
      <c r="F1282">
        <v>75</v>
      </c>
      <c r="G1282" t="b">
        <v>0</v>
      </c>
      <c r="H1282">
        <v>1</v>
      </c>
    </row>
    <row r="1283" spans="1:8" x14ac:dyDescent="0.25">
      <c r="A1283" t="s">
        <v>3264</v>
      </c>
      <c r="B1283" t="s">
        <v>3296</v>
      </c>
      <c r="C1283">
        <v>110.2</v>
      </c>
      <c r="D1283" t="s">
        <v>3253</v>
      </c>
      <c r="E1283" t="s">
        <v>1417</v>
      </c>
      <c r="F1283">
        <v>75</v>
      </c>
      <c r="G1283" t="b">
        <v>0</v>
      </c>
      <c r="H1283">
        <v>1</v>
      </c>
    </row>
    <row r="1284" spans="1:8" x14ac:dyDescent="0.25">
      <c r="A1284" t="s">
        <v>3264</v>
      </c>
      <c r="B1284" t="s">
        <v>3297</v>
      </c>
      <c r="C1284">
        <v>122.95</v>
      </c>
      <c r="D1284" t="s">
        <v>3253</v>
      </c>
      <c r="E1284" t="s">
        <v>1417</v>
      </c>
      <c r="F1284">
        <v>75</v>
      </c>
      <c r="G1284" t="b">
        <v>0</v>
      </c>
      <c r="H1284">
        <v>1</v>
      </c>
    </row>
    <row r="1285" spans="1:8" x14ac:dyDescent="0.25">
      <c r="A1285" t="s">
        <v>3264</v>
      </c>
      <c r="B1285" t="s">
        <v>3298</v>
      </c>
      <c r="C1285">
        <v>122.95</v>
      </c>
      <c r="D1285" t="s">
        <v>3253</v>
      </c>
      <c r="E1285" t="s">
        <v>1417</v>
      </c>
      <c r="F1285">
        <v>75</v>
      </c>
      <c r="G1285" t="b">
        <v>0</v>
      </c>
      <c r="H1285">
        <v>1</v>
      </c>
    </row>
    <row r="1286" spans="1:8" x14ac:dyDescent="0.25">
      <c r="A1286" t="s">
        <v>3264</v>
      </c>
      <c r="B1286" t="s">
        <v>3299</v>
      </c>
      <c r="C1286">
        <v>135.15</v>
      </c>
      <c r="D1286" t="s">
        <v>3253</v>
      </c>
      <c r="E1286" t="s">
        <v>1417</v>
      </c>
      <c r="F1286">
        <v>75</v>
      </c>
      <c r="G1286" t="b">
        <v>0</v>
      </c>
      <c r="H1286">
        <v>1</v>
      </c>
    </row>
    <row r="1287" spans="1:8" x14ac:dyDescent="0.25">
      <c r="A1287" t="s">
        <v>3264</v>
      </c>
      <c r="B1287" t="s">
        <v>3300</v>
      </c>
      <c r="C1287">
        <v>135.15</v>
      </c>
      <c r="D1287" t="s">
        <v>3253</v>
      </c>
      <c r="E1287" t="s">
        <v>1417</v>
      </c>
      <c r="F1287">
        <v>75</v>
      </c>
      <c r="G1287" t="b">
        <v>0</v>
      </c>
      <c r="H1287">
        <v>1</v>
      </c>
    </row>
    <row r="1288" spans="1:8" x14ac:dyDescent="0.25">
      <c r="A1288" t="s">
        <v>3264</v>
      </c>
      <c r="B1288" t="s">
        <v>3301</v>
      </c>
      <c r="C1288">
        <v>223.4</v>
      </c>
      <c r="D1288" t="s">
        <v>3253</v>
      </c>
      <c r="E1288" t="s">
        <v>1417</v>
      </c>
      <c r="F1288">
        <v>75</v>
      </c>
      <c r="G1288" t="b">
        <v>0</v>
      </c>
      <c r="H1288">
        <v>1</v>
      </c>
    </row>
    <row r="1289" spans="1:8" x14ac:dyDescent="0.25">
      <c r="A1289" t="s">
        <v>3264</v>
      </c>
      <c r="B1289" t="s">
        <v>3302</v>
      </c>
      <c r="C1289">
        <v>223.4</v>
      </c>
      <c r="D1289" t="s">
        <v>3253</v>
      </c>
      <c r="E1289" t="s">
        <v>1417</v>
      </c>
      <c r="F1289">
        <v>75</v>
      </c>
      <c r="G1289" t="b">
        <v>0</v>
      </c>
      <c r="H1289">
        <v>1</v>
      </c>
    </row>
    <row r="1290" spans="1:8" x14ac:dyDescent="0.25">
      <c r="A1290" t="s">
        <v>3264</v>
      </c>
      <c r="B1290" t="s">
        <v>3303</v>
      </c>
      <c r="C1290">
        <v>185.65</v>
      </c>
      <c r="D1290" t="s">
        <v>3253</v>
      </c>
      <c r="E1290" t="s">
        <v>1417</v>
      </c>
      <c r="F1290">
        <v>75</v>
      </c>
      <c r="G1290" t="b">
        <v>0</v>
      </c>
      <c r="H1290">
        <v>1</v>
      </c>
    </row>
    <row r="1291" spans="1:8" x14ac:dyDescent="0.25">
      <c r="A1291" t="s">
        <v>3264</v>
      </c>
      <c r="B1291" t="s">
        <v>3304</v>
      </c>
      <c r="C1291">
        <v>198.15</v>
      </c>
      <c r="D1291" t="s">
        <v>3253</v>
      </c>
      <c r="E1291" t="s">
        <v>1417</v>
      </c>
      <c r="F1291">
        <v>75</v>
      </c>
      <c r="G1291" t="b">
        <v>0</v>
      </c>
      <c r="H1291">
        <v>1</v>
      </c>
    </row>
    <row r="1292" spans="1:8" x14ac:dyDescent="0.25">
      <c r="A1292" t="s">
        <v>3264</v>
      </c>
      <c r="B1292" t="s">
        <v>3305</v>
      </c>
      <c r="C1292">
        <v>198.15</v>
      </c>
      <c r="D1292" t="s">
        <v>3253</v>
      </c>
      <c r="E1292" t="s">
        <v>1417</v>
      </c>
      <c r="F1292">
        <v>75</v>
      </c>
      <c r="G1292" t="b">
        <v>0</v>
      </c>
      <c r="H1292">
        <v>1</v>
      </c>
    </row>
    <row r="1293" spans="1:8" x14ac:dyDescent="0.25">
      <c r="A1293" t="s">
        <v>3264</v>
      </c>
      <c r="B1293" t="s">
        <v>3306</v>
      </c>
      <c r="C1293">
        <v>210.9</v>
      </c>
      <c r="D1293" t="s">
        <v>3253</v>
      </c>
      <c r="E1293" t="s">
        <v>1417</v>
      </c>
      <c r="F1293">
        <v>75</v>
      </c>
      <c r="G1293" t="b">
        <v>0</v>
      </c>
      <c r="H1293">
        <v>1</v>
      </c>
    </row>
    <row r="1294" spans="1:8" x14ac:dyDescent="0.25">
      <c r="A1294" t="s">
        <v>3264</v>
      </c>
      <c r="B1294" t="s">
        <v>3307</v>
      </c>
      <c r="C1294">
        <v>147.94999999999999</v>
      </c>
      <c r="D1294" t="s">
        <v>3253</v>
      </c>
      <c r="E1294" t="s">
        <v>1417</v>
      </c>
      <c r="F1294">
        <v>75</v>
      </c>
      <c r="G1294" t="b">
        <v>0</v>
      </c>
      <c r="H1294">
        <v>1</v>
      </c>
    </row>
    <row r="1295" spans="1:8" x14ac:dyDescent="0.25">
      <c r="A1295" t="s">
        <v>3264</v>
      </c>
      <c r="B1295" t="s">
        <v>3308</v>
      </c>
      <c r="C1295">
        <v>59.45</v>
      </c>
      <c r="D1295" t="s">
        <v>3253</v>
      </c>
      <c r="E1295" t="s">
        <v>1417</v>
      </c>
      <c r="F1295">
        <v>75</v>
      </c>
      <c r="G1295" t="b">
        <v>0</v>
      </c>
      <c r="H1295">
        <v>1</v>
      </c>
    </row>
    <row r="1296" spans="1:8" x14ac:dyDescent="0.25">
      <c r="A1296" t="s">
        <v>3264</v>
      </c>
      <c r="B1296" t="s">
        <v>3309</v>
      </c>
      <c r="C1296">
        <v>147.94999999999999</v>
      </c>
      <c r="D1296" t="s">
        <v>3253</v>
      </c>
      <c r="E1296" t="s">
        <v>1417</v>
      </c>
      <c r="F1296">
        <v>75</v>
      </c>
      <c r="G1296" t="b">
        <v>0</v>
      </c>
      <c r="H1296">
        <v>1</v>
      </c>
    </row>
    <row r="1297" spans="1:8" x14ac:dyDescent="0.25">
      <c r="A1297" t="s">
        <v>3264</v>
      </c>
      <c r="B1297" t="s">
        <v>3310</v>
      </c>
      <c r="C1297">
        <v>59.45</v>
      </c>
      <c r="D1297" t="s">
        <v>3253</v>
      </c>
      <c r="E1297" t="s">
        <v>1417</v>
      </c>
      <c r="F1297">
        <v>75</v>
      </c>
      <c r="G1297" t="b">
        <v>0</v>
      </c>
      <c r="H1297">
        <v>1</v>
      </c>
    </row>
    <row r="1298" spans="1:8" x14ac:dyDescent="0.25">
      <c r="A1298" t="s">
        <v>3264</v>
      </c>
      <c r="B1298" t="s">
        <v>3311</v>
      </c>
      <c r="C1298">
        <v>160.4</v>
      </c>
      <c r="D1298" t="s">
        <v>3253</v>
      </c>
      <c r="E1298" t="s">
        <v>1417</v>
      </c>
      <c r="F1298">
        <v>75</v>
      </c>
      <c r="G1298" t="b">
        <v>0</v>
      </c>
      <c r="H1298">
        <v>1</v>
      </c>
    </row>
    <row r="1299" spans="1:8" x14ac:dyDescent="0.25">
      <c r="A1299" t="s">
        <v>3264</v>
      </c>
      <c r="B1299" t="s">
        <v>3312</v>
      </c>
      <c r="C1299">
        <v>160.4</v>
      </c>
      <c r="D1299" t="s">
        <v>3253</v>
      </c>
      <c r="E1299" t="s">
        <v>1417</v>
      </c>
      <c r="F1299">
        <v>75</v>
      </c>
      <c r="G1299" t="b">
        <v>0</v>
      </c>
      <c r="H1299">
        <v>1</v>
      </c>
    </row>
    <row r="1300" spans="1:8" x14ac:dyDescent="0.25">
      <c r="A1300" t="s">
        <v>3264</v>
      </c>
      <c r="B1300" t="s">
        <v>3313</v>
      </c>
      <c r="C1300">
        <v>173.15</v>
      </c>
      <c r="D1300" t="s">
        <v>3253</v>
      </c>
      <c r="E1300" t="s">
        <v>1417</v>
      </c>
      <c r="F1300">
        <v>75</v>
      </c>
      <c r="G1300" t="b">
        <v>0</v>
      </c>
      <c r="H1300">
        <v>1</v>
      </c>
    </row>
    <row r="1301" spans="1:8" x14ac:dyDescent="0.25">
      <c r="A1301" t="s">
        <v>3264</v>
      </c>
      <c r="B1301" t="s">
        <v>3314</v>
      </c>
      <c r="C1301">
        <v>173.15</v>
      </c>
      <c r="D1301" t="s">
        <v>3253</v>
      </c>
      <c r="E1301" t="s">
        <v>1417</v>
      </c>
      <c r="F1301">
        <v>75</v>
      </c>
      <c r="G1301" t="b">
        <v>0</v>
      </c>
      <c r="H1301">
        <v>1</v>
      </c>
    </row>
    <row r="1302" spans="1:8" x14ac:dyDescent="0.25">
      <c r="A1302" t="s">
        <v>3315</v>
      </c>
      <c r="B1302" t="s">
        <v>3316</v>
      </c>
      <c r="C1302">
        <v>72.2</v>
      </c>
      <c r="D1302" t="s">
        <v>3253</v>
      </c>
      <c r="E1302" t="s">
        <v>1417</v>
      </c>
      <c r="F1302">
        <v>75</v>
      </c>
      <c r="G1302" t="b">
        <v>0</v>
      </c>
      <c r="H1302">
        <v>1</v>
      </c>
    </row>
    <row r="1303" spans="1:8" x14ac:dyDescent="0.25">
      <c r="A1303" t="s">
        <v>3315</v>
      </c>
      <c r="B1303" t="s">
        <v>3317</v>
      </c>
      <c r="C1303">
        <v>72.2</v>
      </c>
      <c r="D1303" t="s">
        <v>3253</v>
      </c>
      <c r="E1303" t="s">
        <v>1417</v>
      </c>
      <c r="F1303">
        <v>75</v>
      </c>
      <c r="G1303" t="b">
        <v>0</v>
      </c>
      <c r="H1303">
        <v>1</v>
      </c>
    </row>
    <row r="1304" spans="1:8" x14ac:dyDescent="0.25">
      <c r="A1304" t="s">
        <v>3315</v>
      </c>
      <c r="B1304" t="s">
        <v>3318</v>
      </c>
      <c r="C1304">
        <v>84.95</v>
      </c>
      <c r="D1304" t="s">
        <v>3253</v>
      </c>
      <c r="E1304" t="s">
        <v>1417</v>
      </c>
      <c r="F1304">
        <v>75</v>
      </c>
      <c r="G1304" t="b">
        <v>0</v>
      </c>
      <c r="H1304">
        <v>1</v>
      </c>
    </row>
    <row r="1305" spans="1:8" x14ac:dyDescent="0.25">
      <c r="A1305" t="s">
        <v>3315</v>
      </c>
      <c r="B1305" t="s">
        <v>3319</v>
      </c>
      <c r="C1305">
        <v>84.95</v>
      </c>
      <c r="D1305" t="s">
        <v>3253</v>
      </c>
      <c r="E1305" t="s">
        <v>1417</v>
      </c>
      <c r="F1305">
        <v>75</v>
      </c>
      <c r="G1305" t="b">
        <v>0</v>
      </c>
      <c r="H1305">
        <v>1</v>
      </c>
    </row>
    <row r="1306" spans="1:8" x14ac:dyDescent="0.25">
      <c r="A1306" t="s">
        <v>3315</v>
      </c>
      <c r="B1306" t="s">
        <v>3320</v>
      </c>
      <c r="C1306">
        <v>97.45</v>
      </c>
      <c r="D1306" t="s">
        <v>3253</v>
      </c>
      <c r="E1306" t="s">
        <v>1417</v>
      </c>
      <c r="F1306">
        <v>75</v>
      </c>
      <c r="G1306" t="b">
        <v>0</v>
      </c>
      <c r="H1306">
        <v>1</v>
      </c>
    </row>
    <row r="1307" spans="1:8" x14ac:dyDescent="0.25">
      <c r="A1307" t="s">
        <v>3315</v>
      </c>
      <c r="B1307" t="s">
        <v>3321</v>
      </c>
      <c r="C1307">
        <v>97.45</v>
      </c>
      <c r="D1307" t="s">
        <v>3253</v>
      </c>
      <c r="E1307" t="s">
        <v>1417</v>
      </c>
      <c r="F1307">
        <v>75</v>
      </c>
      <c r="G1307" t="b">
        <v>0</v>
      </c>
      <c r="H1307">
        <v>1</v>
      </c>
    </row>
    <row r="1308" spans="1:8" x14ac:dyDescent="0.25">
      <c r="A1308" t="s">
        <v>3315</v>
      </c>
      <c r="B1308" t="s">
        <v>3322</v>
      </c>
      <c r="C1308">
        <v>110.2</v>
      </c>
      <c r="D1308" t="s">
        <v>3253</v>
      </c>
      <c r="E1308" t="s">
        <v>1417</v>
      </c>
      <c r="F1308">
        <v>75</v>
      </c>
      <c r="G1308" t="b">
        <v>0</v>
      </c>
      <c r="H1308">
        <v>1</v>
      </c>
    </row>
    <row r="1309" spans="1:8" x14ac:dyDescent="0.25">
      <c r="A1309" t="s">
        <v>3315</v>
      </c>
      <c r="B1309" t="s">
        <v>3323</v>
      </c>
      <c r="C1309">
        <v>110.2</v>
      </c>
      <c r="D1309" t="s">
        <v>3253</v>
      </c>
      <c r="E1309" t="s">
        <v>1417</v>
      </c>
      <c r="F1309">
        <v>75</v>
      </c>
      <c r="G1309" t="b">
        <v>0</v>
      </c>
      <c r="H1309">
        <v>1</v>
      </c>
    </row>
    <row r="1310" spans="1:8" x14ac:dyDescent="0.25">
      <c r="A1310" t="s">
        <v>3315</v>
      </c>
      <c r="B1310" t="s">
        <v>3324</v>
      </c>
      <c r="C1310">
        <v>113.6</v>
      </c>
      <c r="D1310" t="s">
        <v>3253</v>
      </c>
      <c r="E1310" t="s">
        <v>1417</v>
      </c>
      <c r="F1310">
        <v>75</v>
      </c>
      <c r="G1310" t="b">
        <v>0</v>
      </c>
      <c r="H1310">
        <v>1</v>
      </c>
    </row>
    <row r="1311" spans="1:8" x14ac:dyDescent="0.25">
      <c r="A1311" t="s">
        <v>3315</v>
      </c>
      <c r="B1311" t="s">
        <v>3325</v>
      </c>
      <c r="C1311">
        <v>113.6</v>
      </c>
      <c r="D1311" t="s">
        <v>3253</v>
      </c>
      <c r="E1311" t="s">
        <v>1417</v>
      </c>
      <c r="F1311">
        <v>75</v>
      </c>
      <c r="G1311" t="b">
        <v>0</v>
      </c>
      <c r="H1311">
        <v>1</v>
      </c>
    </row>
    <row r="1312" spans="1:8" x14ac:dyDescent="0.25">
      <c r="A1312" t="s">
        <v>3315</v>
      </c>
      <c r="B1312" t="s">
        <v>3326</v>
      </c>
      <c r="C1312">
        <v>135.15</v>
      </c>
      <c r="D1312" t="s">
        <v>3253</v>
      </c>
      <c r="E1312" t="s">
        <v>1417</v>
      </c>
      <c r="F1312">
        <v>75</v>
      </c>
      <c r="G1312" t="b">
        <v>0</v>
      </c>
      <c r="H1312">
        <v>1</v>
      </c>
    </row>
    <row r="1313" spans="1:8" x14ac:dyDescent="0.25">
      <c r="A1313" t="s">
        <v>3315</v>
      </c>
      <c r="B1313" t="s">
        <v>3327</v>
      </c>
      <c r="C1313">
        <v>135.15</v>
      </c>
      <c r="D1313" t="s">
        <v>3253</v>
      </c>
      <c r="E1313" t="s">
        <v>1417</v>
      </c>
      <c r="F1313">
        <v>75</v>
      </c>
      <c r="G1313" t="b">
        <v>0</v>
      </c>
      <c r="H1313">
        <v>1</v>
      </c>
    </row>
    <row r="1314" spans="1:8" x14ac:dyDescent="0.25">
      <c r="A1314" t="s">
        <v>3315</v>
      </c>
      <c r="B1314" t="s">
        <v>3328</v>
      </c>
      <c r="C1314">
        <v>147.94999999999999</v>
      </c>
      <c r="D1314" t="s">
        <v>3253</v>
      </c>
      <c r="E1314" t="s">
        <v>1417</v>
      </c>
      <c r="F1314">
        <v>75</v>
      </c>
      <c r="G1314" t="b">
        <v>0</v>
      </c>
      <c r="H1314">
        <v>1</v>
      </c>
    </row>
    <row r="1315" spans="1:8" x14ac:dyDescent="0.25">
      <c r="A1315" t="s">
        <v>3315</v>
      </c>
      <c r="B1315" t="s">
        <v>3329</v>
      </c>
      <c r="C1315">
        <v>147.94999999999999</v>
      </c>
      <c r="D1315" t="s">
        <v>3253</v>
      </c>
      <c r="E1315" t="s">
        <v>1417</v>
      </c>
      <c r="F1315">
        <v>75</v>
      </c>
      <c r="G1315" t="b">
        <v>0</v>
      </c>
      <c r="H1315">
        <v>1</v>
      </c>
    </row>
    <row r="1316" spans="1:8" x14ac:dyDescent="0.25">
      <c r="A1316" t="s">
        <v>3315</v>
      </c>
      <c r="B1316" t="s">
        <v>3330</v>
      </c>
      <c r="C1316">
        <v>160.4</v>
      </c>
      <c r="D1316" t="s">
        <v>3253</v>
      </c>
      <c r="E1316" t="s">
        <v>1417</v>
      </c>
      <c r="F1316">
        <v>75</v>
      </c>
      <c r="G1316" t="b">
        <v>0</v>
      </c>
      <c r="H1316">
        <v>1</v>
      </c>
    </row>
    <row r="1317" spans="1:8" x14ac:dyDescent="0.25">
      <c r="A1317" t="s">
        <v>3315</v>
      </c>
      <c r="B1317" t="s">
        <v>3331</v>
      </c>
      <c r="C1317">
        <v>160.4</v>
      </c>
      <c r="D1317" t="s">
        <v>3253</v>
      </c>
      <c r="E1317" t="s">
        <v>1417</v>
      </c>
      <c r="F1317">
        <v>75</v>
      </c>
      <c r="G1317" t="b">
        <v>0</v>
      </c>
      <c r="H1317">
        <v>1</v>
      </c>
    </row>
    <row r="1318" spans="1:8" x14ac:dyDescent="0.25">
      <c r="A1318" t="s">
        <v>3315</v>
      </c>
      <c r="B1318" t="s">
        <v>3332</v>
      </c>
      <c r="C1318">
        <v>173.15</v>
      </c>
      <c r="D1318" t="s">
        <v>3253</v>
      </c>
      <c r="E1318" t="s">
        <v>1417</v>
      </c>
      <c r="F1318">
        <v>75</v>
      </c>
      <c r="G1318" t="b">
        <v>0</v>
      </c>
      <c r="H1318">
        <v>1</v>
      </c>
    </row>
    <row r="1319" spans="1:8" x14ac:dyDescent="0.25">
      <c r="A1319" t="s">
        <v>3315</v>
      </c>
      <c r="B1319" t="s">
        <v>3333</v>
      </c>
      <c r="C1319">
        <v>173.15</v>
      </c>
      <c r="D1319" t="s">
        <v>3253</v>
      </c>
      <c r="E1319" t="s">
        <v>1417</v>
      </c>
      <c r="F1319">
        <v>75</v>
      </c>
      <c r="G1319" t="b">
        <v>0</v>
      </c>
      <c r="H1319">
        <v>1</v>
      </c>
    </row>
    <row r="1320" spans="1:8" x14ac:dyDescent="0.25">
      <c r="A1320" t="s">
        <v>3315</v>
      </c>
      <c r="B1320" t="s">
        <v>3334</v>
      </c>
      <c r="C1320">
        <v>185.65</v>
      </c>
      <c r="D1320" t="s">
        <v>3253</v>
      </c>
      <c r="E1320" t="s">
        <v>1417</v>
      </c>
      <c r="F1320">
        <v>75</v>
      </c>
      <c r="G1320" t="b">
        <v>0</v>
      </c>
      <c r="H1320">
        <v>1</v>
      </c>
    </row>
    <row r="1321" spans="1:8" x14ac:dyDescent="0.25">
      <c r="A1321" t="s">
        <v>3315</v>
      </c>
      <c r="B1321" t="s">
        <v>3335</v>
      </c>
      <c r="C1321">
        <v>185.65</v>
      </c>
      <c r="D1321" t="s">
        <v>3253</v>
      </c>
      <c r="E1321" t="s">
        <v>1417</v>
      </c>
      <c r="F1321">
        <v>75</v>
      </c>
      <c r="G1321" t="b">
        <v>0</v>
      </c>
      <c r="H1321">
        <v>1</v>
      </c>
    </row>
    <row r="1322" spans="1:8" x14ac:dyDescent="0.25">
      <c r="A1322" t="s">
        <v>3315</v>
      </c>
      <c r="B1322" t="s">
        <v>3336</v>
      </c>
      <c r="C1322">
        <v>198.15</v>
      </c>
      <c r="D1322" t="s">
        <v>3253</v>
      </c>
      <c r="E1322" t="s">
        <v>1417</v>
      </c>
      <c r="F1322">
        <v>75</v>
      </c>
      <c r="G1322" t="b">
        <v>0</v>
      </c>
      <c r="H1322">
        <v>1</v>
      </c>
    </row>
    <row r="1323" spans="1:8" x14ac:dyDescent="0.25">
      <c r="A1323" t="s">
        <v>3315</v>
      </c>
      <c r="B1323" t="s">
        <v>3337</v>
      </c>
      <c r="C1323">
        <v>198.15</v>
      </c>
      <c r="D1323" t="s">
        <v>3253</v>
      </c>
      <c r="E1323" t="s">
        <v>1417</v>
      </c>
      <c r="F1323">
        <v>75</v>
      </c>
      <c r="G1323" t="b">
        <v>0</v>
      </c>
      <c r="H1323">
        <v>1</v>
      </c>
    </row>
    <row r="1324" spans="1:8" x14ac:dyDescent="0.25">
      <c r="A1324" t="s">
        <v>3315</v>
      </c>
      <c r="B1324" t="s">
        <v>3338</v>
      </c>
      <c r="C1324">
        <v>210.9</v>
      </c>
      <c r="D1324" t="s">
        <v>3253</v>
      </c>
      <c r="E1324" t="s">
        <v>1417</v>
      </c>
      <c r="F1324">
        <v>75</v>
      </c>
      <c r="G1324" t="b">
        <v>0</v>
      </c>
      <c r="H1324">
        <v>1</v>
      </c>
    </row>
    <row r="1325" spans="1:8" x14ac:dyDescent="0.25">
      <c r="A1325" t="s">
        <v>3315</v>
      </c>
      <c r="B1325" t="s">
        <v>3339</v>
      </c>
      <c r="C1325">
        <v>210.9</v>
      </c>
      <c r="D1325" t="s">
        <v>3253</v>
      </c>
      <c r="E1325" t="s">
        <v>1417</v>
      </c>
      <c r="F1325">
        <v>75</v>
      </c>
      <c r="G1325" t="b">
        <v>0</v>
      </c>
      <c r="H1325">
        <v>1</v>
      </c>
    </row>
    <row r="1326" spans="1:8" x14ac:dyDescent="0.25">
      <c r="A1326" t="s">
        <v>3315</v>
      </c>
      <c r="B1326" t="s">
        <v>3340</v>
      </c>
      <c r="C1326">
        <v>223.4</v>
      </c>
      <c r="D1326" t="s">
        <v>3253</v>
      </c>
      <c r="E1326" t="s">
        <v>1417</v>
      </c>
      <c r="F1326">
        <v>75</v>
      </c>
      <c r="G1326" t="b">
        <v>0</v>
      </c>
      <c r="H1326">
        <v>1</v>
      </c>
    </row>
    <row r="1327" spans="1:8" x14ac:dyDescent="0.25">
      <c r="A1327" t="s">
        <v>3315</v>
      </c>
      <c r="B1327" t="s">
        <v>3341</v>
      </c>
      <c r="C1327">
        <v>223.4</v>
      </c>
      <c r="D1327" t="s">
        <v>3253</v>
      </c>
      <c r="E1327" t="s">
        <v>1417</v>
      </c>
      <c r="F1327">
        <v>75</v>
      </c>
      <c r="G1327" t="b">
        <v>0</v>
      </c>
      <c r="H1327">
        <v>1</v>
      </c>
    </row>
    <row r="1328" spans="1:8" x14ac:dyDescent="0.25">
      <c r="A1328" t="s">
        <v>3315</v>
      </c>
      <c r="B1328" t="s">
        <v>3342</v>
      </c>
      <c r="C1328">
        <v>236.15</v>
      </c>
      <c r="D1328" t="s">
        <v>3253</v>
      </c>
      <c r="E1328" t="s">
        <v>1417</v>
      </c>
      <c r="F1328">
        <v>75</v>
      </c>
      <c r="G1328" t="b">
        <v>0</v>
      </c>
      <c r="H1328">
        <v>1</v>
      </c>
    </row>
    <row r="1329" spans="1:8" x14ac:dyDescent="0.25">
      <c r="A1329" t="s">
        <v>3315</v>
      </c>
      <c r="B1329" t="s">
        <v>3343</v>
      </c>
      <c r="C1329">
        <v>236.15</v>
      </c>
      <c r="D1329" t="s">
        <v>3253</v>
      </c>
      <c r="E1329" t="s">
        <v>1417</v>
      </c>
      <c r="F1329">
        <v>75</v>
      </c>
      <c r="G1329" t="b">
        <v>0</v>
      </c>
      <c r="H1329">
        <v>1</v>
      </c>
    </row>
    <row r="1330" spans="1:8" x14ac:dyDescent="0.25">
      <c r="A1330" t="s">
        <v>3315</v>
      </c>
      <c r="B1330" t="s">
        <v>3344</v>
      </c>
      <c r="C1330">
        <v>248.6</v>
      </c>
      <c r="D1330" t="s">
        <v>3253</v>
      </c>
      <c r="E1330" t="s">
        <v>1417</v>
      </c>
      <c r="F1330">
        <v>75</v>
      </c>
      <c r="G1330" t="b">
        <v>0</v>
      </c>
      <c r="H1330">
        <v>1</v>
      </c>
    </row>
    <row r="1331" spans="1:8" x14ac:dyDescent="0.25">
      <c r="A1331" t="s">
        <v>3315</v>
      </c>
      <c r="B1331" t="s">
        <v>3345</v>
      </c>
      <c r="C1331">
        <v>248.6</v>
      </c>
      <c r="D1331" t="s">
        <v>3253</v>
      </c>
      <c r="E1331" t="s">
        <v>1417</v>
      </c>
      <c r="F1331">
        <v>75</v>
      </c>
      <c r="G1331" t="b">
        <v>0</v>
      </c>
      <c r="H1331">
        <v>1</v>
      </c>
    </row>
    <row r="1332" spans="1:8" x14ac:dyDescent="0.25">
      <c r="A1332" t="s">
        <v>3315</v>
      </c>
      <c r="B1332" t="s">
        <v>3346</v>
      </c>
      <c r="C1332">
        <v>59.45</v>
      </c>
      <c r="D1332" t="s">
        <v>3253</v>
      </c>
      <c r="E1332" t="s">
        <v>1417</v>
      </c>
      <c r="F1332">
        <v>75</v>
      </c>
      <c r="G1332" t="b">
        <v>0</v>
      </c>
      <c r="H1332">
        <v>1</v>
      </c>
    </row>
    <row r="1333" spans="1:8" x14ac:dyDescent="0.25">
      <c r="A1333" t="s">
        <v>3315</v>
      </c>
      <c r="B1333" t="s">
        <v>3347</v>
      </c>
      <c r="C1333">
        <v>59.45</v>
      </c>
      <c r="D1333" t="s">
        <v>3253</v>
      </c>
      <c r="E1333" t="s">
        <v>1417</v>
      </c>
      <c r="F1333">
        <v>75</v>
      </c>
      <c r="G1333" t="b">
        <v>0</v>
      </c>
      <c r="H1333">
        <v>1</v>
      </c>
    </row>
    <row r="1334" spans="1:8" x14ac:dyDescent="0.25">
      <c r="A1334" t="s">
        <v>3348</v>
      </c>
      <c r="B1334" t="s">
        <v>3349</v>
      </c>
      <c r="C1334">
        <v>67.55</v>
      </c>
      <c r="D1334" t="s">
        <v>3253</v>
      </c>
      <c r="E1334" t="s">
        <v>1417</v>
      </c>
      <c r="F1334">
        <v>75</v>
      </c>
      <c r="G1334" t="b">
        <v>0</v>
      </c>
      <c r="H1334">
        <v>1</v>
      </c>
    </row>
    <row r="1335" spans="1:8" x14ac:dyDescent="0.25">
      <c r="A1335" t="s">
        <v>3348</v>
      </c>
      <c r="B1335" t="s">
        <v>3350</v>
      </c>
      <c r="C1335">
        <v>17.149999999999999</v>
      </c>
      <c r="D1335" t="s">
        <v>3253</v>
      </c>
      <c r="E1335" t="s">
        <v>1417</v>
      </c>
      <c r="F1335">
        <v>75</v>
      </c>
      <c r="G1335" t="b">
        <v>0</v>
      </c>
      <c r="H1335">
        <v>1</v>
      </c>
    </row>
    <row r="1336" spans="1:8" x14ac:dyDescent="0.25">
      <c r="A1336" t="s">
        <v>3348</v>
      </c>
      <c r="B1336" t="s">
        <v>3351</v>
      </c>
      <c r="C1336">
        <v>17.149999999999999</v>
      </c>
      <c r="D1336" t="s">
        <v>3253</v>
      </c>
      <c r="E1336" t="s">
        <v>1417</v>
      </c>
      <c r="F1336">
        <v>75</v>
      </c>
      <c r="G1336" t="b">
        <v>0</v>
      </c>
      <c r="H1336">
        <v>1</v>
      </c>
    </row>
    <row r="1337" spans="1:8" x14ac:dyDescent="0.25">
      <c r="A1337" t="s">
        <v>3348</v>
      </c>
      <c r="B1337" t="s">
        <v>3352</v>
      </c>
      <c r="C1337">
        <v>17.149999999999999</v>
      </c>
      <c r="D1337" t="s">
        <v>3253</v>
      </c>
      <c r="E1337" t="s">
        <v>1417</v>
      </c>
      <c r="F1337">
        <v>75</v>
      </c>
      <c r="G1337" t="b">
        <v>0</v>
      </c>
      <c r="H1337">
        <v>1</v>
      </c>
    </row>
    <row r="1338" spans="1:8" x14ac:dyDescent="0.25">
      <c r="A1338" t="s">
        <v>3348</v>
      </c>
      <c r="B1338" t="s">
        <v>3353</v>
      </c>
      <c r="C1338">
        <v>64.849999999999994</v>
      </c>
      <c r="D1338" t="s">
        <v>3253</v>
      </c>
      <c r="E1338" t="s">
        <v>1417</v>
      </c>
      <c r="F1338">
        <v>75</v>
      </c>
      <c r="G1338" t="b">
        <v>0</v>
      </c>
      <c r="H1338">
        <v>1</v>
      </c>
    </row>
    <row r="1339" spans="1:8" x14ac:dyDescent="0.25">
      <c r="A1339" t="s">
        <v>3348</v>
      </c>
      <c r="B1339" t="s">
        <v>3354</v>
      </c>
      <c r="C1339">
        <v>70.2</v>
      </c>
      <c r="D1339" t="s">
        <v>3253</v>
      </c>
      <c r="E1339" t="s">
        <v>1417</v>
      </c>
      <c r="F1339">
        <v>75</v>
      </c>
      <c r="G1339" t="b">
        <v>0</v>
      </c>
      <c r="H1339">
        <v>1</v>
      </c>
    </row>
    <row r="1340" spans="1:8" x14ac:dyDescent="0.25">
      <c r="A1340" t="s">
        <v>3355</v>
      </c>
      <c r="B1340" t="s">
        <v>3356</v>
      </c>
      <c r="C1340">
        <v>135.05000000000001</v>
      </c>
      <c r="D1340" t="s">
        <v>3253</v>
      </c>
      <c r="E1340" t="s">
        <v>1417</v>
      </c>
      <c r="F1340">
        <v>75</v>
      </c>
      <c r="G1340" t="b">
        <v>0</v>
      </c>
      <c r="H1340">
        <v>1</v>
      </c>
    </row>
    <row r="1341" spans="1:8" x14ac:dyDescent="0.25">
      <c r="A1341" t="s">
        <v>3355</v>
      </c>
      <c r="B1341" t="s">
        <v>3357</v>
      </c>
      <c r="C1341">
        <v>98.8</v>
      </c>
      <c r="D1341" t="s">
        <v>3253</v>
      </c>
      <c r="E1341" t="s">
        <v>1417</v>
      </c>
      <c r="F1341">
        <v>75</v>
      </c>
      <c r="G1341" t="b">
        <v>0</v>
      </c>
      <c r="H1341">
        <v>1</v>
      </c>
    </row>
    <row r="1342" spans="1:8" x14ac:dyDescent="0.25">
      <c r="A1342" t="s">
        <v>3355</v>
      </c>
      <c r="B1342" t="s">
        <v>3358</v>
      </c>
      <c r="C1342">
        <v>114.7</v>
      </c>
      <c r="D1342" t="s">
        <v>3253</v>
      </c>
      <c r="E1342" t="s">
        <v>1417</v>
      </c>
      <c r="F1342">
        <v>75</v>
      </c>
      <c r="G1342" t="b">
        <v>0</v>
      </c>
      <c r="H1342">
        <v>1</v>
      </c>
    </row>
    <row r="1343" spans="1:8" x14ac:dyDescent="0.25">
      <c r="A1343" t="s">
        <v>3355</v>
      </c>
      <c r="B1343" t="s">
        <v>3359</v>
      </c>
      <c r="C1343">
        <v>125.6</v>
      </c>
      <c r="D1343" t="s">
        <v>3253</v>
      </c>
      <c r="E1343" t="s">
        <v>1417</v>
      </c>
      <c r="F1343">
        <v>75</v>
      </c>
      <c r="G1343" t="b">
        <v>0</v>
      </c>
      <c r="H1343">
        <v>1</v>
      </c>
    </row>
    <row r="1344" spans="1:8" x14ac:dyDescent="0.25">
      <c r="A1344" t="s">
        <v>3360</v>
      </c>
      <c r="B1344" t="s">
        <v>3361</v>
      </c>
      <c r="C1344">
        <v>57.25</v>
      </c>
      <c r="D1344" t="s">
        <v>3253</v>
      </c>
      <c r="E1344" t="s">
        <v>1417</v>
      </c>
      <c r="F1344">
        <v>75</v>
      </c>
      <c r="G1344" t="b">
        <v>0</v>
      </c>
      <c r="H1344">
        <v>1</v>
      </c>
    </row>
    <row r="1345" spans="1:8" x14ac:dyDescent="0.25">
      <c r="A1345" t="s">
        <v>3360</v>
      </c>
      <c r="B1345" t="s">
        <v>3362</v>
      </c>
      <c r="C1345">
        <v>57.25</v>
      </c>
      <c r="D1345" t="s">
        <v>3253</v>
      </c>
      <c r="E1345" t="s">
        <v>1417</v>
      </c>
      <c r="F1345">
        <v>75</v>
      </c>
      <c r="G1345" t="b">
        <v>0</v>
      </c>
      <c r="H1345">
        <v>1</v>
      </c>
    </row>
    <row r="1346" spans="1:8" x14ac:dyDescent="0.25">
      <c r="A1346" t="s">
        <v>3360</v>
      </c>
      <c r="B1346" t="s">
        <v>3363</v>
      </c>
      <c r="C1346">
        <v>57.25</v>
      </c>
      <c r="D1346" t="s">
        <v>3253</v>
      </c>
      <c r="E1346" t="s">
        <v>1417</v>
      </c>
      <c r="F1346">
        <v>75</v>
      </c>
      <c r="G1346" t="b">
        <v>0</v>
      </c>
      <c r="H1346">
        <v>1</v>
      </c>
    </row>
    <row r="1347" spans="1:8" x14ac:dyDescent="0.25">
      <c r="A1347" t="s">
        <v>3360</v>
      </c>
      <c r="B1347" t="s">
        <v>3364</v>
      </c>
      <c r="C1347">
        <v>57.25</v>
      </c>
      <c r="D1347" t="s">
        <v>3253</v>
      </c>
      <c r="E1347" t="s">
        <v>1417</v>
      </c>
      <c r="F1347">
        <v>75</v>
      </c>
      <c r="G1347" t="b">
        <v>0</v>
      </c>
      <c r="H1347">
        <v>1</v>
      </c>
    </row>
    <row r="1348" spans="1:8" x14ac:dyDescent="0.25">
      <c r="A1348" t="s">
        <v>3360</v>
      </c>
      <c r="B1348" t="s">
        <v>3365</v>
      </c>
      <c r="C1348">
        <v>67.400000000000006</v>
      </c>
      <c r="D1348" t="s">
        <v>3253</v>
      </c>
      <c r="E1348" t="s">
        <v>1417</v>
      </c>
      <c r="F1348">
        <v>75</v>
      </c>
      <c r="G1348" t="b">
        <v>0</v>
      </c>
      <c r="H1348">
        <v>1</v>
      </c>
    </row>
    <row r="1349" spans="1:8" x14ac:dyDescent="0.25">
      <c r="A1349" t="s">
        <v>3360</v>
      </c>
      <c r="B1349" t="s">
        <v>3366</v>
      </c>
      <c r="C1349">
        <v>67.400000000000006</v>
      </c>
      <c r="D1349" t="s">
        <v>3253</v>
      </c>
      <c r="E1349" t="s">
        <v>1417</v>
      </c>
      <c r="F1349">
        <v>75</v>
      </c>
      <c r="G1349" t="b">
        <v>0</v>
      </c>
      <c r="H1349">
        <v>1</v>
      </c>
    </row>
    <row r="1350" spans="1:8" x14ac:dyDescent="0.25">
      <c r="A1350" t="s">
        <v>3360</v>
      </c>
      <c r="B1350" t="s">
        <v>3367</v>
      </c>
      <c r="C1350">
        <v>67.400000000000006</v>
      </c>
      <c r="D1350" t="s">
        <v>3253</v>
      </c>
      <c r="E1350" t="s">
        <v>1417</v>
      </c>
      <c r="F1350">
        <v>75</v>
      </c>
      <c r="G1350" t="b">
        <v>0</v>
      </c>
      <c r="H1350">
        <v>1</v>
      </c>
    </row>
    <row r="1351" spans="1:8" x14ac:dyDescent="0.25">
      <c r="A1351" t="s">
        <v>3360</v>
      </c>
      <c r="B1351" t="s">
        <v>3368</v>
      </c>
      <c r="C1351">
        <v>67.400000000000006</v>
      </c>
      <c r="D1351" t="s">
        <v>3253</v>
      </c>
      <c r="E1351" t="s">
        <v>1417</v>
      </c>
      <c r="F1351">
        <v>75</v>
      </c>
      <c r="G1351" t="b">
        <v>0</v>
      </c>
      <c r="H1351">
        <v>1</v>
      </c>
    </row>
    <row r="1352" spans="1:8" x14ac:dyDescent="0.25">
      <c r="A1352" t="s">
        <v>3360</v>
      </c>
      <c r="B1352" t="s">
        <v>3369</v>
      </c>
      <c r="C1352">
        <v>77.3</v>
      </c>
      <c r="D1352" t="s">
        <v>3253</v>
      </c>
      <c r="E1352" t="s">
        <v>1417</v>
      </c>
      <c r="F1352">
        <v>75</v>
      </c>
      <c r="G1352" t="b">
        <v>0</v>
      </c>
      <c r="H1352">
        <v>1</v>
      </c>
    </row>
    <row r="1353" spans="1:8" x14ac:dyDescent="0.25">
      <c r="A1353" t="s">
        <v>3360</v>
      </c>
      <c r="B1353" t="s">
        <v>3370</v>
      </c>
      <c r="C1353">
        <v>77.3</v>
      </c>
      <c r="D1353" t="s">
        <v>3253</v>
      </c>
      <c r="E1353" t="s">
        <v>1417</v>
      </c>
      <c r="F1353">
        <v>75</v>
      </c>
      <c r="G1353" t="b">
        <v>0</v>
      </c>
      <c r="H1353">
        <v>1</v>
      </c>
    </row>
    <row r="1354" spans="1:8" x14ac:dyDescent="0.25">
      <c r="A1354" t="s">
        <v>3360</v>
      </c>
      <c r="B1354" t="s">
        <v>3371</v>
      </c>
      <c r="C1354">
        <v>77.3</v>
      </c>
      <c r="D1354" t="s">
        <v>3253</v>
      </c>
      <c r="E1354" t="s">
        <v>1417</v>
      </c>
      <c r="F1354">
        <v>75</v>
      </c>
      <c r="G1354" t="b">
        <v>0</v>
      </c>
      <c r="H1354">
        <v>1</v>
      </c>
    </row>
    <row r="1355" spans="1:8" x14ac:dyDescent="0.25">
      <c r="A1355" t="s">
        <v>3360</v>
      </c>
      <c r="B1355" t="s">
        <v>3372</v>
      </c>
      <c r="C1355">
        <v>77.3</v>
      </c>
      <c r="D1355" t="s">
        <v>3253</v>
      </c>
      <c r="E1355" t="s">
        <v>1417</v>
      </c>
      <c r="F1355">
        <v>75</v>
      </c>
      <c r="G1355" t="b">
        <v>0</v>
      </c>
      <c r="H1355">
        <v>1</v>
      </c>
    </row>
    <row r="1356" spans="1:8" x14ac:dyDescent="0.25">
      <c r="A1356" t="s">
        <v>3360</v>
      </c>
      <c r="B1356" t="s">
        <v>3373</v>
      </c>
      <c r="C1356">
        <v>87.4</v>
      </c>
      <c r="D1356" t="s">
        <v>3253</v>
      </c>
      <c r="E1356" t="s">
        <v>1417</v>
      </c>
      <c r="F1356">
        <v>75</v>
      </c>
      <c r="G1356" t="b">
        <v>0</v>
      </c>
      <c r="H1356">
        <v>1</v>
      </c>
    </row>
    <row r="1357" spans="1:8" x14ac:dyDescent="0.25">
      <c r="A1357" t="s">
        <v>3360</v>
      </c>
      <c r="B1357" t="s">
        <v>3374</v>
      </c>
      <c r="C1357">
        <v>87.4</v>
      </c>
      <c r="D1357" t="s">
        <v>3253</v>
      </c>
      <c r="E1357" t="s">
        <v>1417</v>
      </c>
      <c r="F1357">
        <v>75</v>
      </c>
      <c r="G1357" t="b">
        <v>0</v>
      </c>
      <c r="H1357">
        <v>1</v>
      </c>
    </row>
    <row r="1358" spans="1:8" x14ac:dyDescent="0.25">
      <c r="A1358" t="s">
        <v>3360</v>
      </c>
      <c r="B1358" t="s">
        <v>3375</v>
      </c>
      <c r="C1358">
        <v>87.4</v>
      </c>
      <c r="D1358" t="s">
        <v>3253</v>
      </c>
      <c r="E1358" t="s">
        <v>1417</v>
      </c>
      <c r="F1358">
        <v>75</v>
      </c>
      <c r="G1358" t="b">
        <v>0</v>
      </c>
      <c r="H1358">
        <v>1</v>
      </c>
    </row>
    <row r="1359" spans="1:8" x14ac:dyDescent="0.25">
      <c r="A1359" t="s">
        <v>3360</v>
      </c>
      <c r="B1359" t="s">
        <v>3376</v>
      </c>
      <c r="C1359">
        <v>87.4</v>
      </c>
      <c r="D1359" t="s">
        <v>3253</v>
      </c>
      <c r="E1359" t="s">
        <v>1417</v>
      </c>
      <c r="F1359">
        <v>75</v>
      </c>
      <c r="G1359" t="b">
        <v>0</v>
      </c>
      <c r="H1359">
        <v>1</v>
      </c>
    </row>
    <row r="1360" spans="1:8" x14ac:dyDescent="0.25">
      <c r="A1360" t="s">
        <v>3360</v>
      </c>
      <c r="B1360" t="s">
        <v>3377</v>
      </c>
      <c r="C1360">
        <v>97.5</v>
      </c>
      <c r="D1360" t="s">
        <v>3253</v>
      </c>
      <c r="E1360" t="s">
        <v>1417</v>
      </c>
      <c r="F1360">
        <v>75</v>
      </c>
      <c r="G1360" t="b">
        <v>0</v>
      </c>
      <c r="H1360">
        <v>1</v>
      </c>
    </row>
    <row r="1361" spans="1:8" x14ac:dyDescent="0.25">
      <c r="A1361" t="s">
        <v>3360</v>
      </c>
      <c r="B1361" t="s">
        <v>3378</v>
      </c>
      <c r="C1361">
        <v>97.5</v>
      </c>
      <c r="D1361" t="s">
        <v>3253</v>
      </c>
      <c r="E1361" t="s">
        <v>1417</v>
      </c>
      <c r="F1361">
        <v>75</v>
      </c>
      <c r="G1361" t="b">
        <v>0</v>
      </c>
      <c r="H1361">
        <v>1</v>
      </c>
    </row>
    <row r="1362" spans="1:8" x14ac:dyDescent="0.25">
      <c r="A1362" t="s">
        <v>3360</v>
      </c>
      <c r="B1362" t="s">
        <v>3379</v>
      </c>
      <c r="C1362">
        <v>97.5</v>
      </c>
      <c r="D1362" t="s">
        <v>3253</v>
      </c>
      <c r="E1362" t="s">
        <v>1417</v>
      </c>
      <c r="F1362">
        <v>75</v>
      </c>
      <c r="G1362" t="b">
        <v>0</v>
      </c>
      <c r="H1362">
        <v>1</v>
      </c>
    </row>
    <row r="1363" spans="1:8" x14ac:dyDescent="0.25">
      <c r="A1363" t="s">
        <v>3360</v>
      </c>
      <c r="B1363" t="s">
        <v>3380</v>
      </c>
      <c r="C1363">
        <v>97.5</v>
      </c>
      <c r="D1363" t="s">
        <v>3253</v>
      </c>
      <c r="E1363" t="s">
        <v>1417</v>
      </c>
      <c r="F1363">
        <v>75</v>
      </c>
      <c r="G1363" t="b">
        <v>0</v>
      </c>
      <c r="H1363">
        <v>1</v>
      </c>
    </row>
    <row r="1364" spans="1:8" x14ac:dyDescent="0.25">
      <c r="A1364" t="s">
        <v>3360</v>
      </c>
      <c r="B1364" t="s">
        <v>3381</v>
      </c>
      <c r="C1364">
        <v>107.2</v>
      </c>
      <c r="D1364" t="s">
        <v>3253</v>
      </c>
      <c r="E1364" t="s">
        <v>1417</v>
      </c>
      <c r="F1364">
        <v>75</v>
      </c>
      <c r="G1364" t="b">
        <v>0</v>
      </c>
      <c r="H1364">
        <v>1</v>
      </c>
    </row>
    <row r="1365" spans="1:8" x14ac:dyDescent="0.25">
      <c r="A1365" t="s">
        <v>3360</v>
      </c>
      <c r="B1365" t="s">
        <v>3382</v>
      </c>
      <c r="C1365">
        <v>107.2</v>
      </c>
      <c r="D1365" t="s">
        <v>3253</v>
      </c>
      <c r="E1365" t="s">
        <v>1417</v>
      </c>
      <c r="F1365">
        <v>75</v>
      </c>
      <c r="G1365" t="b">
        <v>0</v>
      </c>
      <c r="H1365">
        <v>1</v>
      </c>
    </row>
    <row r="1366" spans="1:8" x14ac:dyDescent="0.25">
      <c r="A1366" t="s">
        <v>3360</v>
      </c>
      <c r="B1366" t="s">
        <v>3383</v>
      </c>
      <c r="C1366">
        <v>107.2</v>
      </c>
      <c r="D1366" t="s">
        <v>3253</v>
      </c>
      <c r="E1366" t="s">
        <v>1417</v>
      </c>
      <c r="F1366">
        <v>75</v>
      </c>
      <c r="G1366" t="b">
        <v>0</v>
      </c>
      <c r="H1366">
        <v>1</v>
      </c>
    </row>
    <row r="1367" spans="1:8" x14ac:dyDescent="0.25">
      <c r="A1367" t="s">
        <v>3360</v>
      </c>
      <c r="B1367" t="s">
        <v>3384</v>
      </c>
      <c r="C1367">
        <v>107.2</v>
      </c>
      <c r="D1367" t="s">
        <v>3253</v>
      </c>
      <c r="E1367" t="s">
        <v>1417</v>
      </c>
      <c r="F1367">
        <v>75</v>
      </c>
      <c r="G1367" t="b">
        <v>0</v>
      </c>
      <c r="H1367">
        <v>1</v>
      </c>
    </row>
    <row r="1368" spans="1:8" x14ac:dyDescent="0.25">
      <c r="A1368" t="s">
        <v>3360</v>
      </c>
      <c r="B1368" t="s">
        <v>3385</v>
      </c>
      <c r="C1368">
        <v>117.3</v>
      </c>
      <c r="D1368" t="s">
        <v>3253</v>
      </c>
      <c r="E1368" t="s">
        <v>1417</v>
      </c>
      <c r="F1368">
        <v>75</v>
      </c>
      <c r="G1368" t="b">
        <v>0</v>
      </c>
      <c r="H1368">
        <v>1</v>
      </c>
    </row>
    <row r="1369" spans="1:8" x14ac:dyDescent="0.25">
      <c r="A1369" t="s">
        <v>3360</v>
      </c>
      <c r="B1369" t="s">
        <v>3386</v>
      </c>
      <c r="C1369">
        <v>117.3</v>
      </c>
      <c r="D1369" t="s">
        <v>3253</v>
      </c>
      <c r="E1369" t="s">
        <v>1417</v>
      </c>
      <c r="F1369">
        <v>75</v>
      </c>
      <c r="G1369" t="b">
        <v>0</v>
      </c>
      <c r="H1369">
        <v>1</v>
      </c>
    </row>
    <row r="1370" spans="1:8" x14ac:dyDescent="0.25">
      <c r="A1370" t="s">
        <v>3360</v>
      </c>
      <c r="B1370" t="s">
        <v>3387</v>
      </c>
      <c r="C1370">
        <v>117.3</v>
      </c>
      <c r="D1370" t="s">
        <v>3253</v>
      </c>
      <c r="E1370" t="s">
        <v>1417</v>
      </c>
      <c r="F1370">
        <v>75</v>
      </c>
      <c r="G1370" t="b">
        <v>0</v>
      </c>
      <c r="H1370">
        <v>1</v>
      </c>
    </row>
    <row r="1371" spans="1:8" x14ac:dyDescent="0.25">
      <c r="A1371" t="s">
        <v>3360</v>
      </c>
      <c r="B1371" t="s">
        <v>3388</v>
      </c>
      <c r="C1371">
        <v>117.3</v>
      </c>
      <c r="D1371" t="s">
        <v>3253</v>
      </c>
      <c r="E1371" t="s">
        <v>1417</v>
      </c>
      <c r="F1371">
        <v>75</v>
      </c>
      <c r="G1371" t="b">
        <v>0</v>
      </c>
      <c r="H1371">
        <v>1</v>
      </c>
    </row>
    <row r="1372" spans="1:8" x14ac:dyDescent="0.25">
      <c r="A1372" t="s">
        <v>3360</v>
      </c>
      <c r="B1372" t="s">
        <v>3389</v>
      </c>
      <c r="C1372">
        <v>127.2</v>
      </c>
      <c r="D1372" t="s">
        <v>3253</v>
      </c>
      <c r="E1372" t="s">
        <v>1417</v>
      </c>
      <c r="F1372">
        <v>75</v>
      </c>
      <c r="G1372" t="b">
        <v>0</v>
      </c>
      <c r="H1372">
        <v>1</v>
      </c>
    </row>
    <row r="1373" spans="1:8" x14ac:dyDescent="0.25">
      <c r="A1373" t="s">
        <v>3360</v>
      </c>
      <c r="B1373" t="s">
        <v>3390</v>
      </c>
      <c r="C1373">
        <v>127.2</v>
      </c>
      <c r="D1373" t="s">
        <v>3253</v>
      </c>
      <c r="E1373" t="s">
        <v>1417</v>
      </c>
      <c r="F1373">
        <v>75</v>
      </c>
      <c r="G1373" t="b">
        <v>0</v>
      </c>
      <c r="H1373">
        <v>1</v>
      </c>
    </row>
    <row r="1374" spans="1:8" x14ac:dyDescent="0.25">
      <c r="A1374" t="s">
        <v>3360</v>
      </c>
      <c r="B1374" t="s">
        <v>3391</v>
      </c>
      <c r="C1374">
        <v>127.2</v>
      </c>
      <c r="D1374" t="s">
        <v>3253</v>
      </c>
      <c r="E1374" t="s">
        <v>1417</v>
      </c>
      <c r="F1374">
        <v>75</v>
      </c>
      <c r="G1374" t="b">
        <v>0</v>
      </c>
      <c r="H1374">
        <v>1</v>
      </c>
    </row>
    <row r="1375" spans="1:8" x14ac:dyDescent="0.25">
      <c r="A1375" t="s">
        <v>3360</v>
      </c>
      <c r="B1375" t="s">
        <v>3392</v>
      </c>
      <c r="C1375">
        <v>127.2</v>
      </c>
      <c r="D1375" t="s">
        <v>3253</v>
      </c>
      <c r="E1375" t="s">
        <v>1417</v>
      </c>
      <c r="F1375">
        <v>75</v>
      </c>
      <c r="G1375" t="b">
        <v>0</v>
      </c>
      <c r="H1375">
        <v>1</v>
      </c>
    </row>
    <row r="1376" spans="1:8" x14ac:dyDescent="0.25">
      <c r="A1376" t="s">
        <v>3360</v>
      </c>
      <c r="B1376" t="s">
        <v>3393</v>
      </c>
      <c r="C1376">
        <v>137.35</v>
      </c>
      <c r="D1376" t="s">
        <v>3253</v>
      </c>
      <c r="E1376" t="s">
        <v>1417</v>
      </c>
      <c r="F1376">
        <v>75</v>
      </c>
      <c r="G1376" t="b">
        <v>0</v>
      </c>
      <c r="H1376">
        <v>1</v>
      </c>
    </row>
    <row r="1377" spans="1:8" x14ac:dyDescent="0.25">
      <c r="A1377" t="s">
        <v>3360</v>
      </c>
      <c r="B1377" t="s">
        <v>3394</v>
      </c>
      <c r="C1377">
        <v>137.35</v>
      </c>
      <c r="D1377" t="s">
        <v>3253</v>
      </c>
      <c r="E1377" t="s">
        <v>1417</v>
      </c>
      <c r="F1377">
        <v>75</v>
      </c>
      <c r="G1377" t="b">
        <v>0</v>
      </c>
      <c r="H1377">
        <v>1</v>
      </c>
    </row>
    <row r="1378" spans="1:8" x14ac:dyDescent="0.25">
      <c r="A1378" t="s">
        <v>3360</v>
      </c>
      <c r="B1378" t="s">
        <v>3395</v>
      </c>
      <c r="C1378">
        <v>137.35</v>
      </c>
      <c r="D1378" t="s">
        <v>3253</v>
      </c>
      <c r="E1378" t="s">
        <v>1417</v>
      </c>
      <c r="F1378">
        <v>75</v>
      </c>
      <c r="G1378" t="b">
        <v>0</v>
      </c>
      <c r="H1378">
        <v>1</v>
      </c>
    </row>
    <row r="1379" spans="1:8" x14ac:dyDescent="0.25">
      <c r="A1379" t="s">
        <v>3360</v>
      </c>
      <c r="B1379" t="s">
        <v>3396</v>
      </c>
      <c r="C1379">
        <v>137.35</v>
      </c>
      <c r="D1379" t="s">
        <v>3253</v>
      </c>
      <c r="E1379" t="s">
        <v>1417</v>
      </c>
      <c r="F1379">
        <v>75</v>
      </c>
      <c r="G1379" t="b">
        <v>0</v>
      </c>
      <c r="H1379">
        <v>1</v>
      </c>
    </row>
    <row r="1380" spans="1:8" x14ac:dyDescent="0.25">
      <c r="A1380" t="s">
        <v>3360</v>
      </c>
      <c r="B1380" t="s">
        <v>3397</v>
      </c>
      <c r="C1380">
        <v>147.25</v>
      </c>
      <c r="D1380" t="s">
        <v>3253</v>
      </c>
      <c r="E1380" t="s">
        <v>1417</v>
      </c>
      <c r="F1380">
        <v>75</v>
      </c>
      <c r="G1380" t="b">
        <v>0</v>
      </c>
      <c r="H1380">
        <v>1</v>
      </c>
    </row>
    <row r="1381" spans="1:8" x14ac:dyDescent="0.25">
      <c r="A1381" t="s">
        <v>3360</v>
      </c>
      <c r="B1381" t="s">
        <v>3398</v>
      </c>
      <c r="C1381">
        <v>147.25</v>
      </c>
      <c r="D1381" t="s">
        <v>3253</v>
      </c>
      <c r="E1381" t="s">
        <v>1417</v>
      </c>
      <c r="F1381">
        <v>75</v>
      </c>
      <c r="G1381" t="b">
        <v>0</v>
      </c>
      <c r="H1381">
        <v>1</v>
      </c>
    </row>
    <row r="1382" spans="1:8" x14ac:dyDescent="0.25">
      <c r="A1382" t="s">
        <v>3360</v>
      </c>
      <c r="B1382" t="s">
        <v>3399</v>
      </c>
      <c r="C1382">
        <v>147.25</v>
      </c>
      <c r="D1382" t="s">
        <v>3253</v>
      </c>
      <c r="E1382" t="s">
        <v>1417</v>
      </c>
      <c r="F1382">
        <v>75</v>
      </c>
      <c r="G1382" t="b">
        <v>0</v>
      </c>
      <c r="H1382">
        <v>1</v>
      </c>
    </row>
    <row r="1383" spans="1:8" x14ac:dyDescent="0.25">
      <c r="A1383" t="s">
        <v>3360</v>
      </c>
      <c r="B1383" t="s">
        <v>3400</v>
      </c>
      <c r="C1383">
        <v>147.25</v>
      </c>
      <c r="D1383" t="s">
        <v>3253</v>
      </c>
      <c r="E1383" t="s">
        <v>1417</v>
      </c>
      <c r="F1383">
        <v>75</v>
      </c>
      <c r="G1383" t="b">
        <v>0</v>
      </c>
      <c r="H1383">
        <v>1</v>
      </c>
    </row>
    <row r="1384" spans="1:8" x14ac:dyDescent="0.25">
      <c r="A1384" t="s">
        <v>3360</v>
      </c>
      <c r="B1384" t="s">
        <v>3401</v>
      </c>
      <c r="C1384">
        <v>157.15</v>
      </c>
      <c r="D1384" t="s">
        <v>3253</v>
      </c>
      <c r="E1384" t="s">
        <v>1417</v>
      </c>
      <c r="F1384">
        <v>75</v>
      </c>
      <c r="G1384" t="b">
        <v>0</v>
      </c>
      <c r="H1384">
        <v>1</v>
      </c>
    </row>
    <row r="1385" spans="1:8" x14ac:dyDescent="0.25">
      <c r="A1385" t="s">
        <v>3360</v>
      </c>
      <c r="B1385" t="s">
        <v>3402</v>
      </c>
      <c r="C1385">
        <v>157.15</v>
      </c>
      <c r="D1385" t="s">
        <v>3253</v>
      </c>
      <c r="E1385" t="s">
        <v>1417</v>
      </c>
      <c r="F1385">
        <v>75</v>
      </c>
      <c r="G1385" t="b">
        <v>0</v>
      </c>
      <c r="H1385">
        <v>1</v>
      </c>
    </row>
    <row r="1386" spans="1:8" x14ac:dyDescent="0.25">
      <c r="A1386" t="s">
        <v>3360</v>
      </c>
      <c r="B1386" t="s">
        <v>3403</v>
      </c>
      <c r="C1386">
        <v>157.15</v>
      </c>
      <c r="D1386" t="s">
        <v>3253</v>
      </c>
      <c r="E1386" t="s">
        <v>1417</v>
      </c>
      <c r="F1386">
        <v>75</v>
      </c>
      <c r="G1386" t="b">
        <v>0</v>
      </c>
      <c r="H1386">
        <v>1</v>
      </c>
    </row>
    <row r="1387" spans="1:8" x14ac:dyDescent="0.25">
      <c r="A1387" t="s">
        <v>3360</v>
      </c>
      <c r="B1387" t="s">
        <v>3404</v>
      </c>
      <c r="C1387">
        <v>157.15</v>
      </c>
      <c r="D1387" t="s">
        <v>3253</v>
      </c>
      <c r="E1387" t="s">
        <v>1417</v>
      </c>
      <c r="F1387">
        <v>75</v>
      </c>
      <c r="G1387" t="b">
        <v>0</v>
      </c>
      <c r="H1387">
        <v>1</v>
      </c>
    </row>
    <row r="1388" spans="1:8" x14ac:dyDescent="0.25">
      <c r="A1388" t="s">
        <v>3360</v>
      </c>
      <c r="B1388" t="s">
        <v>3405</v>
      </c>
      <c r="C1388">
        <v>167.25</v>
      </c>
      <c r="D1388" t="s">
        <v>3253</v>
      </c>
      <c r="E1388" t="s">
        <v>1417</v>
      </c>
      <c r="F1388">
        <v>75</v>
      </c>
      <c r="G1388" t="b">
        <v>0</v>
      </c>
      <c r="H1388">
        <v>1</v>
      </c>
    </row>
    <row r="1389" spans="1:8" x14ac:dyDescent="0.25">
      <c r="A1389" t="s">
        <v>3360</v>
      </c>
      <c r="B1389" t="s">
        <v>3406</v>
      </c>
      <c r="C1389">
        <v>167.25</v>
      </c>
      <c r="D1389" t="s">
        <v>3253</v>
      </c>
      <c r="E1389" t="s">
        <v>1417</v>
      </c>
      <c r="F1389">
        <v>75</v>
      </c>
      <c r="G1389" t="b">
        <v>0</v>
      </c>
      <c r="H1389">
        <v>1</v>
      </c>
    </row>
    <row r="1390" spans="1:8" x14ac:dyDescent="0.25">
      <c r="A1390" t="s">
        <v>3360</v>
      </c>
      <c r="B1390" t="s">
        <v>3407</v>
      </c>
      <c r="C1390">
        <v>167.25</v>
      </c>
      <c r="D1390" t="s">
        <v>3253</v>
      </c>
      <c r="E1390" t="s">
        <v>1417</v>
      </c>
      <c r="F1390">
        <v>75</v>
      </c>
      <c r="G1390" t="b">
        <v>0</v>
      </c>
      <c r="H1390">
        <v>1</v>
      </c>
    </row>
    <row r="1391" spans="1:8" x14ac:dyDescent="0.25">
      <c r="A1391" t="s">
        <v>3360</v>
      </c>
      <c r="B1391" t="s">
        <v>3408</v>
      </c>
      <c r="C1391">
        <v>167.25</v>
      </c>
      <c r="D1391" t="s">
        <v>3253</v>
      </c>
      <c r="E1391" t="s">
        <v>1417</v>
      </c>
      <c r="F1391">
        <v>75</v>
      </c>
      <c r="G1391" t="b">
        <v>0</v>
      </c>
      <c r="H1391">
        <v>1</v>
      </c>
    </row>
    <row r="1392" spans="1:8" x14ac:dyDescent="0.25">
      <c r="A1392" t="s">
        <v>3360</v>
      </c>
      <c r="B1392" t="s">
        <v>3409</v>
      </c>
      <c r="C1392">
        <v>177.15</v>
      </c>
      <c r="D1392" t="s">
        <v>3253</v>
      </c>
      <c r="E1392" t="s">
        <v>1417</v>
      </c>
      <c r="F1392">
        <v>75</v>
      </c>
      <c r="G1392" t="b">
        <v>0</v>
      </c>
      <c r="H1392">
        <v>1</v>
      </c>
    </row>
    <row r="1393" spans="1:8" x14ac:dyDescent="0.25">
      <c r="A1393" t="s">
        <v>3360</v>
      </c>
      <c r="B1393" t="s">
        <v>3410</v>
      </c>
      <c r="C1393">
        <v>177.15</v>
      </c>
      <c r="D1393" t="s">
        <v>3253</v>
      </c>
      <c r="E1393" t="s">
        <v>1417</v>
      </c>
      <c r="F1393">
        <v>75</v>
      </c>
      <c r="G1393" t="b">
        <v>0</v>
      </c>
      <c r="H1393">
        <v>1</v>
      </c>
    </row>
    <row r="1394" spans="1:8" x14ac:dyDescent="0.25">
      <c r="A1394" t="s">
        <v>3360</v>
      </c>
      <c r="B1394" t="s">
        <v>3411</v>
      </c>
      <c r="C1394">
        <v>177.15</v>
      </c>
      <c r="D1394" t="s">
        <v>3253</v>
      </c>
      <c r="E1394" t="s">
        <v>1417</v>
      </c>
      <c r="F1394">
        <v>75</v>
      </c>
      <c r="G1394" t="b">
        <v>0</v>
      </c>
      <c r="H1394">
        <v>1</v>
      </c>
    </row>
    <row r="1395" spans="1:8" x14ac:dyDescent="0.25">
      <c r="A1395" t="s">
        <v>3360</v>
      </c>
      <c r="B1395" t="s">
        <v>3412</v>
      </c>
      <c r="C1395">
        <v>177.15</v>
      </c>
      <c r="D1395" t="s">
        <v>3253</v>
      </c>
      <c r="E1395" t="s">
        <v>1417</v>
      </c>
      <c r="F1395">
        <v>75</v>
      </c>
      <c r="G1395" t="b">
        <v>0</v>
      </c>
      <c r="H1395">
        <v>1</v>
      </c>
    </row>
    <row r="1396" spans="1:8" x14ac:dyDescent="0.25">
      <c r="A1396" t="s">
        <v>3360</v>
      </c>
      <c r="B1396" t="s">
        <v>3413</v>
      </c>
      <c r="C1396">
        <v>187.25</v>
      </c>
      <c r="D1396" t="s">
        <v>3253</v>
      </c>
      <c r="E1396" t="s">
        <v>1417</v>
      </c>
      <c r="F1396">
        <v>75</v>
      </c>
      <c r="G1396" t="b">
        <v>0</v>
      </c>
      <c r="H1396">
        <v>1</v>
      </c>
    </row>
    <row r="1397" spans="1:8" x14ac:dyDescent="0.25">
      <c r="A1397" t="s">
        <v>3360</v>
      </c>
      <c r="B1397" t="s">
        <v>3414</v>
      </c>
      <c r="C1397">
        <v>187.25</v>
      </c>
      <c r="D1397" t="s">
        <v>3253</v>
      </c>
      <c r="E1397" t="s">
        <v>1417</v>
      </c>
      <c r="F1397">
        <v>75</v>
      </c>
      <c r="G1397" t="b">
        <v>0</v>
      </c>
      <c r="H1397">
        <v>1</v>
      </c>
    </row>
    <row r="1398" spans="1:8" x14ac:dyDescent="0.25">
      <c r="A1398" t="s">
        <v>3360</v>
      </c>
      <c r="B1398" t="s">
        <v>3415</v>
      </c>
      <c r="C1398">
        <v>187.25</v>
      </c>
      <c r="D1398" t="s">
        <v>3253</v>
      </c>
      <c r="E1398" t="s">
        <v>1417</v>
      </c>
      <c r="F1398">
        <v>75</v>
      </c>
      <c r="G1398" t="b">
        <v>0</v>
      </c>
      <c r="H1398">
        <v>1</v>
      </c>
    </row>
    <row r="1399" spans="1:8" x14ac:dyDescent="0.25">
      <c r="A1399" t="s">
        <v>3360</v>
      </c>
      <c r="B1399" t="s">
        <v>3416</v>
      </c>
      <c r="C1399">
        <v>187.25</v>
      </c>
      <c r="D1399" t="s">
        <v>3253</v>
      </c>
      <c r="E1399" t="s">
        <v>1417</v>
      </c>
      <c r="F1399">
        <v>75</v>
      </c>
      <c r="G1399" t="b">
        <v>0</v>
      </c>
      <c r="H1399">
        <v>1</v>
      </c>
    </row>
    <row r="1400" spans="1:8" x14ac:dyDescent="0.25">
      <c r="A1400" t="s">
        <v>3360</v>
      </c>
      <c r="B1400" t="s">
        <v>3417</v>
      </c>
      <c r="C1400">
        <v>197.15</v>
      </c>
      <c r="D1400" t="s">
        <v>3253</v>
      </c>
      <c r="E1400" t="s">
        <v>1417</v>
      </c>
      <c r="F1400">
        <v>75</v>
      </c>
      <c r="G1400" t="b">
        <v>0</v>
      </c>
      <c r="H1400">
        <v>1</v>
      </c>
    </row>
    <row r="1401" spans="1:8" x14ac:dyDescent="0.25">
      <c r="A1401" t="s">
        <v>3360</v>
      </c>
      <c r="B1401" t="s">
        <v>3418</v>
      </c>
      <c r="C1401">
        <v>197.15</v>
      </c>
      <c r="D1401" t="s">
        <v>3253</v>
      </c>
      <c r="E1401" t="s">
        <v>1417</v>
      </c>
      <c r="F1401">
        <v>75</v>
      </c>
      <c r="G1401" t="b">
        <v>0</v>
      </c>
      <c r="H1401">
        <v>1</v>
      </c>
    </row>
    <row r="1402" spans="1:8" x14ac:dyDescent="0.25">
      <c r="A1402" t="s">
        <v>3360</v>
      </c>
      <c r="B1402" t="s">
        <v>3419</v>
      </c>
      <c r="C1402">
        <v>197.15</v>
      </c>
      <c r="D1402" t="s">
        <v>3253</v>
      </c>
      <c r="E1402" t="s">
        <v>1417</v>
      </c>
      <c r="F1402">
        <v>75</v>
      </c>
      <c r="G1402" t="b">
        <v>0</v>
      </c>
      <c r="H1402">
        <v>1</v>
      </c>
    </row>
    <row r="1403" spans="1:8" x14ac:dyDescent="0.25">
      <c r="A1403" t="s">
        <v>3360</v>
      </c>
      <c r="B1403" t="s">
        <v>3420</v>
      </c>
      <c r="C1403">
        <v>197.15</v>
      </c>
      <c r="D1403" t="s">
        <v>3253</v>
      </c>
      <c r="E1403" t="s">
        <v>1417</v>
      </c>
      <c r="F1403">
        <v>75</v>
      </c>
      <c r="G1403" t="b">
        <v>0</v>
      </c>
      <c r="H1403">
        <v>1</v>
      </c>
    </row>
    <row r="1404" spans="1:8" x14ac:dyDescent="0.25">
      <c r="A1404" t="s">
        <v>3360</v>
      </c>
      <c r="B1404" t="s">
        <v>3421</v>
      </c>
      <c r="C1404">
        <v>206.65</v>
      </c>
      <c r="D1404" t="s">
        <v>3253</v>
      </c>
      <c r="E1404" t="s">
        <v>1417</v>
      </c>
      <c r="F1404">
        <v>75</v>
      </c>
      <c r="G1404" t="b">
        <v>0</v>
      </c>
      <c r="H1404">
        <v>1</v>
      </c>
    </row>
    <row r="1405" spans="1:8" x14ac:dyDescent="0.25">
      <c r="A1405" t="s">
        <v>3360</v>
      </c>
      <c r="B1405" t="s">
        <v>3422</v>
      </c>
      <c r="C1405">
        <v>206.65</v>
      </c>
      <c r="D1405" t="s">
        <v>3253</v>
      </c>
      <c r="E1405" t="s">
        <v>1417</v>
      </c>
      <c r="F1405">
        <v>75</v>
      </c>
      <c r="G1405" t="b">
        <v>0</v>
      </c>
      <c r="H1405">
        <v>1</v>
      </c>
    </row>
    <row r="1406" spans="1:8" x14ac:dyDescent="0.25">
      <c r="A1406" t="s">
        <v>3360</v>
      </c>
      <c r="B1406" t="s">
        <v>3423</v>
      </c>
      <c r="C1406">
        <v>206.65</v>
      </c>
      <c r="D1406" t="s">
        <v>3253</v>
      </c>
      <c r="E1406" t="s">
        <v>1417</v>
      </c>
      <c r="F1406">
        <v>75</v>
      </c>
      <c r="G1406" t="b">
        <v>0</v>
      </c>
      <c r="H1406">
        <v>1</v>
      </c>
    </row>
    <row r="1407" spans="1:8" x14ac:dyDescent="0.25">
      <c r="A1407" t="s">
        <v>3360</v>
      </c>
      <c r="B1407" t="s">
        <v>3424</v>
      </c>
      <c r="C1407">
        <v>206.65</v>
      </c>
      <c r="D1407" t="s">
        <v>3253</v>
      </c>
      <c r="E1407" t="s">
        <v>1417</v>
      </c>
      <c r="F1407">
        <v>75</v>
      </c>
      <c r="G1407" t="b">
        <v>0</v>
      </c>
      <c r="H1407">
        <v>1</v>
      </c>
    </row>
    <row r="1408" spans="1:8" x14ac:dyDescent="0.25">
      <c r="A1408" t="s">
        <v>3360</v>
      </c>
      <c r="B1408" t="s">
        <v>3425</v>
      </c>
      <c r="C1408">
        <v>216.75</v>
      </c>
      <c r="D1408" t="s">
        <v>3253</v>
      </c>
      <c r="E1408" t="s">
        <v>1417</v>
      </c>
      <c r="F1408">
        <v>75</v>
      </c>
      <c r="G1408" t="b">
        <v>0</v>
      </c>
      <c r="H1408">
        <v>1</v>
      </c>
    </row>
    <row r="1409" spans="1:8" x14ac:dyDescent="0.25">
      <c r="A1409" t="s">
        <v>3360</v>
      </c>
      <c r="B1409" t="s">
        <v>3426</v>
      </c>
      <c r="C1409">
        <v>216.75</v>
      </c>
      <c r="D1409" t="s">
        <v>3253</v>
      </c>
      <c r="E1409" t="s">
        <v>1417</v>
      </c>
      <c r="F1409">
        <v>75</v>
      </c>
      <c r="G1409" t="b">
        <v>0</v>
      </c>
      <c r="H1409">
        <v>1</v>
      </c>
    </row>
    <row r="1410" spans="1:8" x14ac:dyDescent="0.25">
      <c r="A1410" t="s">
        <v>3360</v>
      </c>
      <c r="B1410" t="s">
        <v>3427</v>
      </c>
      <c r="C1410">
        <v>216.75</v>
      </c>
      <c r="D1410" t="s">
        <v>3253</v>
      </c>
      <c r="E1410" t="s">
        <v>1417</v>
      </c>
      <c r="F1410">
        <v>75</v>
      </c>
      <c r="G1410" t="b">
        <v>0</v>
      </c>
      <c r="H1410">
        <v>1</v>
      </c>
    </row>
    <row r="1411" spans="1:8" x14ac:dyDescent="0.25">
      <c r="A1411" t="s">
        <v>3360</v>
      </c>
      <c r="B1411" t="s">
        <v>3428</v>
      </c>
      <c r="C1411">
        <v>216.75</v>
      </c>
      <c r="D1411" t="s">
        <v>3253</v>
      </c>
      <c r="E1411" t="s">
        <v>1417</v>
      </c>
      <c r="F1411">
        <v>75</v>
      </c>
      <c r="G1411" t="b">
        <v>0</v>
      </c>
      <c r="H1411">
        <v>1</v>
      </c>
    </row>
    <row r="1412" spans="1:8" x14ac:dyDescent="0.25">
      <c r="A1412" t="s">
        <v>3360</v>
      </c>
      <c r="B1412" t="s">
        <v>3429</v>
      </c>
      <c r="C1412">
        <v>226.65</v>
      </c>
      <c r="D1412" t="s">
        <v>3253</v>
      </c>
      <c r="E1412" t="s">
        <v>1417</v>
      </c>
      <c r="F1412">
        <v>75</v>
      </c>
      <c r="G1412" t="b">
        <v>0</v>
      </c>
      <c r="H1412">
        <v>1</v>
      </c>
    </row>
    <row r="1413" spans="1:8" x14ac:dyDescent="0.25">
      <c r="A1413" t="s">
        <v>3360</v>
      </c>
      <c r="B1413" t="s">
        <v>3430</v>
      </c>
      <c r="C1413">
        <v>226.65</v>
      </c>
      <c r="D1413" t="s">
        <v>3253</v>
      </c>
      <c r="E1413" t="s">
        <v>1417</v>
      </c>
      <c r="F1413">
        <v>75</v>
      </c>
      <c r="G1413" t="b">
        <v>0</v>
      </c>
      <c r="H1413">
        <v>1</v>
      </c>
    </row>
    <row r="1414" spans="1:8" x14ac:dyDescent="0.25">
      <c r="A1414" t="s">
        <v>3360</v>
      </c>
      <c r="B1414" t="s">
        <v>3431</v>
      </c>
      <c r="C1414">
        <v>226.65</v>
      </c>
      <c r="D1414" t="s">
        <v>3253</v>
      </c>
      <c r="E1414" t="s">
        <v>1417</v>
      </c>
      <c r="F1414">
        <v>75</v>
      </c>
      <c r="G1414" t="b">
        <v>0</v>
      </c>
      <c r="H1414">
        <v>1</v>
      </c>
    </row>
    <row r="1415" spans="1:8" x14ac:dyDescent="0.25">
      <c r="A1415" t="s">
        <v>3360</v>
      </c>
      <c r="B1415" t="s">
        <v>3432</v>
      </c>
      <c r="C1415">
        <v>226.65</v>
      </c>
      <c r="D1415" t="s">
        <v>3253</v>
      </c>
      <c r="E1415" t="s">
        <v>1417</v>
      </c>
      <c r="F1415">
        <v>75</v>
      </c>
      <c r="G1415" t="b">
        <v>0</v>
      </c>
      <c r="H1415">
        <v>1</v>
      </c>
    </row>
    <row r="1416" spans="1:8" x14ac:dyDescent="0.25">
      <c r="A1416" t="s">
        <v>3360</v>
      </c>
      <c r="B1416" t="s">
        <v>3433</v>
      </c>
      <c r="C1416">
        <v>236.8</v>
      </c>
      <c r="D1416" t="s">
        <v>3253</v>
      </c>
      <c r="E1416" t="s">
        <v>1417</v>
      </c>
      <c r="F1416">
        <v>75</v>
      </c>
      <c r="G1416" t="b">
        <v>0</v>
      </c>
      <c r="H1416">
        <v>1</v>
      </c>
    </row>
    <row r="1417" spans="1:8" x14ac:dyDescent="0.25">
      <c r="A1417" t="s">
        <v>3360</v>
      </c>
      <c r="B1417" t="s">
        <v>3434</v>
      </c>
      <c r="C1417">
        <v>236.8</v>
      </c>
      <c r="D1417" t="s">
        <v>3253</v>
      </c>
      <c r="E1417" t="s">
        <v>1417</v>
      </c>
      <c r="F1417">
        <v>75</v>
      </c>
      <c r="G1417" t="b">
        <v>0</v>
      </c>
      <c r="H1417">
        <v>1</v>
      </c>
    </row>
    <row r="1418" spans="1:8" x14ac:dyDescent="0.25">
      <c r="A1418" t="s">
        <v>3360</v>
      </c>
      <c r="B1418" t="s">
        <v>3435</v>
      </c>
      <c r="C1418">
        <v>236.8</v>
      </c>
      <c r="D1418" t="s">
        <v>3253</v>
      </c>
      <c r="E1418" t="s">
        <v>1417</v>
      </c>
      <c r="F1418">
        <v>75</v>
      </c>
      <c r="G1418" t="b">
        <v>0</v>
      </c>
      <c r="H1418">
        <v>1</v>
      </c>
    </row>
    <row r="1419" spans="1:8" x14ac:dyDescent="0.25">
      <c r="A1419" t="s">
        <v>3360</v>
      </c>
      <c r="B1419" t="s">
        <v>3436</v>
      </c>
      <c r="C1419">
        <v>236.8</v>
      </c>
      <c r="D1419" t="s">
        <v>3253</v>
      </c>
      <c r="E1419" t="s">
        <v>1417</v>
      </c>
      <c r="F1419">
        <v>75</v>
      </c>
      <c r="G1419" t="b">
        <v>0</v>
      </c>
      <c r="H1419">
        <v>1</v>
      </c>
    </row>
    <row r="1420" spans="1:8" x14ac:dyDescent="0.25">
      <c r="A1420" t="s">
        <v>3360</v>
      </c>
      <c r="B1420" t="s">
        <v>3437</v>
      </c>
      <c r="C1420">
        <v>246.65</v>
      </c>
      <c r="D1420" t="s">
        <v>3253</v>
      </c>
      <c r="E1420" t="s">
        <v>1417</v>
      </c>
      <c r="F1420">
        <v>75</v>
      </c>
      <c r="G1420" t="b">
        <v>0</v>
      </c>
      <c r="H1420">
        <v>1</v>
      </c>
    </row>
    <row r="1421" spans="1:8" x14ac:dyDescent="0.25">
      <c r="A1421" t="s">
        <v>3360</v>
      </c>
      <c r="B1421" t="s">
        <v>3438</v>
      </c>
      <c r="C1421">
        <v>246.65</v>
      </c>
      <c r="D1421" t="s">
        <v>3253</v>
      </c>
      <c r="E1421" t="s">
        <v>1417</v>
      </c>
      <c r="F1421">
        <v>75</v>
      </c>
      <c r="G1421" t="b">
        <v>0</v>
      </c>
      <c r="H1421">
        <v>1</v>
      </c>
    </row>
    <row r="1422" spans="1:8" x14ac:dyDescent="0.25">
      <c r="A1422" t="s">
        <v>3360</v>
      </c>
      <c r="B1422" t="s">
        <v>3439</v>
      </c>
      <c r="C1422">
        <v>246.65</v>
      </c>
      <c r="D1422" t="s">
        <v>3253</v>
      </c>
      <c r="E1422" t="s">
        <v>1417</v>
      </c>
      <c r="F1422">
        <v>75</v>
      </c>
      <c r="G1422" t="b">
        <v>0</v>
      </c>
      <c r="H1422">
        <v>1</v>
      </c>
    </row>
    <row r="1423" spans="1:8" x14ac:dyDescent="0.25">
      <c r="A1423" t="s">
        <v>3360</v>
      </c>
      <c r="B1423" t="s">
        <v>3440</v>
      </c>
      <c r="C1423">
        <v>246.65</v>
      </c>
      <c r="D1423" t="s">
        <v>3253</v>
      </c>
      <c r="E1423" t="s">
        <v>1417</v>
      </c>
      <c r="F1423">
        <v>75</v>
      </c>
      <c r="G1423" t="b">
        <v>0</v>
      </c>
      <c r="H1423">
        <v>1</v>
      </c>
    </row>
    <row r="1424" spans="1:8" x14ac:dyDescent="0.25">
      <c r="A1424" t="s">
        <v>3360</v>
      </c>
      <c r="B1424" t="s">
        <v>3441</v>
      </c>
      <c r="C1424">
        <v>256.55</v>
      </c>
      <c r="D1424" t="s">
        <v>3253</v>
      </c>
      <c r="E1424" t="s">
        <v>1417</v>
      </c>
      <c r="F1424">
        <v>75</v>
      </c>
      <c r="G1424" t="b">
        <v>0</v>
      </c>
      <c r="H1424">
        <v>1</v>
      </c>
    </row>
    <row r="1425" spans="1:8" x14ac:dyDescent="0.25">
      <c r="A1425" t="s">
        <v>3360</v>
      </c>
      <c r="B1425" t="s">
        <v>3442</v>
      </c>
      <c r="C1425">
        <v>256.55</v>
      </c>
      <c r="D1425" t="s">
        <v>3253</v>
      </c>
      <c r="E1425" t="s">
        <v>1417</v>
      </c>
      <c r="F1425">
        <v>75</v>
      </c>
      <c r="G1425" t="b">
        <v>0</v>
      </c>
      <c r="H1425">
        <v>1</v>
      </c>
    </row>
    <row r="1426" spans="1:8" x14ac:dyDescent="0.25">
      <c r="A1426" t="s">
        <v>3360</v>
      </c>
      <c r="B1426" t="s">
        <v>3443</v>
      </c>
      <c r="C1426">
        <v>256.55</v>
      </c>
      <c r="D1426" t="s">
        <v>3253</v>
      </c>
      <c r="E1426" t="s">
        <v>1417</v>
      </c>
      <c r="F1426">
        <v>75</v>
      </c>
      <c r="G1426" t="b">
        <v>0</v>
      </c>
      <c r="H1426">
        <v>1</v>
      </c>
    </row>
    <row r="1427" spans="1:8" x14ac:dyDescent="0.25">
      <c r="A1427" t="s">
        <v>3360</v>
      </c>
      <c r="B1427" t="s">
        <v>3444</v>
      </c>
      <c r="C1427">
        <v>256.55</v>
      </c>
      <c r="D1427" t="s">
        <v>3253</v>
      </c>
      <c r="E1427" t="s">
        <v>1417</v>
      </c>
      <c r="F1427">
        <v>75</v>
      </c>
      <c r="G1427" t="b">
        <v>0</v>
      </c>
      <c r="H1427">
        <v>1</v>
      </c>
    </row>
    <row r="1428" spans="1:8" x14ac:dyDescent="0.25">
      <c r="A1428" t="s">
        <v>3360</v>
      </c>
      <c r="B1428" t="s">
        <v>3445</v>
      </c>
      <c r="C1428">
        <v>266.7</v>
      </c>
      <c r="D1428" t="s">
        <v>3253</v>
      </c>
      <c r="E1428" t="s">
        <v>1417</v>
      </c>
      <c r="F1428">
        <v>75</v>
      </c>
      <c r="G1428" t="b">
        <v>0</v>
      </c>
      <c r="H1428">
        <v>1</v>
      </c>
    </row>
    <row r="1429" spans="1:8" x14ac:dyDescent="0.25">
      <c r="A1429" t="s">
        <v>3360</v>
      </c>
      <c r="B1429" t="s">
        <v>3446</v>
      </c>
      <c r="C1429">
        <v>266.7</v>
      </c>
      <c r="D1429" t="s">
        <v>3253</v>
      </c>
      <c r="E1429" t="s">
        <v>1417</v>
      </c>
      <c r="F1429">
        <v>75</v>
      </c>
      <c r="G1429" t="b">
        <v>0</v>
      </c>
      <c r="H1429">
        <v>1</v>
      </c>
    </row>
    <row r="1430" spans="1:8" x14ac:dyDescent="0.25">
      <c r="A1430" t="s">
        <v>3360</v>
      </c>
      <c r="B1430" t="s">
        <v>3447</v>
      </c>
      <c r="C1430">
        <v>266.7</v>
      </c>
      <c r="D1430" t="s">
        <v>3253</v>
      </c>
      <c r="E1430" t="s">
        <v>1417</v>
      </c>
      <c r="F1430">
        <v>75</v>
      </c>
      <c r="G1430" t="b">
        <v>0</v>
      </c>
      <c r="H1430">
        <v>1</v>
      </c>
    </row>
    <row r="1431" spans="1:8" x14ac:dyDescent="0.25">
      <c r="A1431" t="s">
        <v>3360</v>
      </c>
      <c r="B1431" t="s">
        <v>3448</v>
      </c>
      <c r="C1431">
        <v>266.7</v>
      </c>
      <c r="D1431" t="s">
        <v>3253</v>
      </c>
      <c r="E1431" t="s">
        <v>1417</v>
      </c>
      <c r="F1431">
        <v>75</v>
      </c>
      <c r="G1431" t="b">
        <v>0</v>
      </c>
      <c r="H1431">
        <v>1</v>
      </c>
    </row>
    <row r="1432" spans="1:8" x14ac:dyDescent="0.25">
      <c r="A1432" t="s">
        <v>3360</v>
      </c>
      <c r="B1432" t="s">
        <v>3449</v>
      </c>
      <c r="C1432">
        <v>274.45</v>
      </c>
      <c r="D1432" t="s">
        <v>3253</v>
      </c>
      <c r="E1432" t="s">
        <v>1417</v>
      </c>
      <c r="F1432">
        <v>75</v>
      </c>
      <c r="G1432" t="b">
        <v>0</v>
      </c>
      <c r="H1432">
        <v>1</v>
      </c>
    </row>
    <row r="1433" spans="1:8" x14ac:dyDescent="0.25">
      <c r="A1433" t="s">
        <v>3360</v>
      </c>
      <c r="B1433" t="s">
        <v>3450</v>
      </c>
      <c r="C1433">
        <v>274.45</v>
      </c>
      <c r="D1433" t="s">
        <v>3253</v>
      </c>
      <c r="E1433" t="s">
        <v>1417</v>
      </c>
      <c r="F1433">
        <v>75</v>
      </c>
      <c r="G1433" t="b">
        <v>0</v>
      </c>
      <c r="H1433">
        <v>1</v>
      </c>
    </row>
    <row r="1434" spans="1:8" x14ac:dyDescent="0.25">
      <c r="A1434" t="s">
        <v>3360</v>
      </c>
      <c r="B1434" t="s">
        <v>3451</v>
      </c>
      <c r="C1434">
        <v>274.45</v>
      </c>
      <c r="D1434" t="s">
        <v>3253</v>
      </c>
      <c r="E1434" t="s">
        <v>1417</v>
      </c>
      <c r="F1434">
        <v>75</v>
      </c>
      <c r="G1434" t="b">
        <v>0</v>
      </c>
      <c r="H1434">
        <v>1</v>
      </c>
    </row>
    <row r="1435" spans="1:8" x14ac:dyDescent="0.25">
      <c r="A1435" t="s">
        <v>3360</v>
      </c>
      <c r="B1435" t="s">
        <v>3452</v>
      </c>
      <c r="C1435">
        <v>274.45</v>
      </c>
      <c r="D1435" t="s">
        <v>3253</v>
      </c>
      <c r="E1435" t="s">
        <v>1417</v>
      </c>
      <c r="F1435">
        <v>75</v>
      </c>
      <c r="G1435" t="b">
        <v>0</v>
      </c>
      <c r="H1435">
        <v>1</v>
      </c>
    </row>
    <row r="1436" spans="1:8" x14ac:dyDescent="0.25">
      <c r="A1436" t="s">
        <v>3360</v>
      </c>
      <c r="B1436" t="s">
        <v>3453</v>
      </c>
      <c r="C1436">
        <v>286.05</v>
      </c>
      <c r="D1436" t="s">
        <v>3253</v>
      </c>
      <c r="E1436" t="s">
        <v>1417</v>
      </c>
      <c r="F1436">
        <v>75</v>
      </c>
      <c r="G1436" t="b">
        <v>0</v>
      </c>
      <c r="H1436">
        <v>1</v>
      </c>
    </row>
    <row r="1437" spans="1:8" x14ac:dyDescent="0.25">
      <c r="A1437" t="s">
        <v>3360</v>
      </c>
      <c r="B1437" t="s">
        <v>3454</v>
      </c>
      <c r="C1437">
        <v>286.05</v>
      </c>
      <c r="D1437" t="s">
        <v>3253</v>
      </c>
      <c r="E1437" t="s">
        <v>1417</v>
      </c>
      <c r="F1437">
        <v>75</v>
      </c>
      <c r="G1437" t="b">
        <v>0</v>
      </c>
      <c r="H1437">
        <v>1</v>
      </c>
    </row>
    <row r="1438" spans="1:8" x14ac:dyDescent="0.25">
      <c r="A1438" t="s">
        <v>3360</v>
      </c>
      <c r="B1438" t="s">
        <v>3455</v>
      </c>
      <c r="C1438">
        <v>286.05</v>
      </c>
      <c r="D1438" t="s">
        <v>3253</v>
      </c>
      <c r="E1438" t="s">
        <v>1417</v>
      </c>
      <c r="F1438">
        <v>75</v>
      </c>
      <c r="G1438" t="b">
        <v>0</v>
      </c>
      <c r="H1438">
        <v>1</v>
      </c>
    </row>
    <row r="1439" spans="1:8" x14ac:dyDescent="0.25">
      <c r="A1439" t="s">
        <v>3360</v>
      </c>
      <c r="B1439" t="s">
        <v>3456</v>
      </c>
      <c r="C1439">
        <v>286.05</v>
      </c>
      <c r="D1439" t="s">
        <v>3253</v>
      </c>
      <c r="E1439" t="s">
        <v>1417</v>
      </c>
      <c r="F1439">
        <v>75</v>
      </c>
      <c r="G1439" t="b">
        <v>0</v>
      </c>
      <c r="H1439">
        <v>1</v>
      </c>
    </row>
    <row r="1440" spans="1:8" x14ac:dyDescent="0.25">
      <c r="A1440" t="s">
        <v>3457</v>
      </c>
      <c r="B1440" t="s">
        <v>3458</v>
      </c>
      <c r="C1440">
        <v>43.9</v>
      </c>
      <c r="D1440" t="s">
        <v>3253</v>
      </c>
      <c r="E1440" t="s">
        <v>1417</v>
      </c>
      <c r="F1440">
        <v>75</v>
      </c>
      <c r="G1440" t="b">
        <v>0</v>
      </c>
      <c r="H1440">
        <v>1</v>
      </c>
    </row>
    <row r="1441" spans="1:8" x14ac:dyDescent="0.25">
      <c r="A1441" t="s">
        <v>3457</v>
      </c>
      <c r="B1441" t="s">
        <v>3459</v>
      </c>
      <c r="C1441">
        <v>43.9</v>
      </c>
      <c r="D1441" t="s">
        <v>3253</v>
      </c>
      <c r="E1441" t="s">
        <v>1417</v>
      </c>
      <c r="F1441">
        <v>75</v>
      </c>
      <c r="G1441" t="b">
        <v>0</v>
      </c>
      <c r="H1441">
        <v>1</v>
      </c>
    </row>
    <row r="1442" spans="1:8" x14ac:dyDescent="0.25">
      <c r="A1442" t="s">
        <v>3457</v>
      </c>
      <c r="B1442" t="s">
        <v>3460</v>
      </c>
      <c r="C1442">
        <v>43.9</v>
      </c>
      <c r="D1442" t="s">
        <v>3253</v>
      </c>
      <c r="E1442" t="s">
        <v>1417</v>
      </c>
      <c r="F1442">
        <v>75</v>
      </c>
      <c r="G1442" t="b">
        <v>0</v>
      </c>
      <c r="H1442">
        <v>1</v>
      </c>
    </row>
    <row r="1443" spans="1:8" x14ac:dyDescent="0.25">
      <c r="A1443" t="s">
        <v>3457</v>
      </c>
      <c r="B1443" t="s">
        <v>3461</v>
      </c>
      <c r="C1443">
        <v>62.2</v>
      </c>
      <c r="D1443" t="s">
        <v>3253</v>
      </c>
      <c r="E1443" t="s">
        <v>1417</v>
      </c>
      <c r="F1443">
        <v>75</v>
      </c>
      <c r="G1443" t="b">
        <v>0</v>
      </c>
      <c r="H1443">
        <v>1</v>
      </c>
    </row>
    <row r="1444" spans="1:8" x14ac:dyDescent="0.25">
      <c r="A1444" t="s">
        <v>3457</v>
      </c>
      <c r="B1444" t="s">
        <v>3462</v>
      </c>
      <c r="C1444">
        <v>62.2</v>
      </c>
      <c r="D1444" t="s">
        <v>3253</v>
      </c>
      <c r="E1444" t="s">
        <v>1417</v>
      </c>
      <c r="F1444">
        <v>75</v>
      </c>
      <c r="G1444" t="b">
        <v>0</v>
      </c>
      <c r="H1444">
        <v>1</v>
      </c>
    </row>
    <row r="1445" spans="1:8" x14ac:dyDescent="0.25">
      <c r="A1445" t="s">
        <v>3457</v>
      </c>
      <c r="B1445" t="s">
        <v>3463</v>
      </c>
      <c r="C1445">
        <v>62.2</v>
      </c>
      <c r="D1445" t="s">
        <v>3253</v>
      </c>
      <c r="E1445" t="s">
        <v>1417</v>
      </c>
      <c r="F1445">
        <v>75</v>
      </c>
      <c r="G1445" t="b">
        <v>0</v>
      </c>
      <c r="H1445">
        <v>1</v>
      </c>
    </row>
    <row r="1446" spans="1:8" x14ac:dyDescent="0.25">
      <c r="A1446" t="s">
        <v>3457</v>
      </c>
      <c r="B1446" t="s">
        <v>3464</v>
      </c>
      <c r="C1446">
        <v>62.2</v>
      </c>
      <c r="D1446" t="s">
        <v>3253</v>
      </c>
      <c r="E1446" t="s">
        <v>1417</v>
      </c>
      <c r="F1446">
        <v>75</v>
      </c>
      <c r="G1446" t="b">
        <v>0</v>
      </c>
      <c r="H1446">
        <v>1</v>
      </c>
    </row>
    <row r="1447" spans="1:8" x14ac:dyDescent="0.25">
      <c r="A1447" t="s">
        <v>3457</v>
      </c>
      <c r="B1447" t="s">
        <v>3465</v>
      </c>
      <c r="C1447">
        <v>43.9</v>
      </c>
      <c r="D1447" t="s">
        <v>3253</v>
      </c>
      <c r="E1447" t="s">
        <v>1417</v>
      </c>
      <c r="F1447">
        <v>75</v>
      </c>
      <c r="G1447" t="b">
        <v>0</v>
      </c>
      <c r="H1447">
        <v>1</v>
      </c>
    </row>
    <row r="1448" spans="1:8" x14ac:dyDescent="0.25">
      <c r="A1448" t="s">
        <v>3457</v>
      </c>
      <c r="B1448" t="s">
        <v>3466</v>
      </c>
      <c r="C1448">
        <v>80.5</v>
      </c>
      <c r="D1448" t="s">
        <v>3253</v>
      </c>
      <c r="E1448" t="s">
        <v>1417</v>
      </c>
      <c r="F1448">
        <v>75</v>
      </c>
      <c r="G1448" t="b">
        <v>0</v>
      </c>
      <c r="H1448">
        <v>1</v>
      </c>
    </row>
    <row r="1449" spans="1:8" x14ac:dyDescent="0.25">
      <c r="A1449" t="s">
        <v>3457</v>
      </c>
      <c r="B1449" t="s">
        <v>3467</v>
      </c>
      <c r="C1449">
        <v>98.8</v>
      </c>
      <c r="D1449" t="s">
        <v>3253</v>
      </c>
      <c r="E1449" t="s">
        <v>1417</v>
      </c>
      <c r="F1449">
        <v>75</v>
      </c>
      <c r="G1449" t="b">
        <v>0</v>
      </c>
      <c r="H1449">
        <v>1</v>
      </c>
    </row>
    <row r="1450" spans="1:8" x14ac:dyDescent="0.25">
      <c r="A1450" t="s">
        <v>3457</v>
      </c>
      <c r="B1450" t="s">
        <v>3468</v>
      </c>
      <c r="C1450">
        <v>117.1</v>
      </c>
      <c r="D1450" t="s">
        <v>3253</v>
      </c>
      <c r="E1450" t="s">
        <v>1417</v>
      </c>
      <c r="F1450">
        <v>75</v>
      </c>
      <c r="G1450" t="b">
        <v>0</v>
      </c>
      <c r="H1450">
        <v>1</v>
      </c>
    </row>
    <row r="1451" spans="1:8" x14ac:dyDescent="0.25">
      <c r="A1451" t="s">
        <v>3457</v>
      </c>
      <c r="B1451" t="s">
        <v>3469</v>
      </c>
      <c r="C1451">
        <v>135.4</v>
      </c>
      <c r="D1451" t="s">
        <v>3253</v>
      </c>
      <c r="E1451" t="s">
        <v>1417</v>
      </c>
      <c r="F1451">
        <v>75</v>
      </c>
      <c r="G1451" t="b">
        <v>0</v>
      </c>
      <c r="H1451">
        <v>1</v>
      </c>
    </row>
    <row r="1452" spans="1:8" x14ac:dyDescent="0.25">
      <c r="A1452" t="s">
        <v>3457</v>
      </c>
      <c r="B1452" t="s">
        <v>3470</v>
      </c>
      <c r="C1452">
        <v>80.5</v>
      </c>
      <c r="D1452" t="s">
        <v>3253</v>
      </c>
      <c r="E1452" t="s">
        <v>1417</v>
      </c>
      <c r="F1452">
        <v>75</v>
      </c>
      <c r="G1452" t="b">
        <v>0</v>
      </c>
      <c r="H1452">
        <v>1</v>
      </c>
    </row>
    <row r="1453" spans="1:8" x14ac:dyDescent="0.25">
      <c r="A1453" t="s">
        <v>3457</v>
      </c>
      <c r="B1453" t="s">
        <v>3471</v>
      </c>
      <c r="C1453">
        <v>98.8</v>
      </c>
      <c r="D1453" t="s">
        <v>3253</v>
      </c>
      <c r="E1453" t="s">
        <v>1417</v>
      </c>
      <c r="F1453">
        <v>75</v>
      </c>
      <c r="G1453" t="b">
        <v>0</v>
      </c>
      <c r="H1453">
        <v>1</v>
      </c>
    </row>
    <row r="1454" spans="1:8" x14ac:dyDescent="0.25">
      <c r="A1454" t="s">
        <v>3457</v>
      </c>
      <c r="B1454" t="s">
        <v>3472</v>
      </c>
      <c r="C1454">
        <v>117.1</v>
      </c>
      <c r="D1454" t="s">
        <v>3253</v>
      </c>
      <c r="E1454" t="s">
        <v>1417</v>
      </c>
      <c r="F1454">
        <v>75</v>
      </c>
      <c r="G1454" t="b">
        <v>0</v>
      </c>
      <c r="H1454">
        <v>1</v>
      </c>
    </row>
    <row r="1455" spans="1:8" x14ac:dyDescent="0.25">
      <c r="A1455" t="s">
        <v>3457</v>
      </c>
      <c r="B1455" t="s">
        <v>3473</v>
      </c>
      <c r="C1455">
        <v>135.4</v>
      </c>
      <c r="D1455" t="s">
        <v>3253</v>
      </c>
      <c r="E1455" t="s">
        <v>1417</v>
      </c>
      <c r="F1455">
        <v>75</v>
      </c>
      <c r="G1455" t="b">
        <v>0</v>
      </c>
      <c r="H1455">
        <v>1</v>
      </c>
    </row>
    <row r="1456" spans="1:8" x14ac:dyDescent="0.25">
      <c r="A1456" t="s">
        <v>3457</v>
      </c>
      <c r="B1456" t="s">
        <v>3474</v>
      </c>
      <c r="C1456">
        <v>80.5</v>
      </c>
      <c r="D1456" t="s">
        <v>3253</v>
      </c>
      <c r="E1456" t="s">
        <v>1417</v>
      </c>
      <c r="F1456">
        <v>75</v>
      </c>
      <c r="G1456" t="b">
        <v>0</v>
      </c>
      <c r="H1456">
        <v>1</v>
      </c>
    </row>
    <row r="1457" spans="1:8" x14ac:dyDescent="0.25">
      <c r="A1457" t="s">
        <v>3457</v>
      </c>
      <c r="B1457" t="s">
        <v>3475</v>
      </c>
      <c r="C1457">
        <v>98.8</v>
      </c>
      <c r="D1457" t="s">
        <v>3253</v>
      </c>
      <c r="E1457" t="s">
        <v>1417</v>
      </c>
      <c r="F1457">
        <v>75</v>
      </c>
      <c r="G1457" t="b">
        <v>0</v>
      </c>
      <c r="H1457">
        <v>1</v>
      </c>
    </row>
    <row r="1458" spans="1:8" x14ac:dyDescent="0.25">
      <c r="A1458" t="s">
        <v>3457</v>
      </c>
      <c r="B1458" t="s">
        <v>3476</v>
      </c>
      <c r="C1458">
        <v>117.1</v>
      </c>
      <c r="D1458" t="s">
        <v>3253</v>
      </c>
      <c r="E1458" t="s">
        <v>1417</v>
      </c>
      <c r="F1458">
        <v>75</v>
      </c>
      <c r="G1458" t="b">
        <v>0</v>
      </c>
      <c r="H1458">
        <v>1</v>
      </c>
    </row>
    <row r="1459" spans="1:8" x14ac:dyDescent="0.25">
      <c r="A1459" t="s">
        <v>3457</v>
      </c>
      <c r="B1459" t="s">
        <v>3477</v>
      </c>
      <c r="C1459">
        <v>135.4</v>
      </c>
      <c r="D1459" t="s">
        <v>3253</v>
      </c>
      <c r="E1459" t="s">
        <v>1417</v>
      </c>
      <c r="F1459">
        <v>75</v>
      </c>
      <c r="G1459" t="b">
        <v>0</v>
      </c>
      <c r="H1459">
        <v>1</v>
      </c>
    </row>
    <row r="1460" spans="1:8" x14ac:dyDescent="0.25">
      <c r="A1460" t="s">
        <v>3457</v>
      </c>
      <c r="B1460" t="s">
        <v>3478</v>
      </c>
      <c r="C1460">
        <v>80.5</v>
      </c>
      <c r="D1460" t="s">
        <v>3253</v>
      </c>
      <c r="E1460" t="s">
        <v>1417</v>
      </c>
      <c r="F1460">
        <v>75</v>
      </c>
      <c r="G1460" t="b">
        <v>0</v>
      </c>
      <c r="H1460">
        <v>1</v>
      </c>
    </row>
    <row r="1461" spans="1:8" x14ac:dyDescent="0.25">
      <c r="A1461" t="s">
        <v>3457</v>
      </c>
      <c r="B1461" t="s">
        <v>3479</v>
      </c>
      <c r="C1461">
        <v>98.8</v>
      </c>
      <c r="D1461" t="s">
        <v>3253</v>
      </c>
      <c r="E1461" t="s">
        <v>1417</v>
      </c>
      <c r="F1461">
        <v>75</v>
      </c>
      <c r="G1461" t="b">
        <v>0</v>
      </c>
      <c r="H1461">
        <v>1</v>
      </c>
    </row>
    <row r="1462" spans="1:8" x14ac:dyDescent="0.25">
      <c r="A1462" t="s">
        <v>3457</v>
      </c>
      <c r="B1462" t="s">
        <v>3480</v>
      </c>
      <c r="C1462">
        <v>117.1</v>
      </c>
      <c r="D1462" t="s">
        <v>3253</v>
      </c>
      <c r="E1462" t="s">
        <v>1417</v>
      </c>
      <c r="F1462">
        <v>75</v>
      </c>
      <c r="G1462" t="b">
        <v>0</v>
      </c>
      <c r="H1462">
        <v>1</v>
      </c>
    </row>
    <row r="1463" spans="1:8" x14ac:dyDescent="0.25">
      <c r="A1463" t="s">
        <v>3457</v>
      </c>
      <c r="B1463" t="s">
        <v>3481</v>
      </c>
      <c r="C1463">
        <v>135.4</v>
      </c>
      <c r="D1463" t="s">
        <v>3253</v>
      </c>
      <c r="E1463" t="s">
        <v>1417</v>
      </c>
      <c r="F1463">
        <v>75</v>
      </c>
      <c r="G1463" t="b">
        <v>0</v>
      </c>
      <c r="H1463">
        <v>1</v>
      </c>
    </row>
    <row r="1464" spans="1:8" x14ac:dyDescent="0.25">
      <c r="A1464" t="s">
        <v>3457</v>
      </c>
      <c r="B1464" t="s">
        <v>3482</v>
      </c>
      <c r="C1464">
        <v>153.69999999999999</v>
      </c>
      <c r="D1464" t="s">
        <v>3253</v>
      </c>
      <c r="E1464" t="s">
        <v>1417</v>
      </c>
      <c r="F1464">
        <v>75</v>
      </c>
      <c r="G1464" t="b">
        <v>0</v>
      </c>
      <c r="H1464">
        <v>1</v>
      </c>
    </row>
    <row r="1465" spans="1:8" x14ac:dyDescent="0.25">
      <c r="A1465" t="s">
        <v>3457</v>
      </c>
      <c r="B1465" t="s">
        <v>3483</v>
      </c>
      <c r="C1465">
        <v>172</v>
      </c>
      <c r="D1465" t="s">
        <v>3253</v>
      </c>
      <c r="E1465" t="s">
        <v>1417</v>
      </c>
      <c r="F1465">
        <v>75</v>
      </c>
      <c r="G1465" t="b">
        <v>0</v>
      </c>
      <c r="H1465">
        <v>1</v>
      </c>
    </row>
    <row r="1466" spans="1:8" x14ac:dyDescent="0.25">
      <c r="A1466" t="s">
        <v>3457</v>
      </c>
      <c r="B1466" t="s">
        <v>3484</v>
      </c>
      <c r="C1466">
        <v>190.3</v>
      </c>
      <c r="D1466" t="s">
        <v>3253</v>
      </c>
      <c r="E1466" t="s">
        <v>1417</v>
      </c>
      <c r="F1466">
        <v>75</v>
      </c>
      <c r="G1466" t="b">
        <v>0</v>
      </c>
      <c r="H1466">
        <v>1</v>
      </c>
    </row>
    <row r="1467" spans="1:8" x14ac:dyDescent="0.25">
      <c r="A1467" t="s">
        <v>3457</v>
      </c>
      <c r="B1467" t="s">
        <v>3485</v>
      </c>
      <c r="C1467">
        <v>208.6</v>
      </c>
      <c r="D1467" t="s">
        <v>3253</v>
      </c>
      <c r="E1467" t="s">
        <v>1417</v>
      </c>
      <c r="F1467">
        <v>75</v>
      </c>
      <c r="G1467" t="b">
        <v>0</v>
      </c>
      <c r="H1467">
        <v>1</v>
      </c>
    </row>
    <row r="1468" spans="1:8" x14ac:dyDescent="0.25">
      <c r="A1468" t="s">
        <v>3457</v>
      </c>
      <c r="B1468" t="s">
        <v>3486</v>
      </c>
      <c r="C1468">
        <v>226.85</v>
      </c>
      <c r="D1468" t="s">
        <v>3253</v>
      </c>
      <c r="E1468" t="s">
        <v>1417</v>
      </c>
      <c r="F1468">
        <v>75</v>
      </c>
      <c r="G1468" t="b">
        <v>0</v>
      </c>
      <c r="H1468">
        <v>1</v>
      </c>
    </row>
    <row r="1469" spans="1:8" x14ac:dyDescent="0.25">
      <c r="A1469" t="s">
        <v>3457</v>
      </c>
      <c r="B1469" t="s">
        <v>3487</v>
      </c>
      <c r="C1469">
        <v>245.15</v>
      </c>
      <c r="D1469" t="s">
        <v>3253</v>
      </c>
      <c r="E1469" t="s">
        <v>1417</v>
      </c>
      <c r="F1469">
        <v>75</v>
      </c>
      <c r="G1469" t="b">
        <v>0</v>
      </c>
      <c r="H1469">
        <v>1</v>
      </c>
    </row>
    <row r="1470" spans="1:8" x14ac:dyDescent="0.25">
      <c r="A1470" t="s">
        <v>3457</v>
      </c>
      <c r="B1470" t="s">
        <v>3488</v>
      </c>
      <c r="C1470">
        <v>263.45</v>
      </c>
      <c r="D1470" t="s">
        <v>3253</v>
      </c>
      <c r="E1470" t="s">
        <v>1417</v>
      </c>
      <c r="F1470">
        <v>75</v>
      </c>
      <c r="G1470" t="b">
        <v>0</v>
      </c>
      <c r="H1470">
        <v>1</v>
      </c>
    </row>
    <row r="1471" spans="1:8" x14ac:dyDescent="0.25">
      <c r="A1471" t="s">
        <v>3457</v>
      </c>
      <c r="B1471" t="s">
        <v>3489</v>
      </c>
      <c r="C1471">
        <v>281.75</v>
      </c>
      <c r="D1471" t="s">
        <v>3253</v>
      </c>
      <c r="E1471" t="s">
        <v>1417</v>
      </c>
      <c r="F1471">
        <v>75</v>
      </c>
      <c r="G1471" t="b">
        <v>0</v>
      </c>
      <c r="H1471">
        <v>1</v>
      </c>
    </row>
    <row r="1472" spans="1:8" x14ac:dyDescent="0.25">
      <c r="A1472" t="s">
        <v>3457</v>
      </c>
      <c r="B1472" t="s">
        <v>3490</v>
      </c>
      <c r="C1472">
        <v>300.05</v>
      </c>
      <c r="D1472" t="s">
        <v>3253</v>
      </c>
      <c r="E1472" t="s">
        <v>1417</v>
      </c>
      <c r="F1472">
        <v>75</v>
      </c>
      <c r="G1472" t="b">
        <v>0</v>
      </c>
      <c r="H1472">
        <v>1</v>
      </c>
    </row>
    <row r="1473" spans="1:8" x14ac:dyDescent="0.25">
      <c r="A1473" t="s">
        <v>3457</v>
      </c>
      <c r="B1473" t="s">
        <v>3491</v>
      </c>
      <c r="C1473">
        <v>153.69999999999999</v>
      </c>
      <c r="D1473" t="s">
        <v>3253</v>
      </c>
      <c r="E1473" t="s">
        <v>1417</v>
      </c>
      <c r="F1473">
        <v>75</v>
      </c>
      <c r="G1473" t="b">
        <v>0</v>
      </c>
      <c r="H1473">
        <v>1</v>
      </c>
    </row>
    <row r="1474" spans="1:8" x14ac:dyDescent="0.25">
      <c r="A1474" t="s">
        <v>3457</v>
      </c>
      <c r="B1474" t="s">
        <v>3492</v>
      </c>
      <c r="C1474">
        <v>172</v>
      </c>
      <c r="D1474" t="s">
        <v>3253</v>
      </c>
      <c r="E1474" t="s">
        <v>1417</v>
      </c>
      <c r="F1474">
        <v>75</v>
      </c>
      <c r="G1474" t="b">
        <v>0</v>
      </c>
      <c r="H1474">
        <v>1</v>
      </c>
    </row>
    <row r="1475" spans="1:8" x14ac:dyDescent="0.25">
      <c r="A1475" t="s">
        <v>3457</v>
      </c>
      <c r="B1475" t="s">
        <v>3493</v>
      </c>
      <c r="C1475">
        <v>190.3</v>
      </c>
      <c r="D1475" t="s">
        <v>3253</v>
      </c>
      <c r="E1475" t="s">
        <v>1417</v>
      </c>
      <c r="F1475">
        <v>75</v>
      </c>
      <c r="G1475" t="b">
        <v>0</v>
      </c>
      <c r="H1475">
        <v>1</v>
      </c>
    </row>
    <row r="1476" spans="1:8" x14ac:dyDescent="0.25">
      <c r="A1476" t="s">
        <v>3457</v>
      </c>
      <c r="B1476" t="s">
        <v>3494</v>
      </c>
      <c r="C1476">
        <v>208.6</v>
      </c>
      <c r="D1476" t="s">
        <v>3253</v>
      </c>
      <c r="E1476" t="s">
        <v>1417</v>
      </c>
      <c r="F1476">
        <v>75</v>
      </c>
      <c r="G1476" t="b">
        <v>0</v>
      </c>
      <c r="H1476">
        <v>1</v>
      </c>
    </row>
    <row r="1477" spans="1:8" x14ac:dyDescent="0.25">
      <c r="A1477" t="s">
        <v>3457</v>
      </c>
      <c r="B1477" t="s">
        <v>3495</v>
      </c>
      <c r="C1477">
        <v>226.85</v>
      </c>
      <c r="D1477" t="s">
        <v>3253</v>
      </c>
      <c r="E1477" t="s">
        <v>1417</v>
      </c>
      <c r="F1477">
        <v>75</v>
      </c>
      <c r="G1477" t="b">
        <v>0</v>
      </c>
      <c r="H1477">
        <v>1</v>
      </c>
    </row>
    <row r="1478" spans="1:8" x14ac:dyDescent="0.25">
      <c r="A1478" t="s">
        <v>3457</v>
      </c>
      <c r="B1478" t="s">
        <v>3496</v>
      </c>
      <c r="C1478">
        <v>245.15</v>
      </c>
      <c r="D1478" t="s">
        <v>3253</v>
      </c>
      <c r="E1478" t="s">
        <v>1417</v>
      </c>
      <c r="F1478">
        <v>75</v>
      </c>
      <c r="G1478" t="b">
        <v>0</v>
      </c>
      <c r="H1478">
        <v>1</v>
      </c>
    </row>
    <row r="1479" spans="1:8" x14ac:dyDescent="0.25">
      <c r="A1479" t="s">
        <v>3457</v>
      </c>
      <c r="B1479" t="s">
        <v>3497</v>
      </c>
      <c r="C1479">
        <v>263.45</v>
      </c>
      <c r="D1479" t="s">
        <v>3253</v>
      </c>
      <c r="E1479" t="s">
        <v>1417</v>
      </c>
      <c r="F1479">
        <v>75</v>
      </c>
      <c r="G1479" t="b">
        <v>0</v>
      </c>
      <c r="H1479">
        <v>1</v>
      </c>
    </row>
    <row r="1480" spans="1:8" x14ac:dyDescent="0.25">
      <c r="A1480" t="s">
        <v>3457</v>
      </c>
      <c r="B1480" t="s">
        <v>3498</v>
      </c>
      <c r="C1480">
        <v>281.75</v>
      </c>
      <c r="D1480" t="s">
        <v>3253</v>
      </c>
      <c r="E1480" t="s">
        <v>1417</v>
      </c>
      <c r="F1480">
        <v>75</v>
      </c>
      <c r="G1480" t="b">
        <v>0</v>
      </c>
      <c r="H1480">
        <v>1</v>
      </c>
    </row>
    <row r="1481" spans="1:8" x14ac:dyDescent="0.25">
      <c r="A1481" t="s">
        <v>3457</v>
      </c>
      <c r="B1481" t="s">
        <v>3499</v>
      </c>
      <c r="C1481">
        <v>300.05</v>
      </c>
      <c r="D1481" t="s">
        <v>3253</v>
      </c>
      <c r="E1481" t="s">
        <v>1417</v>
      </c>
      <c r="F1481">
        <v>75</v>
      </c>
      <c r="G1481" t="b">
        <v>0</v>
      </c>
      <c r="H1481">
        <v>1</v>
      </c>
    </row>
    <row r="1482" spans="1:8" x14ac:dyDescent="0.25">
      <c r="A1482" t="s">
        <v>3457</v>
      </c>
      <c r="B1482" t="s">
        <v>3500</v>
      </c>
      <c r="C1482">
        <v>153.69999999999999</v>
      </c>
      <c r="D1482" t="s">
        <v>3253</v>
      </c>
      <c r="E1482" t="s">
        <v>1417</v>
      </c>
      <c r="F1482">
        <v>75</v>
      </c>
      <c r="G1482" t="b">
        <v>0</v>
      </c>
      <c r="H1482">
        <v>1</v>
      </c>
    </row>
    <row r="1483" spans="1:8" x14ac:dyDescent="0.25">
      <c r="A1483" t="s">
        <v>3457</v>
      </c>
      <c r="B1483" t="s">
        <v>3501</v>
      </c>
      <c r="C1483">
        <v>172</v>
      </c>
      <c r="D1483" t="s">
        <v>3253</v>
      </c>
      <c r="E1483" t="s">
        <v>1417</v>
      </c>
      <c r="F1483">
        <v>75</v>
      </c>
      <c r="G1483" t="b">
        <v>0</v>
      </c>
      <c r="H1483">
        <v>1</v>
      </c>
    </row>
    <row r="1484" spans="1:8" x14ac:dyDescent="0.25">
      <c r="A1484" t="s">
        <v>3457</v>
      </c>
      <c r="B1484" t="s">
        <v>3502</v>
      </c>
      <c r="C1484">
        <v>190.3</v>
      </c>
      <c r="D1484" t="s">
        <v>3253</v>
      </c>
      <c r="E1484" t="s">
        <v>1417</v>
      </c>
      <c r="F1484">
        <v>75</v>
      </c>
      <c r="G1484" t="b">
        <v>0</v>
      </c>
      <c r="H1484">
        <v>1</v>
      </c>
    </row>
    <row r="1485" spans="1:8" x14ac:dyDescent="0.25">
      <c r="A1485" t="s">
        <v>3457</v>
      </c>
      <c r="B1485" t="s">
        <v>3503</v>
      </c>
      <c r="C1485">
        <v>208.6</v>
      </c>
      <c r="D1485" t="s">
        <v>3253</v>
      </c>
      <c r="E1485" t="s">
        <v>1417</v>
      </c>
      <c r="F1485">
        <v>75</v>
      </c>
      <c r="G1485" t="b">
        <v>0</v>
      </c>
      <c r="H1485">
        <v>1</v>
      </c>
    </row>
    <row r="1486" spans="1:8" x14ac:dyDescent="0.25">
      <c r="A1486" t="s">
        <v>3457</v>
      </c>
      <c r="B1486" t="s">
        <v>3504</v>
      </c>
      <c r="C1486">
        <v>226.85</v>
      </c>
      <c r="D1486" t="s">
        <v>3253</v>
      </c>
      <c r="E1486" t="s">
        <v>1417</v>
      </c>
      <c r="F1486">
        <v>75</v>
      </c>
      <c r="G1486" t="b">
        <v>0</v>
      </c>
      <c r="H1486">
        <v>1</v>
      </c>
    </row>
    <row r="1487" spans="1:8" x14ac:dyDescent="0.25">
      <c r="A1487" t="s">
        <v>3457</v>
      </c>
      <c r="B1487" t="s">
        <v>3505</v>
      </c>
      <c r="C1487">
        <v>245.15</v>
      </c>
      <c r="D1487" t="s">
        <v>3253</v>
      </c>
      <c r="E1487" t="s">
        <v>1417</v>
      </c>
      <c r="F1487">
        <v>75</v>
      </c>
      <c r="G1487" t="b">
        <v>0</v>
      </c>
      <c r="H1487">
        <v>1</v>
      </c>
    </row>
    <row r="1488" spans="1:8" x14ac:dyDescent="0.25">
      <c r="A1488" t="s">
        <v>3457</v>
      </c>
      <c r="B1488" t="s">
        <v>3506</v>
      </c>
      <c r="C1488">
        <v>263.45</v>
      </c>
      <c r="D1488" t="s">
        <v>3253</v>
      </c>
      <c r="E1488" t="s">
        <v>1417</v>
      </c>
      <c r="F1488">
        <v>75</v>
      </c>
      <c r="G1488" t="b">
        <v>0</v>
      </c>
      <c r="H1488">
        <v>1</v>
      </c>
    </row>
    <row r="1489" spans="1:8" x14ac:dyDescent="0.25">
      <c r="A1489" t="s">
        <v>3457</v>
      </c>
      <c r="B1489" t="s">
        <v>3507</v>
      </c>
      <c r="C1489">
        <v>281.75</v>
      </c>
      <c r="D1489" t="s">
        <v>3253</v>
      </c>
      <c r="E1489" t="s">
        <v>1417</v>
      </c>
      <c r="F1489">
        <v>75</v>
      </c>
      <c r="G1489" t="b">
        <v>0</v>
      </c>
      <c r="H1489">
        <v>1</v>
      </c>
    </row>
    <row r="1490" spans="1:8" x14ac:dyDescent="0.25">
      <c r="A1490" t="s">
        <v>3457</v>
      </c>
      <c r="B1490" t="s">
        <v>3508</v>
      </c>
      <c r="C1490">
        <v>300.05</v>
      </c>
      <c r="D1490" t="s">
        <v>3253</v>
      </c>
      <c r="E1490" t="s">
        <v>1417</v>
      </c>
      <c r="F1490">
        <v>75</v>
      </c>
      <c r="G1490" t="b">
        <v>0</v>
      </c>
      <c r="H1490">
        <v>1</v>
      </c>
    </row>
    <row r="1491" spans="1:8" x14ac:dyDescent="0.25">
      <c r="A1491" t="s">
        <v>3457</v>
      </c>
      <c r="B1491" t="s">
        <v>3509</v>
      </c>
      <c r="C1491">
        <v>153.69999999999999</v>
      </c>
      <c r="D1491" t="s">
        <v>3253</v>
      </c>
      <c r="E1491" t="s">
        <v>1417</v>
      </c>
      <c r="F1491">
        <v>75</v>
      </c>
      <c r="G1491" t="b">
        <v>0</v>
      </c>
      <c r="H1491">
        <v>1</v>
      </c>
    </row>
    <row r="1492" spans="1:8" x14ac:dyDescent="0.25">
      <c r="A1492" t="s">
        <v>3457</v>
      </c>
      <c r="B1492" t="s">
        <v>3510</v>
      </c>
      <c r="C1492">
        <v>172</v>
      </c>
      <c r="D1492" t="s">
        <v>3253</v>
      </c>
      <c r="E1492" t="s">
        <v>1417</v>
      </c>
      <c r="F1492">
        <v>75</v>
      </c>
      <c r="G1492" t="b">
        <v>0</v>
      </c>
      <c r="H1492">
        <v>1</v>
      </c>
    </row>
    <row r="1493" spans="1:8" x14ac:dyDescent="0.25">
      <c r="A1493" t="s">
        <v>3457</v>
      </c>
      <c r="B1493" t="s">
        <v>3511</v>
      </c>
      <c r="C1493">
        <v>190.3</v>
      </c>
      <c r="D1493" t="s">
        <v>3253</v>
      </c>
      <c r="E1493" t="s">
        <v>1417</v>
      </c>
      <c r="F1493">
        <v>75</v>
      </c>
      <c r="G1493" t="b">
        <v>0</v>
      </c>
      <c r="H1493">
        <v>1</v>
      </c>
    </row>
    <row r="1494" spans="1:8" x14ac:dyDescent="0.25">
      <c r="A1494" t="s">
        <v>3457</v>
      </c>
      <c r="B1494" t="s">
        <v>3512</v>
      </c>
      <c r="C1494">
        <v>208.6</v>
      </c>
      <c r="D1494" t="s">
        <v>3253</v>
      </c>
      <c r="E1494" t="s">
        <v>1417</v>
      </c>
      <c r="F1494">
        <v>75</v>
      </c>
      <c r="G1494" t="b">
        <v>0</v>
      </c>
      <c r="H1494">
        <v>1</v>
      </c>
    </row>
    <row r="1495" spans="1:8" x14ac:dyDescent="0.25">
      <c r="A1495" t="s">
        <v>3457</v>
      </c>
      <c r="B1495" t="s">
        <v>3513</v>
      </c>
      <c r="C1495">
        <v>226.85</v>
      </c>
      <c r="D1495" t="s">
        <v>3253</v>
      </c>
      <c r="E1495" t="s">
        <v>1417</v>
      </c>
      <c r="F1495">
        <v>75</v>
      </c>
      <c r="G1495" t="b">
        <v>0</v>
      </c>
      <c r="H1495">
        <v>1</v>
      </c>
    </row>
    <row r="1496" spans="1:8" x14ac:dyDescent="0.25">
      <c r="A1496" t="s">
        <v>3457</v>
      </c>
      <c r="B1496" t="s">
        <v>3514</v>
      </c>
      <c r="C1496">
        <v>245.15</v>
      </c>
      <c r="D1496" t="s">
        <v>3253</v>
      </c>
      <c r="E1496" t="s">
        <v>1417</v>
      </c>
      <c r="F1496">
        <v>75</v>
      </c>
      <c r="G1496" t="b">
        <v>0</v>
      </c>
      <c r="H1496">
        <v>1</v>
      </c>
    </row>
    <row r="1497" spans="1:8" x14ac:dyDescent="0.25">
      <c r="A1497" t="s">
        <v>3457</v>
      </c>
      <c r="B1497" t="s">
        <v>3515</v>
      </c>
      <c r="C1497">
        <v>263.45</v>
      </c>
      <c r="D1497" t="s">
        <v>3253</v>
      </c>
      <c r="E1497" t="s">
        <v>1417</v>
      </c>
      <c r="F1497">
        <v>75</v>
      </c>
      <c r="G1497" t="b">
        <v>0</v>
      </c>
      <c r="H1497">
        <v>1</v>
      </c>
    </row>
    <row r="1498" spans="1:8" x14ac:dyDescent="0.25">
      <c r="A1498" t="s">
        <v>3457</v>
      </c>
      <c r="B1498" t="s">
        <v>3516</v>
      </c>
      <c r="C1498">
        <v>281.75</v>
      </c>
      <c r="D1498" t="s">
        <v>3253</v>
      </c>
      <c r="E1498" t="s">
        <v>1417</v>
      </c>
      <c r="F1498">
        <v>75</v>
      </c>
      <c r="G1498" t="b">
        <v>0</v>
      </c>
      <c r="H1498">
        <v>1</v>
      </c>
    </row>
    <row r="1499" spans="1:8" x14ac:dyDescent="0.25">
      <c r="A1499" t="s">
        <v>3457</v>
      </c>
      <c r="B1499" t="s">
        <v>3517</v>
      </c>
      <c r="C1499">
        <v>300.05</v>
      </c>
      <c r="D1499" t="s">
        <v>3253</v>
      </c>
      <c r="E1499" t="s">
        <v>1417</v>
      </c>
      <c r="F1499">
        <v>75</v>
      </c>
      <c r="G1499" t="b">
        <v>0</v>
      </c>
      <c r="H1499">
        <v>1</v>
      </c>
    </row>
    <row r="1500" spans="1:8" x14ac:dyDescent="0.25">
      <c r="A1500" t="s">
        <v>3457</v>
      </c>
      <c r="B1500" t="s">
        <v>3518</v>
      </c>
      <c r="C1500">
        <v>318.35000000000002</v>
      </c>
      <c r="D1500" t="s">
        <v>3253</v>
      </c>
      <c r="E1500" t="s">
        <v>1417</v>
      </c>
      <c r="F1500">
        <v>75</v>
      </c>
      <c r="G1500" t="b">
        <v>0</v>
      </c>
      <c r="H1500">
        <v>1</v>
      </c>
    </row>
    <row r="1501" spans="1:8" x14ac:dyDescent="0.25">
      <c r="A1501" t="s">
        <v>3457</v>
      </c>
      <c r="B1501" t="s">
        <v>3519</v>
      </c>
      <c r="C1501">
        <v>336.65</v>
      </c>
      <c r="D1501" t="s">
        <v>3253</v>
      </c>
      <c r="E1501" t="s">
        <v>1417</v>
      </c>
      <c r="F1501">
        <v>75</v>
      </c>
      <c r="G1501" t="b">
        <v>0</v>
      </c>
      <c r="H1501">
        <v>1</v>
      </c>
    </row>
    <row r="1502" spans="1:8" x14ac:dyDescent="0.25">
      <c r="A1502" t="s">
        <v>3457</v>
      </c>
      <c r="B1502" t="s">
        <v>3520</v>
      </c>
      <c r="C1502">
        <v>354.95</v>
      </c>
      <c r="D1502" t="s">
        <v>3253</v>
      </c>
      <c r="E1502" t="s">
        <v>1417</v>
      </c>
      <c r="F1502">
        <v>75</v>
      </c>
      <c r="G1502" t="b">
        <v>0</v>
      </c>
      <c r="H1502">
        <v>1</v>
      </c>
    </row>
    <row r="1503" spans="1:8" x14ac:dyDescent="0.25">
      <c r="A1503" t="s">
        <v>3457</v>
      </c>
      <c r="B1503" t="s">
        <v>3521</v>
      </c>
      <c r="C1503">
        <v>373.25</v>
      </c>
      <c r="D1503" t="s">
        <v>3253</v>
      </c>
      <c r="E1503" t="s">
        <v>1417</v>
      </c>
      <c r="F1503">
        <v>75</v>
      </c>
      <c r="G1503" t="b">
        <v>0</v>
      </c>
      <c r="H1503">
        <v>1</v>
      </c>
    </row>
    <row r="1504" spans="1:8" x14ac:dyDescent="0.25">
      <c r="A1504" t="s">
        <v>3457</v>
      </c>
      <c r="B1504" t="s">
        <v>3522</v>
      </c>
      <c r="C1504">
        <v>391.5</v>
      </c>
      <c r="D1504" t="s">
        <v>3253</v>
      </c>
      <c r="E1504" t="s">
        <v>1417</v>
      </c>
      <c r="F1504">
        <v>75</v>
      </c>
      <c r="G1504" t="b">
        <v>0</v>
      </c>
      <c r="H1504">
        <v>1</v>
      </c>
    </row>
    <row r="1505" spans="1:8" x14ac:dyDescent="0.25">
      <c r="A1505" t="s">
        <v>3457</v>
      </c>
      <c r="B1505" t="s">
        <v>3523</v>
      </c>
      <c r="C1505">
        <v>409.85</v>
      </c>
      <c r="D1505" t="s">
        <v>3253</v>
      </c>
      <c r="E1505" t="s">
        <v>1417</v>
      </c>
      <c r="F1505">
        <v>75</v>
      </c>
      <c r="G1505" t="b">
        <v>0</v>
      </c>
      <c r="H1505">
        <v>1</v>
      </c>
    </row>
    <row r="1506" spans="1:8" x14ac:dyDescent="0.25">
      <c r="A1506" t="s">
        <v>3457</v>
      </c>
      <c r="B1506" t="s">
        <v>3524</v>
      </c>
      <c r="C1506">
        <v>428.15</v>
      </c>
      <c r="D1506" t="s">
        <v>3253</v>
      </c>
      <c r="E1506" t="s">
        <v>1417</v>
      </c>
      <c r="F1506">
        <v>75</v>
      </c>
      <c r="G1506" t="b">
        <v>0</v>
      </c>
      <c r="H1506">
        <v>1</v>
      </c>
    </row>
    <row r="1507" spans="1:8" x14ac:dyDescent="0.25">
      <c r="A1507" t="s">
        <v>3457</v>
      </c>
      <c r="B1507" t="s">
        <v>3525</v>
      </c>
      <c r="C1507">
        <v>446.4</v>
      </c>
      <c r="D1507" t="s">
        <v>3253</v>
      </c>
      <c r="E1507" t="s">
        <v>1417</v>
      </c>
      <c r="F1507">
        <v>75</v>
      </c>
      <c r="G1507" t="b">
        <v>0</v>
      </c>
      <c r="H1507">
        <v>1</v>
      </c>
    </row>
    <row r="1508" spans="1:8" x14ac:dyDescent="0.25">
      <c r="A1508" t="s">
        <v>3457</v>
      </c>
      <c r="B1508" t="s">
        <v>3526</v>
      </c>
      <c r="C1508">
        <v>318.35000000000002</v>
      </c>
      <c r="D1508" t="s">
        <v>3253</v>
      </c>
      <c r="E1508" t="s">
        <v>1417</v>
      </c>
      <c r="F1508">
        <v>75</v>
      </c>
      <c r="G1508" t="b">
        <v>0</v>
      </c>
      <c r="H1508">
        <v>1</v>
      </c>
    </row>
    <row r="1509" spans="1:8" x14ac:dyDescent="0.25">
      <c r="A1509" t="s">
        <v>3457</v>
      </c>
      <c r="B1509" t="s">
        <v>3527</v>
      </c>
      <c r="C1509">
        <v>336.65</v>
      </c>
      <c r="D1509" t="s">
        <v>3253</v>
      </c>
      <c r="E1509" t="s">
        <v>1417</v>
      </c>
      <c r="F1509">
        <v>75</v>
      </c>
      <c r="G1509" t="b">
        <v>0</v>
      </c>
      <c r="H1509">
        <v>1</v>
      </c>
    </row>
    <row r="1510" spans="1:8" x14ac:dyDescent="0.25">
      <c r="A1510" t="s">
        <v>3457</v>
      </c>
      <c r="B1510" t="s">
        <v>3528</v>
      </c>
      <c r="C1510">
        <v>354.95</v>
      </c>
      <c r="D1510" t="s">
        <v>3253</v>
      </c>
      <c r="E1510" t="s">
        <v>1417</v>
      </c>
      <c r="F1510">
        <v>75</v>
      </c>
      <c r="G1510" t="b">
        <v>0</v>
      </c>
      <c r="H1510">
        <v>1</v>
      </c>
    </row>
    <row r="1511" spans="1:8" x14ac:dyDescent="0.25">
      <c r="A1511" t="s">
        <v>3457</v>
      </c>
      <c r="B1511" t="s">
        <v>3529</v>
      </c>
      <c r="C1511">
        <v>373.25</v>
      </c>
      <c r="D1511" t="s">
        <v>3253</v>
      </c>
      <c r="E1511" t="s">
        <v>1417</v>
      </c>
      <c r="F1511">
        <v>75</v>
      </c>
      <c r="G1511" t="b">
        <v>0</v>
      </c>
      <c r="H1511">
        <v>1</v>
      </c>
    </row>
    <row r="1512" spans="1:8" x14ac:dyDescent="0.25">
      <c r="A1512" t="s">
        <v>3457</v>
      </c>
      <c r="B1512" t="s">
        <v>3530</v>
      </c>
      <c r="C1512">
        <v>391.5</v>
      </c>
      <c r="D1512" t="s">
        <v>3253</v>
      </c>
      <c r="E1512" t="s">
        <v>1417</v>
      </c>
      <c r="F1512">
        <v>75</v>
      </c>
      <c r="G1512" t="b">
        <v>0</v>
      </c>
      <c r="H1512">
        <v>1</v>
      </c>
    </row>
    <row r="1513" spans="1:8" x14ac:dyDescent="0.25">
      <c r="A1513" t="s">
        <v>3457</v>
      </c>
      <c r="B1513" t="s">
        <v>3531</v>
      </c>
      <c r="C1513">
        <v>409.85</v>
      </c>
      <c r="D1513" t="s">
        <v>3253</v>
      </c>
      <c r="E1513" t="s">
        <v>1417</v>
      </c>
      <c r="F1513">
        <v>75</v>
      </c>
      <c r="G1513" t="b">
        <v>0</v>
      </c>
      <c r="H1513">
        <v>1</v>
      </c>
    </row>
    <row r="1514" spans="1:8" x14ac:dyDescent="0.25">
      <c r="A1514" t="s">
        <v>3457</v>
      </c>
      <c r="B1514" t="s">
        <v>3532</v>
      </c>
      <c r="C1514">
        <v>428.15</v>
      </c>
      <c r="D1514" t="s">
        <v>3253</v>
      </c>
      <c r="E1514" t="s">
        <v>1417</v>
      </c>
      <c r="F1514">
        <v>75</v>
      </c>
      <c r="G1514" t="b">
        <v>0</v>
      </c>
      <c r="H1514">
        <v>1</v>
      </c>
    </row>
    <row r="1515" spans="1:8" x14ac:dyDescent="0.25">
      <c r="A1515" t="s">
        <v>3457</v>
      </c>
      <c r="B1515" t="s">
        <v>3533</v>
      </c>
      <c r="C1515">
        <v>446.4</v>
      </c>
      <c r="D1515" t="s">
        <v>3253</v>
      </c>
      <c r="E1515" t="s">
        <v>1417</v>
      </c>
      <c r="F1515">
        <v>75</v>
      </c>
      <c r="G1515" t="b">
        <v>0</v>
      </c>
      <c r="H1515">
        <v>1</v>
      </c>
    </row>
    <row r="1516" spans="1:8" x14ac:dyDescent="0.25">
      <c r="A1516" t="s">
        <v>3457</v>
      </c>
      <c r="B1516" t="s">
        <v>3534</v>
      </c>
      <c r="C1516">
        <v>318.35000000000002</v>
      </c>
      <c r="D1516" t="s">
        <v>3253</v>
      </c>
      <c r="E1516" t="s">
        <v>1417</v>
      </c>
      <c r="F1516">
        <v>75</v>
      </c>
      <c r="G1516" t="b">
        <v>0</v>
      </c>
      <c r="H1516">
        <v>1</v>
      </c>
    </row>
    <row r="1517" spans="1:8" x14ac:dyDescent="0.25">
      <c r="A1517" t="s">
        <v>3457</v>
      </c>
      <c r="B1517" t="s">
        <v>3535</v>
      </c>
      <c r="C1517">
        <v>336.65</v>
      </c>
      <c r="D1517" t="s">
        <v>3253</v>
      </c>
      <c r="E1517" t="s">
        <v>1417</v>
      </c>
      <c r="F1517">
        <v>75</v>
      </c>
      <c r="G1517" t="b">
        <v>0</v>
      </c>
      <c r="H1517">
        <v>1</v>
      </c>
    </row>
    <row r="1518" spans="1:8" x14ac:dyDescent="0.25">
      <c r="A1518" t="s">
        <v>3457</v>
      </c>
      <c r="B1518" t="s">
        <v>3536</v>
      </c>
      <c r="C1518">
        <v>354.95</v>
      </c>
      <c r="D1518" t="s">
        <v>3253</v>
      </c>
      <c r="E1518" t="s">
        <v>1417</v>
      </c>
      <c r="F1518">
        <v>75</v>
      </c>
      <c r="G1518" t="b">
        <v>0</v>
      </c>
      <c r="H1518">
        <v>1</v>
      </c>
    </row>
    <row r="1519" spans="1:8" x14ac:dyDescent="0.25">
      <c r="A1519" t="s">
        <v>3457</v>
      </c>
      <c r="B1519" t="s">
        <v>3537</v>
      </c>
      <c r="C1519">
        <v>373.25</v>
      </c>
      <c r="D1519" t="s">
        <v>3253</v>
      </c>
      <c r="E1519" t="s">
        <v>1417</v>
      </c>
      <c r="F1519">
        <v>75</v>
      </c>
      <c r="G1519" t="b">
        <v>0</v>
      </c>
      <c r="H1519">
        <v>1</v>
      </c>
    </row>
    <row r="1520" spans="1:8" x14ac:dyDescent="0.25">
      <c r="A1520" t="s">
        <v>3457</v>
      </c>
      <c r="B1520" t="s">
        <v>3538</v>
      </c>
      <c r="C1520">
        <v>391.5</v>
      </c>
      <c r="D1520" t="s">
        <v>3253</v>
      </c>
      <c r="E1520" t="s">
        <v>1417</v>
      </c>
      <c r="F1520">
        <v>75</v>
      </c>
      <c r="G1520" t="b">
        <v>0</v>
      </c>
      <c r="H1520">
        <v>1</v>
      </c>
    </row>
    <row r="1521" spans="1:8" x14ac:dyDescent="0.25">
      <c r="A1521" t="s">
        <v>3457</v>
      </c>
      <c r="B1521" t="s">
        <v>3539</v>
      </c>
      <c r="C1521">
        <v>409.85</v>
      </c>
      <c r="D1521" t="s">
        <v>3253</v>
      </c>
      <c r="E1521" t="s">
        <v>1417</v>
      </c>
      <c r="F1521">
        <v>75</v>
      </c>
      <c r="G1521" t="b">
        <v>0</v>
      </c>
      <c r="H1521">
        <v>1</v>
      </c>
    </row>
    <row r="1522" spans="1:8" x14ac:dyDescent="0.25">
      <c r="A1522" t="s">
        <v>3457</v>
      </c>
      <c r="B1522" t="s">
        <v>3540</v>
      </c>
      <c r="C1522">
        <v>428.15</v>
      </c>
      <c r="D1522" t="s">
        <v>3253</v>
      </c>
      <c r="E1522" t="s">
        <v>1417</v>
      </c>
      <c r="F1522">
        <v>75</v>
      </c>
      <c r="G1522" t="b">
        <v>0</v>
      </c>
      <c r="H1522">
        <v>1</v>
      </c>
    </row>
    <row r="1523" spans="1:8" x14ac:dyDescent="0.25">
      <c r="A1523" t="s">
        <v>3457</v>
      </c>
      <c r="B1523" t="s">
        <v>3541</v>
      </c>
      <c r="C1523">
        <v>446.4</v>
      </c>
      <c r="D1523" t="s">
        <v>3253</v>
      </c>
      <c r="E1523" t="s">
        <v>1417</v>
      </c>
      <c r="F1523">
        <v>75</v>
      </c>
      <c r="G1523" t="b">
        <v>0</v>
      </c>
      <c r="H1523">
        <v>1</v>
      </c>
    </row>
    <row r="1524" spans="1:8" x14ac:dyDescent="0.25">
      <c r="A1524" t="s">
        <v>3457</v>
      </c>
      <c r="B1524" t="s">
        <v>3542</v>
      </c>
      <c r="C1524">
        <v>318.35000000000002</v>
      </c>
      <c r="D1524" t="s">
        <v>3253</v>
      </c>
      <c r="E1524" t="s">
        <v>1417</v>
      </c>
      <c r="F1524">
        <v>75</v>
      </c>
      <c r="G1524" t="b">
        <v>0</v>
      </c>
      <c r="H1524">
        <v>1</v>
      </c>
    </row>
    <row r="1525" spans="1:8" x14ac:dyDescent="0.25">
      <c r="A1525" t="s">
        <v>3457</v>
      </c>
      <c r="B1525" t="s">
        <v>3543</v>
      </c>
      <c r="C1525">
        <v>336.65</v>
      </c>
      <c r="D1525" t="s">
        <v>3253</v>
      </c>
      <c r="E1525" t="s">
        <v>1417</v>
      </c>
      <c r="F1525">
        <v>75</v>
      </c>
      <c r="G1525" t="b">
        <v>0</v>
      </c>
      <c r="H1525">
        <v>1</v>
      </c>
    </row>
    <row r="1526" spans="1:8" x14ac:dyDescent="0.25">
      <c r="A1526" t="s">
        <v>3457</v>
      </c>
      <c r="B1526" t="s">
        <v>3544</v>
      </c>
      <c r="C1526">
        <v>354.95</v>
      </c>
      <c r="D1526" t="s">
        <v>3253</v>
      </c>
      <c r="E1526" t="s">
        <v>1417</v>
      </c>
      <c r="F1526">
        <v>75</v>
      </c>
      <c r="G1526" t="b">
        <v>0</v>
      </c>
      <c r="H1526">
        <v>1</v>
      </c>
    </row>
    <row r="1527" spans="1:8" x14ac:dyDescent="0.25">
      <c r="A1527" t="s">
        <v>3457</v>
      </c>
      <c r="B1527" t="s">
        <v>3545</v>
      </c>
      <c r="C1527">
        <v>373.25</v>
      </c>
      <c r="D1527" t="s">
        <v>3253</v>
      </c>
      <c r="E1527" t="s">
        <v>1417</v>
      </c>
      <c r="F1527">
        <v>75</v>
      </c>
      <c r="G1527" t="b">
        <v>0</v>
      </c>
      <c r="H1527">
        <v>1</v>
      </c>
    </row>
    <row r="1528" spans="1:8" x14ac:dyDescent="0.25">
      <c r="A1528" t="s">
        <v>3457</v>
      </c>
      <c r="B1528" t="s">
        <v>3546</v>
      </c>
      <c r="C1528">
        <v>391.5</v>
      </c>
      <c r="D1528" t="s">
        <v>3253</v>
      </c>
      <c r="E1528" t="s">
        <v>1417</v>
      </c>
      <c r="F1528">
        <v>75</v>
      </c>
      <c r="G1528" t="b">
        <v>0</v>
      </c>
      <c r="H1528">
        <v>1</v>
      </c>
    </row>
    <row r="1529" spans="1:8" x14ac:dyDescent="0.25">
      <c r="A1529" t="s">
        <v>3457</v>
      </c>
      <c r="B1529" t="s">
        <v>3547</v>
      </c>
      <c r="C1529">
        <v>409.85</v>
      </c>
      <c r="D1529" t="s">
        <v>3253</v>
      </c>
      <c r="E1529" t="s">
        <v>1417</v>
      </c>
      <c r="F1529">
        <v>75</v>
      </c>
      <c r="G1529" t="b">
        <v>0</v>
      </c>
      <c r="H1529">
        <v>1</v>
      </c>
    </row>
    <row r="1530" spans="1:8" x14ac:dyDescent="0.25">
      <c r="A1530" t="s">
        <v>3457</v>
      </c>
      <c r="B1530" t="s">
        <v>3548</v>
      </c>
      <c r="C1530">
        <v>428.15</v>
      </c>
      <c r="D1530" t="s">
        <v>3253</v>
      </c>
      <c r="E1530" t="s">
        <v>1417</v>
      </c>
      <c r="F1530">
        <v>75</v>
      </c>
      <c r="G1530" t="b">
        <v>0</v>
      </c>
      <c r="H1530">
        <v>1</v>
      </c>
    </row>
    <row r="1531" spans="1:8" x14ac:dyDescent="0.25">
      <c r="A1531" t="s">
        <v>3457</v>
      </c>
      <c r="B1531" t="s">
        <v>3549</v>
      </c>
      <c r="C1531">
        <v>446.4</v>
      </c>
      <c r="D1531" t="s">
        <v>3253</v>
      </c>
      <c r="E1531" t="s">
        <v>1417</v>
      </c>
      <c r="F1531">
        <v>75</v>
      </c>
      <c r="G1531" t="b">
        <v>0</v>
      </c>
      <c r="H1531">
        <v>1</v>
      </c>
    </row>
    <row r="1532" spans="1:8" x14ac:dyDescent="0.25">
      <c r="A1532" t="s">
        <v>3550</v>
      </c>
      <c r="B1532" t="s">
        <v>3551</v>
      </c>
      <c r="C1532">
        <v>57.25</v>
      </c>
      <c r="D1532" t="s">
        <v>3253</v>
      </c>
      <c r="E1532" t="s">
        <v>1417</v>
      </c>
      <c r="F1532">
        <v>75</v>
      </c>
      <c r="G1532" t="b">
        <v>0</v>
      </c>
      <c r="H1532">
        <v>1</v>
      </c>
    </row>
    <row r="1533" spans="1:8" x14ac:dyDescent="0.25">
      <c r="A1533" t="s">
        <v>3550</v>
      </c>
      <c r="B1533" t="s">
        <v>3552</v>
      </c>
      <c r="C1533">
        <v>57.25</v>
      </c>
      <c r="D1533" t="s">
        <v>3253</v>
      </c>
      <c r="E1533" t="s">
        <v>1417</v>
      </c>
      <c r="F1533">
        <v>75</v>
      </c>
      <c r="G1533" t="b">
        <v>0</v>
      </c>
      <c r="H1533">
        <v>1</v>
      </c>
    </row>
    <row r="1534" spans="1:8" x14ac:dyDescent="0.25">
      <c r="A1534" t="s">
        <v>3550</v>
      </c>
      <c r="B1534" t="s">
        <v>3553</v>
      </c>
      <c r="C1534">
        <v>57.25</v>
      </c>
      <c r="D1534" t="s">
        <v>3253</v>
      </c>
      <c r="E1534" t="s">
        <v>1417</v>
      </c>
      <c r="F1534">
        <v>75</v>
      </c>
      <c r="G1534" t="b">
        <v>0</v>
      </c>
      <c r="H1534">
        <v>1</v>
      </c>
    </row>
    <row r="1535" spans="1:8" x14ac:dyDescent="0.25">
      <c r="A1535" t="s">
        <v>3550</v>
      </c>
      <c r="B1535" t="s">
        <v>3554</v>
      </c>
      <c r="C1535">
        <v>57.25</v>
      </c>
      <c r="D1535" t="s">
        <v>3253</v>
      </c>
      <c r="E1535" t="s">
        <v>1417</v>
      </c>
      <c r="F1535">
        <v>75</v>
      </c>
      <c r="G1535" t="b">
        <v>0</v>
      </c>
      <c r="H1535">
        <v>1</v>
      </c>
    </row>
    <row r="1536" spans="1:8" x14ac:dyDescent="0.25">
      <c r="A1536" t="s">
        <v>3550</v>
      </c>
      <c r="B1536" t="s">
        <v>3555</v>
      </c>
      <c r="C1536">
        <v>67.400000000000006</v>
      </c>
      <c r="D1536" t="s">
        <v>3253</v>
      </c>
      <c r="E1536" t="s">
        <v>1417</v>
      </c>
      <c r="F1536">
        <v>75</v>
      </c>
      <c r="G1536" t="b">
        <v>0</v>
      </c>
      <c r="H1536">
        <v>1</v>
      </c>
    </row>
    <row r="1537" spans="1:8" x14ac:dyDescent="0.25">
      <c r="A1537" t="s">
        <v>3550</v>
      </c>
      <c r="B1537" t="s">
        <v>3556</v>
      </c>
      <c r="C1537">
        <v>67.400000000000006</v>
      </c>
      <c r="D1537" t="s">
        <v>3253</v>
      </c>
      <c r="E1537" t="s">
        <v>1417</v>
      </c>
      <c r="F1537">
        <v>75</v>
      </c>
      <c r="G1537" t="b">
        <v>0</v>
      </c>
      <c r="H1537">
        <v>1</v>
      </c>
    </row>
    <row r="1538" spans="1:8" x14ac:dyDescent="0.25">
      <c r="A1538" t="s">
        <v>3550</v>
      </c>
      <c r="B1538" t="s">
        <v>3557</v>
      </c>
      <c r="C1538">
        <v>67.400000000000006</v>
      </c>
      <c r="D1538" t="s">
        <v>3253</v>
      </c>
      <c r="E1538" t="s">
        <v>1417</v>
      </c>
      <c r="F1538">
        <v>75</v>
      </c>
      <c r="G1538" t="b">
        <v>0</v>
      </c>
      <c r="H1538">
        <v>1</v>
      </c>
    </row>
    <row r="1539" spans="1:8" x14ac:dyDescent="0.25">
      <c r="A1539" t="s">
        <v>3550</v>
      </c>
      <c r="B1539" t="s">
        <v>3558</v>
      </c>
      <c r="C1539">
        <v>67.400000000000006</v>
      </c>
      <c r="D1539" t="s">
        <v>3253</v>
      </c>
      <c r="E1539" t="s">
        <v>1417</v>
      </c>
      <c r="F1539">
        <v>75</v>
      </c>
      <c r="G1539" t="b">
        <v>0</v>
      </c>
      <c r="H1539">
        <v>1</v>
      </c>
    </row>
    <row r="1540" spans="1:8" x14ac:dyDescent="0.25">
      <c r="A1540" t="s">
        <v>3550</v>
      </c>
      <c r="B1540" t="s">
        <v>3559</v>
      </c>
      <c r="C1540">
        <v>77.3</v>
      </c>
      <c r="D1540" t="s">
        <v>3253</v>
      </c>
      <c r="E1540" t="s">
        <v>1417</v>
      </c>
      <c r="F1540">
        <v>75</v>
      </c>
      <c r="G1540" t="b">
        <v>0</v>
      </c>
      <c r="H1540">
        <v>1</v>
      </c>
    </row>
    <row r="1541" spans="1:8" x14ac:dyDescent="0.25">
      <c r="A1541" t="s">
        <v>3550</v>
      </c>
      <c r="B1541" t="s">
        <v>3560</v>
      </c>
      <c r="C1541">
        <v>77.3</v>
      </c>
      <c r="D1541" t="s">
        <v>3253</v>
      </c>
      <c r="E1541" t="s">
        <v>1417</v>
      </c>
      <c r="F1541">
        <v>75</v>
      </c>
      <c r="G1541" t="b">
        <v>0</v>
      </c>
      <c r="H1541">
        <v>1</v>
      </c>
    </row>
    <row r="1542" spans="1:8" x14ac:dyDescent="0.25">
      <c r="A1542" t="s">
        <v>3550</v>
      </c>
      <c r="B1542" t="s">
        <v>3561</v>
      </c>
      <c r="C1542">
        <v>77.3</v>
      </c>
      <c r="D1542" t="s">
        <v>3253</v>
      </c>
      <c r="E1542" t="s">
        <v>1417</v>
      </c>
      <c r="F1542">
        <v>75</v>
      </c>
      <c r="G1542" t="b">
        <v>0</v>
      </c>
      <c r="H1542">
        <v>1</v>
      </c>
    </row>
    <row r="1543" spans="1:8" x14ac:dyDescent="0.25">
      <c r="A1543" t="s">
        <v>3550</v>
      </c>
      <c r="B1543" t="s">
        <v>3562</v>
      </c>
      <c r="C1543">
        <v>77.3</v>
      </c>
      <c r="D1543" t="s">
        <v>3253</v>
      </c>
      <c r="E1543" t="s">
        <v>1417</v>
      </c>
      <c r="F1543">
        <v>75</v>
      </c>
      <c r="G1543" t="b">
        <v>0</v>
      </c>
      <c r="H1543">
        <v>1</v>
      </c>
    </row>
    <row r="1544" spans="1:8" x14ac:dyDescent="0.25">
      <c r="A1544" t="s">
        <v>3550</v>
      </c>
      <c r="B1544" t="s">
        <v>3563</v>
      </c>
      <c r="C1544">
        <v>87.4</v>
      </c>
      <c r="D1544" t="s">
        <v>3253</v>
      </c>
      <c r="E1544" t="s">
        <v>1417</v>
      </c>
      <c r="F1544">
        <v>75</v>
      </c>
      <c r="G1544" t="b">
        <v>0</v>
      </c>
      <c r="H1544">
        <v>1</v>
      </c>
    </row>
    <row r="1545" spans="1:8" x14ac:dyDescent="0.25">
      <c r="A1545" t="s">
        <v>3550</v>
      </c>
      <c r="B1545" t="s">
        <v>3564</v>
      </c>
      <c r="C1545">
        <v>87.4</v>
      </c>
      <c r="D1545" t="s">
        <v>3253</v>
      </c>
      <c r="E1545" t="s">
        <v>1417</v>
      </c>
      <c r="F1545">
        <v>75</v>
      </c>
      <c r="G1545" t="b">
        <v>0</v>
      </c>
      <c r="H1545">
        <v>1</v>
      </c>
    </row>
    <row r="1546" spans="1:8" x14ac:dyDescent="0.25">
      <c r="A1546" t="s">
        <v>3550</v>
      </c>
      <c r="B1546" t="s">
        <v>3565</v>
      </c>
      <c r="C1546">
        <v>87.4</v>
      </c>
      <c r="D1546" t="s">
        <v>3253</v>
      </c>
      <c r="E1546" t="s">
        <v>1417</v>
      </c>
      <c r="F1546">
        <v>75</v>
      </c>
      <c r="G1546" t="b">
        <v>0</v>
      </c>
      <c r="H1546">
        <v>1</v>
      </c>
    </row>
    <row r="1547" spans="1:8" x14ac:dyDescent="0.25">
      <c r="A1547" t="s">
        <v>3550</v>
      </c>
      <c r="B1547" t="s">
        <v>3566</v>
      </c>
      <c r="C1547">
        <v>87.4</v>
      </c>
      <c r="D1547" t="s">
        <v>3253</v>
      </c>
      <c r="E1547" t="s">
        <v>1417</v>
      </c>
      <c r="F1547">
        <v>75</v>
      </c>
      <c r="G1547" t="b">
        <v>0</v>
      </c>
      <c r="H1547">
        <v>1</v>
      </c>
    </row>
    <row r="1548" spans="1:8" x14ac:dyDescent="0.25">
      <c r="A1548" t="s">
        <v>3550</v>
      </c>
      <c r="B1548" t="s">
        <v>3567</v>
      </c>
      <c r="C1548">
        <v>97.5</v>
      </c>
      <c r="D1548" t="s">
        <v>3253</v>
      </c>
      <c r="E1548" t="s">
        <v>1417</v>
      </c>
      <c r="F1548">
        <v>75</v>
      </c>
      <c r="G1548" t="b">
        <v>0</v>
      </c>
      <c r="H1548">
        <v>1</v>
      </c>
    </row>
    <row r="1549" spans="1:8" x14ac:dyDescent="0.25">
      <c r="A1549" t="s">
        <v>3550</v>
      </c>
      <c r="B1549" t="s">
        <v>3568</v>
      </c>
      <c r="C1549">
        <v>97.5</v>
      </c>
      <c r="D1549" t="s">
        <v>3253</v>
      </c>
      <c r="E1549" t="s">
        <v>1417</v>
      </c>
      <c r="F1549">
        <v>75</v>
      </c>
      <c r="G1549" t="b">
        <v>0</v>
      </c>
      <c r="H1549">
        <v>1</v>
      </c>
    </row>
    <row r="1550" spans="1:8" x14ac:dyDescent="0.25">
      <c r="A1550" t="s">
        <v>3550</v>
      </c>
      <c r="B1550" t="s">
        <v>3569</v>
      </c>
      <c r="C1550">
        <v>97.5</v>
      </c>
      <c r="D1550" t="s">
        <v>3253</v>
      </c>
      <c r="E1550" t="s">
        <v>1417</v>
      </c>
      <c r="F1550">
        <v>75</v>
      </c>
      <c r="G1550" t="b">
        <v>0</v>
      </c>
      <c r="H1550">
        <v>1</v>
      </c>
    </row>
    <row r="1551" spans="1:8" x14ac:dyDescent="0.25">
      <c r="A1551" t="s">
        <v>3550</v>
      </c>
      <c r="B1551" t="s">
        <v>3570</v>
      </c>
      <c r="C1551">
        <v>97.5</v>
      </c>
      <c r="D1551" t="s">
        <v>3253</v>
      </c>
      <c r="E1551" t="s">
        <v>1417</v>
      </c>
      <c r="F1551">
        <v>75</v>
      </c>
      <c r="G1551" t="b">
        <v>0</v>
      </c>
      <c r="H1551">
        <v>1</v>
      </c>
    </row>
    <row r="1552" spans="1:8" x14ac:dyDescent="0.25">
      <c r="A1552" t="s">
        <v>3550</v>
      </c>
      <c r="B1552" t="s">
        <v>3571</v>
      </c>
      <c r="C1552">
        <v>107.2</v>
      </c>
      <c r="D1552" t="s">
        <v>3253</v>
      </c>
      <c r="E1552" t="s">
        <v>1417</v>
      </c>
      <c r="F1552">
        <v>75</v>
      </c>
      <c r="G1552" t="b">
        <v>0</v>
      </c>
      <c r="H1552">
        <v>1</v>
      </c>
    </row>
    <row r="1553" spans="1:8" x14ac:dyDescent="0.25">
      <c r="A1553" t="s">
        <v>3550</v>
      </c>
      <c r="B1553" t="s">
        <v>3572</v>
      </c>
      <c r="C1553">
        <v>107.2</v>
      </c>
      <c r="D1553" t="s">
        <v>3253</v>
      </c>
      <c r="E1553" t="s">
        <v>1417</v>
      </c>
      <c r="F1553">
        <v>75</v>
      </c>
      <c r="G1553" t="b">
        <v>0</v>
      </c>
      <c r="H1553">
        <v>1</v>
      </c>
    </row>
    <row r="1554" spans="1:8" x14ac:dyDescent="0.25">
      <c r="A1554" t="s">
        <v>3550</v>
      </c>
      <c r="B1554" t="s">
        <v>3573</v>
      </c>
      <c r="C1554">
        <v>107.2</v>
      </c>
      <c r="D1554" t="s">
        <v>3253</v>
      </c>
      <c r="E1554" t="s">
        <v>1417</v>
      </c>
      <c r="F1554">
        <v>75</v>
      </c>
      <c r="G1554" t="b">
        <v>0</v>
      </c>
      <c r="H1554">
        <v>1</v>
      </c>
    </row>
    <row r="1555" spans="1:8" x14ac:dyDescent="0.25">
      <c r="A1555" t="s">
        <v>3550</v>
      </c>
      <c r="B1555" t="s">
        <v>3574</v>
      </c>
      <c r="C1555">
        <v>107.2</v>
      </c>
      <c r="D1555" t="s">
        <v>3253</v>
      </c>
      <c r="E1555" t="s">
        <v>1417</v>
      </c>
      <c r="F1555">
        <v>75</v>
      </c>
      <c r="G1555" t="b">
        <v>0</v>
      </c>
      <c r="H1555">
        <v>1</v>
      </c>
    </row>
    <row r="1556" spans="1:8" x14ac:dyDescent="0.25">
      <c r="A1556" t="s">
        <v>3550</v>
      </c>
      <c r="B1556" t="s">
        <v>3575</v>
      </c>
      <c r="C1556">
        <v>117.3</v>
      </c>
      <c r="D1556" t="s">
        <v>3253</v>
      </c>
      <c r="E1556" t="s">
        <v>1417</v>
      </c>
      <c r="F1556">
        <v>75</v>
      </c>
      <c r="G1556" t="b">
        <v>0</v>
      </c>
      <c r="H1556">
        <v>1</v>
      </c>
    </row>
    <row r="1557" spans="1:8" x14ac:dyDescent="0.25">
      <c r="A1557" t="s">
        <v>3550</v>
      </c>
      <c r="B1557" t="s">
        <v>3576</v>
      </c>
      <c r="C1557">
        <v>117.3</v>
      </c>
      <c r="D1557" t="s">
        <v>3253</v>
      </c>
      <c r="E1557" t="s">
        <v>1417</v>
      </c>
      <c r="F1557">
        <v>75</v>
      </c>
      <c r="G1557" t="b">
        <v>0</v>
      </c>
      <c r="H1557">
        <v>1</v>
      </c>
    </row>
    <row r="1558" spans="1:8" x14ac:dyDescent="0.25">
      <c r="A1558" t="s">
        <v>3550</v>
      </c>
      <c r="B1558" t="s">
        <v>3577</v>
      </c>
      <c r="C1558">
        <v>117.3</v>
      </c>
      <c r="D1558" t="s">
        <v>3253</v>
      </c>
      <c r="E1558" t="s">
        <v>1417</v>
      </c>
      <c r="F1558">
        <v>75</v>
      </c>
      <c r="G1558" t="b">
        <v>0</v>
      </c>
      <c r="H1558">
        <v>1</v>
      </c>
    </row>
    <row r="1559" spans="1:8" x14ac:dyDescent="0.25">
      <c r="A1559" t="s">
        <v>3550</v>
      </c>
      <c r="B1559" t="s">
        <v>3578</v>
      </c>
      <c r="C1559">
        <v>117.3</v>
      </c>
      <c r="D1559" t="s">
        <v>3253</v>
      </c>
      <c r="E1559" t="s">
        <v>1417</v>
      </c>
      <c r="F1559">
        <v>75</v>
      </c>
      <c r="G1559" t="b">
        <v>0</v>
      </c>
      <c r="H1559">
        <v>1</v>
      </c>
    </row>
    <row r="1560" spans="1:8" x14ac:dyDescent="0.25">
      <c r="A1560" t="s">
        <v>3550</v>
      </c>
      <c r="B1560" t="s">
        <v>3579</v>
      </c>
      <c r="C1560">
        <v>127.2</v>
      </c>
      <c r="D1560" t="s">
        <v>3253</v>
      </c>
      <c r="E1560" t="s">
        <v>1417</v>
      </c>
      <c r="F1560">
        <v>75</v>
      </c>
      <c r="G1560" t="b">
        <v>0</v>
      </c>
      <c r="H1560">
        <v>1</v>
      </c>
    </row>
    <row r="1561" spans="1:8" x14ac:dyDescent="0.25">
      <c r="A1561" t="s">
        <v>3550</v>
      </c>
      <c r="B1561" t="s">
        <v>3580</v>
      </c>
      <c r="C1561">
        <v>127.2</v>
      </c>
      <c r="D1561" t="s">
        <v>3253</v>
      </c>
      <c r="E1561" t="s">
        <v>1417</v>
      </c>
      <c r="F1561">
        <v>75</v>
      </c>
      <c r="G1561" t="b">
        <v>0</v>
      </c>
      <c r="H1561">
        <v>1</v>
      </c>
    </row>
    <row r="1562" spans="1:8" x14ac:dyDescent="0.25">
      <c r="A1562" t="s">
        <v>3550</v>
      </c>
      <c r="B1562" t="s">
        <v>3581</v>
      </c>
      <c r="C1562">
        <v>127.2</v>
      </c>
      <c r="D1562" t="s">
        <v>3253</v>
      </c>
      <c r="E1562" t="s">
        <v>1417</v>
      </c>
      <c r="F1562">
        <v>75</v>
      </c>
      <c r="G1562" t="b">
        <v>0</v>
      </c>
      <c r="H1562">
        <v>1</v>
      </c>
    </row>
    <row r="1563" spans="1:8" x14ac:dyDescent="0.25">
      <c r="A1563" t="s">
        <v>3550</v>
      </c>
      <c r="B1563" t="s">
        <v>3582</v>
      </c>
      <c r="C1563">
        <v>127.2</v>
      </c>
      <c r="D1563" t="s">
        <v>3253</v>
      </c>
      <c r="E1563" t="s">
        <v>1417</v>
      </c>
      <c r="F1563">
        <v>75</v>
      </c>
      <c r="G1563" t="b">
        <v>0</v>
      </c>
      <c r="H1563">
        <v>1</v>
      </c>
    </row>
    <row r="1564" spans="1:8" x14ac:dyDescent="0.25">
      <c r="A1564" t="s">
        <v>3550</v>
      </c>
      <c r="B1564" t="s">
        <v>3583</v>
      </c>
      <c r="C1564">
        <v>137.35</v>
      </c>
      <c r="D1564" t="s">
        <v>3253</v>
      </c>
      <c r="E1564" t="s">
        <v>1417</v>
      </c>
      <c r="F1564">
        <v>75</v>
      </c>
      <c r="G1564" t="b">
        <v>0</v>
      </c>
      <c r="H1564">
        <v>1</v>
      </c>
    </row>
    <row r="1565" spans="1:8" x14ac:dyDescent="0.25">
      <c r="A1565" t="s">
        <v>3550</v>
      </c>
      <c r="B1565" t="s">
        <v>3584</v>
      </c>
      <c r="C1565">
        <v>137.35</v>
      </c>
      <c r="D1565" t="s">
        <v>3253</v>
      </c>
      <c r="E1565" t="s">
        <v>1417</v>
      </c>
      <c r="F1565">
        <v>75</v>
      </c>
      <c r="G1565" t="b">
        <v>0</v>
      </c>
      <c r="H1565">
        <v>1</v>
      </c>
    </row>
    <row r="1566" spans="1:8" x14ac:dyDescent="0.25">
      <c r="A1566" t="s">
        <v>3550</v>
      </c>
      <c r="B1566" t="s">
        <v>3585</v>
      </c>
      <c r="C1566">
        <v>137.35</v>
      </c>
      <c r="D1566" t="s">
        <v>3253</v>
      </c>
      <c r="E1566" t="s">
        <v>1417</v>
      </c>
      <c r="F1566">
        <v>75</v>
      </c>
      <c r="G1566" t="b">
        <v>0</v>
      </c>
      <c r="H1566">
        <v>1</v>
      </c>
    </row>
    <row r="1567" spans="1:8" x14ac:dyDescent="0.25">
      <c r="A1567" t="s">
        <v>3550</v>
      </c>
      <c r="B1567" t="s">
        <v>3586</v>
      </c>
      <c r="C1567">
        <v>137.35</v>
      </c>
      <c r="D1567" t="s">
        <v>3253</v>
      </c>
      <c r="E1567" t="s">
        <v>1417</v>
      </c>
      <c r="F1567">
        <v>75</v>
      </c>
      <c r="G1567" t="b">
        <v>0</v>
      </c>
      <c r="H1567">
        <v>1</v>
      </c>
    </row>
    <row r="1568" spans="1:8" x14ac:dyDescent="0.25">
      <c r="A1568" t="s">
        <v>3550</v>
      </c>
      <c r="B1568" t="s">
        <v>3587</v>
      </c>
      <c r="C1568">
        <v>147.25</v>
      </c>
      <c r="D1568" t="s">
        <v>3253</v>
      </c>
      <c r="E1568" t="s">
        <v>1417</v>
      </c>
      <c r="F1568">
        <v>75</v>
      </c>
      <c r="G1568" t="b">
        <v>0</v>
      </c>
      <c r="H1568">
        <v>1</v>
      </c>
    </row>
    <row r="1569" spans="1:8" x14ac:dyDescent="0.25">
      <c r="A1569" t="s">
        <v>3550</v>
      </c>
      <c r="B1569" t="s">
        <v>3588</v>
      </c>
      <c r="C1569">
        <v>147.25</v>
      </c>
      <c r="D1569" t="s">
        <v>3253</v>
      </c>
      <c r="E1569" t="s">
        <v>1417</v>
      </c>
      <c r="F1569">
        <v>75</v>
      </c>
      <c r="G1569" t="b">
        <v>0</v>
      </c>
      <c r="H1569">
        <v>1</v>
      </c>
    </row>
    <row r="1570" spans="1:8" x14ac:dyDescent="0.25">
      <c r="A1570" t="s">
        <v>3550</v>
      </c>
      <c r="B1570" t="s">
        <v>3589</v>
      </c>
      <c r="C1570">
        <v>147.25</v>
      </c>
      <c r="D1570" t="s">
        <v>3253</v>
      </c>
      <c r="E1570" t="s">
        <v>1417</v>
      </c>
      <c r="F1570">
        <v>75</v>
      </c>
      <c r="G1570" t="b">
        <v>0</v>
      </c>
      <c r="H1570">
        <v>1</v>
      </c>
    </row>
    <row r="1571" spans="1:8" x14ac:dyDescent="0.25">
      <c r="A1571" t="s">
        <v>3550</v>
      </c>
      <c r="B1571" t="s">
        <v>3590</v>
      </c>
      <c r="C1571">
        <v>147.25</v>
      </c>
      <c r="D1571" t="s">
        <v>3253</v>
      </c>
      <c r="E1571" t="s">
        <v>1417</v>
      </c>
      <c r="F1571">
        <v>75</v>
      </c>
      <c r="G1571" t="b">
        <v>0</v>
      </c>
      <c r="H1571">
        <v>1</v>
      </c>
    </row>
    <row r="1572" spans="1:8" x14ac:dyDescent="0.25">
      <c r="A1572" t="s">
        <v>3550</v>
      </c>
      <c r="B1572" t="s">
        <v>3591</v>
      </c>
      <c r="C1572">
        <v>157.15</v>
      </c>
      <c r="D1572" t="s">
        <v>3253</v>
      </c>
      <c r="E1572" t="s">
        <v>1417</v>
      </c>
      <c r="F1572">
        <v>75</v>
      </c>
      <c r="G1572" t="b">
        <v>0</v>
      </c>
      <c r="H1572">
        <v>1</v>
      </c>
    </row>
    <row r="1573" spans="1:8" x14ac:dyDescent="0.25">
      <c r="A1573" t="s">
        <v>3550</v>
      </c>
      <c r="B1573" t="s">
        <v>3592</v>
      </c>
      <c r="C1573">
        <v>157.15</v>
      </c>
      <c r="D1573" t="s">
        <v>3253</v>
      </c>
      <c r="E1573" t="s">
        <v>1417</v>
      </c>
      <c r="F1573">
        <v>75</v>
      </c>
      <c r="G1573" t="b">
        <v>0</v>
      </c>
      <c r="H1573">
        <v>1</v>
      </c>
    </row>
    <row r="1574" spans="1:8" x14ac:dyDescent="0.25">
      <c r="A1574" t="s">
        <v>3550</v>
      </c>
      <c r="B1574" t="s">
        <v>3593</v>
      </c>
      <c r="C1574">
        <v>157.15</v>
      </c>
      <c r="D1574" t="s">
        <v>3253</v>
      </c>
      <c r="E1574" t="s">
        <v>1417</v>
      </c>
      <c r="F1574">
        <v>75</v>
      </c>
      <c r="G1574" t="b">
        <v>0</v>
      </c>
      <c r="H1574">
        <v>1</v>
      </c>
    </row>
    <row r="1575" spans="1:8" x14ac:dyDescent="0.25">
      <c r="A1575" t="s">
        <v>3550</v>
      </c>
      <c r="B1575" t="s">
        <v>3594</v>
      </c>
      <c r="C1575">
        <v>157.15</v>
      </c>
      <c r="D1575" t="s">
        <v>3253</v>
      </c>
      <c r="E1575" t="s">
        <v>1417</v>
      </c>
      <c r="F1575">
        <v>75</v>
      </c>
      <c r="G1575" t="b">
        <v>0</v>
      </c>
      <c r="H1575">
        <v>1</v>
      </c>
    </row>
    <row r="1576" spans="1:8" x14ac:dyDescent="0.25">
      <c r="A1576" t="s">
        <v>3550</v>
      </c>
      <c r="B1576" t="s">
        <v>3595</v>
      </c>
      <c r="C1576">
        <v>167.25</v>
      </c>
      <c r="D1576" t="s">
        <v>3253</v>
      </c>
      <c r="E1576" t="s">
        <v>1417</v>
      </c>
      <c r="F1576">
        <v>75</v>
      </c>
      <c r="G1576" t="b">
        <v>0</v>
      </c>
      <c r="H1576">
        <v>1</v>
      </c>
    </row>
    <row r="1577" spans="1:8" x14ac:dyDescent="0.25">
      <c r="A1577" t="s">
        <v>3550</v>
      </c>
      <c r="B1577" t="s">
        <v>3596</v>
      </c>
      <c r="C1577">
        <v>167.25</v>
      </c>
      <c r="D1577" t="s">
        <v>3253</v>
      </c>
      <c r="E1577" t="s">
        <v>1417</v>
      </c>
      <c r="F1577">
        <v>75</v>
      </c>
      <c r="G1577" t="b">
        <v>0</v>
      </c>
      <c r="H1577">
        <v>1</v>
      </c>
    </row>
    <row r="1578" spans="1:8" x14ac:dyDescent="0.25">
      <c r="A1578" t="s">
        <v>3550</v>
      </c>
      <c r="B1578" t="s">
        <v>3597</v>
      </c>
      <c r="C1578">
        <v>167.25</v>
      </c>
      <c r="D1578" t="s">
        <v>3253</v>
      </c>
      <c r="E1578" t="s">
        <v>1417</v>
      </c>
      <c r="F1578">
        <v>75</v>
      </c>
      <c r="G1578" t="b">
        <v>0</v>
      </c>
      <c r="H1578">
        <v>1</v>
      </c>
    </row>
    <row r="1579" spans="1:8" x14ac:dyDescent="0.25">
      <c r="A1579" t="s">
        <v>3550</v>
      </c>
      <c r="B1579" t="s">
        <v>3598</v>
      </c>
      <c r="C1579">
        <v>167.25</v>
      </c>
      <c r="D1579" t="s">
        <v>3253</v>
      </c>
      <c r="E1579" t="s">
        <v>1417</v>
      </c>
      <c r="F1579">
        <v>75</v>
      </c>
      <c r="G1579" t="b">
        <v>0</v>
      </c>
      <c r="H1579">
        <v>1</v>
      </c>
    </row>
    <row r="1580" spans="1:8" x14ac:dyDescent="0.25">
      <c r="A1580" t="s">
        <v>3550</v>
      </c>
      <c r="B1580" t="s">
        <v>3599</v>
      </c>
      <c r="C1580">
        <v>177.15</v>
      </c>
      <c r="D1580" t="s">
        <v>3253</v>
      </c>
      <c r="E1580" t="s">
        <v>1417</v>
      </c>
      <c r="F1580">
        <v>75</v>
      </c>
      <c r="G1580" t="b">
        <v>0</v>
      </c>
      <c r="H1580">
        <v>1</v>
      </c>
    </row>
    <row r="1581" spans="1:8" x14ac:dyDescent="0.25">
      <c r="A1581" t="s">
        <v>3550</v>
      </c>
      <c r="B1581" t="s">
        <v>3600</v>
      </c>
      <c r="C1581">
        <v>177.15</v>
      </c>
      <c r="D1581" t="s">
        <v>3253</v>
      </c>
      <c r="E1581" t="s">
        <v>1417</v>
      </c>
      <c r="F1581">
        <v>75</v>
      </c>
      <c r="G1581" t="b">
        <v>0</v>
      </c>
      <c r="H1581">
        <v>1</v>
      </c>
    </row>
    <row r="1582" spans="1:8" x14ac:dyDescent="0.25">
      <c r="A1582" t="s">
        <v>3550</v>
      </c>
      <c r="B1582" t="s">
        <v>3601</v>
      </c>
      <c r="C1582">
        <v>177.15</v>
      </c>
      <c r="D1582" t="s">
        <v>3253</v>
      </c>
      <c r="E1582" t="s">
        <v>1417</v>
      </c>
      <c r="F1582">
        <v>75</v>
      </c>
      <c r="G1582" t="b">
        <v>0</v>
      </c>
      <c r="H1582">
        <v>1</v>
      </c>
    </row>
    <row r="1583" spans="1:8" x14ac:dyDescent="0.25">
      <c r="A1583" t="s">
        <v>3550</v>
      </c>
      <c r="B1583" t="s">
        <v>3602</v>
      </c>
      <c r="C1583">
        <v>177.15</v>
      </c>
      <c r="D1583" t="s">
        <v>3253</v>
      </c>
      <c r="E1583" t="s">
        <v>1417</v>
      </c>
      <c r="F1583">
        <v>75</v>
      </c>
      <c r="G1583" t="b">
        <v>0</v>
      </c>
      <c r="H1583">
        <v>1</v>
      </c>
    </row>
    <row r="1584" spans="1:8" x14ac:dyDescent="0.25">
      <c r="A1584" t="s">
        <v>3550</v>
      </c>
      <c r="B1584" t="s">
        <v>3603</v>
      </c>
      <c r="C1584">
        <v>187.25</v>
      </c>
      <c r="D1584" t="s">
        <v>3253</v>
      </c>
      <c r="E1584" t="s">
        <v>1417</v>
      </c>
      <c r="F1584">
        <v>75</v>
      </c>
      <c r="G1584" t="b">
        <v>0</v>
      </c>
      <c r="H1584">
        <v>1</v>
      </c>
    </row>
    <row r="1585" spans="1:8" x14ac:dyDescent="0.25">
      <c r="A1585" t="s">
        <v>3550</v>
      </c>
      <c r="B1585" t="s">
        <v>3604</v>
      </c>
      <c r="C1585">
        <v>187.25</v>
      </c>
      <c r="D1585" t="s">
        <v>3253</v>
      </c>
      <c r="E1585" t="s">
        <v>1417</v>
      </c>
      <c r="F1585">
        <v>75</v>
      </c>
      <c r="G1585" t="b">
        <v>0</v>
      </c>
      <c r="H1585">
        <v>1</v>
      </c>
    </row>
    <row r="1586" spans="1:8" x14ac:dyDescent="0.25">
      <c r="A1586" t="s">
        <v>3550</v>
      </c>
      <c r="B1586" t="s">
        <v>3605</v>
      </c>
      <c r="C1586">
        <v>187.25</v>
      </c>
      <c r="D1586" t="s">
        <v>3253</v>
      </c>
      <c r="E1586" t="s">
        <v>1417</v>
      </c>
      <c r="F1586">
        <v>75</v>
      </c>
      <c r="G1586" t="b">
        <v>0</v>
      </c>
      <c r="H1586">
        <v>1</v>
      </c>
    </row>
    <row r="1587" spans="1:8" x14ac:dyDescent="0.25">
      <c r="A1587" t="s">
        <v>3550</v>
      </c>
      <c r="B1587" t="s">
        <v>3606</v>
      </c>
      <c r="C1587">
        <v>187.25</v>
      </c>
      <c r="D1587" t="s">
        <v>3253</v>
      </c>
      <c r="E1587" t="s">
        <v>1417</v>
      </c>
      <c r="F1587">
        <v>75</v>
      </c>
      <c r="G1587" t="b">
        <v>0</v>
      </c>
      <c r="H1587">
        <v>1</v>
      </c>
    </row>
    <row r="1588" spans="1:8" x14ac:dyDescent="0.25">
      <c r="A1588" t="s">
        <v>3550</v>
      </c>
      <c r="B1588" t="s">
        <v>3607</v>
      </c>
      <c r="C1588">
        <v>197.15</v>
      </c>
      <c r="D1588" t="s">
        <v>3253</v>
      </c>
      <c r="E1588" t="s">
        <v>1417</v>
      </c>
      <c r="F1588">
        <v>75</v>
      </c>
      <c r="G1588" t="b">
        <v>0</v>
      </c>
      <c r="H1588">
        <v>1</v>
      </c>
    </row>
    <row r="1589" spans="1:8" x14ac:dyDescent="0.25">
      <c r="A1589" t="s">
        <v>3550</v>
      </c>
      <c r="B1589" t="s">
        <v>3608</v>
      </c>
      <c r="C1589">
        <v>197.15</v>
      </c>
      <c r="D1589" t="s">
        <v>3253</v>
      </c>
      <c r="E1589" t="s">
        <v>1417</v>
      </c>
      <c r="F1589">
        <v>75</v>
      </c>
      <c r="G1589" t="b">
        <v>0</v>
      </c>
      <c r="H1589">
        <v>1</v>
      </c>
    </row>
    <row r="1590" spans="1:8" x14ac:dyDescent="0.25">
      <c r="A1590" t="s">
        <v>3550</v>
      </c>
      <c r="B1590" t="s">
        <v>3609</v>
      </c>
      <c r="C1590">
        <v>197.15</v>
      </c>
      <c r="D1590" t="s">
        <v>3253</v>
      </c>
      <c r="E1590" t="s">
        <v>1417</v>
      </c>
      <c r="F1590">
        <v>75</v>
      </c>
      <c r="G1590" t="b">
        <v>0</v>
      </c>
      <c r="H1590">
        <v>1</v>
      </c>
    </row>
    <row r="1591" spans="1:8" x14ac:dyDescent="0.25">
      <c r="A1591" t="s">
        <v>3550</v>
      </c>
      <c r="B1591" t="s">
        <v>3610</v>
      </c>
      <c r="C1591">
        <v>197.15</v>
      </c>
      <c r="D1591" t="s">
        <v>3253</v>
      </c>
      <c r="E1591" t="s">
        <v>1417</v>
      </c>
      <c r="F1591">
        <v>75</v>
      </c>
      <c r="G1591" t="b">
        <v>0</v>
      </c>
      <c r="H1591">
        <v>1</v>
      </c>
    </row>
    <row r="1592" spans="1:8" x14ac:dyDescent="0.25">
      <c r="A1592" t="s">
        <v>3611</v>
      </c>
      <c r="B1592" t="s">
        <v>166</v>
      </c>
      <c r="C1592">
        <v>75.349999999999994</v>
      </c>
      <c r="D1592" t="s">
        <v>3253</v>
      </c>
      <c r="E1592" t="s">
        <v>1417</v>
      </c>
      <c r="F1592">
        <v>75</v>
      </c>
      <c r="G1592" t="b">
        <v>0</v>
      </c>
      <c r="H1592">
        <v>1</v>
      </c>
    </row>
    <row r="1593" spans="1:8" x14ac:dyDescent="0.25">
      <c r="A1593" t="s">
        <v>3611</v>
      </c>
      <c r="B1593" t="s">
        <v>168</v>
      </c>
      <c r="C1593">
        <v>115.15</v>
      </c>
      <c r="D1593" t="s">
        <v>3253</v>
      </c>
      <c r="E1593" t="s">
        <v>1417</v>
      </c>
      <c r="F1593">
        <v>75</v>
      </c>
      <c r="G1593" t="b">
        <v>0</v>
      </c>
      <c r="H1593">
        <v>1</v>
      </c>
    </row>
    <row r="1594" spans="1:8" x14ac:dyDescent="0.25">
      <c r="A1594" t="s">
        <v>3611</v>
      </c>
      <c r="B1594" t="s">
        <v>170</v>
      </c>
      <c r="C1594">
        <v>155.19999999999999</v>
      </c>
      <c r="D1594" t="s">
        <v>3253</v>
      </c>
      <c r="E1594" t="s">
        <v>1417</v>
      </c>
      <c r="F1594">
        <v>75</v>
      </c>
      <c r="G1594" t="b">
        <v>0</v>
      </c>
      <c r="H1594">
        <v>1</v>
      </c>
    </row>
    <row r="1595" spans="1:8" x14ac:dyDescent="0.25">
      <c r="A1595" t="s">
        <v>3611</v>
      </c>
      <c r="B1595" t="s">
        <v>172</v>
      </c>
      <c r="C1595">
        <v>195</v>
      </c>
      <c r="D1595" t="s">
        <v>3253</v>
      </c>
      <c r="E1595" t="s">
        <v>1417</v>
      </c>
      <c r="F1595">
        <v>75</v>
      </c>
      <c r="G1595" t="b">
        <v>0</v>
      </c>
      <c r="H1595">
        <v>1</v>
      </c>
    </row>
    <row r="1596" spans="1:8" x14ac:dyDescent="0.25">
      <c r="A1596" t="s">
        <v>3611</v>
      </c>
      <c r="B1596" t="s">
        <v>174</v>
      </c>
      <c r="C1596">
        <v>235</v>
      </c>
      <c r="D1596" t="s">
        <v>3253</v>
      </c>
      <c r="E1596" t="s">
        <v>1417</v>
      </c>
      <c r="F1596">
        <v>75</v>
      </c>
      <c r="G1596" t="b">
        <v>0</v>
      </c>
      <c r="H1596">
        <v>1</v>
      </c>
    </row>
    <row r="1597" spans="1:8" x14ac:dyDescent="0.25">
      <c r="A1597" t="s">
        <v>3612</v>
      </c>
      <c r="B1597" t="s">
        <v>3613</v>
      </c>
      <c r="C1597">
        <v>94.35</v>
      </c>
      <c r="D1597" t="s">
        <v>3253</v>
      </c>
      <c r="E1597" t="s">
        <v>1417</v>
      </c>
      <c r="F1597">
        <v>75</v>
      </c>
      <c r="G1597" t="b">
        <v>0</v>
      </c>
      <c r="H1597">
        <v>1</v>
      </c>
    </row>
    <row r="1598" spans="1:8" x14ac:dyDescent="0.25">
      <c r="A1598" t="s">
        <v>3612</v>
      </c>
      <c r="B1598" t="s">
        <v>3614</v>
      </c>
      <c r="C1598">
        <v>35.1</v>
      </c>
      <c r="D1598" t="s">
        <v>3253</v>
      </c>
      <c r="E1598" t="s">
        <v>1417</v>
      </c>
      <c r="F1598">
        <v>75</v>
      </c>
      <c r="G1598" t="b">
        <v>0</v>
      </c>
      <c r="H1598">
        <v>1</v>
      </c>
    </row>
    <row r="1599" spans="1:8" x14ac:dyDescent="0.25">
      <c r="A1599" t="s">
        <v>1168</v>
      </c>
      <c r="B1599" t="s">
        <v>1169</v>
      </c>
      <c r="C1599">
        <v>63.7</v>
      </c>
      <c r="D1599" t="s">
        <v>3151</v>
      </c>
      <c r="E1599" t="s">
        <v>1417</v>
      </c>
      <c r="F1599">
        <v>75</v>
      </c>
      <c r="G1599" t="b">
        <v>1</v>
      </c>
      <c r="H1599">
        <v>1</v>
      </c>
    </row>
    <row r="1600" spans="1:8" x14ac:dyDescent="0.25">
      <c r="A1600" t="s">
        <v>1176</v>
      </c>
      <c r="B1600" t="s">
        <v>1177</v>
      </c>
      <c r="C1600">
        <v>50.45</v>
      </c>
      <c r="D1600" t="s">
        <v>3151</v>
      </c>
      <c r="E1600" t="s">
        <v>1417</v>
      </c>
      <c r="F1600">
        <v>75</v>
      </c>
      <c r="G1600" t="b">
        <v>1</v>
      </c>
      <c r="H1600">
        <v>1</v>
      </c>
    </row>
    <row r="1601" spans="1:8" x14ac:dyDescent="0.25">
      <c r="A1601" t="s">
        <v>2430</v>
      </c>
      <c r="B1601" t="s">
        <v>2431</v>
      </c>
      <c r="C1601">
        <v>41</v>
      </c>
      <c r="D1601" t="s">
        <v>3151</v>
      </c>
      <c r="E1601" t="s">
        <v>1417</v>
      </c>
      <c r="F1601">
        <v>75</v>
      </c>
      <c r="G1601" t="b">
        <v>1</v>
      </c>
      <c r="H1601">
        <v>1</v>
      </c>
    </row>
    <row r="1602" spans="1:8" x14ac:dyDescent="0.25">
      <c r="A1602" t="s">
        <v>1111</v>
      </c>
      <c r="B1602" t="s">
        <v>1112</v>
      </c>
      <c r="C1602">
        <v>36</v>
      </c>
      <c r="D1602" t="s">
        <v>3151</v>
      </c>
      <c r="E1602" t="s">
        <v>1417</v>
      </c>
      <c r="F1602">
        <v>75</v>
      </c>
      <c r="G1602" t="b">
        <v>1</v>
      </c>
      <c r="H1602">
        <v>1</v>
      </c>
    </row>
    <row r="1603" spans="1:8" x14ac:dyDescent="0.25">
      <c r="A1603" t="s">
        <v>1114</v>
      </c>
      <c r="B1603" t="s">
        <v>1115</v>
      </c>
      <c r="C1603">
        <v>27.75</v>
      </c>
      <c r="D1603" t="s">
        <v>3151</v>
      </c>
      <c r="E1603" t="s">
        <v>1417</v>
      </c>
      <c r="F1603">
        <v>75</v>
      </c>
      <c r="G1603" t="b">
        <v>1</v>
      </c>
      <c r="H1603">
        <v>1</v>
      </c>
    </row>
    <row r="1604" spans="1:8" x14ac:dyDescent="0.25">
      <c r="A1604" t="s">
        <v>953</v>
      </c>
      <c r="B1604" t="s">
        <v>954</v>
      </c>
      <c r="C1604">
        <v>41</v>
      </c>
      <c r="D1604" t="s">
        <v>3151</v>
      </c>
      <c r="E1604" t="s">
        <v>1417</v>
      </c>
      <c r="F1604">
        <v>75</v>
      </c>
      <c r="G1604" t="b">
        <v>1</v>
      </c>
      <c r="H1604">
        <v>1</v>
      </c>
    </row>
    <row r="1605" spans="1:8" x14ac:dyDescent="0.25">
      <c r="A1605" t="s">
        <v>1117</v>
      </c>
      <c r="B1605" t="s">
        <v>1118</v>
      </c>
      <c r="C1605">
        <v>31.25</v>
      </c>
      <c r="D1605" t="s">
        <v>3151</v>
      </c>
      <c r="E1605" t="s">
        <v>1417</v>
      </c>
      <c r="F1605">
        <v>75</v>
      </c>
      <c r="G1605" t="b">
        <v>1</v>
      </c>
      <c r="H1605">
        <v>1</v>
      </c>
    </row>
    <row r="1606" spans="1:8" x14ac:dyDescent="0.25">
      <c r="A1606" t="s">
        <v>1120</v>
      </c>
      <c r="B1606" t="s">
        <v>1121</v>
      </c>
      <c r="C1606">
        <v>31.25</v>
      </c>
      <c r="D1606" t="s">
        <v>3151</v>
      </c>
      <c r="E1606" t="s">
        <v>1417</v>
      </c>
      <c r="F1606">
        <v>75</v>
      </c>
      <c r="G1606" t="b">
        <v>1</v>
      </c>
      <c r="H1606">
        <v>1</v>
      </c>
    </row>
    <row r="1607" spans="1:8" x14ac:dyDescent="0.25">
      <c r="A1607" t="s">
        <v>1093</v>
      </c>
      <c r="B1607" t="s">
        <v>1094</v>
      </c>
      <c r="C1607">
        <v>84.9</v>
      </c>
      <c r="D1607" t="s">
        <v>3151</v>
      </c>
      <c r="E1607" t="s">
        <v>1417</v>
      </c>
      <c r="F1607">
        <v>75</v>
      </c>
      <c r="G1607" t="b">
        <v>1</v>
      </c>
      <c r="H1607">
        <v>1</v>
      </c>
    </row>
    <row r="1608" spans="1:8" x14ac:dyDescent="0.25">
      <c r="A1608" t="s">
        <v>956</v>
      </c>
      <c r="B1608" t="s">
        <v>957</v>
      </c>
      <c r="C1608">
        <v>43.3</v>
      </c>
      <c r="D1608" t="s">
        <v>3151</v>
      </c>
      <c r="E1608" t="s">
        <v>1417</v>
      </c>
      <c r="F1608">
        <v>75</v>
      </c>
      <c r="G1608" t="b">
        <v>1</v>
      </c>
      <c r="H1608">
        <v>1</v>
      </c>
    </row>
    <row r="1609" spans="1:8" x14ac:dyDescent="0.25">
      <c r="A1609" t="s">
        <v>1123</v>
      </c>
      <c r="B1609" t="s">
        <v>1124</v>
      </c>
      <c r="C1609">
        <v>43.3</v>
      </c>
      <c r="D1609" t="s">
        <v>3151</v>
      </c>
      <c r="E1609" t="s">
        <v>1417</v>
      </c>
      <c r="F1609">
        <v>75</v>
      </c>
      <c r="G1609" t="b">
        <v>1</v>
      </c>
      <c r="H1609">
        <v>1</v>
      </c>
    </row>
    <row r="1610" spans="1:8" x14ac:dyDescent="0.25">
      <c r="A1610" t="s">
        <v>958</v>
      </c>
      <c r="B1610" t="s">
        <v>959</v>
      </c>
      <c r="C1610">
        <v>38.65</v>
      </c>
      <c r="D1610" t="s">
        <v>3151</v>
      </c>
      <c r="E1610" t="s">
        <v>1417</v>
      </c>
      <c r="F1610">
        <v>75</v>
      </c>
      <c r="G1610" t="b">
        <v>1</v>
      </c>
      <c r="H1610">
        <v>1</v>
      </c>
    </row>
    <row r="1611" spans="1:8" x14ac:dyDescent="0.25">
      <c r="A1611" t="s">
        <v>1097</v>
      </c>
      <c r="B1611" t="s">
        <v>1098</v>
      </c>
      <c r="C1611">
        <v>91.35</v>
      </c>
      <c r="D1611" t="s">
        <v>3151</v>
      </c>
      <c r="E1611" t="s">
        <v>1417</v>
      </c>
      <c r="F1611">
        <v>75</v>
      </c>
      <c r="G1611" t="b">
        <v>1</v>
      </c>
      <c r="H1611">
        <v>1</v>
      </c>
    </row>
    <row r="1612" spans="1:8" x14ac:dyDescent="0.25">
      <c r="A1612" t="s">
        <v>1102</v>
      </c>
      <c r="B1612" t="s">
        <v>1103</v>
      </c>
      <c r="C1612">
        <v>84.9</v>
      </c>
      <c r="D1612" t="s">
        <v>3151</v>
      </c>
      <c r="E1612" t="s">
        <v>1417</v>
      </c>
      <c r="F1612">
        <v>75</v>
      </c>
      <c r="G1612" t="b">
        <v>1</v>
      </c>
      <c r="H1612">
        <v>1</v>
      </c>
    </row>
    <row r="1613" spans="1:8" x14ac:dyDescent="0.25">
      <c r="A1613" t="s">
        <v>1100</v>
      </c>
      <c r="B1613" t="s">
        <v>1101</v>
      </c>
      <c r="C1613">
        <v>84.9</v>
      </c>
      <c r="D1613" t="s">
        <v>3151</v>
      </c>
      <c r="E1613" t="s">
        <v>1417</v>
      </c>
      <c r="F1613">
        <v>75</v>
      </c>
      <c r="G1613" t="b">
        <v>1</v>
      </c>
      <c r="H1613">
        <v>1</v>
      </c>
    </row>
    <row r="1614" spans="1:8" x14ac:dyDescent="0.25">
      <c r="A1614" t="s">
        <v>964</v>
      </c>
      <c r="B1614" t="s">
        <v>965</v>
      </c>
      <c r="C1614">
        <v>93.45</v>
      </c>
      <c r="D1614" t="s">
        <v>3151</v>
      </c>
      <c r="E1614" t="s">
        <v>1417</v>
      </c>
      <c r="F1614">
        <v>75</v>
      </c>
      <c r="G1614" t="b">
        <v>1</v>
      </c>
      <c r="H1614">
        <v>1</v>
      </c>
    </row>
    <row r="1615" spans="1:8" x14ac:dyDescent="0.25">
      <c r="A1615" t="s">
        <v>2428</v>
      </c>
      <c r="B1615" t="s">
        <v>2429</v>
      </c>
      <c r="C1615">
        <v>34.549999999999997</v>
      </c>
      <c r="D1615" t="s">
        <v>3151</v>
      </c>
      <c r="E1615" t="s">
        <v>1417</v>
      </c>
      <c r="F1615">
        <v>75</v>
      </c>
      <c r="G1615" t="b">
        <v>1</v>
      </c>
      <c r="H1615">
        <v>1</v>
      </c>
    </row>
    <row r="1616" spans="1:8" x14ac:dyDescent="0.25">
      <c r="A1616" t="s">
        <v>1165</v>
      </c>
      <c r="B1616" t="s">
        <v>1166</v>
      </c>
      <c r="C1616">
        <v>63.7</v>
      </c>
      <c r="D1616" t="s">
        <v>3151</v>
      </c>
      <c r="E1616" t="s">
        <v>1417</v>
      </c>
      <c r="F1616">
        <v>75</v>
      </c>
      <c r="G1616" t="b">
        <v>1</v>
      </c>
      <c r="H1616">
        <v>1</v>
      </c>
    </row>
    <row r="1617" spans="1:8" x14ac:dyDescent="0.25">
      <c r="A1617" t="s">
        <v>2436</v>
      </c>
      <c r="B1617" t="s">
        <v>2437</v>
      </c>
      <c r="C1617">
        <v>57.2</v>
      </c>
      <c r="D1617" t="s">
        <v>3151</v>
      </c>
      <c r="E1617" t="s">
        <v>1417</v>
      </c>
      <c r="F1617">
        <v>75</v>
      </c>
      <c r="G1617" t="b">
        <v>1</v>
      </c>
      <c r="H1617">
        <v>1</v>
      </c>
    </row>
    <row r="1618" spans="1:8" x14ac:dyDescent="0.25">
      <c r="A1618" t="s">
        <v>2433</v>
      </c>
      <c r="B1618" t="s">
        <v>2434</v>
      </c>
      <c r="C1618">
        <v>91.35</v>
      </c>
      <c r="D1618" t="s">
        <v>3151</v>
      </c>
      <c r="E1618" t="s">
        <v>1417</v>
      </c>
      <c r="F1618">
        <v>75</v>
      </c>
      <c r="G1618" t="b">
        <v>1</v>
      </c>
      <c r="H1618">
        <v>1</v>
      </c>
    </row>
    <row r="1619" spans="1:8" x14ac:dyDescent="0.25">
      <c r="A1619" t="s">
        <v>1143</v>
      </c>
      <c r="B1619" t="s">
        <v>1144</v>
      </c>
      <c r="C1619">
        <v>23.35</v>
      </c>
      <c r="D1619" t="s">
        <v>3151</v>
      </c>
      <c r="E1619" t="s">
        <v>1417</v>
      </c>
      <c r="F1619">
        <v>75</v>
      </c>
      <c r="G1619" t="b">
        <v>1</v>
      </c>
      <c r="H1619">
        <v>1</v>
      </c>
    </row>
    <row r="1620" spans="1:8" x14ac:dyDescent="0.25">
      <c r="A1620" t="s">
        <v>1174</v>
      </c>
      <c r="B1620" t="s">
        <v>1175</v>
      </c>
      <c r="C1620">
        <v>38.700000000000003</v>
      </c>
      <c r="D1620" t="s">
        <v>3151</v>
      </c>
      <c r="E1620" t="s">
        <v>1417</v>
      </c>
      <c r="F1620">
        <v>75</v>
      </c>
      <c r="G1620" t="b">
        <v>1</v>
      </c>
      <c r="H1620">
        <v>1</v>
      </c>
    </row>
    <row r="1621" spans="1:8" x14ac:dyDescent="0.25">
      <c r="A1621" t="s">
        <v>2422</v>
      </c>
      <c r="B1621" t="s">
        <v>2423</v>
      </c>
      <c r="C1621">
        <v>28.95</v>
      </c>
      <c r="D1621" t="s">
        <v>3151</v>
      </c>
      <c r="E1621" t="s">
        <v>1417</v>
      </c>
      <c r="F1621">
        <v>75</v>
      </c>
      <c r="G1621" t="b">
        <v>1</v>
      </c>
      <c r="H1621">
        <v>1</v>
      </c>
    </row>
    <row r="1622" spans="1:8" x14ac:dyDescent="0.25">
      <c r="A1622" t="s">
        <v>2425</v>
      </c>
      <c r="B1622" t="s">
        <v>2426</v>
      </c>
      <c r="C1622">
        <v>37.75</v>
      </c>
      <c r="D1622" t="s">
        <v>3151</v>
      </c>
      <c r="E1622" t="s">
        <v>1417</v>
      </c>
      <c r="F1622">
        <v>75</v>
      </c>
      <c r="G1622" t="b">
        <v>1</v>
      </c>
      <c r="H1622">
        <v>1</v>
      </c>
    </row>
    <row r="1623" spans="1:8" x14ac:dyDescent="0.25">
      <c r="A1623" t="s">
        <v>2395</v>
      </c>
      <c r="B1623" t="s">
        <v>2396</v>
      </c>
      <c r="C1623">
        <v>44.55</v>
      </c>
      <c r="D1623" t="s">
        <v>3151</v>
      </c>
      <c r="E1623" t="s">
        <v>1417</v>
      </c>
      <c r="F1623">
        <v>75</v>
      </c>
      <c r="G1623" t="b">
        <v>1</v>
      </c>
      <c r="H1623">
        <v>1</v>
      </c>
    </row>
    <row r="1624" spans="1:8" x14ac:dyDescent="0.25">
      <c r="A1624" t="s">
        <v>2401</v>
      </c>
      <c r="B1624" t="s">
        <v>2402</v>
      </c>
      <c r="C1624">
        <v>73.7</v>
      </c>
      <c r="D1624" t="s">
        <v>3151</v>
      </c>
      <c r="E1624" t="s">
        <v>1417</v>
      </c>
      <c r="F1624">
        <v>75</v>
      </c>
      <c r="G1624" t="b">
        <v>1</v>
      </c>
      <c r="H1624">
        <v>1</v>
      </c>
    </row>
    <row r="1625" spans="1:8" x14ac:dyDescent="0.25">
      <c r="A1625" t="s">
        <v>2403</v>
      </c>
      <c r="B1625" t="s">
        <v>2404</v>
      </c>
      <c r="C1625">
        <v>7.1</v>
      </c>
      <c r="D1625" t="s">
        <v>3151</v>
      </c>
      <c r="E1625" t="s">
        <v>1417</v>
      </c>
      <c r="F1625">
        <v>75</v>
      </c>
      <c r="G1625" t="b">
        <v>1</v>
      </c>
      <c r="H1625">
        <v>1</v>
      </c>
    </row>
    <row r="1626" spans="1:8" x14ac:dyDescent="0.25">
      <c r="A1626" t="s">
        <v>2419</v>
      </c>
      <c r="B1626" t="s">
        <v>2420</v>
      </c>
      <c r="C1626">
        <v>12.1</v>
      </c>
      <c r="D1626" t="s">
        <v>3151</v>
      </c>
      <c r="E1626" t="s">
        <v>1417</v>
      </c>
      <c r="F1626">
        <v>75</v>
      </c>
      <c r="G1626" t="b">
        <v>1</v>
      </c>
      <c r="H1626">
        <v>1</v>
      </c>
    </row>
    <row r="1627" spans="1:8" x14ac:dyDescent="0.25">
      <c r="A1627" t="s">
        <v>2385</v>
      </c>
      <c r="B1627" t="s">
        <v>2386</v>
      </c>
      <c r="C1627">
        <v>42.3</v>
      </c>
      <c r="D1627" t="s">
        <v>3151</v>
      </c>
      <c r="E1627" t="s">
        <v>1417</v>
      </c>
      <c r="F1627">
        <v>75</v>
      </c>
      <c r="G1627" t="b">
        <v>1</v>
      </c>
      <c r="H1627">
        <v>1</v>
      </c>
    </row>
    <row r="1628" spans="1:8" x14ac:dyDescent="0.25">
      <c r="A1628" t="s">
        <v>2393</v>
      </c>
      <c r="B1628" t="s">
        <v>2394</v>
      </c>
      <c r="C1628">
        <v>39.799999999999997</v>
      </c>
      <c r="D1628" t="s">
        <v>3151</v>
      </c>
      <c r="E1628" t="s">
        <v>1417</v>
      </c>
      <c r="F1628">
        <v>75</v>
      </c>
      <c r="G1628" t="b">
        <v>1</v>
      </c>
      <c r="H1628">
        <v>1</v>
      </c>
    </row>
    <row r="1629" spans="1:8" x14ac:dyDescent="0.25">
      <c r="A1629" t="s">
        <v>2390</v>
      </c>
      <c r="B1629" t="s">
        <v>2391</v>
      </c>
      <c r="C1629">
        <v>39.799999999999997</v>
      </c>
      <c r="D1629" t="s">
        <v>3151</v>
      </c>
      <c r="E1629" t="s">
        <v>1417</v>
      </c>
      <c r="F1629">
        <v>75</v>
      </c>
      <c r="G1629" t="b">
        <v>1</v>
      </c>
      <c r="H1629">
        <v>1</v>
      </c>
    </row>
    <row r="1630" spans="1:8" x14ac:dyDescent="0.25">
      <c r="A1630" t="s">
        <v>995</v>
      </c>
      <c r="B1630" t="s">
        <v>996</v>
      </c>
      <c r="C1630">
        <v>90.15</v>
      </c>
      <c r="D1630" t="s">
        <v>3151</v>
      </c>
      <c r="E1630" t="s">
        <v>1417</v>
      </c>
      <c r="F1630">
        <v>75</v>
      </c>
      <c r="G1630" t="b">
        <v>1</v>
      </c>
      <c r="H1630">
        <v>1</v>
      </c>
    </row>
    <row r="1631" spans="1:8" x14ac:dyDescent="0.25">
      <c r="A1631" t="s">
        <v>1136</v>
      </c>
      <c r="B1631" t="s">
        <v>1137</v>
      </c>
      <c r="C1631">
        <v>68.7</v>
      </c>
      <c r="D1631" t="s">
        <v>3151</v>
      </c>
      <c r="E1631" t="s">
        <v>1417</v>
      </c>
      <c r="F1631">
        <v>75</v>
      </c>
      <c r="G1631" t="b">
        <v>1</v>
      </c>
      <c r="H1631">
        <v>1</v>
      </c>
    </row>
    <row r="1632" spans="1:8" x14ac:dyDescent="0.25">
      <c r="A1632" t="s">
        <v>1171</v>
      </c>
      <c r="B1632" t="s">
        <v>1172</v>
      </c>
      <c r="C1632">
        <v>42.2</v>
      </c>
      <c r="D1632" t="s">
        <v>3151</v>
      </c>
      <c r="E1632" t="s">
        <v>1417</v>
      </c>
      <c r="F1632">
        <v>75</v>
      </c>
      <c r="G1632" t="b">
        <v>1</v>
      </c>
      <c r="H1632">
        <v>1</v>
      </c>
    </row>
    <row r="1633" spans="1:8" x14ac:dyDescent="0.25">
      <c r="A1633" t="s">
        <v>1146</v>
      </c>
      <c r="B1633" t="s">
        <v>1147</v>
      </c>
      <c r="C1633">
        <v>25.95</v>
      </c>
      <c r="D1633" t="s">
        <v>3151</v>
      </c>
      <c r="E1633" t="s">
        <v>1417</v>
      </c>
      <c r="F1633">
        <v>75</v>
      </c>
      <c r="G1633" t="b">
        <v>1</v>
      </c>
      <c r="H1633">
        <v>1</v>
      </c>
    </row>
    <row r="1634" spans="1:8" x14ac:dyDescent="0.25">
      <c r="A1634" t="s">
        <v>1151</v>
      </c>
      <c r="B1634" t="s">
        <v>1152</v>
      </c>
      <c r="C1634">
        <v>51</v>
      </c>
      <c r="D1634" t="s">
        <v>3151</v>
      </c>
      <c r="E1634" t="s">
        <v>1417</v>
      </c>
      <c r="F1634">
        <v>75</v>
      </c>
      <c r="G1634" t="b">
        <v>1</v>
      </c>
      <c r="H1634">
        <v>1</v>
      </c>
    </row>
    <row r="1635" spans="1:8" x14ac:dyDescent="0.25">
      <c r="A1635" t="s">
        <v>1160</v>
      </c>
      <c r="B1635" t="s">
        <v>1161</v>
      </c>
      <c r="C1635">
        <v>75.599999999999994</v>
      </c>
      <c r="D1635" t="s">
        <v>3151</v>
      </c>
      <c r="E1635" t="s">
        <v>1417</v>
      </c>
      <c r="F1635">
        <v>75</v>
      </c>
      <c r="G1635" t="b">
        <v>1</v>
      </c>
      <c r="H1635">
        <v>1</v>
      </c>
    </row>
    <row r="1636" spans="1:8" x14ac:dyDescent="0.25">
      <c r="A1636" t="s">
        <v>1126</v>
      </c>
      <c r="B1636" t="s">
        <v>1127</v>
      </c>
      <c r="C1636">
        <v>43.35</v>
      </c>
      <c r="D1636" t="s">
        <v>3151</v>
      </c>
      <c r="E1636" t="s">
        <v>1417</v>
      </c>
      <c r="F1636">
        <v>75</v>
      </c>
      <c r="G1636" t="b">
        <v>1</v>
      </c>
      <c r="H1636">
        <v>1</v>
      </c>
    </row>
    <row r="1637" spans="1:8" x14ac:dyDescent="0.25">
      <c r="A1637" t="s">
        <v>1129</v>
      </c>
      <c r="B1637" t="s">
        <v>1130</v>
      </c>
      <c r="C1637">
        <v>55.05</v>
      </c>
      <c r="D1637" t="s">
        <v>3151</v>
      </c>
      <c r="E1637" t="s">
        <v>1417</v>
      </c>
      <c r="F1637">
        <v>75</v>
      </c>
      <c r="G1637" t="b">
        <v>1</v>
      </c>
      <c r="H1637">
        <v>1</v>
      </c>
    </row>
    <row r="1638" spans="1:8" x14ac:dyDescent="0.25">
      <c r="A1638" t="s">
        <v>2398</v>
      </c>
      <c r="B1638" t="s">
        <v>2399</v>
      </c>
      <c r="C1638">
        <v>64.849999999999994</v>
      </c>
      <c r="D1638" t="s">
        <v>3151</v>
      </c>
      <c r="E1638" t="s">
        <v>1417</v>
      </c>
      <c r="F1638">
        <v>75</v>
      </c>
      <c r="G1638" t="b">
        <v>1</v>
      </c>
      <c r="H1638">
        <v>1</v>
      </c>
    </row>
    <row r="1639" spans="1:8" x14ac:dyDescent="0.25">
      <c r="A1639" t="s">
        <v>1149</v>
      </c>
      <c r="B1639" t="s">
        <v>1150</v>
      </c>
      <c r="C1639">
        <v>46.35</v>
      </c>
      <c r="D1639" t="s">
        <v>3151</v>
      </c>
      <c r="E1639" t="s">
        <v>1417</v>
      </c>
      <c r="F1639">
        <v>75</v>
      </c>
      <c r="G1639" t="b">
        <v>1</v>
      </c>
      <c r="H1639">
        <v>1</v>
      </c>
    </row>
    <row r="1640" spans="1:8" x14ac:dyDescent="0.25">
      <c r="A1640" t="s">
        <v>1154</v>
      </c>
      <c r="B1640" t="s">
        <v>1155</v>
      </c>
      <c r="C1640">
        <v>59.6</v>
      </c>
      <c r="D1640" t="s">
        <v>3151</v>
      </c>
      <c r="E1640" t="s">
        <v>1417</v>
      </c>
      <c r="F1640">
        <v>75</v>
      </c>
      <c r="G1640" t="b">
        <v>1</v>
      </c>
      <c r="H1640">
        <v>1</v>
      </c>
    </row>
    <row r="1641" spans="1:8" x14ac:dyDescent="0.25">
      <c r="A1641" t="s">
        <v>1157</v>
      </c>
      <c r="B1641" t="s">
        <v>1158</v>
      </c>
      <c r="C1641">
        <v>82</v>
      </c>
      <c r="D1641" t="s">
        <v>3151</v>
      </c>
      <c r="E1641" t="s">
        <v>1417</v>
      </c>
      <c r="F1641">
        <v>75</v>
      </c>
      <c r="G1641" t="b">
        <v>1</v>
      </c>
      <c r="H1641">
        <v>1</v>
      </c>
    </row>
    <row r="1642" spans="1:8" x14ac:dyDescent="0.25">
      <c r="A1642" t="s">
        <v>1105</v>
      </c>
      <c r="B1642" t="s">
        <v>1106</v>
      </c>
      <c r="C1642">
        <v>39.799999999999997</v>
      </c>
      <c r="D1642" t="s">
        <v>3151</v>
      </c>
      <c r="E1642" t="s">
        <v>1417</v>
      </c>
      <c r="F1642">
        <v>75</v>
      </c>
      <c r="G1642" t="b">
        <v>1</v>
      </c>
      <c r="H1642">
        <v>1</v>
      </c>
    </row>
    <row r="1643" spans="1:8" x14ac:dyDescent="0.25">
      <c r="A1643" t="s">
        <v>2439</v>
      </c>
      <c r="B1643" t="s">
        <v>2440</v>
      </c>
      <c r="C1643">
        <v>47.05</v>
      </c>
      <c r="D1643" t="s">
        <v>3151</v>
      </c>
      <c r="E1643" t="s">
        <v>1417</v>
      </c>
      <c r="F1643">
        <v>75</v>
      </c>
      <c r="G1643" t="b">
        <v>1</v>
      </c>
      <c r="H1643">
        <v>1</v>
      </c>
    </row>
    <row r="1644" spans="1:8" x14ac:dyDescent="0.25">
      <c r="A1644" t="s">
        <v>2441</v>
      </c>
      <c r="B1644" t="s">
        <v>2442</v>
      </c>
      <c r="C1644">
        <v>74.05</v>
      </c>
      <c r="D1644" t="s">
        <v>3151</v>
      </c>
      <c r="E1644" t="s">
        <v>1417</v>
      </c>
      <c r="F1644">
        <v>75</v>
      </c>
      <c r="G1644" t="b">
        <v>1</v>
      </c>
      <c r="H1644">
        <v>1</v>
      </c>
    </row>
    <row r="1645" spans="1:8" x14ac:dyDescent="0.25">
      <c r="A1645" t="s">
        <v>960</v>
      </c>
      <c r="B1645" t="s">
        <v>2389</v>
      </c>
      <c r="C1645">
        <v>74.05</v>
      </c>
      <c r="D1645" t="s">
        <v>3151</v>
      </c>
      <c r="E1645" t="s">
        <v>1417</v>
      </c>
      <c r="F1645">
        <v>75</v>
      </c>
      <c r="G1645" t="b">
        <v>1</v>
      </c>
      <c r="H1645">
        <v>1</v>
      </c>
    </row>
    <row r="1646" spans="1:8" x14ac:dyDescent="0.25">
      <c r="A1646" t="s">
        <v>960</v>
      </c>
      <c r="B1646" t="s">
        <v>961</v>
      </c>
      <c r="C1646">
        <v>74.05</v>
      </c>
      <c r="D1646" t="s">
        <v>3151</v>
      </c>
      <c r="E1646" t="s">
        <v>1417</v>
      </c>
      <c r="F1646">
        <v>75</v>
      </c>
      <c r="G1646" t="b">
        <v>1</v>
      </c>
      <c r="H1646">
        <v>1</v>
      </c>
    </row>
    <row r="1647" spans="1:8" x14ac:dyDescent="0.25">
      <c r="A1647" t="s">
        <v>998</v>
      </c>
      <c r="B1647" t="s">
        <v>999</v>
      </c>
      <c r="C1647">
        <v>52.65</v>
      </c>
      <c r="D1647" t="s">
        <v>3151</v>
      </c>
      <c r="E1647" t="s">
        <v>1417</v>
      </c>
      <c r="F1647">
        <v>75</v>
      </c>
      <c r="G1647" t="b">
        <v>1</v>
      </c>
      <c r="H1647">
        <v>1</v>
      </c>
    </row>
    <row r="1648" spans="1:8" x14ac:dyDescent="0.25">
      <c r="A1648" t="s">
        <v>962</v>
      </c>
      <c r="B1648" t="s">
        <v>963</v>
      </c>
      <c r="C1648">
        <v>96.2</v>
      </c>
      <c r="D1648" t="s">
        <v>3151</v>
      </c>
      <c r="E1648" t="s">
        <v>1417</v>
      </c>
      <c r="F1648">
        <v>75</v>
      </c>
      <c r="G1648" t="b">
        <v>1</v>
      </c>
      <c r="H1648">
        <v>1</v>
      </c>
    </row>
    <row r="1649" spans="1:8" x14ac:dyDescent="0.25">
      <c r="A1649" t="s">
        <v>1108</v>
      </c>
      <c r="B1649" t="s">
        <v>1109</v>
      </c>
      <c r="C1649">
        <v>96.2</v>
      </c>
      <c r="D1649" t="s">
        <v>3151</v>
      </c>
      <c r="E1649" t="s">
        <v>1417</v>
      </c>
      <c r="F1649">
        <v>75</v>
      </c>
      <c r="G1649" t="b">
        <v>1</v>
      </c>
      <c r="H1649">
        <v>1</v>
      </c>
    </row>
    <row r="1650" spans="1:8" x14ac:dyDescent="0.25">
      <c r="A1650" t="s">
        <v>2116</v>
      </c>
      <c r="B1650" t="s">
        <v>2117</v>
      </c>
      <c r="C1650">
        <v>51</v>
      </c>
      <c r="D1650" t="s">
        <v>3155</v>
      </c>
      <c r="E1650" t="s">
        <v>1417</v>
      </c>
      <c r="F1650">
        <v>75</v>
      </c>
      <c r="G1650" t="b">
        <v>1</v>
      </c>
      <c r="H1650">
        <v>1</v>
      </c>
    </row>
    <row r="1651" spans="1:8" x14ac:dyDescent="0.25">
      <c r="A1651" t="s">
        <v>2123</v>
      </c>
      <c r="B1651" t="s">
        <v>2124</v>
      </c>
      <c r="C1651">
        <v>63.15</v>
      </c>
      <c r="D1651" t="s">
        <v>3155</v>
      </c>
      <c r="E1651" t="s">
        <v>1417</v>
      </c>
      <c r="F1651">
        <v>75</v>
      </c>
      <c r="G1651" t="b">
        <v>1</v>
      </c>
      <c r="H1651">
        <v>1</v>
      </c>
    </row>
    <row r="1652" spans="1:8" x14ac:dyDescent="0.25">
      <c r="A1652" t="s">
        <v>2126</v>
      </c>
      <c r="B1652" t="s">
        <v>2127</v>
      </c>
      <c r="C1652">
        <v>65.75</v>
      </c>
      <c r="D1652" t="s">
        <v>3155</v>
      </c>
      <c r="E1652" t="s">
        <v>1417</v>
      </c>
      <c r="F1652">
        <v>75</v>
      </c>
      <c r="G1652" t="b">
        <v>1</v>
      </c>
      <c r="H1652">
        <v>1</v>
      </c>
    </row>
    <row r="1653" spans="1:8" x14ac:dyDescent="0.25">
      <c r="A1653" t="s">
        <v>2120</v>
      </c>
      <c r="B1653" t="s">
        <v>2121</v>
      </c>
      <c r="C1653">
        <v>57.8</v>
      </c>
      <c r="D1653" t="s">
        <v>3155</v>
      </c>
      <c r="E1653" t="s">
        <v>1417</v>
      </c>
      <c r="F1653">
        <v>75</v>
      </c>
      <c r="G1653" t="b">
        <v>1</v>
      </c>
      <c r="H1653">
        <v>1</v>
      </c>
    </row>
    <row r="1654" spans="1:8" x14ac:dyDescent="0.25">
      <c r="A1654" t="s">
        <v>2139</v>
      </c>
      <c r="B1654" t="s">
        <v>2140</v>
      </c>
      <c r="C1654">
        <v>71.150000000000006</v>
      </c>
      <c r="D1654" t="s">
        <v>3155</v>
      </c>
      <c r="E1654" t="s">
        <v>1417</v>
      </c>
      <c r="F1654">
        <v>75</v>
      </c>
      <c r="G1654" t="b">
        <v>1</v>
      </c>
      <c r="H1654">
        <v>1</v>
      </c>
    </row>
    <row r="1655" spans="1:8" x14ac:dyDescent="0.25">
      <c r="A1655" t="s">
        <v>2129</v>
      </c>
      <c r="B1655" t="s">
        <v>2130</v>
      </c>
      <c r="C1655">
        <v>107.35</v>
      </c>
      <c r="D1655" t="s">
        <v>3155</v>
      </c>
      <c r="E1655" t="s">
        <v>1417</v>
      </c>
      <c r="F1655">
        <v>75</v>
      </c>
      <c r="G1655" t="b">
        <v>1</v>
      </c>
      <c r="H1655">
        <v>1</v>
      </c>
    </row>
    <row r="1656" spans="1:8" x14ac:dyDescent="0.25">
      <c r="A1656" t="s">
        <v>2132</v>
      </c>
      <c r="B1656" t="s">
        <v>2133</v>
      </c>
      <c r="C1656">
        <v>141.19999999999999</v>
      </c>
      <c r="D1656" t="s">
        <v>3155</v>
      </c>
      <c r="E1656" t="s">
        <v>1417</v>
      </c>
      <c r="F1656">
        <v>75</v>
      </c>
      <c r="G1656" t="b">
        <v>1</v>
      </c>
      <c r="H1656">
        <v>1</v>
      </c>
    </row>
    <row r="1657" spans="1:8" x14ac:dyDescent="0.25">
      <c r="A1657" t="s">
        <v>2134</v>
      </c>
      <c r="B1657" t="s">
        <v>2135</v>
      </c>
      <c r="C1657">
        <v>174.3</v>
      </c>
      <c r="D1657" t="s">
        <v>3155</v>
      </c>
      <c r="E1657" t="s">
        <v>1417</v>
      </c>
      <c r="F1657">
        <v>75</v>
      </c>
      <c r="G1657" t="b">
        <v>1</v>
      </c>
      <c r="H1657">
        <v>1</v>
      </c>
    </row>
    <row r="1658" spans="1:8" x14ac:dyDescent="0.25">
      <c r="A1658" t="s">
        <v>2136</v>
      </c>
      <c r="B1658" t="s">
        <v>2137</v>
      </c>
      <c r="C1658">
        <v>181.6</v>
      </c>
      <c r="D1658" t="s">
        <v>3155</v>
      </c>
      <c r="E1658" t="s">
        <v>1417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3264</v>
      </c>
      <c r="B2" t="s">
        <v>3615</v>
      </c>
      <c r="C2" t="s">
        <v>3265</v>
      </c>
      <c r="D2">
        <v>185.65</v>
      </c>
      <c r="E2" t="s">
        <v>3253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20</v>
      </c>
    </row>
    <row r="3" spans="1:10" x14ac:dyDescent="0.25">
      <c r="A3" t="s">
        <v>3264</v>
      </c>
      <c r="B3" t="s">
        <v>3615</v>
      </c>
      <c r="C3" t="s">
        <v>3266</v>
      </c>
      <c r="D3">
        <v>210.9</v>
      </c>
      <c r="E3" t="s">
        <v>3253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20</v>
      </c>
    </row>
    <row r="4" spans="1:10" x14ac:dyDescent="0.25">
      <c r="A4" t="s">
        <v>3264</v>
      </c>
      <c r="B4" t="s">
        <v>3615</v>
      </c>
      <c r="C4" t="s">
        <v>3267</v>
      </c>
      <c r="D4">
        <v>248.6</v>
      </c>
      <c r="E4" t="s">
        <v>3253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3264</v>
      </c>
      <c r="B5" t="s">
        <v>3615</v>
      </c>
      <c r="C5" t="s">
        <v>3268</v>
      </c>
      <c r="D5">
        <v>298.55</v>
      </c>
      <c r="E5" t="s">
        <v>3253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3348</v>
      </c>
      <c r="B6" t="s">
        <v>3249</v>
      </c>
      <c r="C6" t="s">
        <v>3349</v>
      </c>
      <c r="D6">
        <v>67.55</v>
      </c>
      <c r="E6" t="s">
        <v>3253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3264</v>
      </c>
      <c r="B7" t="s">
        <v>3615</v>
      </c>
      <c r="C7" t="s">
        <v>3269</v>
      </c>
      <c r="D7">
        <v>311.05</v>
      </c>
      <c r="E7" t="s">
        <v>3253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3264</v>
      </c>
      <c r="B8" t="s">
        <v>3615</v>
      </c>
      <c r="C8" t="s">
        <v>3270</v>
      </c>
      <c r="D8">
        <v>360.75</v>
      </c>
      <c r="E8" t="s">
        <v>3253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3264</v>
      </c>
      <c r="B9" t="s">
        <v>3615</v>
      </c>
      <c r="C9" t="s">
        <v>3271</v>
      </c>
      <c r="D9">
        <v>311.05</v>
      </c>
      <c r="E9" t="s">
        <v>3253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3355</v>
      </c>
      <c r="B10" t="s">
        <v>3616</v>
      </c>
      <c r="C10" t="s">
        <v>3356</v>
      </c>
      <c r="D10">
        <v>135.05000000000001</v>
      </c>
      <c r="E10" t="s">
        <v>3253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3264</v>
      </c>
      <c r="B11" t="s">
        <v>3615</v>
      </c>
      <c r="C11" t="s">
        <v>3272</v>
      </c>
      <c r="D11">
        <v>285.8</v>
      </c>
      <c r="E11" t="s">
        <v>3253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3264</v>
      </c>
      <c r="B12" t="s">
        <v>3615</v>
      </c>
      <c r="C12" t="s">
        <v>3273</v>
      </c>
      <c r="D12">
        <v>285.8</v>
      </c>
      <c r="E12" t="s">
        <v>3253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3264</v>
      </c>
      <c r="B13" t="s">
        <v>3615</v>
      </c>
      <c r="C13" t="s">
        <v>3274</v>
      </c>
      <c r="D13">
        <v>248.6</v>
      </c>
      <c r="E13" t="s">
        <v>3253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3264</v>
      </c>
      <c r="B14" t="s">
        <v>3615</v>
      </c>
      <c r="C14" t="s">
        <v>3275</v>
      </c>
      <c r="D14">
        <v>260.55</v>
      </c>
      <c r="E14" t="s">
        <v>3253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3264</v>
      </c>
      <c r="B15" t="s">
        <v>3615</v>
      </c>
      <c r="C15" t="s">
        <v>3276</v>
      </c>
      <c r="D15">
        <v>260.55</v>
      </c>
      <c r="E15" t="s">
        <v>3253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3264</v>
      </c>
      <c r="B16" t="s">
        <v>3615</v>
      </c>
      <c r="C16" t="s">
        <v>3277</v>
      </c>
      <c r="D16">
        <v>273.3</v>
      </c>
      <c r="E16" t="s">
        <v>3253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3264</v>
      </c>
      <c r="B17" t="s">
        <v>3615</v>
      </c>
      <c r="C17" t="s">
        <v>3278</v>
      </c>
      <c r="D17">
        <v>273.3</v>
      </c>
      <c r="E17" t="s">
        <v>3253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3264</v>
      </c>
      <c r="B18" t="s">
        <v>3615</v>
      </c>
      <c r="C18" t="s">
        <v>3279</v>
      </c>
      <c r="D18">
        <v>346.05</v>
      </c>
      <c r="E18" t="s">
        <v>3253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3264</v>
      </c>
      <c r="B19" t="s">
        <v>3615</v>
      </c>
      <c r="C19" t="s">
        <v>3280</v>
      </c>
      <c r="D19">
        <v>336.3</v>
      </c>
      <c r="E19" t="s">
        <v>3253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3315</v>
      </c>
      <c r="B20" t="s">
        <v>3617</v>
      </c>
      <c r="C20" t="s">
        <v>3316</v>
      </c>
      <c r="D20">
        <v>72.2</v>
      </c>
      <c r="E20" t="s">
        <v>3253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3315</v>
      </c>
      <c r="B21" t="s">
        <v>3617</v>
      </c>
      <c r="C21" t="s">
        <v>3317</v>
      </c>
      <c r="D21">
        <v>72.2</v>
      </c>
      <c r="E21" t="s">
        <v>3253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3315</v>
      </c>
      <c r="B22" t="s">
        <v>3617</v>
      </c>
      <c r="C22" t="s">
        <v>3318</v>
      </c>
      <c r="D22">
        <v>84.95</v>
      </c>
      <c r="E22" t="s">
        <v>3253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3315</v>
      </c>
      <c r="B23" t="s">
        <v>3617</v>
      </c>
      <c r="C23" t="s">
        <v>3319</v>
      </c>
      <c r="D23">
        <v>84.95</v>
      </c>
      <c r="E23" t="s">
        <v>3253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3315</v>
      </c>
      <c r="B24" t="s">
        <v>3617</v>
      </c>
      <c r="C24" t="s">
        <v>3320</v>
      </c>
      <c r="D24">
        <v>97.45</v>
      </c>
      <c r="E24" t="s">
        <v>3253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3315</v>
      </c>
      <c r="B25" t="s">
        <v>3617</v>
      </c>
      <c r="C25" t="s">
        <v>3321</v>
      </c>
      <c r="D25">
        <v>97.45</v>
      </c>
      <c r="E25" t="s">
        <v>3253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3315</v>
      </c>
      <c r="B26" t="s">
        <v>3617</v>
      </c>
      <c r="C26" t="s">
        <v>3322</v>
      </c>
      <c r="D26">
        <v>110.2</v>
      </c>
      <c r="E26" t="s">
        <v>3253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3315</v>
      </c>
      <c r="B27" t="s">
        <v>3617</v>
      </c>
      <c r="C27" t="s">
        <v>3323</v>
      </c>
      <c r="D27">
        <v>110.2</v>
      </c>
      <c r="E27" t="s">
        <v>3253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3315</v>
      </c>
      <c r="B28" t="s">
        <v>3617</v>
      </c>
      <c r="C28" t="s">
        <v>3324</v>
      </c>
      <c r="D28">
        <v>113.6</v>
      </c>
      <c r="E28" t="s">
        <v>3253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3315</v>
      </c>
      <c r="B29" t="s">
        <v>3617</v>
      </c>
      <c r="C29" t="s">
        <v>3325</v>
      </c>
      <c r="D29">
        <v>113.6</v>
      </c>
      <c r="E29" t="s">
        <v>3253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3315</v>
      </c>
      <c r="B30" t="s">
        <v>3617</v>
      </c>
      <c r="C30" t="s">
        <v>3326</v>
      </c>
      <c r="D30">
        <v>135.15</v>
      </c>
      <c r="E30" t="s">
        <v>3253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3315</v>
      </c>
      <c r="B31" t="s">
        <v>3617</v>
      </c>
      <c r="C31" t="s">
        <v>3327</v>
      </c>
      <c r="D31">
        <v>135.15</v>
      </c>
      <c r="E31" t="s">
        <v>3253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3315</v>
      </c>
      <c r="B32" t="s">
        <v>3617</v>
      </c>
      <c r="C32" t="s">
        <v>3328</v>
      </c>
      <c r="D32">
        <v>147.94999999999999</v>
      </c>
      <c r="E32" t="s">
        <v>3253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3315</v>
      </c>
      <c r="B33" t="s">
        <v>3617</v>
      </c>
      <c r="C33" t="s">
        <v>3329</v>
      </c>
      <c r="D33">
        <v>147.94999999999999</v>
      </c>
      <c r="E33" t="s">
        <v>3253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3315</v>
      </c>
      <c r="B34" t="s">
        <v>3617</v>
      </c>
      <c r="C34" t="s">
        <v>3330</v>
      </c>
      <c r="D34">
        <v>160.4</v>
      </c>
      <c r="E34" t="s">
        <v>3253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3315</v>
      </c>
      <c r="B35" t="s">
        <v>3617</v>
      </c>
      <c r="C35" t="s">
        <v>3331</v>
      </c>
      <c r="D35">
        <v>160.4</v>
      </c>
      <c r="E35" t="s">
        <v>3253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3315</v>
      </c>
      <c r="B36" t="s">
        <v>3617</v>
      </c>
      <c r="C36" t="s">
        <v>3332</v>
      </c>
      <c r="D36">
        <v>173.15</v>
      </c>
      <c r="E36" t="s">
        <v>3253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3315</v>
      </c>
      <c r="B37" t="s">
        <v>3617</v>
      </c>
      <c r="C37" t="s">
        <v>3333</v>
      </c>
      <c r="D37">
        <v>173.15</v>
      </c>
      <c r="E37" t="s">
        <v>3253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3315</v>
      </c>
      <c r="B38" t="s">
        <v>3617</v>
      </c>
      <c r="C38" t="s">
        <v>3334</v>
      </c>
      <c r="D38">
        <v>185.65</v>
      </c>
      <c r="E38" t="s">
        <v>3253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3315</v>
      </c>
      <c r="B39" t="s">
        <v>3617</v>
      </c>
      <c r="C39" t="s">
        <v>3335</v>
      </c>
      <c r="D39">
        <v>185.65</v>
      </c>
      <c r="E39" t="s">
        <v>3253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3315</v>
      </c>
      <c r="B40" t="s">
        <v>3617</v>
      </c>
      <c r="C40" t="s">
        <v>3336</v>
      </c>
      <c r="D40">
        <v>198.15</v>
      </c>
      <c r="E40" t="s">
        <v>3253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3315</v>
      </c>
      <c r="B41" t="s">
        <v>3617</v>
      </c>
      <c r="C41" t="s">
        <v>3337</v>
      </c>
      <c r="D41">
        <v>198.15</v>
      </c>
      <c r="E41" t="s">
        <v>3253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3315</v>
      </c>
      <c r="B42" t="s">
        <v>3617</v>
      </c>
      <c r="C42" t="s">
        <v>3338</v>
      </c>
      <c r="D42">
        <v>210.9</v>
      </c>
      <c r="E42" t="s">
        <v>3253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3315</v>
      </c>
      <c r="B43" t="s">
        <v>3617</v>
      </c>
      <c r="C43" t="s">
        <v>3339</v>
      </c>
      <c r="D43">
        <v>210.9</v>
      </c>
      <c r="E43" t="s">
        <v>3253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3315</v>
      </c>
      <c r="B44" t="s">
        <v>3617</v>
      </c>
      <c r="C44" t="s">
        <v>3340</v>
      </c>
      <c r="D44">
        <v>223.4</v>
      </c>
      <c r="E44" t="s">
        <v>3253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3315</v>
      </c>
      <c r="B45" t="s">
        <v>3617</v>
      </c>
      <c r="C45" t="s">
        <v>3341</v>
      </c>
      <c r="D45">
        <v>223.4</v>
      </c>
      <c r="E45" t="s">
        <v>3253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3315</v>
      </c>
      <c r="B46" t="s">
        <v>3617</v>
      </c>
      <c r="C46" t="s">
        <v>3342</v>
      </c>
      <c r="D46">
        <v>236.15</v>
      </c>
      <c r="E46" t="s">
        <v>3253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3315</v>
      </c>
      <c r="B47" t="s">
        <v>3617</v>
      </c>
      <c r="C47" t="s">
        <v>3343</v>
      </c>
      <c r="D47">
        <v>236.15</v>
      </c>
      <c r="E47" t="s">
        <v>3253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3315</v>
      </c>
      <c r="B48" t="s">
        <v>3617</v>
      </c>
      <c r="C48" t="s">
        <v>3344</v>
      </c>
      <c r="D48">
        <v>248.6</v>
      </c>
      <c r="E48" t="s">
        <v>3253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3348</v>
      </c>
      <c r="B49" t="s">
        <v>3249</v>
      </c>
      <c r="C49" t="s">
        <v>3350</v>
      </c>
      <c r="D49">
        <v>17.149999999999999</v>
      </c>
      <c r="E49" t="s">
        <v>3253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3315</v>
      </c>
      <c r="B50" t="s">
        <v>3617</v>
      </c>
      <c r="C50" t="s">
        <v>3345</v>
      </c>
      <c r="D50">
        <v>248.6</v>
      </c>
      <c r="E50" t="s">
        <v>3253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3348</v>
      </c>
      <c r="B51" t="s">
        <v>3249</v>
      </c>
      <c r="C51" t="s">
        <v>3351</v>
      </c>
      <c r="D51">
        <v>17.149999999999999</v>
      </c>
      <c r="E51" t="s">
        <v>3253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3348</v>
      </c>
      <c r="B52" t="s">
        <v>3249</v>
      </c>
      <c r="C52" t="s">
        <v>3352</v>
      </c>
      <c r="D52">
        <v>17.149999999999999</v>
      </c>
      <c r="E52" t="s">
        <v>3253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3315</v>
      </c>
      <c r="B53" t="s">
        <v>3617</v>
      </c>
      <c r="C53" t="s">
        <v>3346</v>
      </c>
      <c r="D53">
        <v>59.45</v>
      </c>
      <c r="E53" t="s">
        <v>3253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3315</v>
      </c>
      <c r="B54" t="s">
        <v>3617</v>
      </c>
      <c r="C54" t="s">
        <v>3347</v>
      </c>
      <c r="D54">
        <v>59.45</v>
      </c>
      <c r="E54" t="s">
        <v>3253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3264</v>
      </c>
      <c r="B55" t="s">
        <v>3615</v>
      </c>
      <c r="C55" t="s">
        <v>3281</v>
      </c>
      <c r="D55">
        <v>360.75</v>
      </c>
      <c r="E55" t="s">
        <v>3253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3264</v>
      </c>
      <c r="B56" t="s">
        <v>3615</v>
      </c>
      <c r="C56" t="s">
        <v>3282</v>
      </c>
      <c r="D56">
        <v>346.05</v>
      </c>
      <c r="E56" t="s">
        <v>3253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3264</v>
      </c>
      <c r="B57" t="s">
        <v>3615</v>
      </c>
      <c r="C57" t="s">
        <v>3283</v>
      </c>
      <c r="D57">
        <v>323.55</v>
      </c>
      <c r="E57" t="s">
        <v>3253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3264</v>
      </c>
      <c r="B58" t="s">
        <v>3615</v>
      </c>
      <c r="C58" t="s">
        <v>3284</v>
      </c>
      <c r="D58">
        <v>323.55</v>
      </c>
      <c r="E58" t="s">
        <v>3253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3264</v>
      </c>
      <c r="B59" t="s">
        <v>3615</v>
      </c>
      <c r="C59" t="s">
        <v>3285</v>
      </c>
      <c r="D59">
        <v>336.3</v>
      </c>
      <c r="E59" t="s">
        <v>3253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3348</v>
      </c>
      <c r="B60" t="s">
        <v>3249</v>
      </c>
      <c r="C60" t="s">
        <v>3353</v>
      </c>
      <c r="D60">
        <v>64.849999999999994</v>
      </c>
      <c r="E60" t="s">
        <v>3253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3348</v>
      </c>
      <c r="B61" t="s">
        <v>3249</v>
      </c>
      <c r="C61" t="s">
        <v>3354</v>
      </c>
      <c r="D61">
        <v>70.2</v>
      </c>
      <c r="E61" t="s">
        <v>3253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3355</v>
      </c>
      <c r="B62" t="s">
        <v>3616</v>
      </c>
      <c r="C62" t="s">
        <v>3357</v>
      </c>
      <c r="D62">
        <v>98.8</v>
      </c>
      <c r="E62" t="s">
        <v>3253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3355</v>
      </c>
      <c r="B63" t="s">
        <v>3616</v>
      </c>
      <c r="C63" t="s">
        <v>3358</v>
      </c>
      <c r="D63">
        <v>114.7</v>
      </c>
      <c r="E63" t="s">
        <v>3253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3355</v>
      </c>
      <c r="B64" t="s">
        <v>3616</v>
      </c>
      <c r="C64" t="s">
        <v>3359</v>
      </c>
      <c r="D64">
        <v>125.6</v>
      </c>
      <c r="E64" t="s">
        <v>3253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3360</v>
      </c>
      <c r="B65" t="s">
        <v>3618</v>
      </c>
      <c r="C65" t="s">
        <v>3361</v>
      </c>
      <c r="D65">
        <v>57.25</v>
      </c>
      <c r="E65" t="s">
        <v>3253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3360</v>
      </c>
      <c r="B66" t="s">
        <v>3618</v>
      </c>
      <c r="C66" t="s">
        <v>3362</v>
      </c>
      <c r="D66">
        <v>57.25</v>
      </c>
      <c r="E66" t="s">
        <v>3253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3360</v>
      </c>
      <c r="B67" t="s">
        <v>3618</v>
      </c>
      <c r="C67" t="s">
        <v>3363</v>
      </c>
      <c r="D67">
        <v>57.25</v>
      </c>
      <c r="E67" t="s">
        <v>3253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3360</v>
      </c>
      <c r="B68" t="s">
        <v>3618</v>
      </c>
      <c r="C68" t="s">
        <v>3364</v>
      </c>
      <c r="D68">
        <v>57.25</v>
      </c>
      <c r="E68" t="s">
        <v>3253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3360</v>
      </c>
      <c r="B69" t="s">
        <v>3618</v>
      </c>
      <c r="C69" t="s">
        <v>3365</v>
      </c>
      <c r="D69">
        <v>67.400000000000006</v>
      </c>
      <c r="E69" t="s">
        <v>3253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3360</v>
      </c>
      <c r="B70" t="s">
        <v>3618</v>
      </c>
      <c r="C70" t="s">
        <v>3366</v>
      </c>
      <c r="D70">
        <v>67.400000000000006</v>
      </c>
      <c r="E70" t="s">
        <v>3253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3360</v>
      </c>
      <c r="B71" t="s">
        <v>3618</v>
      </c>
      <c r="C71" t="s">
        <v>3367</v>
      </c>
      <c r="D71">
        <v>67.400000000000006</v>
      </c>
      <c r="E71" t="s">
        <v>3253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3360</v>
      </c>
      <c r="B72" t="s">
        <v>3618</v>
      </c>
      <c r="C72" t="s">
        <v>3368</v>
      </c>
      <c r="D72">
        <v>67.400000000000006</v>
      </c>
      <c r="E72" t="s">
        <v>3253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3360</v>
      </c>
      <c r="B73" t="s">
        <v>3618</v>
      </c>
      <c r="C73" t="s">
        <v>3369</v>
      </c>
      <c r="D73">
        <v>77.3</v>
      </c>
      <c r="E73" t="s">
        <v>3253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3360</v>
      </c>
      <c r="B74" t="s">
        <v>3618</v>
      </c>
      <c r="C74" t="s">
        <v>3370</v>
      </c>
      <c r="D74">
        <v>77.3</v>
      </c>
      <c r="E74" t="s">
        <v>3253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3360</v>
      </c>
      <c r="B75" t="s">
        <v>3618</v>
      </c>
      <c r="C75" t="s">
        <v>3371</v>
      </c>
      <c r="D75">
        <v>77.3</v>
      </c>
      <c r="E75" t="s">
        <v>3253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3360</v>
      </c>
      <c r="B76" t="s">
        <v>3618</v>
      </c>
      <c r="C76" t="s">
        <v>3372</v>
      </c>
      <c r="D76">
        <v>77.3</v>
      </c>
      <c r="E76" t="s">
        <v>3253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3360</v>
      </c>
      <c r="B77" t="s">
        <v>3618</v>
      </c>
      <c r="C77" t="s">
        <v>3373</v>
      </c>
      <c r="D77">
        <v>87.4</v>
      </c>
      <c r="E77" t="s">
        <v>3253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3360</v>
      </c>
      <c r="B78" t="s">
        <v>3618</v>
      </c>
      <c r="C78" t="s">
        <v>3374</v>
      </c>
      <c r="D78">
        <v>87.4</v>
      </c>
      <c r="E78" t="s">
        <v>3253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3360</v>
      </c>
      <c r="B79" t="s">
        <v>3618</v>
      </c>
      <c r="C79" t="s">
        <v>3375</v>
      </c>
      <c r="D79">
        <v>87.4</v>
      </c>
      <c r="E79" t="s">
        <v>3253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3360</v>
      </c>
      <c r="B80" t="s">
        <v>3618</v>
      </c>
      <c r="C80" t="s">
        <v>3376</v>
      </c>
      <c r="D80">
        <v>87.4</v>
      </c>
      <c r="E80" t="s">
        <v>3253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3360</v>
      </c>
      <c r="B81" t="s">
        <v>3618</v>
      </c>
      <c r="C81" t="s">
        <v>3377</v>
      </c>
      <c r="D81">
        <v>97.5</v>
      </c>
      <c r="E81" t="s">
        <v>3253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3360</v>
      </c>
      <c r="B82" t="s">
        <v>3618</v>
      </c>
      <c r="C82" t="s">
        <v>3378</v>
      </c>
      <c r="D82">
        <v>97.5</v>
      </c>
      <c r="E82" t="s">
        <v>3253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3360</v>
      </c>
      <c r="B83" t="s">
        <v>3618</v>
      </c>
      <c r="C83" t="s">
        <v>3379</v>
      </c>
      <c r="D83">
        <v>97.5</v>
      </c>
      <c r="E83" t="s">
        <v>3253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3360</v>
      </c>
      <c r="B84" t="s">
        <v>3618</v>
      </c>
      <c r="C84" t="s">
        <v>3380</v>
      </c>
      <c r="D84">
        <v>97.5</v>
      </c>
      <c r="E84" t="s">
        <v>3253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3360</v>
      </c>
      <c r="B85" t="s">
        <v>3618</v>
      </c>
      <c r="C85" t="s">
        <v>3381</v>
      </c>
      <c r="D85">
        <v>107.2</v>
      </c>
      <c r="E85" t="s">
        <v>3253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3360</v>
      </c>
      <c r="B86" t="s">
        <v>3618</v>
      </c>
      <c r="C86" t="s">
        <v>3382</v>
      </c>
      <c r="D86">
        <v>107.2</v>
      </c>
      <c r="E86" t="s">
        <v>3253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3360</v>
      </c>
      <c r="B87" t="s">
        <v>3618</v>
      </c>
      <c r="C87" t="s">
        <v>3383</v>
      </c>
      <c r="D87">
        <v>107.2</v>
      </c>
      <c r="E87" t="s">
        <v>3253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3360</v>
      </c>
      <c r="B88" t="s">
        <v>3618</v>
      </c>
      <c r="C88" t="s">
        <v>3384</v>
      </c>
      <c r="D88">
        <v>107.2</v>
      </c>
      <c r="E88" t="s">
        <v>3253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3360</v>
      </c>
      <c r="B89" t="s">
        <v>3618</v>
      </c>
      <c r="C89" t="s">
        <v>3385</v>
      </c>
      <c r="D89">
        <v>117.3</v>
      </c>
      <c r="E89" t="s">
        <v>3253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3360</v>
      </c>
      <c r="B90" t="s">
        <v>3618</v>
      </c>
      <c r="C90" t="s">
        <v>3386</v>
      </c>
      <c r="D90">
        <v>117.3</v>
      </c>
      <c r="E90" t="s">
        <v>3253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3360</v>
      </c>
      <c r="B91" t="s">
        <v>3618</v>
      </c>
      <c r="C91" t="s">
        <v>3387</v>
      </c>
      <c r="D91">
        <v>117.3</v>
      </c>
      <c r="E91" t="s">
        <v>3253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3360</v>
      </c>
      <c r="B92" t="s">
        <v>3618</v>
      </c>
      <c r="C92" t="s">
        <v>3388</v>
      </c>
      <c r="D92">
        <v>117.3</v>
      </c>
      <c r="E92" t="s">
        <v>3253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3360</v>
      </c>
      <c r="B93" t="s">
        <v>3618</v>
      </c>
      <c r="C93" t="s">
        <v>3389</v>
      </c>
      <c r="D93">
        <v>127.2</v>
      </c>
      <c r="E93" t="s">
        <v>3253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3360</v>
      </c>
      <c r="B94" t="s">
        <v>3618</v>
      </c>
      <c r="C94" t="s">
        <v>3390</v>
      </c>
      <c r="D94">
        <v>127.2</v>
      </c>
      <c r="E94" t="s">
        <v>3253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3360</v>
      </c>
      <c r="B95" t="s">
        <v>3618</v>
      </c>
      <c r="C95" t="s">
        <v>3391</v>
      </c>
      <c r="D95">
        <v>127.2</v>
      </c>
      <c r="E95" t="s">
        <v>3253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3360</v>
      </c>
      <c r="B96" t="s">
        <v>3618</v>
      </c>
      <c r="C96" t="s">
        <v>3392</v>
      </c>
      <c r="D96">
        <v>127.2</v>
      </c>
      <c r="E96" t="s">
        <v>3253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3360</v>
      </c>
      <c r="B97" t="s">
        <v>3618</v>
      </c>
      <c r="C97" t="s">
        <v>3393</v>
      </c>
      <c r="D97">
        <v>137.35</v>
      </c>
      <c r="E97" t="s">
        <v>3253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3360</v>
      </c>
      <c r="B98" t="s">
        <v>3618</v>
      </c>
      <c r="C98" t="s">
        <v>3394</v>
      </c>
      <c r="D98">
        <v>137.35</v>
      </c>
      <c r="E98" t="s">
        <v>3253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3360</v>
      </c>
      <c r="B99" t="s">
        <v>3618</v>
      </c>
      <c r="C99" t="s">
        <v>3395</v>
      </c>
      <c r="D99">
        <v>137.35</v>
      </c>
      <c r="E99" t="s">
        <v>3253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3360</v>
      </c>
      <c r="B100" t="s">
        <v>3618</v>
      </c>
      <c r="C100" t="s">
        <v>3396</v>
      </c>
      <c r="D100">
        <v>137.35</v>
      </c>
      <c r="E100" t="s">
        <v>3253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3360</v>
      </c>
      <c r="B101" t="s">
        <v>3618</v>
      </c>
      <c r="C101" t="s">
        <v>3397</v>
      </c>
      <c r="D101">
        <v>147.25</v>
      </c>
      <c r="E101" t="s">
        <v>3253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3360</v>
      </c>
      <c r="B102" t="s">
        <v>3618</v>
      </c>
      <c r="C102" t="s">
        <v>3398</v>
      </c>
      <c r="D102">
        <v>147.25</v>
      </c>
      <c r="E102" t="s">
        <v>3253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3360</v>
      </c>
      <c r="B103" t="s">
        <v>3618</v>
      </c>
      <c r="C103" t="s">
        <v>3399</v>
      </c>
      <c r="D103">
        <v>147.25</v>
      </c>
      <c r="E103" t="s">
        <v>3253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3360</v>
      </c>
      <c r="B104" t="s">
        <v>3618</v>
      </c>
      <c r="C104" t="s">
        <v>3400</v>
      </c>
      <c r="D104">
        <v>147.25</v>
      </c>
      <c r="E104" t="s">
        <v>3253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3360</v>
      </c>
      <c r="B105" t="s">
        <v>3618</v>
      </c>
      <c r="C105" t="s">
        <v>3401</v>
      </c>
      <c r="D105">
        <v>157.15</v>
      </c>
      <c r="E105" t="s">
        <v>3253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3360</v>
      </c>
      <c r="B106" t="s">
        <v>3618</v>
      </c>
      <c r="C106" t="s">
        <v>3402</v>
      </c>
      <c r="D106">
        <v>157.15</v>
      </c>
      <c r="E106" t="s">
        <v>3253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3360</v>
      </c>
      <c r="B107" t="s">
        <v>3618</v>
      </c>
      <c r="C107" t="s">
        <v>3403</v>
      </c>
      <c r="D107">
        <v>157.15</v>
      </c>
      <c r="E107" t="s">
        <v>3253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3360</v>
      </c>
      <c r="B108" t="s">
        <v>3618</v>
      </c>
      <c r="C108" t="s">
        <v>3404</v>
      </c>
      <c r="D108">
        <v>157.15</v>
      </c>
      <c r="E108" t="s">
        <v>3253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3360</v>
      </c>
      <c r="B109" t="s">
        <v>3618</v>
      </c>
      <c r="C109" t="s">
        <v>3405</v>
      </c>
      <c r="D109">
        <v>167.25</v>
      </c>
      <c r="E109" t="s">
        <v>3253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3360</v>
      </c>
      <c r="B110" t="s">
        <v>3618</v>
      </c>
      <c r="C110" t="s">
        <v>3406</v>
      </c>
      <c r="D110">
        <v>167.25</v>
      </c>
      <c r="E110" t="s">
        <v>3253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3360</v>
      </c>
      <c r="B111" t="s">
        <v>3618</v>
      </c>
      <c r="C111" t="s">
        <v>3407</v>
      </c>
      <c r="D111">
        <v>167.25</v>
      </c>
      <c r="E111" t="s">
        <v>3253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3360</v>
      </c>
      <c r="B112" t="s">
        <v>3618</v>
      </c>
      <c r="C112" t="s">
        <v>3408</v>
      </c>
      <c r="D112">
        <v>167.25</v>
      </c>
      <c r="E112" t="s">
        <v>3253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3360</v>
      </c>
      <c r="B113" t="s">
        <v>3618</v>
      </c>
      <c r="C113" t="s">
        <v>3409</v>
      </c>
      <c r="D113">
        <v>177.15</v>
      </c>
      <c r="E113" t="s">
        <v>3253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3360</v>
      </c>
      <c r="B114" t="s">
        <v>3618</v>
      </c>
      <c r="C114" t="s">
        <v>3410</v>
      </c>
      <c r="D114">
        <v>177.15</v>
      </c>
      <c r="E114" t="s">
        <v>3253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3360</v>
      </c>
      <c r="B115" t="s">
        <v>3618</v>
      </c>
      <c r="C115" t="s">
        <v>3411</v>
      </c>
      <c r="D115">
        <v>177.15</v>
      </c>
      <c r="E115" t="s">
        <v>3253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3360</v>
      </c>
      <c r="B116" t="s">
        <v>3618</v>
      </c>
      <c r="C116" t="s">
        <v>3412</v>
      </c>
      <c r="D116">
        <v>177.15</v>
      </c>
      <c r="E116" t="s">
        <v>3253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3360</v>
      </c>
      <c r="B117" t="s">
        <v>3618</v>
      </c>
      <c r="C117" t="s">
        <v>3413</v>
      </c>
      <c r="D117">
        <v>187.25</v>
      </c>
      <c r="E117" t="s">
        <v>3253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3360</v>
      </c>
      <c r="B118" t="s">
        <v>3618</v>
      </c>
      <c r="C118" t="s">
        <v>3414</v>
      </c>
      <c r="D118">
        <v>187.25</v>
      </c>
      <c r="E118" t="s">
        <v>3253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3360</v>
      </c>
      <c r="B119" t="s">
        <v>3618</v>
      </c>
      <c r="C119" t="s">
        <v>3415</v>
      </c>
      <c r="D119">
        <v>187.25</v>
      </c>
      <c r="E119" t="s">
        <v>3253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3360</v>
      </c>
      <c r="B120" t="s">
        <v>3618</v>
      </c>
      <c r="C120" t="s">
        <v>3416</v>
      </c>
      <c r="D120">
        <v>187.25</v>
      </c>
      <c r="E120" t="s">
        <v>3253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3360</v>
      </c>
      <c r="B121" t="s">
        <v>3618</v>
      </c>
      <c r="C121" t="s">
        <v>3417</v>
      </c>
      <c r="D121">
        <v>197.15</v>
      </c>
      <c r="E121" t="s">
        <v>3253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3360</v>
      </c>
      <c r="B122" t="s">
        <v>3618</v>
      </c>
      <c r="C122" t="s">
        <v>3418</v>
      </c>
      <c r="D122">
        <v>197.15</v>
      </c>
      <c r="E122" t="s">
        <v>3253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3360</v>
      </c>
      <c r="B123" t="s">
        <v>3618</v>
      </c>
      <c r="C123" t="s">
        <v>3419</v>
      </c>
      <c r="D123">
        <v>197.15</v>
      </c>
      <c r="E123" t="s">
        <v>3253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3360</v>
      </c>
      <c r="B124" t="s">
        <v>3618</v>
      </c>
      <c r="C124" t="s">
        <v>3420</v>
      </c>
      <c r="D124">
        <v>197.15</v>
      </c>
      <c r="E124" t="s">
        <v>3253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3360</v>
      </c>
      <c r="B125" t="s">
        <v>3618</v>
      </c>
      <c r="C125" t="s">
        <v>3421</v>
      </c>
      <c r="D125">
        <v>206.65</v>
      </c>
      <c r="E125" t="s">
        <v>3253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3360</v>
      </c>
      <c r="B126" t="s">
        <v>3618</v>
      </c>
      <c r="C126" t="s">
        <v>3422</v>
      </c>
      <c r="D126">
        <v>206.65</v>
      </c>
      <c r="E126" t="s">
        <v>3253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3360</v>
      </c>
      <c r="B127" t="s">
        <v>3618</v>
      </c>
      <c r="C127" t="s">
        <v>3423</v>
      </c>
      <c r="D127">
        <v>206.65</v>
      </c>
      <c r="E127" t="s">
        <v>3253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3360</v>
      </c>
      <c r="B128" t="s">
        <v>3618</v>
      </c>
      <c r="C128" t="s">
        <v>3424</v>
      </c>
      <c r="D128">
        <v>206.65</v>
      </c>
      <c r="E128" t="s">
        <v>3253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3360</v>
      </c>
      <c r="B129" t="s">
        <v>3618</v>
      </c>
      <c r="C129" t="s">
        <v>3425</v>
      </c>
      <c r="D129">
        <v>216.75</v>
      </c>
      <c r="E129" t="s">
        <v>3253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3360</v>
      </c>
      <c r="B130" t="s">
        <v>3618</v>
      </c>
      <c r="C130" t="s">
        <v>3426</v>
      </c>
      <c r="D130">
        <v>216.75</v>
      </c>
      <c r="E130" t="s">
        <v>3253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3360</v>
      </c>
      <c r="B131" t="s">
        <v>3618</v>
      </c>
      <c r="C131" t="s">
        <v>3427</v>
      </c>
      <c r="D131">
        <v>216.75</v>
      </c>
      <c r="E131" t="s">
        <v>3253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3360</v>
      </c>
      <c r="B132" t="s">
        <v>3618</v>
      </c>
      <c r="C132" t="s">
        <v>3428</v>
      </c>
      <c r="D132">
        <v>216.75</v>
      </c>
      <c r="E132" t="s">
        <v>3253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3360</v>
      </c>
      <c r="B133" t="s">
        <v>3618</v>
      </c>
      <c r="C133" t="s">
        <v>3429</v>
      </c>
      <c r="D133">
        <v>226.65</v>
      </c>
      <c r="E133" t="s">
        <v>3253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3360</v>
      </c>
      <c r="B134" t="s">
        <v>3618</v>
      </c>
      <c r="C134" t="s">
        <v>3430</v>
      </c>
      <c r="D134">
        <v>226.65</v>
      </c>
      <c r="E134" t="s">
        <v>3253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3360</v>
      </c>
      <c r="B135" t="s">
        <v>3618</v>
      </c>
      <c r="C135" t="s">
        <v>3431</v>
      </c>
      <c r="D135">
        <v>226.65</v>
      </c>
      <c r="E135" t="s">
        <v>3253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3360</v>
      </c>
      <c r="B136" t="s">
        <v>3618</v>
      </c>
      <c r="C136" t="s">
        <v>3432</v>
      </c>
      <c r="D136">
        <v>226.65</v>
      </c>
      <c r="E136" t="s">
        <v>3253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3360</v>
      </c>
      <c r="B137" t="s">
        <v>3618</v>
      </c>
      <c r="C137" t="s">
        <v>3433</v>
      </c>
      <c r="D137">
        <v>236.8</v>
      </c>
      <c r="E137" t="s">
        <v>3253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3360</v>
      </c>
      <c r="B138" t="s">
        <v>3618</v>
      </c>
      <c r="C138" t="s">
        <v>3434</v>
      </c>
      <c r="D138">
        <v>236.8</v>
      </c>
      <c r="E138" t="s">
        <v>3253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3360</v>
      </c>
      <c r="B139" t="s">
        <v>3618</v>
      </c>
      <c r="C139" t="s">
        <v>3435</v>
      </c>
      <c r="D139">
        <v>236.8</v>
      </c>
      <c r="E139" t="s">
        <v>3253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3360</v>
      </c>
      <c r="B140" t="s">
        <v>3618</v>
      </c>
      <c r="C140" t="s">
        <v>3436</v>
      </c>
      <c r="D140">
        <v>236.8</v>
      </c>
      <c r="E140" t="s">
        <v>3253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3360</v>
      </c>
      <c r="B141" t="s">
        <v>3618</v>
      </c>
      <c r="C141" t="s">
        <v>3437</v>
      </c>
      <c r="D141">
        <v>246.65</v>
      </c>
      <c r="E141" t="s">
        <v>3253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3360</v>
      </c>
      <c r="B142" t="s">
        <v>3618</v>
      </c>
      <c r="C142" t="s">
        <v>3438</v>
      </c>
      <c r="D142">
        <v>246.65</v>
      </c>
      <c r="E142" t="s">
        <v>3253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3360</v>
      </c>
      <c r="B143" t="s">
        <v>3618</v>
      </c>
      <c r="C143" t="s">
        <v>3439</v>
      </c>
      <c r="D143">
        <v>246.65</v>
      </c>
      <c r="E143" t="s">
        <v>3253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3360</v>
      </c>
      <c r="B144" t="s">
        <v>3618</v>
      </c>
      <c r="C144" t="s">
        <v>3440</v>
      </c>
      <c r="D144">
        <v>246.65</v>
      </c>
      <c r="E144" t="s">
        <v>3253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3360</v>
      </c>
      <c r="B145" t="s">
        <v>3618</v>
      </c>
      <c r="C145" t="s">
        <v>3441</v>
      </c>
      <c r="D145">
        <v>256.55</v>
      </c>
      <c r="E145" t="s">
        <v>3253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3360</v>
      </c>
      <c r="B146" t="s">
        <v>3618</v>
      </c>
      <c r="C146" t="s">
        <v>3442</v>
      </c>
      <c r="D146">
        <v>256.55</v>
      </c>
      <c r="E146" t="s">
        <v>3253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3360</v>
      </c>
      <c r="B147" t="s">
        <v>3618</v>
      </c>
      <c r="C147" t="s">
        <v>3443</v>
      </c>
      <c r="D147">
        <v>256.55</v>
      </c>
      <c r="E147" t="s">
        <v>3253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3360</v>
      </c>
      <c r="B148" t="s">
        <v>3618</v>
      </c>
      <c r="C148" t="s">
        <v>3444</v>
      </c>
      <c r="D148">
        <v>256.55</v>
      </c>
      <c r="E148" t="s">
        <v>3253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3360</v>
      </c>
      <c r="B149" t="s">
        <v>3618</v>
      </c>
      <c r="C149" t="s">
        <v>3445</v>
      </c>
      <c r="D149">
        <v>266.7</v>
      </c>
      <c r="E149" t="s">
        <v>3253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3360</v>
      </c>
      <c r="B150" t="s">
        <v>3618</v>
      </c>
      <c r="C150" t="s">
        <v>3446</v>
      </c>
      <c r="D150">
        <v>266.7</v>
      </c>
      <c r="E150" t="s">
        <v>3253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3360</v>
      </c>
      <c r="B151" t="s">
        <v>3618</v>
      </c>
      <c r="C151" t="s">
        <v>3447</v>
      </c>
      <c r="D151">
        <v>266.7</v>
      </c>
      <c r="E151" t="s">
        <v>3253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3360</v>
      </c>
      <c r="B152" t="s">
        <v>3618</v>
      </c>
      <c r="C152" t="s">
        <v>3448</v>
      </c>
      <c r="D152">
        <v>266.7</v>
      </c>
      <c r="E152" t="s">
        <v>3253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3360</v>
      </c>
      <c r="B153" t="s">
        <v>3618</v>
      </c>
      <c r="C153" t="s">
        <v>3449</v>
      </c>
      <c r="D153">
        <v>274.45</v>
      </c>
      <c r="E153" t="s">
        <v>3253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3360</v>
      </c>
      <c r="B154" t="s">
        <v>3618</v>
      </c>
      <c r="C154" t="s">
        <v>3450</v>
      </c>
      <c r="D154">
        <v>274.45</v>
      </c>
      <c r="E154" t="s">
        <v>3253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3360</v>
      </c>
      <c r="B155" t="s">
        <v>3618</v>
      </c>
      <c r="C155" t="s">
        <v>3451</v>
      </c>
      <c r="D155">
        <v>274.45</v>
      </c>
      <c r="E155" t="s">
        <v>3253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3360</v>
      </c>
      <c r="B156" t="s">
        <v>3618</v>
      </c>
      <c r="C156" t="s">
        <v>3452</v>
      </c>
      <c r="D156">
        <v>274.45</v>
      </c>
      <c r="E156" t="s">
        <v>3253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3360</v>
      </c>
      <c r="B157" t="s">
        <v>3618</v>
      </c>
      <c r="C157" t="s">
        <v>3453</v>
      </c>
      <c r="D157">
        <v>286.05</v>
      </c>
      <c r="E157" t="s">
        <v>3253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3360</v>
      </c>
      <c r="B158" t="s">
        <v>3618</v>
      </c>
      <c r="C158" t="s">
        <v>3454</v>
      </c>
      <c r="D158">
        <v>286.05</v>
      </c>
      <c r="E158" t="s">
        <v>3253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3360</v>
      </c>
      <c r="B159" t="s">
        <v>3618</v>
      </c>
      <c r="C159" t="s">
        <v>3455</v>
      </c>
      <c r="D159">
        <v>286.05</v>
      </c>
      <c r="E159" t="s">
        <v>3253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3360</v>
      </c>
      <c r="B160" t="s">
        <v>3618</v>
      </c>
      <c r="C160" t="s">
        <v>3456</v>
      </c>
      <c r="D160">
        <v>286.05</v>
      </c>
      <c r="E160" t="s">
        <v>3253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3264</v>
      </c>
      <c r="B161" t="s">
        <v>3615</v>
      </c>
      <c r="C161" t="s">
        <v>3286</v>
      </c>
      <c r="D161">
        <v>236.15</v>
      </c>
      <c r="E161" t="s">
        <v>3253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3264</v>
      </c>
      <c r="B162" t="s">
        <v>3615</v>
      </c>
      <c r="C162" t="s">
        <v>3287</v>
      </c>
      <c r="D162">
        <v>236.15</v>
      </c>
      <c r="E162" t="s">
        <v>3253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3264</v>
      </c>
      <c r="B163" t="s">
        <v>3615</v>
      </c>
      <c r="C163" t="s">
        <v>3288</v>
      </c>
      <c r="D163">
        <v>298.55</v>
      </c>
      <c r="E163" t="s">
        <v>3253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3550</v>
      </c>
      <c r="B164" t="s">
        <v>3619</v>
      </c>
      <c r="C164" t="s">
        <v>3551</v>
      </c>
      <c r="D164">
        <v>57.25</v>
      </c>
      <c r="E164" t="s">
        <v>3253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3550</v>
      </c>
      <c r="B165" t="s">
        <v>3619</v>
      </c>
      <c r="C165" t="s">
        <v>3552</v>
      </c>
      <c r="D165">
        <v>57.25</v>
      </c>
      <c r="E165" t="s">
        <v>3253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3550</v>
      </c>
      <c r="B166" t="s">
        <v>3619</v>
      </c>
      <c r="C166" t="s">
        <v>3553</v>
      </c>
      <c r="D166">
        <v>57.25</v>
      </c>
      <c r="E166" t="s">
        <v>3253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3550</v>
      </c>
      <c r="B167" t="s">
        <v>3619</v>
      </c>
      <c r="C167" t="s">
        <v>3554</v>
      </c>
      <c r="D167">
        <v>57.25</v>
      </c>
      <c r="E167" t="s">
        <v>3253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3550</v>
      </c>
      <c r="B168" t="s">
        <v>3619</v>
      </c>
      <c r="C168" t="s">
        <v>3555</v>
      </c>
      <c r="D168">
        <v>67.400000000000006</v>
      </c>
      <c r="E168" t="s">
        <v>3253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3550</v>
      </c>
      <c r="B169" t="s">
        <v>3619</v>
      </c>
      <c r="C169" t="s">
        <v>3556</v>
      </c>
      <c r="D169">
        <v>67.400000000000006</v>
      </c>
      <c r="E169" t="s">
        <v>3253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3550</v>
      </c>
      <c r="B170" t="s">
        <v>3619</v>
      </c>
      <c r="C170" t="s">
        <v>3557</v>
      </c>
      <c r="D170">
        <v>67.400000000000006</v>
      </c>
      <c r="E170" t="s">
        <v>3253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3550</v>
      </c>
      <c r="B171" t="s">
        <v>3619</v>
      </c>
      <c r="C171" t="s">
        <v>3558</v>
      </c>
      <c r="D171">
        <v>67.400000000000006</v>
      </c>
      <c r="E171" t="s">
        <v>3253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3550</v>
      </c>
      <c r="B172" t="s">
        <v>3619</v>
      </c>
      <c r="C172" t="s">
        <v>3559</v>
      </c>
      <c r="D172">
        <v>77.3</v>
      </c>
      <c r="E172" t="s">
        <v>3253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3550</v>
      </c>
      <c r="B173" t="s">
        <v>3619</v>
      </c>
      <c r="C173" t="s">
        <v>3560</v>
      </c>
      <c r="D173">
        <v>77.3</v>
      </c>
      <c r="E173" t="s">
        <v>3253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3550</v>
      </c>
      <c r="B174" t="s">
        <v>3619</v>
      </c>
      <c r="C174" t="s">
        <v>3561</v>
      </c>
      <c r="D174">
        <v>77.3</v>
      </c>
      <c r="E174" t="s">
        <v>3253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3550</v>
      </c>
      <c r="B175" t="s">
        <v>3619</v>
      </c>
      <c r="C175" t="s">
        <v>3562</v>
      </c>
      <c r="D175">
        <v>77.3</v>
      </c>
      <c r="E175" t="s">
        <v>3253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3550</v>
      </c>
      <c r="B176" t="s">
        <v>3619</v>
      </c>
      <c r="C176" t="s">
        <v>3563</v>
      </c>
      <c r="D176">
        <v>87.4</v>
      </c>
      <c r="E176" t="s">
        <v>3253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3550</v>
      </c>
      <c r="B177" t="s">
        <v>3619</v>
      </c>
      <c r="C177" t="s">
        <v>3564</v>
      </c>
      <c r="D177">
        <v>87.4</v>
      </c>
      <c r="E177" t="s">
        <v>3253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3550</v>
      </c>
      <c r="B178" t="s">
        <v>3619</v>
      </c>
      <c r="C178" t="s">
        <v>3565</v>
      </c>
      <c r="D178">
        <v>87.4</v>
      </c>
      <c r="E178" t="s">
        <v>3253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3550</v>
      </c>
      <c r="B179" t="s">
        <v>3619</v>
      </c>
      <c r="C179" t="s">
        <v>3566</v>
      </c>
      <c r="D179">
        <v>87.4</v>
      </c>
      <c r="E179" t="s">
        <v>3253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3550</v>
      </c>
      <c r="B180" t="s">
        <v>3619</v>
      </c>
      <c r="C180" t="s">
        <v>3567</v>
      </c>
      <c r="D180">
        <v>97.5</v>
      </c>
      <c r="E180" t="s">
        <v>3253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3550</v>
      </c>
      <c r="B181" t="s">
        <v>3619</v>
      </c>
      <c r="C181" t="s">
        <v>3568</v>
      </c>
      <c r="D181">
        <v>97.5</v>
      </c>
      <c r="E181" t="s">
        <v>3253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3550</v>
      </c>
      <c r="B182" t="s">
        <v>3619</v>
      </c>
      <c r="C182" t="s">
        <v>3569</v>
      </c>
      <c r="D182">
        <v>97.5</v>
      </c>
      <c r="E182" t="s">
        <v>3253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3550</v>
      </c>
      <c r="B183" t="s">
        <v>3619</v>
      </c>
      <c r="C183" t="s">
        <v>3570</v>
      </c>
      <c r="D183">
        <v>97.5</v>
      </c>
      <c r="E183" t="s">
        <v>3253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3550</v>
      </c>
      <c r="B184" t="s">
        <v>3619</v>
      </c>
      <c r="C184" t="s">
        <v>3571</v>
      </c>
      <c r="D184">
        <v>107.2</v>
      </c>
      <c r="E184" t="s">
        <v>3253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3550</v>
      </c>
      <c r="B185" t="s">
        <v>3619</v>
      </c>
      <c r="C185" t="s">
        <v>3572</v>
      </c>
      <c r="D185">
        <v>107.2</v>
      </c>
      <c r="E185" t="s">
        <v>3253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3550</v>
      </c>
      <c r="B186" t="s">
        <v>3619</v>
      </c>
      <c r="C186" t="s">
        <v>3573</v>
      </c>
      <c r="D186">
        <v>107.2</v>
      </c>
      <c r="E186" t="s">
        <v>3253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3550</v>
      </c>
      <c r="B187" t="s">
        <v>3619</v>
      </c>
      <c r="C187" t="s">
        <v>3574</v>
      </c>
      <c r="D187">
        <v>107.2</v>
      </c>
      <c r="E187" t="s">
        <v>3253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3550</v>
      </c>
      <c r="B188" t="s">
        <v>3619</v>
      </c>
      <c r="C188" t="s">
        <v>3575</v>
      </c>
      <c r="D188">
        <v>117.3</v>
      </c>
      <c r="E188" t="s">
        <v>3253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3550</v>
      </c>
      <c r="B189" t="s">
        <v>3619</v>
      </c>
      <c r="C189" t="s">
        <v>3576</v>
      </c>
      <c r="D189">
        <v>117.3</v>
      </c>
      <c r="E189" t="s">
        <v>3253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3550</v>
      </c>
      <c r="B190" t="s">
        <v>3619</v>
      </c>
      <c r="C190" t="s">
        <v>3577</v>
      </c>
      <c r="D190">
        <v>117.3</v>
      </c>
      <c r="E190" t="s">
        <v>3253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3550</v>
      </c>
      <c r="B191" t="s">
        <v>3619</v>
      </c>
      <c r="C191" t="s">
        <v>3578</v>
      </c>
      <c r="D191">
        <v>117.3</v>
      </c>
      <c r="E191" t="s">
        <v>3253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3550</v>
      </c>
      <c r="B192" t="s">
        <v>3619</v>
      </c>
      <c r="C192" t="s">
        <v>3579</v>
      </c>
      <c r="D192">
        <v>127.2</v>
      </c>
      <c r="E192" t="s">
        <v>3253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3550</v>
      </c>
      <c r="B193" t="s">
        <v>3619</v>
      </c>
      <c r="C193" t="s">
        <v>3580</v>
      </c>
      <c r="D193">
        <v>127.2</v>
      </c>
      <c r="E193" t="s">
        <v>3253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3550</v>
      </c>
      <c r="B194" t="s">
        <v>3619</v>
      </c>
      <c r="C194" t="s">
        <v>3581</v>
      </c>
      <c r="D194">
        <v>127.2</v>
      </c>
      <c r="E194" t="s">
        <v>3253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3550</v>
      </c>
      <c r="B195" t="s">
        <v>3619</v>
      </c>
      <c r="C195" t="s">
        <v>3582</v>
      </c>
      <c r="D195">
        <v>127.2</v>
      </c>
      <c r="E195" t="s">
        <v>3253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3550</v>
      </c>
      <c r="B196" t="s">
        <v>3619</v>
      </c>
      <c r="C196" t="s">
        <v>3583</v>
      </c>
      <c r="D196">
        <v>137.35</v>
      </c>
      <c r="E196" t="s">
        <v>3253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3550</v>
      </c>
      <c r="B197" t="s">
        <v>3619</v>
      </c>
      <c r="C197" t="s">
        <v>3584</v>
      </c>
      <c r="D197">
        <v>137.35</v>
      </c>
      <c r="E197" t="s">
        <v>3253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3550</v>
      </c>
      <c r="B198" t="s">
        <v>3619</v>
      </c>
      <c r="C198" t="s">
        <v>3585</v>
      </c>
      <c r="D198">
        <v>137.35</v>
      </c>
      <c r="E198" t="s">
        <v>3253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3550</v>
      </c>
      <c r="B199" t="s">
        <v>3619</v>
      </c>
      <c r="C199" t="s">
        <v>3586</v>
      </c>
      <c r="D199">
        <v>137.35</v>
      </c>
      <c r="E199" t="s">
        <v>3253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3550</v>
      </c>
      <c r="B200" t="s">
        <v>3619</v>
      </c>
      <c r="C200" t="s">
        <v>3587</v>
      </c>
      <c r="D200">
        <v>147.25</v>
      </c>
      <c r="E200" t="s">
        <v>3253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3550</v>
      </c>
      <c r="B201" t="s">
        <v>3619</v>
      </c>
      <c r="C201" t="s">
        <v>3588</v>
      </c>
      <c r="D201">
        <v>147.25</v>
      </c>
      <c r="E201" t="s">
        <v>3253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3550</v>
      </c>
      <c r="B202" t="s">
        <v>3619</v>
      </c>
      <c r="C202" t="s">
        <v>3589</v>
      </c>
      <c r="D202">
        <v>147.25</v>
      </c>
      <c r="E202" t="s">
        <v>3253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3550</v>
      </c>
      <c r="B203" t="s">
        <v>3619</v>
      </c>
      <c r="C203" t="s">
        <v>3590</v>
      </c>
      <c r="D203">
        <v>147.25</v>
      </c>
      <c r="E203" t="s">
        <v>3253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3550</v>
      </c>
      <c r="B204" t="s">
        <v>3619</v>
      </c>
      <c r="C204" t="s">
        <v>3591</v>
      </c>
      <c r="D204">
        <v>157.15</v>
      </c>
      <c r="E204" t="s">
        <v>3253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3550</v>
      </c>
      <c r="B205" t="s">
        <v>3619</v>
      </c>
      <c r="C205" t="s">
        <v>3592</v>
      </c>
      <c r="D205">
        <v>157.15</v>
      </c>
      <c r="E205" t="s">
        <v>3253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3550</v>
      </c>
      <c r="B206" t="s">
        <v>3619</v>
      </c>
      <c r="C206" t="s">
        <v>3593</v>
      </c>
      <c r="D206">
        <v>157.15</v>
      </c>
      <c r="E206" t="s">
        <v>3253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3550</v>
      </c>
      <c r="B207" t="s">
        <v>3619</v>
      </c>
      <c r="C207" t="s">
        <v>3594</v>
      </c>
      <c r="D207">
        <v>157.15</v>
      </c>
      <c r="E207" t="s">
        <v>3253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3550</v>
      </c>
      <c r="B208" t="s">
        <v>3619</v>
      </c>
      <c r="C208" t="s">
        <v>3595</v>
      </c>
      <c r="D208">
        <v>167.25</v>
      </c>
      <c r="E208" t="s">
        <v>3253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3550</v>
      </c>
      <c r="B209" t="s">
        <v>3619</v>
      </c>
      <c r="C209" t="s">
        <v>3596</v>
      </c>
      <c r="D209">
        <v>167.25</v>
      </c>
      <c r="E209" t="s">
        <v>3253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3550</v>
      </c>
      <c r="B210" t="s">
        <v>3619</v>
      </c>
      <c r="C210" t="s">
        <v>3597</v>
      </c>
      <c r="D210">
        <v>167.25</v>
      </c>
      <c r="E210" t="s">
        <v>3253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3550</v>
      </c>
      <c r="B211" t="s">
        <v>3619</v>
      </c>
      <c r="C211" t="s">
        <v>3598</v>
      </c>
      <c r="D211">
        <v>167.25</v>
      </c>
      <c r="E211" t="s">
        <v>3253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3550</v>
      </c>
      <c r="B212" t="s">
        <v>3619</v>
      </c>
      <c r="C212" t="s">
        <v>3599</v>
      </c>
      <c r="D212">
        <v>177.15</v>
      </c>
      <c r="E212" t="s">
        <v>3253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3550</v>
      </c>
      <c r="B213" t="s">
        <v>3619</v>
      </c>
      <c r="C213" t="s">
        <v>3600</v>
      </c>
      <c r="D213">
        <v>177.15</v>
      </c>
      <c r="E213" t="s">
        <v>3253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3550</v>
      </c>
      <c r="B214" t="s">
        <v>3619</v>
      </c>
      <c r="C214" t="s">
        <v>3601</v>
      </c>
      <c r="D214">
        <v>177.15</v>
      </c>
      <c r="E214" t="s">
        <v>3253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3550</v>
      </c>
      <c r="B215" t="s">
        <v>3619</v>
      </c>
      <c r="C215" t="s">
        <v>3602</v>
      </c>
      <c r="D215">
        <v>177.15</v>
      </c>
      <c r="E215" t="s">
        <v>3253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3550</v>
      </c>
      <c r="B216" t="s">
        <v>3619</v>
      </c>
      <c r="C216" t="s">
        <v>3603</v>
      </c>
      <c r="D216">
        <v>187.25</v>
      </c>
      <c r="E216" t="s">
        <v>3253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3550</v>
      </c>
      <c r="B217" t="s">
        <v>3619</v>
      </c>
      <c r="C217" t="s">
        <v>3604</v>
      </c>
      <c r="D217">
        <v>187.25</v>
      </c>
      <c r="E217" t="s">
        <v>3253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3550</v>
      </c>
      <c r="B218" t="s">
        <v>3619</v>
      </c>
      <c r="C218" t="s">
        <v>3605</v>
      </c>
      <c r="D218">
        <v>187.25</v>
      </c>
      <c r="E218" t="s">
        <v>3253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3550</v>
      </c>
      <c r="B219" t="s">
        <v>3619</v>
      </c>
      <c r="C219" t="s">
        <v>3606</v>
      </c>
      <c r="D219">
        <v>187.25</v>
      </c>
      <c r="E219" t="s">
        <v>3253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3550</v>
      </c>
      <c r="B220" t="s">
        <v>3619</v>
      </c>
      <c r="C220" t="s">
        <v>3607</v>
      </c>
      <c r="D220">
        <v>197.15</v>
      </c>
      <c r="E220" t="s">
        <v>3253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3550</v>
      </c>
      <c r="B221" t="s">
        <v>3619</v>
      </c>
      <c r="C221" t="s">
        <v>3608</v>
      </c>
      <c r="D221">
        <v>197.15</v>
      </c>
      <c r="E221" t="s">
        <v>3253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3550</v>
      </c>
      <c r="B222" t="s">
        <v>3619</v>
      </c>
      <c r="C222" t="s">
        <v>3609</v>
      </c>
      <c r="D222">
        <v>197.15</v>
      </c>
      <c r="E222" t="s">
        <v>3253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3550</v>
      </c>
      <c r="B223" t="s">
        <v>3619</v>
      </c>
      <c r="C223" t="s">
        <v>3610</v>
      </c>
      <c r="D223">
        <v>197.15</v>
      </c>
      <c r="E223" t="s">
        <v>3253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3612</v>
      </c>
      <c r="B224" t="s">
        <v>3620</v>
      </c>
      <c r="C224" t="s">
        <v>3613</v>
      </c>
      <c r="D224">
        <v>94.35</v>
      </c>
      <c r="E224" t="s">
        <v>3253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3612</v>
      </c>
      <c r="B225" t="s">
        <v>3620</v>
      </c>
      <c r="C225" t="s">
        <v>3614</v>
      </c>
      <c r="D225">
        <v>35.1</v>
      </c>
      <c r="E225" t="s">
        <v>3253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3457</v>
      </c>
      <c r="B226" t="s">
        <v>3621</v>
      </c>
      <c r="C226" t="s">
        <v>3458</v>
      </c>
      <c r="D226">
        <v>43.9</v>
      </c>
      <c r="E226" t="s">
        <v>3253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3457</v>
      </c>
      <c r="B227" t="s">
        <v>3621</v>
      </c>
      <c r="C227" t="s">
        <v>3459</v>
      </c>
      <c r="D227">
        <v>43.9</v>
      </c>
      <c r="E227" t="s">
        <v>3253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3457</v>
      </c>
      <c r="B228" t="s">
        <v>3621</v>
      </c>
      <c r="C228" t="s">
        <v>3460</v>
      </c>
      <c r="D228">
        <v>43.9</v>
      </c>
      <c r="E228" t="s">
        <v>3253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3457</v>
      </c>
      <c r="B229" t="s">
        <v>3621</v>
      </c>
      <c r="C229" t="s">
        <v>3461</v>
      </c>
      <c r="D229">
        <v>62.2</v>
      </c>
      <c r="E229" t="s">
        <v>3253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3457</v>
      </c>
      <c r="B230" t="s">
        <v>3621</v>
      </c>
      <c r="C230" t="s">
        <v>3462</v>
      </c>
      <c r="D230">
        <v>62.2</v>
      </c>
      <c r="E230" t="s">
        <v>3253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3264</v>
      </c>
      <c r="B231" t="s">
        <v>3615</v>
      </c>
      <c r="C231" t="s">
        <v>3289</v>
      </c>
      <c r="D231">
        <v>72.2</v>
      </c>
      <c r="E231" t="s">
        <v>3253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3264</v>
      </c>
      <c r="B232" t="s">
        <v>3615</v>
      </c>
      <c r="C232" t="s">
        <v>3290</v>
      </c>
      <c r="D232">
        <v>72.2</v>
      </c>
      <c r="E232" t="s">
        <v>3253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3264</v>
      </c>
      <c r="B233" t="s">
        <v>3615</v>
      </c>
      <c r="C233" t="s">
        <v>3291</v>
      </c>
      <c r="D233">
        <v>84.95</v>
      </c>
      <c r="E233" t="s">
        <v>3253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3264</v>
      </c>
      <c r="B234" t="s">
        <v>3615</v>
      </c>
      <c r="C234" t="s">
        <v>3292</v>
      </c>
      <c r="D234">
        <v>84.95</v>
      </c>
      <c r="E234" t="s">
        <v>3253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3264</v>
      </c>
      <c r="B235" t="s">
        <v>3615</v>
      </c>
      <c r="C235" t="s">
        <v>3293</v>
      </c>
      <c r="D235">
        <v>97.45</v>
      </c>
      <c r="E235" t="s">
        <v>3253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3264</v>
      </c>
      <c r="B236" t="s">
        <v>3615</v>
      </c>
      <c r="C236" t="s">
        <v>3294</v>
      </c>
      <c r="D236">
        <v>97.45</v>
      </c>
      <c r="E236" t="s">
        <v>3253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3264</v>
      </c>
      <c r="B237" t="s">
        <v>3615</v>
      </c>
      <c r="C237" t="s">
        <v>3295</v>
      </c>
      <c r="D237">
        <v>110.2</v>
      </c>
      <c r="E237" t="s">
        <v>3253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3264</v>
      </c>
      <c r="B238" t="s">
        <v>3615</v>
      </c>
      <c r="C238" t="s">
        <v>3296</v>
      </c>
      <c r="D238">
        <v>110.2</v>
      </c>
      <c r="E238" t="s">
        <v>3253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3264</v>
      </c>
      <c r="B239" t="s">
        <v>3615</v>
      </c>
      <c r="C239" t="s">
        <v>3297</v>
      </c>
      <c r="D239">
        <v>122.95</v>
      </c>
      <c r="E239" t="s">
        <v>3253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3264</v>
      </c>
      <c r="B240" t="s">
        <v>3615</v>
      </c>
      <c r="C240" t="s">
        <v>3298</v>
      </c>
      <c r="D240">
        <v>122.95</v>
      </c>
      <c r="E240" t="s">
        <v>3253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3264</v>
      </c>
      <c r="B241" t="s">
        <v>3615</v>
      </c>
      <c r="C241" t="s">
        <v>3299</v>
      </c>
      <c r="D241">
        <v>135.15</v>
      </c>
      <c r="E241" t="s">
        <v>3253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3264</v>
      </c>
      <c r="B242" t="s">
        <v>3615</v>
      </c>
      <c r="C242" t="s">
        <v>3300</v>
      </c>
      <c r="D242">
        <v>135.15</v>
      </c>
      <c r="E242" t="s">
        <v>3253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3457</v>
      </c>
      <c r="B243" t="s">
        <v>3621</v>
      </c>
      <c r="C243" t="s">
        <v>3463</v>
      </c>
      <c r="D243">
        <v>62.2</v>
      </c>
      <c r="E243" t="s">
        <v>3253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3457</v>
      </c>
      <c r="B244" t="s">
        <v>3621</v>
      </c>
      <c r="C244" t="s">
        <v>3464</v>
      </c>
      <c r="D244">
        <v>62.2</v>
      </c>
      <c r="E244" t="s">
        <v>3253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3457</v>
      </c>
      <c r="B245" t="s">
        <v>3621</v>
      </c>
      <c r="C245" t="s">
        <v>3465</v>
      </c>
      <c r="D245">
        <v>43.9</v>
      </c>
      <c r="E245" t="s">
        <v>3253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3457</v>
      </c>
      <c r="B246" t="s">
        <v>3621</v>
      </c>
      <c r="C246" t="s">
        <v>3466</v>
      </c>
      <c r="D246">
        <v>80.5</v>
      </c>
      <c r="E246" t="s">
        <v>3253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3457</v>
      </c>
      <c r="B247" t="s">
        <v>3621</v>
      </c>
      <c r="C247" t="s">
        <v>3467</v>
      </c>
      <c r="D247">
        <v>98.8</v>
      </c>
      <c r="E247" t="s">
        <v>3253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3457</v>
      </c>
      <c r="B248" t="s">
        <v>3621</v>
      </c>
      <c r="C248" t="s">
        <v>3468</v>
      </c>
      <c r="D248">
        <v>117.1</v>
      </c>
      <c r="E248" t="s">
        <v>3253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3457</v>
      </c>
      <c r="B249" t="s">
        <v>3621</v>
      </c>
      <c r="C249" t="s">
        <v>3469</v>
      </c>
      <c r="D249">
        <v>135.4</v>
      </c>
      <c r="E249" t="s">
        <v>3253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3457</v>
      </c>
      <c r="B250" t="s">
        <v>3621</v>
      </c>
      <c r="C250" t="s">
        <v>3470</v>
      </c>
      <c r="D250">
        <v>80.5</v>
      </c>
      <c r="E250" t="s">
        <v>3253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3457</v>
      </c>
      <c r="B251" t="s">
        <v>3621</v>
      </c>
      <c r="C251" t="s">
        <v>3471</v>
      </c>
      <c r="D251">
        <v>98.8</v>
      </c>
      <c r="E251" t="s">
        <v>3253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3457</v>
      </c>
      <c r="B252" t="s">
        <v>3621</v>
      </c>
      <c r="C252" t="s">
        <v>3472</v>
      </c>
      <c r="D252">
        <v>117.1</v>
      </c>
      <c r="E252" t="s">
        <v>3253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3457</v>
      </c>
      <c r="B253" t="s">
        <v>3621</v>
      </c>
      <c r="C253" t="s">
        <v>3473</v>
      </c>
      <c r="D253">
        <v>135.4</v>
      </c>
      <c r="E253" t="s">
        <v>3253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3457</v>
      </c>
      <c r="B254" t="s">
        <v>3621</v>
      </c>
      <c r="C254" t="s">
        <v>3474</v>
      </c>
      <c r="D254">
        <v>80.5</v>
      </c>
      <c r="E254" t="s">
        <v>3253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3457</v>
      </c>
      <c r="B255" t="s">
        <v>3621</v>
      </c>
      <c r="C255" t="s">
        <v>3475</v>
      </c>
      <c r="D255">
        <v>98.8</v>
      </c>
      <c r="E255" t="s">
        <v>3253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3457</v>
      </c>
      <c r="B256" t="s">
        <v>3621</v>
      </c>
      <c r="C256" t="s">
        <v>3476</v>
      </c>
      <c r="D256">
        <v>117.1</v>
      </c>
      <c r="E256" t="s">
        <v>3253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3457</v>
      </c>
      <c r="B257" t="s">
        <v>3621</v>
      </c>
      <c r="C257" t="s">
        <v>3477</v>
      </c>
      <c r="D257">
        <v>135.4</v>
      </c>
      <c r="E257" t="s">
        <v>3253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3457</v>
      </c>
      <c r="B258" t="s">
        <v>3621</v>
      </c>
      <c r="C258" t="s">
        <v>3478</v>
      </c>
      <c r="D258">
        <v>80.5</v>
      </c>
      <c r="E258" t="s">
        <v>3253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3457</v>
      </c>
      <c r="B259" t="s">
        <v>3621</v>
      </c>
      <c r="C259" t="s">
        <v>3479</v>
      </c>
      <c r="D259">
        <v>98.8</v>
      </c>
      <c r="E259" t="s">
        <v>3253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3457</v>
      </c>
      <c r="B260" t="s">
        <v>3621</v>
      </c>
      <c r="C260" t="s">
        <v>3480</v>
      </c>
      <c r="D260">
        <v>117.1</v>
      </c>
      <c r="E260" t="s">
        <v>3253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3457</v>
      </c>
      <c r="B261" t="s">
        <v>3621</v>
      </c>
      <c r="C261" t="s">
        <v>3481</v>
      </c>
      <c r="D261">
        <v>135.4</v>
      </c>
      <c r="E261" t="s">
        <v>3253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3264</v>
      </c>
      <c r="B262" t="s">
        <v>3615</v>
      </c>
      <c r="C262" t="s">
        <v>3301</v>
      </c>
      <c r="D262">
        <v>223.4</v>
      </c>
      <c r="E262" t="s">
        <v>3253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3264</v>
      </c>
      <c r="B263" t="s">
        <v>3615</v>
      </c>
      <c r="C263" t="s">
        <v>3302</v>
      </c>
      <c r="D263">
        <v>223.4</v>
      </c>
      <c r="E263" t="s">
        <v>3253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3457</v>
      </c>
      <c r="B264" t="s">
        <v>3621</v>
      </c>
      <c r="C264" t="s">
        <v>3482</v>
      </c>
      <c r="D264">
        <v>153.69999999999999</v>
      </c>
      <c r="E264" t="s">
        <v>3253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3457</v>
      </c>
      <c r="B265" t="s">
        <v>3621</v>
      </c>
      <c r="C265" t="s">
        <v>3483</v>
      </c>
      <c r="D265">
        <v>172</v>
      </c>
      <c r="E265" t="s">
        <v>3253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3457</v>
      </c>
      <c r="B266" t="s">
        <v>3621</v>
      </c>
      <c r="C266" t="s">
        <v>3484</v>
      </c>
      <c r="D266">
        <v>190.3</v>
      </c>
      <c r="E266" t="s">
        <v>3253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3457</v>
      </c>
      <c r="B267" t="s">
        <v>3621</v>
      </c>
      <c r="C267" t="s">
        <v>3485</v>
      </c>
      <c r="D267">
        <v>208.6</v>
      </c>
      <c r="E267" t="s">
        <v>3253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3457</v>
      </c>
      <c r="B268" t="s">
        <v>3621</v>
      </c>
      <c r="C268" t="s">
        <v>3486</v>
      </c>
      <c r="D268">
        <v>226.85</v>
      </c>
      <c r="E268" t="s">
        <v>3253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3457</v>
      </c>
      <c r="B269" t="s">
        <v>3621</v>
      </c>
      <c r="C269" t="s">
        <v>3487</v>
      </c>
      <c r="D269">
        <v>245.15</v>
      </c>
      <c r="E269" t="s">
        <v>3253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3457</v>
      </c>
      <c r="B270" t="s">
        <v>3621</v>
      </c>
      <c r="C270" t="s">
        <v>3488</v>
      </c>
      <c r="D270">
        <v>263.45</v>
      </c>
      <c r="E270" t="s">
        <v>3253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3457</v>
      </c>
      <c r="B271" t="s">
        <v>3621</v>
      </c>
      <c r="C271" t="s">
        <v>3489</v>
      </c>
      <c r="D271">
        <v>281.75</v>
      </c>
      <c r="E271" t="s">
        <v>3253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3457</v>
      </c>
      <c r="B272" t="s">
        <v>3621</v>
      </c>
      <c r="C272" t="s">
        <v>3490</v>
      </c>
      <c r="D272">
        <v>300.05</v>
      </c>
      <c r="E272" t="s">
        <v>3253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3457</v>
      </c>
      <c r="B273" t="s">
        <v>3621</v>
      </c>
      <c r="C273" t="s">
        <v>3491</v>
      </c>
      <c r="D273">
        <v>153.69999999999999</v>
      </c>
      <c r="E273" t="s">
        <v>3253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3457</v>
      </c>
      <c r="B274" t="s">
        <v>3621</v>
      </c>
      <c r="C274" t="s">
        <v>3492</v>
      </c>
      <c r="D274">
        <v>172</v>
      </c>
      <c r="E274" t="s">
        <v>3253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3457</v>
      </c>
      <c r="B275" t="s">
        <v>3621</v>
      </c>
      <c r="C275" t="s">
        <v>3493</v>
      </c>
      <c r="D275">
        <v>190.3</v>
      </c>
      <c r="E275" t="s">
        <v>3253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3457</v>
      </c>
      <c r="B276" t="s">
        <v>3621</v>
      </c>
      <c r="C276" t="s">
        <v>3494</v>
      </c>
      <c r="D276">
        <v>208.6</v>
      </c>
      <c r="E276" t="s">
        <v>3253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3457</v>
      </c>
      <c r="B277" t="s">
        <v>3621</v>
      </c>
      <c r="C277" t="s">
        <v>3495</v>
      </c>
      <c r="D277">
        <v>226.85</v>
      </c>
      <c r="E277" t="s">
        <v>3253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3457</v>
      </c>
      <c r="B278" t="s">
        <v>3621</v>
      </c>
      <c r="C278" t="s">
        <v>3496</v>
      </c>
      <c r="D278">
        <v>245.15</v>
      </c>
      <c r="E278" t="s">
        <v>3253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3457</v>
      </c>
      <c r="B279" t="s">
        <v>3621</v>
      </c>
      <c r="C279" t="s">
        <v>3497</v>
      </c>
      <c r="D279">
        <v>263.45</v>
      </c>
      <c r="E279" t="s">
        <v>3253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3457</v>
      </c>
      <c r="B280" t="s">
        <v>3621</v>
      </c>
      <c r="C280" t="s">
        <v>3498</v>
      </c>
      <c r="D280">
        <v>281.75</v>
      </c>
      <c r="E280" t="s">
        <v>3253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3457</v>
      </c>
      <c r="B281" t="s">
        <v>3621</v>
      </c>
      <c r="C281" t="s">
        <v>3499</v>
      </c>
      <c r="D281">
        <v>300.05</v>
      </c>
      <c r="E281" t="s">
        <v>3253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3457</v>
      </c>
      <c r="B282" t="s">
        <v>3621</v>
      </c>
      <c r="C282" t="s">
        <v>3500</v>
      </c>
      <c r="D282">
        <v>153.69999999999999</v>
      </c>
      <c r="E282" t="s">
        <v>3253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3457</v>
      </c>
      <c r="B283" t="s">
        <v>3621</v>
      </c>
      <c r="C283" t="s">
        <v>3501</v>
      </c>
      <c r="D283">
        <v>172</v>
      </c>
      <c r="E283" t="s">
        <v>3253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3457</v>
      </c>
      <c r="B284" t="s">
        <v>3621</v>
      </c>
      <c r="C284" t="s">
        <v>3502</v>
      </c>
      <c r="D284">
        <v>190.3</v>
      </c>
      <c r="E284" t="s">
        <v>3253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3457</v>
      </c>
      <c r="B285" t="s">
        <v>3621</v>
      </c>
      <c r="C285" t="s">
        <v>3503</v>
      </c>
      <c r="D285">
        <v>208.6</v>
      </c>
      <c r="E285" t="s">
        <v>3253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3457</v>
      </c>
      <c r="B286" t="s">
        <v>3621</v>
      </c>
      <c r="C286" t="s">
        <v>3504</v>
      </c>
      <c r="D286">
        <v>226.85</v>
      </c>
      <c r="E286" t="s">
        <v>3253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3457</v>
      </c>
      <c r="B287" t="s">
        <v>3621</v>
      </c>
      <c r="C287" t="s">
        <v>3505</v>
      </c>
      <c r="D287">
        <v>245.15</v>
      </c>
      <c r="E287" t="s">
        <v>3253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3457</v>
      </c>
      <c r="B288" t="s">
        <v>3621</v>
      </c>
      <c r="C288" t="s">
        <v>3506</v>
      </c>
      <c r="D288">
        <v>263.45</v>
      </c>
      <c r="E288" t="s">
        <v>3253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3457</v>
      </c>
      <c r="B289" t="s">
        <v>3621</v>
      </c>
      <c r="C289" t="s">
        <v>3507</v>
      </c>
      <c r="D289">
        <v>281.75</v>
      </c>
      <c r="E289" t="s">
        <v>3253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3457</v>
      </c>
      <c r="B290" t="s">
        <v>3621</v>
      </c>
      <c r="C290" t="s">
        <v>3508</v>
      </c>
      <c r="D290">
        <v>300.05</v>
      </c>
      <c r="E290" t="s">
        <v>3253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3457</v>
      </c>
      <c r="B291" t="s">
        <v>3621</v>
      </c>
      <c r="C291" t="s">
        <v>3509</v>
      </c>
      <c r="D291">
        <v>153.69999999999999</v>
      </c>
      <c r="E291" t="s">
        <v>3253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3457</v>
      </c>
      <c r="B292" t="s">
        <v>3621</v>
      </c>
      <c r="C292" t="s">
        <v>3510</v>
      </c>
      <c r="D292">
        <v>172</v>
      </c>
      <c r="E292" t="s">
        <v>3253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3457</v>
      </c>
      <c r="B293" t="s">
        <v>3621</v>
      </c>
      <c r="C293" t="s">
        <v>3511</v>
      </c>
      <c r="D293">
        <v>190.3</v>
      </c>
      <c r="E293" t="s">
        <v>3253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3457</v>
      </c>
      <c r="B294" t="s">
        <v>3621</v>
      </c>
      <c r="C294" t="s">
        <v>3512</v>
      </c>
      <c r="D294">
        <v>208.6</v>
      </c>
      <c r="E294" t="s">
        <v>3253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3457</v>
      </c>
      <c r="B295" t="s">
        <v>3621</v>
      </c>
      <c r="C295" t="s">
        <v>3513</v>
      </c>
      <c r="D295">
        <v>226.85</v>
      </c>
      <c r="E295" t="s">
        <v>3253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3457</v>
      </c>
      <c r="B296" t="s">
        <v>3621</v>
      </c>
      <c r="C296" t="s">
        <v>3514</v>
      </c>
      <c r="D296">
        <v>245.15</v>
      </c>
      <c r="E296" t="s">
        <v>3253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3457</v>
      </c>
      <c r="B297" t="s">
        <v>3621</v>
      </c>
      <c r="C297" t="s">
        <v>3515</v>
      </c>
      <c r="D297">
        <v>263.45</v>
      </c>
      <c r="E297" t="s">
        <v>3253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3457</v>
      </c>
      <c r="B298" t="s">
        <v>3621</v>
      </c>
      <c r="C298" t="s">
        <v>3516</v>
      </c>
      <c r="D298">
        <v>281.75</v>
      </c>
      <c r="E298" t="s">
        <v>3253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3457</v>
      </c>
      <c r="B299" t="s">
        <v>3621</v>
      </c>
      <c r="C299" t="s">
        <v>3517</v>
      </c>
      <c r="D299">
        <v>300.05</v>
      </c>
      <c r="E299" t="s">
        <v>3253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3457</v>
      </c>
      <c r="B300" t="s">
        <v>3621</v>
      </c>
      <c r="C300" t="s">
        <v>3518</v>
      </c>
      <c r="D300">
        <v>318.35000000000002</v>
      </c>
      <c r="E300" t="s">
        <v>3253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3457</v>
      </c>
      <c r="B301" t="s">
        <v>3621</v>
      </c>
      <c r="C301" t="s">
        <v>3519</v>
      </c>
      <c r="D301">
        <v>336.65</v>
      </c>
      <c r="E301" t="s">
        <v>3253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3457</v>
      </c>
      <c r="B302" t="s">
        <v>3621</v>
      </c>
      <c r="C302" t="s">
        <v>3520</v>
      </c>
      <c r="D302">
        <v>354.95</v>
      </c>
      <c r="E302" t="s">
        <v>3253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3457</v>
      </c>
      <c r="B303" t="s">
        <v>3621</v>
      </c>
      <c r="C303" t="s">
        <v>3521</v>
      </c>
      <c r="D303">
        <v>373.25</v>
      </c>
      <c r="E303" t="s">
        <v>3253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3457</v>
      </c>
      <c r="B304" t="s">
        <v>3621</v>
      </c>
      <c r="C304" t="s">
        <v>3522</v>
      </c>
      <c r="D304">
        <v>391.5</v>
      </c>
      <c r="E304" t="s">
        <v>3253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3457</v>
      </c>
      <c r="B305" t="s">
        <v>3621</v>
      </c>
      <c r="C305" t="s">
        <v>3523</v>
      </c>
      <c r="D305">
        <v>409.85</v>
      </c>
      <c r="E305" t="s">
        <v>3253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3457</v>
      </c>
      <c r="B306" t="s">
        <v>3621</v>
      </c>
      <c r="C306" t="s">
        <v>3524</v>
      </c>
      <c r="D306">
        <v>428.15</v>
      </c>
      <c r="E306" t="s">
        <v>3253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3457</v>
      </c>
      <c r="B307" t="s">
        <v>3621</v>
      </c>
      <c r="C307" t="s">
        <v>3525</v>
      </c>
      <c r="D307">
        <v>446.4</v>
      </c>
      <c r="E307" t="s">
        <v>3253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3457</v>
      </c>
      <c r="B308" t="s">
        <v>3621</v>
      </c>
      <c r="C308" t="s">
        <v>3526</v>
      </c>
      <c r="D308">
        <v>318.35000000000002</v>
      </c>
      <c r="E308" t="s">
        <v>3253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3457</v>
      </c>
      <c r="B309" t="s">
        <v>3621</v>
      </c>
      <c r="C309" t="s">
        <v>3527</v>
      </c>
      <c r="D309">
        <v>336.65</v>
      </c>
      <c r="E309" t="s">
        <v>3253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3457</v>
      </c>
      <c r="B310" t="s">
        <v>3621</v>
      </c>
      <c r="C310" t="s">
        <v>3528</v>
      </c>
      <c r="D310">
        <v>354.95</v>
      </c>
      <c r="E310" t="s">
        <v>3253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3457</v>
      </c>
      <c r="B311" t="s">
        <v>3621</v>
      </c>
      <c r="C311" t="s">
        <v>3529</v>
      </c>
      <c r="D311">
        <v>373.25</v>
      </c>
      <c r="E311" t="s">
        <v>3253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3457</v>
      </c>
      <c r="B312" t="s">
        <v>3621</v>
      </c>
      <c r="C312" t="s">
        <v>3530</v>
      </c>
      <c r="D312">
        <v>391.5</v>
      </c>
      <c r="E312" t="s">
        <v>3253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3457</v>
      </c>
      <c r="B313" t="s">
        <v>3621</v>
      </c>
      <c r="C313" t="s">
        <v>3531</v>
      </c>
      <c r="D313">
        <v>409.85</v>
      </c>
      <c r="E313" t="s">
        <v>3253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3457</v>
      </c>
      <c r="B314" t="s">
        <v>3621</v>
      </c>
      <c r="C314" t="s">
        <v>3532</v>
      </c>
      <c r="D314">
        <v>428.15</v>
      </c>
      <c r="E314" t="s">
        <v>3253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3457</v>
      </c>
      <c r="B315" t="s">
        <v>3621</v>
      </c>
      <c r="C315" t="s">
        <v>3533</v>
      </c>
      <c r="D315">
        <v>446.4</v>
      </c>
      <c r="E315" t="s">
        <v>3253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3457</v>
      </c>
      <c r="B316" t="s">
        <v>3621</v>
      </c>
      <c r="C316" t="s">
        <v>3534</v>
      </c>
      <c r="D316">
        <v>318.35000000000002</v>
      </c>
      <c r="E316" t="s">
        <v>3253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3457</v>
      </c>
      <c r="B317" t="s">
        <v>3621</v>
      </c>
      <c r="C317" t="s">
        <v>3535</v>
      </c>
      <c r="D317">
        <v>336.65</v>
      </c>
      <c r="E317" t="s">
        <v>3253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3457</v>
      </c>
      <c r="B318" t="s">
        <v>3621</v>
      </c>
      <c r="C318" t="s">
        <v>3536</v>
      </c>
      <c r="D318">
        <v>354.95</v>
      </c>
      <c r="E318" t="s">
        <v>3253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3457</v>
      </c>
      <c r="B319" t="s">
        <v>3621</v>
      </c>
      <c r="C319" t="s">
        <v>3537</v>
      </c>
      <c r="D319">
        <v>373.25</v>
      </c>
      <c r="E319" t="s">
        <v>3253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3457</v>
      </c>
      <c r="B320" t="s">
        <v>3621</v>
      </c>
      <c r="C320" t="s">
        <v>3538</v>
      </c>
      <c r="D320">
        <v>391.5</v>
      </c>
      <c r="E320" t="s">
        <v>3253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3457</v>
      </c>
      <c r="B321" t="s">
        <v>3621</v>
      </c>
      <c r="C321" t="s">
        <v>3539</v>
      </c>
      <c r="D321">
        <v>409.85</v>
      </c>
      <c r="E321" t="s">
        <v>3253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3457</v>
      </c>
      <c r="B322" t="s">
        <v>3621</v>
      </c>
      <c r="C322" t="s">
        <v>3540</v>
      </c>
      <c r="D322">
        <v>428.15</v>
      </c>
      <c r="E322" t="s">
        <v>3253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3457</v>
      </c>
      <c r="B323" t="s">
        <v>3621</v>
      </c>
      <c r="C323" t="s">
        <v>3541</v>
      </c>
      <c r="D323">
        <v>446.4</v>
      </c>
      <c r="E323" t="s">
        <v>3253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3457</v>
      </c>
      <c r="B324" t="s">
        <v>3621</v>
      </c>
      <c r="C324" t="s">
        <v>3542</v>
      </c>
      <c r="D324">
        <v>318.35000000000002</v>
      </c>
      <c r="E324" t="s">
        <v>3253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3457</v>
      </c>
      <c r="B325" t="s">
        <v>3621</v>
      </c>
      <c r="C325" t="s">
        <v>3543</v>
      </c>
      <c r="D325">
        <v>336.65</v>
      </c>
      <c r="E325" t="s">
        <v>3253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3457</v>
      </c>
      <c r="B326" t="s">
        <v>3621</v>
      </c>
      <c r="C326" t="s">
        <v>3544</v>
      </c>
      <c r="D326">
        <v>354.95</v>
      </c>
      <c r="E326" t="s">
        <v>3253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3457</v>
      </c>
      <c r="B327" t="s">
        <v>3621</v>
      </c>
      <c r="C327" t="s">
        <v>3545</v>
      </c>
      <c r="D327">
        <v>373.25</v>
      </c>
      <c r="E327" t="s">
        <v>3253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3457</v>
      </c>
      <c r="B328" t="s">
        <v>3621</v>
      </c>
      <c r="C328" t="s">
        <v>3546</v>
      </c>
      <c r="D328">
        <v>391.5</v>
      </c>
      <c r="E328" t="s">
        <v>3253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3457</v>
      </c>
      <c r="B329" t="s">
        <v>3621</v>
      </c>
      <c r="C329" t="s">
        <v>3547</v>
      </c>
      <c r="D329">
        <v>409.85</v>
      </c>
      <c r="E329" t="s">
        <v>3253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3457</v>
      </c>
      <c r="B330" t="s">
        <v>3621</v>
      </c>
      <c r="C330" t="s">
        <v>3548</v>
      </c>
      <c r="D330">
        <v>428.15</v>
      </c>
      <c r="E330" t="s">
        <v>3253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3457</v>
      </c>
      <c r="B331" t="s">
        <v>3621</v>
      </c>
      <c r="C331" t="s">
        <v>3549</v>
      </c>
      <c r="D331">
        <v>446.4</v>
      </c>
      <c r="E331" t="s">
        <v>3253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3264</v>
      </c>
      <c r="B332" t="s">
        <v>3615</v>
      </c>
      <c r="C332" t="s">
        <v>3303</v>
      </c>
      <c r="D332">
        <v>185.65</v>
      </c>
      <c r="E332" t="s">
        <v>3253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3264</v>
      </c>
      <c r="B333" t="s">
        <v>3615</v>
      </c>
      <c r="C333" t="s">
        <v>3304</v>
      </c>
      <c r="D333">
        <v>198.15</v>
      </c>
      <c r="E333" t="s">
        <v>3253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3264</v>
      </c>
      <c r="B334" t="s">
        <v>3615</v>
      </c>
      <c r="C334" t="s">
        <v>3305</v>
      </c>
      <c r="D334">
        <v>198.15</v>
      </c>
      <c r="E334" t="s">
        <v>3253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3264</v>
      </c>
      <c r="B335" t="s">
        <v>3615</v>
      </c>
      <c r="C335" t="s">
        <v>3306</v>
      </c>
      <c r="D335">
        <v>210.9</v>
      </c>
      <c r="E335" t="s">
        <v>3253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3264</v>
      </c>
      <c r="B336" t="s">
        <v>3615</v>
      </c>
      <c r="C336" t="s">
        <v>3307</v>
      </c>
      <c r="D336">
        <v>147.94999999999999</v>
      </c>
      <c r="E336" t="s">
        <v>3253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3264</v>
      </c>
      <c r="B337" t="s">
        <v>3615</v>
      </c>
      <c r="C337" t="s">
        <v>3308</v>
      </c>
      <c r="D337">
        <v>59.45</v>
      </c>
      <c r="E337" t="s">
        <v>3253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3611</v>
      </c>
      <c r="B338" t="s">
        <v>3622</v>
      </c>
      <c r="C338" t="s">
        <v>166</v>
      </c>
      <c r="D338">
        <v>75.349999999999994</v>
      </c>
      <c r="E338" t="s">
        <v>3253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3611</v>
      </c>
      <c r="B339" t="s">
        <v>3622</v>
      </c>
      <c r="C339" t="s">
        <v>168</v>
      </c>
      <c r="D339">
        <v>115.15</v>
      </c>
      <c r="E339" t="s">
        <v>3253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3611</v>
      </c>
      <c r="B340" t="s">
        <v>3622</v>
      </c>
      <c r="C340" t="s">
        <v>170</v>
      </c>
      <c r="D340">
        <v>155.19999999999999</v>
      </c>
      <c r="E340" t="s">
        <v>3253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3611</v>
      </c>
      <c r="B341" t="s">
        <v>3622</v>
      </c>
      <c r="C341" t="s">
        <v>172</v>
      </c>
      <c r="D341">
        <v>195</v>
      </c>
      <c r="E341" t="s">
        <v>3253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3611</v>
      </c>
      <c r="B342" t="s">
        <v>3622</v>
      </c>
      <c r="C342" t="s">
        <v>174</v>
      </c>
      <c r="D342">
        <v>235</v>
      </c>
      <c r="E342" t="s">
        <v>3253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3264</v>
      </c>
      <c r="B343" t="s">
        <v>3615</v>
      </c>
      <c r="C343" t="s">
        <v>3309</v>
      </c>
      <c r="D343">
        <v>147.94999999999999</v>
      </c>
      <c r="E343" t="s">
        <v>3253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3264</v>
      </c>
      <c r="B344" t="s">
        <v>3615</v>
      </c>
      <c r="C344" t="s">
        <v>3310</v>
      </c>
      <c r="D344">
        <v>59.45</v>
      </c>
      <c r="E344" t="s">
        <v>3253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3264</v>
      </c>
      <c r="B345" t="s">
        <v>3615</v>
      </c>
      <c r="C345" t="s">
        <v>3311</v>
      </c>
      <c r="D345">
        <v>160.4</v>
      </c>
      <c r="E345" t="s">
        <v>3253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3264</v>
      </c>
      <c r="B346" t="s">
        <v>3615</v>
      </c>
      <c r="C346" t="s">
        <v>3312</v>
      </c>
      <c r="D346">
        <v>160.4</v>
      </c>
      <c r="E346" t="s">
        <v>3253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3264</v>
      </c>
      <c r="B347" t="s">
        <v>3615</v>
      </c>
      <c r="C347" t="s">
        <v>3313</v>
      </c>
      <c r="D347">
        <v>173.15</v>
      </c>
      <c r="E347" t="s">
        <v>3253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3264</v>
      </c>
      <c r="B348" t="s">
        <v>3615</v>
      </c>
      <c r="C348" t="s">
        <v>3314</v>
      </c>
      <c r="D348">
        <v>173.15</v>
      </c>
      <c r="E348" t="s">
        <v>3253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workbookViewId="0">
      <selection activeCell="A63" sqref="A63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3623</v>
      </c>
      <c r="B4" s="25" t="s">
        <v>3624</v>
      </c>
      <c r="C4" s="26"/>
      <c r="D4" s="27" t="s">
        <v>3625</v>
      </c>
      <c r="E4" s="28"/>
      <c r="G4" s="29" t="s">
        <v>3626</v>
      </c>
      <c r="H4" s="30" t="s">
        <v>3627</v>
      </c>
      <c r="J4" s="31" t="s">
        <v>3628</v>
      </c>
      <c r="K4" s="32" t="s">
        <v>3629</v>
      </c>
      <c r="L4" s="32" t="s">
        <v>3630</v>
      </c>
      <c r="M4" s="33" t="s">
        <v>3631</v>
      </c>
      <c r="N4" s="34" t="s">
        <v>3632</v>
      </c>
      <c r="O4" s="35" t="s">
        <v>3633</v>
      </c>
      <c r="P4" s="36" t="s">
        <v>3634</v>
      </c>
      <c r="Q4" s="2"/>
      <c r="R4" s="37" t="s">
        <v>3635</v>
      </c>
      <c r="S4" s="37" t="s">
        <v>3636</v>
      </c>
      <c r="T4" s="37" t="s">
        <v>3637</v>
      </c>
      <c r="U4" s="37" t="s">
        <v>3638</v>
      </c>
      <c r="V4" s="37" t="s">
        <v>3639</v>
      </c>
      <c r="W4" s="37" t="s">
        <v>3640</v>
      </c>
      <c r="Y4" s="37" t="s">
        <v>3641</v>
      </c>
      <c r="Z4" s="38" t="s">
        <v>3642</v>
      </c>
      <c r="AA4" s="37" t="s">
        <v>3643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3644</v>
      </c>
      <c r="B6" s="39"/>
      <c r="C6" s="40"/>
      <c r="E6" s="46"/>
      <c r="L6" s="47" t="s">
        <v>3645</v>
      </c>
      <c r="M6" s="48" t="s">
        <v>3646</v>
      </c>
      <c r="N6" s="48" t="s">
        <v>3646</v>
      </c>
      <c r="O6" s="48" t="s">
        <v>3646</v>
      </c>
      <c r="P6" s="49" t="s">
        <v>3646</v>
      </c>
      <c r="Q6" s="48" t="s">
        <v>3646</v>
      </c>
      <c r="U6" s="18" t="e">
        <v>#REF!</v>
      </c>
      <c r="Y6" s="48" t="s">
        <v>3646</v>
      </c>
    </row>
    <row r="7" spans="1:27" x14ac:dyDescent="0.25">
      <c r="A7" s="50" t="s">
        <v>79</v>
      </c>
      <c r="B7" s="51">
        <v>205.85000000000002</v>
      </c>
      <c r="C7" s="52"/>
      <c r="D7" s="2" t="s">
        <v>77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22</v>
      </c>
      <c r="N7" s="57" t="s">
        <v>22</v>
      </c>
      <c r="O7" s="51">
        <v>205.85000000000002</v>
      </c>
      <c r="P7" s="58">
        <v>0</v>
      </c>
      <c r="Q7" s="18" t="s">
        <v>22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77</v>
      </c>
      <c r="AA7">
        <v>1</v>
      </c>
    </row>
    <row r="8" spans="1:27" x14ac:dyDescent="0.25">
      <c r="A8" s="50" t="s">
        <v>82</v>
      </c>
      <c r="B8" s="51">
        <v>210.8</v>
      </c>
      <c r="C8" s="52"/>
      <c r="D8" s="2" t="s">
        <v>80</v>
      </c>
      <c r="E8" s="53"/>
      <c r="G8" s="54"/>
      <c r="J8" s="55"/>
      <c r="L8" s="56"/>
      <c r="M8" s="57" t="s">
        <v>22</v>
      </c>
      <c r="N8" s="57" t="s">
        <v>22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22</v>
      </c>
      <c r="Z8" s="2" t="s">
        <v>80</v>
      </c>
      <c r="AA8">
        <v>2</v>
      </c>
    </row>
    <row r="9" spans="1:27" x14ac:dyDescent="0.25">
      <c r="A9" s="50" t="s">
        <v>86</v>
      </c>
      <c r="B9" s="51">
        <v>242.05</v>
      </c>
      <c r="C9" s="52"/>
      <c r="D9" s="2" t="s">
        <v>83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22</v>
      </c>
      <c r="N9" s="57" t="s">
        <v>22</v>
      </c>
      <c r="O9" s="51">
        <v>242.05</v>
      </c>
      <c r="P9" s="58">
        <v>0</v>
      </c>
      <c r="Q9" s="18" t="s">
        <v>22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83</v>
      </c>
      <c r="AA9">
        <v>3</v>
      </c>
    </row>
    <row r="10" spans="1:27" x14ac:dyDescent="0.25">
      <c r="A10" s="50" t="s">
        <v>90</v>
      </c>
      <c r="B10" s="51">
        <v>222.55</v>
      </c>
      <c r="C10" s="52"/>
      <c r="D10" s="2" t="s">
        <v>87</v>
      </c>
      <c r="E10" s="53"/>
      <c r="G10" s="54"/>
      <c r="J10" s="55"/>
      <c r="L10" s="56"/>
      <c r="M10" s="57" t="s">
        <v>22</v>
      </c>
      <c r="N10" s="57" t="s">
        <v>22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22</v>
      </c>
      <c r="Z10" s="2" t="s">
        <v>87</v>
      </c>
      <c r="AA10">
        <v>4</v>
      </c>
    </row>
    <row r="11" spans="1:27" x14ac:dyDescent="0.25">
      <c r="A11" s="50" t="s">
        <v>33</v>
      </c>
      <c r="B11" s="51">
        <v>173.9</v>
      </c>
      <c r="C11" s="52"/>
      <c r="D11" s="2" t="s">
        <v>30</v>
      </c>
      <c r="E11" s="53"/>
      <c r="G11" s="54"/>
      <c r="J11" s="55"/>
      <c r="L11" s="56"/>
      <c r="M11" s="57" t="s">
        <v>22</v>
      </c>
      <c r="N11" s="57" t="s">
        <v>22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22</v>
      </c>
      <c r="Z11" s="2" t="s">
        <v>30</v>
      </c>
      <c r="AA11">
        <v>5</v>
      </c>
    </row>
    <row r="12" spans="1:27" x14ac:dyDescent="0.25">
      <c r="A12" s="50" t="s">
        <v>37</v>
      </c>
      <c r="B12" s="51">
        <v>250.3</v>
      </c>
      <c r="C12" s="52"/>
      <c r="D12" s="2" t="s">
        <v>34</v>
      </c>
      <c r="E12" s="53"/>
      <c r="G12" s="54"/>
      <c r="J12" s="55"/>
      <c r="L12" s="56"/>
      <c r="M12" s="57" t="s">
        <v>22</v>
      </c>
      <c r="N12" s="57" t="s">
        <v>22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22</v>
      </c>
      <c r="Z12" s="2" t="s">
        <v>34</v>
      </c>
      <c r="AA12">
        <v>6</v>
      </c>
    </row>
    <row r="13" spans="1:27" x14ac:dyDescent="0.25">
      <c r="A13" s="50" t="s">
        <v>41</v>
      </c>
      <c r="B13" s="51">
        <v>152</v>
      </c>
      <c r="C13" s="52"/>
      <c r="D13" s="2" t="s">
        <v>38</v>
      </c>
      <c r="E13" s="53"/>
      <c r="G13" s="54"/>
      <c r="J13" s="55"/>
      <c r="L13" s="56"/>
      <c r="M13" s="57" t="s">
        <v>22</v>
      </c>
      <c r="N13" s="57" t="s">
        <v>22</v>
      </c>
      <c r="O13" s="51">
        <v>152</v>
      </c>
      <c r="P13" s="58">
        <v>0</v>
      </c>
      <c r="Q13" s="18" t="s">
        <v>22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38</v>
      </c>
      <c r="AA13">
        <v>7</v>
      </c>
    </row>
    <row r="14" spans="1:27" x14ac:dyDescent="0.25">
      <c r="A14" s="50" t="s">
        <v>45</v>
      </c>
      <c r="B14" s="51">
        <v>199.65</v>
      </c>
      <c r="C14" s="52"/>
      <c r="D14" s="2" t="s">
        <v>42</v>
      </c>
      <c r="E14" s="53"/>
      <c r="G14" s="54"/>
      <c r="J14" s="55"/>
      <c r="L14" s="56"/>
      <c r="M14" s="57" t="s">
        <v>22</v>
      </c>
      <c r="N14" s="57" t="s">
        <v>22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42</v>
      </c>
      <c r="AA14">
        <v>8</v>
      </c>
    </row>
    <row r="15" spans="1:27" x14ac:dyDescent="0.25">
      <c r="A15" s="50" t="s">
        <v>47</v>
      </c>
      <c r="B15" s="51">
        <v>287.35000000000002</v>
      </c>
      <c r="C15" s="52"/>
      <c r="D15" s="2" t="s">
        <v>46</v>
      </c>
      <c r="E15" s="53"/>
      <c r="G15" s="54"/>
      <c r="J15" s="55"/>
      <c r="L15" s="56"/>
      <c r="M15" s="57" t="s">
        <v>22</v>
      </c>
      <c r="N15" s="57" t="s">
        <v>22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22</v>
      </c>
      <c r="Z15" s="2" t="s">
        <v>46</v>
      </c>
      <c r="AA15">
        <v>9</v>
      </c>
    </row>
    <row r="16" spans="1:27" x14ac:dyDescent="0.25">
      <c r="A16" s="60" t="s">
        <v>51</v>
      </c>
      <c r="B16" s="51">
        <v>32.5</v>
      </c>
      <c r="C16" s="52"/>
      <c r="D16" s="2" t="s">
        <v>49</v>
      </c>
      <c r="E16" s="53"/>
      <c r="G16" s="54"/>
      <c r="J16" s="55"/>
      <c r="L16" s="56"/>
      <c r="M16" s="57" t="s">
        <v>22</v>
      </c>
      <c r="N16" s="57" t="s">
        <v>22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22</v>
      </c>
      <c r="Z16" s="2" t="s">
        <v>49</v>
      </c>
      <c r="AA16">
        <v>10</v>
      </c>
    </row>
    <row r="17" spans="1:27" x14ac:dyDescent="0.25">
      <c r="A17" s="60" t="s">
        <v>96</v>
      </c>
      <c r="B17" s="51">
        <v>110</v>
      </c>
      <c r="C17" s="52"/>
      <c r="D17" s="2" t="s">
        <v>94</v>
      </c>
      <c r="E17" s="53"/>
      <c r="G17" s="54"/>
      <c r="J17" s="55"/>
      <c r="L17" s="56"/>
      <c r="M17" s="57" t="s">
        <v>22</v>
      </c>
      <c r="N17" s="57" t="s">
        <v>22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22</v>
      </c>
      <c r="Z17" s="2" t="s">
        <v>94</v>
      </c>
      <c r="AA17">
        <v>11</v>
      </c>
    </row>
    <row r="18" spans="1:27" x14ac:dyDescent="0.25">
      <c r="A18" s="60" t="s">
        <v>99</v>
      </c>
      <c r="B18" s="51">
        <v>105</v>
      </c>
      <c r="C18" s="52"/>
      <c r="D18" s="2" t="s">
        <v>97</v>
      </c>
      <c r="E18" s="53"/>
      <c r="G18" s="54"/>
      <c r="J18" s="55"/>
      <c r="L18" s="56"/>
      <c r="M18" s="57" t="s">
        <v>22</v>
      </c>
      <c r="N18" s="57" t="s">
        <v>22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22</v>
      </c>
      <c r="Z18" s="2" t="s">
        <v>97</v>
      </c>
      <c r="AA18">
        <v>12</v>
      </c>
    </row>
    <row r="19" spans="1:27" x14ac:dyDescent="0.25">
      <c r="A19" s="60" t="s">
        <v>102</v>
      </c>
      <c r="B19" s="51">
        <v>120</v>
      </c>
      <c r="C19" s="52"/>
      <c r="D19" s="2" t="s">
        <v>100</v>
      </c>
      <c r="E19" s="53"/>
      <c r="G19" s="54"/>
      <c r="J19" s="55"/>
      <c r="L19" s="56"/>
      <c r="M19" s="57" t="s">
        <v>22</v>
      </c>
      <c r="N19" s="57" t="s">
        <v>22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22</v>
      </c>
      <c r="Z19" s="2" t="s">
        <v>100</v>
      </c>
      <c r="AA19">
        <v>13</v>
      </c>
    </row>
    <row r="20" spans="1:27" x14ac:dyDescent="0.25">
      <c r="A20" s="60" t="s">
        <v>105</v>
      </c>
      <c r="B20" s="51">
        <v>145</v>
      </c>
      <c r="C20" s="52"/>
      <c r="D20" s="2" t="s">
        <v>103</v>
      </c>
      <c r="E20" s="53"/>
      <c r="G20" s="54"/>
      <c r="J20" s="55"/>
      <c r="L20" s="56"/>
      <c r="M20" s="57" t="s">
        <v>22</v>
      </c>
      <c r="N20" s="57" t="s">
        <v>22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22</v>
      </c>
      <c r="Z20" s="2" t="s">
        <v>103</v>
      </c>
      <c r="AA20">
        <v>14</v>
      </c>
    </row>
    <row r="21" spans="1:27" x14ac:dyDescent="0.25">
      <c r="A21" s="60" t="s">
        <v>108</v>
      </c>
      <c r="B21" s="51">
        <v>338</v>
      </c>
      <c r="C21" s="52"/>
      <c r="D21" s="2" t="s">
        <v>106</v>
      </c>
      <c r="E21" s="53"/>
      <c r="G21" s="54"/>
      <c r="J21" s="55"/>
      <c r="L21" s="56"/>
      <c r="M21" s="57" t="s">
        <v>22</v>
      </c>
      <c r="N21" s="57" t="s">
        <v>22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22</v>
      </c>
      <c r="Z21" s="2" t="s">
        <v>106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3647</v>
      </c>
      <c r="B23" s="61" t="s">
        <v>3648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3649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152</v>
      </c>
      <c r="B25" s="51">
        <v>36.6</v>
      </c>
      <c r="C25" s="52"/>
      <c r="D25" s="2" t="s">
        <v>151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22</v>
      </c>
      <c r="N25" s="57" t="s">
        <v>22</v>
      </c>
      <c r="O25" s="51">
        <v>36.6</v>
      </c>
      <c r="P25" s="58">
        <v>0</v>
      </c>
      <c r="Q25" s="18" t="s">
        <v>22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155</v>
      </c>
      <c r="B26" s="51">
        <v>36.6</v>
      </c>
      <c r="C26" s="52"/>
      <c r="D26" s="2" t="s">
        <v>154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22</v>
      </c>
      <c r="N26" s="57" t="s">
        <v>22</v>
      </c>
      <c r="O26" s="51">
        <v>36.6</v>
      </c>
      <c r="P26" s="58">
        <v>0</v>
      </c>
      <c r="Q26" s="18" t="s">
        <v>22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157</v>
      </c>
      <c r="B27" s="51">
        <v>36.6</v>
      </c>
      <c r="C27" s="52"/>
      <c r="D27" s="2" t="s">
        <v>156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22</v>
      </c>
      <c r="N27" s="57" t="s">
        <v>22</v>
      </c>
      <c r="O27" s="51">
        <v>36.6</v>
      </c>
      <c r="P27" s="58">
        <v>0</v>
      </c>
      <c r="Q27" s="18" t="s">
        <v>22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159</v>
      </c>
      <c r="B28" s="51">
        <v>36.6</v>
      </c>
      <c r="C28" s="52"/>
      <c r="D28" s="2" t="s">
        <v>158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22</v>
      </c>
      <c r="N28" s="57" t="s">
        <v>22</v>
      </c>
      <c r="O28" s="51">
        <v>36.6</v>
      </c>
      <c r="P28" s="58">
        <v>0</v>
      </c>
      <c r="Q28" s="18" t="s">
        <v>22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3650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3651</v>
      </c>
      <c r="B31" s="61" t="s">
        <v>3648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3649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117</v>
      </c>
      <c r="B33" s="67">
        <v>21.5</v>
      </c>
      <c r="C33" s="68"/>
      <c r="D33" s="69" t="s">
        <v>116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22</v>
      </c>
      <c r="N33" s="57" t="s">
        <v>22</v>
      </c>
      <c r="O33" s="51">
        <v>21.5</v>
      </c>
      <c r="P33" s="58">
        <v>0</v>
      </c>
      <c r="Q33" s="18" t="s">
        <v>22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119</v>
      </c>
      <c r="B34" s="67">
        <v>21.5</v>
      </c>
      <c r="C34" s="68"/>
      <c r="D34" s="69" t="s">
        <v>118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22</v>
      </c>
      <c r="N34" s="57" t="s">
        <v>22</v>
      </c>
      <c r="O34" s="51">
        <v>21.5</v>
      </c>
      <c r="P34" s="58">
        <v>0</v>
      </c>
      <c r="Q34" s="18" t="s">
        <v>22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121</v>
      </c>
      <c r="B35" s="67">
        <v>21.5</v>
      </c>
      <c r="C35" s="68"/>
      <c r="D35" s="69" t="s">
        <v>120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22</v>
      </c>
      <c r="N35" s="57" t="s">
        <v>22</v>
      </c>
      <c r="O35" s="51">
        <v>21.5</v>
      </c>
      <c r="P35" s="58">
        <v>0</v>
      </c>
      <c r="Q35" s="18" t="s">
        <v>22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123</v>
      </c>
      <c r="B36" s="67">
        <v>21.5</v>
      </c>
      <c r="C36" s="68"/>
      <c r="D36" s="69" t="s">
        <v>122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22</v>
      </c>
      <c r="N36" s="57" t="s">
        <v>22</v>
      </c>
      <c r="O36" s="51">
        <v>21.5</v>
      </c>
      <c r="P36" s="58">
        <v>0</v>
      </c>
      <c r="Q36" s="18" t="s">
        <v>22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125</v>
      </c>
      <c r="B37" s="67">
        <v>21.5</v>
      </c>
      <c r="C37" s="68"/>
      <c r="D37" s="69" t="s">
        <v>124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22</v>
      </c>
      <c r="N37" s="57" t="s">
        <v>22</v>
      </c>
      <c r="O37" s="51">
        <v>21.5</v>
      </c>
      <c r="P37" s="58">
        <v>0</v>
      </c>
      <c r="Q37" s="18" t="s">
        <v>22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127</v>
      </c>
      <c r="B38" s="67">
        <v>21.5</v>
      </c>
      <c r="C38" s="68"/>
      <c r="D38" s="69" t="s">
        <v>126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22</v>
      </c>
      <c r="N38" s="57" t="s">
        <v>22</v>
      </c>
      <c r="O38" s="51">
        <v>21.5</v>
      </c>
      <c r="P38" s="58">
        <v>0</v>
      </c>
      <c r="Q38" s="18" t="s">
        <v>22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3652</v>
      </c>
      <c r="B39" s="51"/>
      <c r="C39" s="52"/>
      <c r="E39" s="53"/>
      <c r="G39" s="54" t="s">
        <v>22</v>
      </c>
      <c r="H39" s="23" t="s">
        <v>22</v>
      </c>
      <c r="J39" s="17" t="s">
        <v>22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22</v>
      </c>
      <c r="H40" s="23" t="s">
        <v>22</v>
      </c>
      <c r="J40" s="17" t="s">
        <v>22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3653</v>
      </c>
      <c r="B41" s="61" t="s">
        <v>3648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117</v>
      </c>
      <c r="B43" s="51">
        <v>27.15</v>
      </c>
      <c r="C43" s="52"/>
      <c r="D43" s="2" t="s">
        <v>128</v>
      </c>
      <c r="E43" s="46"/>
      <c r="G43" s="54"/>
      <c r="L43" s="56"/>
      <c r="M43" s="57" t="s">
        <v>22</v>
      </c>
      <c r="N43" s="57" t="s">
        <v>22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119</v>
      </c>
      <c r="B44" s="51">
        <v>27.15</v>
      </c>
      <c r="C44" s="52"/>
      <c r="D44" s="2" t="s">
        <v>130</v>
      </c>
      <c r="E44" s="46"/>
      <c r="G44" s="54"/>
      <c r="L44" s="56"/>
      <c r="M44" s="57" t="s">
        <v>22</v>
      </c>
      <c r="N44" s="57" t="s">
        <v>22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132</v>
      </c>
      <c r="B45" s="51">
        <v>27.15</v>
      </c>
      <c r="C45" s="52"/>
      <c r="D45" s="2" t="s">
        <v>131</v>
      </c>
      <c r="E45" s="46"/>
      <c r="G45" s="54"/>
      <c r="L45" s="56"/>
      <c r="M45" s="57" t="s">
        <v>22</v>
      </c>
      <c r="N45" s="57" t="s">
        <v>22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134</v>
      </c>
      <c r="B46" s="51">
        <v>27.15</v>
      </c>
      <c r="C46" s="52"/>
      <c r="D46" s="2" t="s">
        <v>133</v>
      </c>
      <c r="E46" s="46"/>
      <c r="G46" s="54"/>
      <c r="L46" s="56"/>
      <c r="M46" s="57" t="s">
        <v>22</v>
      </c>
      <c r="N46" s="57" t="s">
        <v>22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3654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3652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3655</v>
      </c>
      <c r="B50" s="61" t="s">
        <v>3648</v>
      </c>
      <c r="C50" s="40"/>
      <c r="E50" s="65"/>
      <c r="G50" s="54" t="s">
        <v>22</v>
      </c>
      <c r="H50" s="23" t="s">
        <v>22</v>
      </c>
      <c r="J50" s="17" t="s">
        <v>22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3649</v>
      </c>
      <c r="B51" s="51"/>
      <c r="G51" s="54" t="s">
        <v>22</v>
      </c>
      <c r="H51" s="23" t="s">
        <v>22</v>
      </c>
      <c r="J51" s="17" t="s">
        <v>22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177</v>
      </c>
      <c r="B52" s="67">
        <v>21.5</v>
      </c>
      <c r="C52" s="68"/>
      <c r="D52" s="69" t="s">
        <v>175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22</v>
      </c>
      <c r="N52" s="57" t="s">
        <v>22</v>
      </c>
      <c r="O52" s="51">
        <v>21.5</v>
      </c>
      <c r="P52" s="58">
        <v>0</v>
      </c>
      <c r="Q52" s="18" t="s">
        <v>22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181</v>
      </c>
      <c r="B53" s="67">
        <v>21.5</v>
      </c>
      <c r="C53" s="68"/>
      <c r="D53" s="69" t="s">
        <v>179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22</v>
      </c>
      <c r="N53" s="57" t="s">
        <v>22</v>
      </c>
      <c r="O53" s="51">
        <v>21.5</v>
      </c>
      <c r="P53" s="58">
        <v>0</v>
      </c>
      <c r="Q53" s="18" t="s">
        <v>22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3652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3656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3657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161</v>
      </c>
      <c r="B58" s="51">
        <v>94.350000000000009</v>
      </c>
      <c r="C58" s="52"/>
      <c r="D58" s="2" t="s">
        <v>160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22</v>
      </c>
      <c r="N58" s="57" t="s">
        <v>22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3658</v>
      </c>
      <c r="Z58" s="2" t="s">
        <v>160</v>
      </c>
      <c r="AA58">
        <v>52</v>
      </c>
    </row>
    <row r="59" spans="1:27" x14ac:dyDescent="0.25">
      <c r="A59" s="1" t="s">
        <v>164</v>
      </c>
      <c r="B59" s="51">
        <v>35.1</v>
      </c>
      <c r="C59" s="52"/>
      <c r="D59" s="2" t="s">
        <v>163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22</v>
      </c>
      <c r="N59" s="57" t="s">
        <v>22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3658</v>
      </c>
      <c r="Z59" s="2" t="s">
        <v>163</v>
      </c>
      <c r="AA59">
        <v>53</v>
      </c>
    </row>
    <row r="60" spans="1:27" x14ac:dyDescent="0.25">
      <c r="B60" s="51"/>
      <c r="C60" s="52"/>
      <c r="E60" s="53"/>
      <c r="G60" s="54" t="s">
        <v>22</v>
      </c>
      <c r="H60" s="23" t="s">
        <v>22</v>
      </c>
      <c r="J60" s="17" t="s">
        <v>22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3249</v>
      </c>
      <c r="B61" s="51"/>
      <c r="C61" s="40"/>
      <c r="E61" s="41"/>
      <c r="G61" s="54" t="s">
        <v>22</v>
      </c>
      <c r="H61" s="23" t="s">
        <v>22</v>
      </c>
      <c r="J61" s="17" t="s">
        <v>22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3659</v>
      </c>
      <c r="B62" s="51"/>
      <c r="C62" s="52"/>
      <c r="E62" s="53"/>
      <c r="G62" s="54" t="s">
        <v>22</v>
      </c>
      <c r="H62" s="23" t="s">
        <v>22</v>
      </c>
      <c r="J62" s="17" t="s">
        <v>22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145</v>
      </c>
      <c r="B63" s="51">
        <v>64.850000000000009</v>
      </c>
      <c r="C63" s="52"/>
      <c r="D63" s="2" t="s">
        <v>144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22</v>
      </c>
      <c r="N63" s="57" t="s">
        <v>22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3658</v>
      </c>
      <c r="Z63" s="2" t="e">
        <v>#N/A</v>
      </c>
      <c r="AA63">
        <v>57</v>
      </c>
    </row>
    <row r="64" spans="1:27" x14ac:dyDescent="0.25">
      <c r="A64" s="1" t="s">
        <v>148</v>
      </c>
      <c r="B64" s="51">
        <v>67.55</v>
      </c>
      <c r="C64" s="52"/>
      <c r="D64" s="2" t="s">
        <v>147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22</v>
      </c>
      <c r="N64" s="57" t="s">
        <v>22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3658</v>
      </c>
      <c r="Z64" s="2" t="e">
        <v>#N/A</v>
      </c>
      <c r="AA64">
        <v>58</v>
      </c>
    </row>
    <row r="65" spans="1:27" x14ac:dyDescent="0.25">
      <c r="A65" s="1" t="s">
        <v>150</v>
      </c>
      <c r="B65" s="51">
        <v>70.2</v>
      </c>
      <c r="C65" s="52"/>
      <c r="D65" s="2" t="s">
        <v>149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22</v>
      </c>
      <c r="N65" s="57" t="s">
        <v>22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3658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22</v>
      </c>
      <c r="H66" s="23" t="s">
        <v>22</v>
      </c>
      <c r="J66" s="73" t="s">
        <v>22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3660</v>
      </c>
      <c r="B67" s="25" t="s">
        <v>3624</v>
      </c>
      <c r="C67" s="26"/>
      <c r="D67" s="27" t="s">
        <v>3625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3661</v>
      </c>
      <c r="B68" s="51"/>
      <c r="C68" s="40"/>
      <c r="E68" s="41"/>
      <c r="G68" s="54" t="s">
        <v>22</v>
      </c>
      <c r="H68" s="23" t="s">
        <v>22</v>
      </c>
      <c r="J68" s="73" t="s">
        <v>22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3662</v>
      </c>
      <c r="B69" s="51"/>
      <c r="G69" s="54" t="s">
        <v>22</v>
      </c>
      <c r="H69" s="23" t="s">
        <v>22</v>
      </c>
      <c r="J69" s="73" t="s">
        <v>22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136</v>
      </c>
      <c r="B70" s="51">
        <v>98.800000000000011</v>
      </c>
      <c r="C70" s="52"/>
      <c r="D70" s="2" t="s">
        <v>135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22</v>
      </c>
      <c r="N70" s="57" t="s">
        <v>22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3658</v>
      </c>
      <c r="Z70" s="2" t="e">
        <v>#N/A</v>
      </c>
      <c r="AA70">
        <v>64</v>
      </c>
    </row>
    <row r="71" spans="1:27" x14ac:dyDescent="0.25">
      <c r="A71" s="1" t="s">
        <v>139</v>
      </c>
      <c r="B71" s="51">
        <v>114.7</v>
      </c>
      <c r="C71" s="52"/>
      <c r="D71" s="2" t="s">
        <v>138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22</v>
      </c>
      <c r="N71" s="57" t="s">
        <v>22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3658</v>
      </c>
      <c r="Z71" s="2" t="e">
        <v>#N/A</v>
      </c>
      <c r="AA71">
        <v>65</v>
      </c>
    </row>
    <row r="72" spans="1:27" x14ac:dyDescent="0.25">
      <c r="A72" s="1" t="s">
        <v>141</v>
      </c>
      <c r="B72" s="51">
        <v>125.60000000000001</v>
      </c>
      <c r="C72" s="52"/>
      <c r="D72" s="2" t="s">
        <v>140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22</v>
      </c>
      <c r="N72" s="57" t="s">
        <v>22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3658</v>
      </c>
      <c r="Z72" s="2" t="e">
        <v>#N/A</v>
      </c>
      <c r="AA72">
        <v>66</v>
      </c>
    </row>
    <row r="73" spans="1:27" x14ac:dyDescent="0.25">
      <c r="A73" s="1" t="s">
        <v>143</v>
      </c>
      <c r="B73" s="51">
        <v>135.05000000000001</v>
      </c>
      <c r="C73" s="52"/>
      <c r="D73" s="2" t="s">
        <v>142</v>
      </c>
      <c r="E73" s="46"/>
      <c r="G73" s="54"/>
      <c r="J73" s="73"/>
      <c r="L73" s="56"/>
      <c r="M73" s="57" t="s">
        <v>22</v>
      </c>
      <c r="N73" s="57" t="s">
        <v>22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3658</v>
      </c>
      <c r="Z73" s="2" t="e">
        <v>#N/A</v>
      </c>
      <c r="AA73">
        <v>67</v>
      </c>
    </row>
    <row r="74" spans="1:27" x14ac:dyDescent="0.25">
      <c r="A74" s="45" t="s">
        <v>3663</v>
      </c>
      <c r="B74" s="51"/>
      <c r="C74" s="40"/>
      <c r="E74" s="41"/>
      <c r="G74" s="54" t="s">
        <v>22</v>
      </c>
      <c r="H74" s="23" t="s">
        <v>22</v>
      </c>
      <c r="J74" s="73" t="s">
        <v>22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3657</v>
      </c>
      <c r="B75" s="51"/>
      <c r="C75" s="52"/>
      <c r="E75" s="53"/>
      <c r="G75" s="54" t="s">
        <v>22</v>
      </c>
      <c r="H75" s="23" t="s">
        <v>22</v>
      </c>
      <c r="J75" s="73" t="s">
        <v>22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216</v>
      </c>
      <c r="B76" s="51">
        <v>62.5</v>
      </c>
      <c r="C76" s="52"/>
      <c r="D76" s="2" t="s">
        <v>214</v>
      </c>
      <c r="E76" s="46"/>
      <c r="G76" s="54"/>
      <c r="J76" s="73"/>
      <c r="L76" s="56"/>
      <c r="M76" s="57" t="s">
        <v>22</v>
      </c>
      <c r="N76" s="57" t="s">
        <v>22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214</v>
      </c>
      <c r="AA76">
        <v>70</v>
      </c>
    </row>
    <row r="77" spans="1:27" x14ac:dyDescent="0.25">
      <c r="A77" s="1" t="s">
        <v>219</v>
      </c>
      <c r="B77" s="51">
        <v>57.2</v>
      </c>
      <c r="C77" s="52"/>
      <c r="D77" s="2" t="s">
        <v>217</v>
      </c>
      <c r="E77" s="46"/>
      <c r="G77" s="54"/>
      <c r="J77" s="73"/>
      <c r="L77" s="56"/>
      <c r="M77" s="57" t="s">
        <v>22</v>
      </c>
      <c r="N77" s="57" t="s">
        <v>22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217</v>
      </c>
      <c r="AA77">
        <v>71</v>
      </c>
    </row>
    <row r="78" spans="1:27" ht="18" x14ac:dyDescent="0.25">
      <c r="A78" s="1" t="s">
        <v>222</v>
      </c>
      <c r="B78" s="51">
        <v>57.2</v>
      </c>
      <c r="C78" s="52"/>
      <c r="D78" s="75" t="s">
        <v>220</v>
      </c>
      <c r="E78" s="70"/>
      <c r="G78" s="54">
        <v>60.06</v>
      </c>
      <c r="H78" s="23">
        <v>60</v>
      </c>
      <c r="J78" s="73">
        <v>45.25</v>
      </c>
      <c r="L78" s="56"/>
      <c r="M78" s="57" t="s">
        <v>22</v>
      </c>
      <c r="N78" s="57" t="s">
        <v>22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220</v>
      </c>
      <c r="AA78">
        <v>72</v>
      </c>
    </row>
    <row r="79" spans="1:27" x14ac:dyDescent="0.25">
      <c r="A79" s="1" t="s">
        <v>225</v>
      </c>
      <c r="B79" s="51">
        <v>66.350000000000009</v>
      </c>
      <c r="C79" s="52"/>
      <c r="D79" s="75" t="s">
        <v>223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22</v>
      </c>
      <c r="N79" s="57" t="s">
        <v>22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223</v>
      </c>
      <c r="AA79">
        <v>73</v>
      </c>
    </row>
    <row r="80" spans="1:27" x14ac:dyDescent="0.25">
      <c r="A80" s="50" t="s">
        <v>228</v>
      </c>
      <c r="B80" s="51">
        <v>106.15</v>
      </c>
      <c r="C80" s="52"/>
      <c r="D80" s="2" t="s">
        <v>226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22</v>
      </c>
      <c r="N80" s="57" t="s">
        <v>22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22</v>
      </c>
      <c r="Z80" s="2" t="s">
        <v>226</v>
      </c>
      <c r="AA80">
        <v>74</v>
      </c>
    </row>
    <row r="81" spans="1:27" x14ac:dyDescent="0.25">
      <c r="A81" s="66" t="s">
        <v>231</v>
      </c>
      <c r="B81" s="51">
        <v>141.5</v>
      </c>
      <c r="C81" s="52"/>
      <c r="D81" s="75" t="s">
        <v>229</v>
      </c>
      <c r="E81" s="53"/>
      <c r="G81" s="54"/>
      <c r="J81" s="73"/>
      <c r="L81" s="56"/>
      <c r="M81" s="57" t="s">
        <v>22</v>
      </c>
      <c r="N81" s="57" t="s">
        <v>22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22</v>
      </c>
      <c r="Z81" s="2" t="s">
        <v>229</v>
      </c>
      <c r="AA81">
        <v>75</v>
      </c>
    </row>
    <row r="82" spans="1:27" x14ac:dyDescent="0.25">
      <c r="B82" s="51"/>
      <c r="C82" s="52"/>
      <c r="D82" s="75"/>
      <c r="E82" s="53"/>
      <c r="G82" s="54" t="s">
        <v>22</v>
      </c>
      <c r="H82" s="23" t="s">
        <v>22</v>
      </c>
      <c r="J82" s="73" t="s">
        <v>22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3664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3657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234</v>
      </c>
      <c r="B85" s="51">
        <v>8.0500000000000007</v>
      </c>
      <c r="C85" s="52"/>
      <c r="D85" s="75" t="s">
        <v>232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22</v>
      </c>
      <c r="N85" s="57" t="s">
        <v>22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232</v>
      </c>
      <c r="AA85">
        <v>79</v>
      </c>
    </row>
    <row r="86" spans="1:27" x14ac:dyDescent="0.25">
      <c r="A86" s="1" t="s">
        <v>237</v>
      </c>
      <c r="B86" s="51">
        <v>13.3</v>
      </c>
      <c r="C86" s="52"/>
      <c r="D86" s="75" t="s">
        <v>235</v>
      </c>
      <c r="E86" s="46"/>
      <c r="G86" s="54"/>
      <c r="J86" s="73"/>
      <c r="L86" s="56"/>
      <c r="M86" s="57" t="s">
        <v>22</v>
      </c>
      <c r="N86" s="57" t="s">
        <v>22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235</v>
      </c>
      <c r="AA86">
        <v>80</v>
      </c>
    </row>
    <row r="87" spans="1:27" x14ac:dyDescent="0.25">
      <c r="A87" s="66" t="s">
        <v>240</v>
      </c>
      <c r="B87" s="51">
        <v>13.3</v>
      </c>
      <c r="C87" s="52"/>
      <c r="D87" s="75" t="s">
        <v>238</v>
      </c>
      <c r="E87" s="46"/>
      <c r="G87" s="54"/>
      <c r="J87" s="73"/>
      <c r="L87" s="56"/>
      <c r="M87" s="57" t="s">
        <v>22</v>
      </c>
      <c r="N87" s="57" t="s">
        <v>22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22</v>
      </c>
      <c r="Z87" s="2" t="s">
        <v>238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3665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3657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243</v>
      </c>
      <c r="B91" s="51">
        <v>54.85</v>
      </c>
      <c r="C91" s="52"/>
      <c r="D91" s="2" t="s">
        <v>241</v>
      </c>
      <c r="E91" s="46"/>
      <c r="G91" s="54"/>
      <c r="J91" s="73"/>
      <c r="L91" s="56"/>
      <c r="M91" s="57" t="s">
        <v>22</v>
      </c>
      <c r="N91" s="57" t="s">
        <v>22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241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3666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3657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189</v>
      </c>
      <c r="B95" s="51">
        <v>151.55000000000001</v>
      </c>
      <c r="C95" s="52"/>
      <c r="D95" s="2" t="s">
        <v>187</v>
      </c>
      <c r="E95" s="53"/>
      <c r="G95" s="54"/>
      <c r="J95" s="73"/>
      <c r="L95" s="56"/>
      <c r="M95" s="57" t="s">
        <v>22</v>
      </c>
      <c r="N95" s="57" t="s">
        <v>22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187</v>
      </c>
      <c r="AA95">
        <v>89</v>
      </c>
    </row>
    <row r="96" spans="1:27" x14ac:dyDescent="0.25">
      <c r="A96" s="66" t="s">
        <v>192</v>
      </c>
      <c r="B96" s="67">
        <v>193.15</v>
      </c>
      <c r="C96" s="76"/>
      <c r="D96" s="2" t="s">
        <v>190</v>
      </c>
      <c r="E96" s="77"/>
      <c r="G96" s="54">
        <v>202.8075</v>
      </c>
      <c r="H96" s="23">
        <v>202.75</v>
      </c>
      <c r="J96" s="73" t="s">
        <v>22</v>
      </c>
      <c r="L96" s="56"/>
      <c r="M96" s="57" t="s">
        <v>22</v>
      </c>
      <c r="N96" s="57" t="s">
        <v>22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22</v>
      </c>
      <c r="Z96" s="2" t="s">
        <v>190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3667</v>
      </c>
      <c r="B98" s="51"/>
      <c r="C98" s="40"/>
      <c r="E98" s="41"/>
      <c r="G98" s="54" t="s">
        <v>22</v>
      </c>
      <c r="H98" s="23" t="s">
        <v>22</v>
      </c>
      <c r="J98" s="73" t="s">
        <v>22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3657</v>
      </c>
      <c r="B99" s="51"/>
      <c r="C99" s="52"/>
      <c r="E99" s="53"/>
      <c r="G99" s="54" t="s">
        <v>22</v>
      </c>
      <c r="H99" s="23" t="s">
        <v>22</v>
      </c>
      <c r="J99" s="73" t="s">
        <v>22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195</v>
      </c>
      <c r="B100" s="51">
        <v>47.150000000000006</v>
      </c>
      <c r="C100" s="52"/>
      <c r="D100" s="2" t="s">
        <v>193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22</v>
      </c>
      <c r="N100" s="57" t="s">
        <v>22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193</v>
      </c>
      <c r="AA100">
        <v>94</v>
      </c>
    </row>
    <row r="101" spans="1:27" x14ac:dyDescent="0.25">
      <c r="B101" s="51"/>
      <c r="C101" s="52"/>
      <c r="E101" s="53"/>
      <c r="G101" s="54" t="s">
        <v>22</v>
      </c>
      <c r="H101" s="23" t="s">
        <v>22</v>
      </c>
      <c r="J101" s="73" t="s">
        <v>22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3668</v>
      </c>
      <c r="B102" s="51"/>
      <c r="C102" s="52"/>
      <c r="E102" s="53"/>
      <c r="G102" s="54" t="s">
        <v>22</v>
      </c>
      <c r="H102" s="23" t="s">
        <v>22</v>
      </c>
      <c r="J102" s="73" t="s">
        <v>22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3657</v>
      </c>
      <c r="B103" s="51"/>
      <c r="C103" s="52"/>
      <c r="E103" s="53"/>
      <c r="G103" s="54" t="s">
        <v>22</v>
      </c>
      <c r="H103" s="23" t="s">
        <v>22</v>
      </c>
      <c r="J103" s="73" t="s">
        <v>22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198</v>
      </c>
      <c r="B104" s="51">
        <v>48.650000000000006</v>
      </c>
      <c r="C104" s="52"/>
      <c r="D104" s="2" t="s">
        <v>196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22</v>
      </c>
      <c r="N104" s="57" t="s">
        <v>22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196</v>
      </c>
      <c r="AA104">
        <v>98</v>
      </c>
    </row>
    <row r="105" spans="1:27" x14ac:dyDescent="0.25">
      <c r="B105" s="51"/>
      <c r="C105" s="52"/>
      <c r="E105" s="53"/>
      <c r="G105" s="54" t="s">
        <v>22</v>
      </c>
      <c r="H105" s="23" t="s">
        <v>22</v>
      </c>
      <c r="J105" s="73" t="s">
        <v>22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389</v>
      </c>
      <c r="B106" s="51">
        <v>1.25</v>
      </c>
      <c r="C106" s="52"/>
      <c r="D106" s="2" t="s">
        <v>388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22</v>
      </c>
      <c r="N106" s="57" t="s">
        <v>22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3658</v>
      </c>
      <c r="Z106" s="2" t="s">
        <v>388</v>
      </c>
      <c r="AA106">
        <v>100</v>
      </c>
    </row>
    <row r="107" spans="1:27" x14ac:dyDescent="0.25">
      <c r="A107" s="79" t="s">
        <v>3669</v>
      </c>
      <c r="B107" s="80"/>
      <c r="C107" s="81"/>
      <c r="D107" s="82"/>
      <c r="E107" s="83"/>
      <c r="F107" s="84"/>
      <c r="G107" s="85" t="s">
        <v>22</v>
      </c>
      <c r="H107" s="86" t="s">
        <v>22</v>
      </c>
      <c r="I107" s="84"/>
      <c r="J107" s="87" t="s">
        <v>22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3670</v>
      </c>
      <c r="B108" s="80"/>
      <c r="C108" s="81"/>
      <c r="D108" s="82"/>
      <c r="E108" s="83"/>
      <c r="F108" s="84"/>
      <c r="G108" s="85" t="s">
        <v>22</v>
      </c>
      <c r="H108" s="86" t="s">
        <v>22</v>
      </c>
      <c r="I108" s="84"/>
      <c r="J108" s="87" t="s">
        <v>22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3671</v>
      </c>
      <c r="B109" s="51"/>
      <c r="C109" s="40"/>
      <c r="E109" s="41"/>
      <c r="G109" s="54" t="s">
        <v>22</v>
      </c>
      <c r="H109" s="23" t="s">
        <v>22</v>
      </c>
      <c r="J109" s="63" t="s">
        <v>22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3672</v>
      </c>
      <c r="B110" s="51"/>
      <c r="C110" s="52"/>
      <c r="E110" s="53"/>
      <c r="G110" s="54" t="s">
        <v>22</v>
      </c>
      <c r="H110" s="23" t="s">
        <v>22</v>
      </c>
      <c r="J110" s="63" t="s">
        <v>22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251</v>
      </c>
      <c r="B111" s="51">
        <v>22.400000000000002</v>
      </c>
      <c r="C111" s="52"/>
      <c r="D111" s="2" t="s">
        <v>249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22</v>
      </c>
      <c r="N111" s="57" t="s">
        <v>22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249</v>
      </c>
      <c r="AA111">
        <v>105</v>
      </c>
    </row>
    <row r="112" spans="1:27" x14ac:dyDescent="0.25">
      <c r="A112" s="1" t="s">
        <v>254</v>
      </c>
      <c r="B112" s="51">
        <v>23.650000000000002</v>
      </c>
      <c r="C112" s="52"/>
      <c r="D112" s="2" t="s">
        <v>252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22</v>
      </c>
      <c r="N112" s="57" t="s">
        <v>22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252</v>
      </c>
      <c r="AA112">
        <v>106</v>
      </c>
    </row>
    <row r="113" spans="1:27" x14ac:dyDescent="0.25">
      <c r="A113" s="1" t="s">
        <v>257</v>
      </c>
      <c r="B113" s="51">
        <v>25.25</v>
      </c>
      <c r="C113" s="52"/>
      <c r="D113" s="2" t="s">
        <v>255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22</v>
      </c>
      <c r="N113" s="57" t="s">
        <v>22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255</v>
      </c>
      <c r="AA113">
        <v>107</v>
      </c>
    </row>
    <row r="114" spans="1:27" x14ac:dyDescent="0.25">
      <c r="A114" s="1" t="s">
        <v>260</v>
      </c>
      <c r="B114" s="51">
        <v>26.8</v>
      </c>
      <c r="C114" s="52"/>
      <c r="D114" s="2" t="s">
        <v>258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22</v>
      </c>
      <c r="N114" s="57" t="s">
        <v>22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258</v>
      </c>
      <c r="AA114">
        <v>108</v>
      </c>
    </row>
    <row r="115" spans="1:27" x14ac:dyDescent="0.25">
      <c r="A115" s="45" t="s">
        <v>3673</v>
      </c>
      <c r="B115" s="51"/>
      <c r="C115" s="40"/>
      <c r="E115" s="41"/>
      <c r="G115" s="54" t="s">
        <v>22</v>
      </c>
      <c r="H115" s="23" t="s">
        <v>22</v>
      </c>
      <c r="J115" s="63" t="s">
        <v>22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3672</v>
      </c>
      <c r="B116" s="51"/>
      <c r="C116" s="52"/>
      <c r="E116" s="53"/>
      <c r="G116" s="54" t="s">
        <v>22</v>
      </c>
      <c r="H116" s="23" t="s">
        <v>22</v>
      </c>
      <c r="J116" s="63" t="s">
        <v>22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263</v>
      </c>
      <c r="B117" s="51">
        <v>25.35</v>
      </c>
      <c r="C117" s="52"/>
      <c r="D117" s="2" t="s">
        <v>261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22</v>
      </c>
      <c r="N117" s="57" t="s">
        <v>22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261</v>
      </c>
      <c r="AA117">
        <v>111</v>
      </c>
    </row>
    <row r="118" spans="1:27" x14ac:dyDescent="0.25">
      <c r="A118" s="1" t="s">
        <v>266</v>
      </c>
      <c r="B118" s="51">
        <v>28.950000000000003</v>
      </c>
      <c r="C118" s="52"/>
      <c r="D118" s="2" t="s">
        <v>264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22</v>
      </c>
      <c r="N118" s="57" t="s">
        <v>22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264</v>
      </c>
      <c r="AA118">
        <v>112</v>
      </c>
    </row>
    <row r="119" spans="1:27" x14ac:dyDescent="0.25">
      <c r="A119" s="1" t="s">
        <v>269</v>
      </c>
      <c r="B119" s="51">
        <v>30.400000000000002</v>
      </c>
      <c r="C119" s="52"/>
      <c r="D119" s="2" t="s">
        <v>267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22</v>
      </c>
      <c r="N119" s="57" t="s">
        <v>22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267</v>
      </c>
      <c r="AA119">
        <v>113</v>
      </c>
    </row>
    <row r="120" spans="1:27" x14ac:dyDescent="0.25">
      <c r="A120" s="1" t="s">
        <v>272</v>
      </c>
      <c r="B120" s="51">
        <v>31.55</v>
      </c>
      <c r="C120" s="52"/>
      <c r="D120" s="2" t="s">
        <v>270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22</v>
      </c>
      <c r="N120" s="57" t="s">
        <v>22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270</v>
      </c>
      <c r="AA120">
        <v>114</v>
      </c>
    </row>
    <row r="121" spans="1:27" x14ac:dyDescent="0.25">
      <c r="A121" s="24" t="s">
        <v>3660</v>
      </c>
      <c r="B121" s="25" t="s">
        <v>3624</v>
      </c>
      <c r="C121" s="26"/>
      <c r="D121" s="27" t="s">
        <v>3625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3674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3672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275</v>
      </c>
      <c r="B124" s="51">
        <v>35.4</v>
      </c>
      <c r="C124" s="52"/>
      <c r="D124" s="2" t="s">
        <v>273</v>
      </c>
      <c r="E124" s="53"/>
      <c r="G124" s="54"/>
      <c r="J124" s="63"/>
      <c r="L124" s="56"/>
      <c r="M124" s="57" t="s">
        <v>22</v>
      </c>
      <c r="N124" s="57" t="s">
        <v>22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22</v>
      </c>
      <c r="Z124" s="2" t="s">
        <v>273</v>
      </c>
      <c r="AA124">
        <v>118</v>
      </c>
    </row>
    <row r="125" spans="1:27" x14ac:dyDescent="0.25">
      <c r="A125" s="66" t="s">
        <v>278</v>
      </c>
      <c r="B125" s="51">
        <v>37.5</v>
      </c>
      <c r="C125" s="52"/>
      <c r="D125" s="2" t="s">
        <v>276</v>
      </c>
      <c r="E125" s="53"/>
      <c r="G125" s="54"/>
      <c r="J125" s="63"/>
      <c r="L125" s="56"/>
      <c r="M125" s="57" t="s">
        <v>22</v>
      </c>
      <c r="N125" s="57" t="s">
        <v>22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22</v>
      </c>
      <c r="Z125" s="2" t="s">
        <v>276</v>
      </c>
      <c r="AA125">
        <v>119</v>
      </c>
    </row>
    <row r="126" spans="1:27" x14ac:dyDescent="0.25">
      <c r="A126" s="66" t="s">
        <v>281</v>
      </c>
      <c r="B126" s="51">
        <v>38.950000000000003</v>
      </c>
      <c r="C126" s="52"/>
      <c r="D126" s="2" t="s">
        <v>279</v>
      </c>
      <c r="E126" s="53"/>
      <c r="G126" s="54"/>
      <c r="J126" s="63"/>
      <c r="L126" s="56"/>
      <c r="M126" s="57" t="s">
        <v>22</v>
      </c>
      <c r="N126" s="57" t="s">
        <v>22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22</v>
      </c>
      <c r="Z126" s="2" t="s">
        <v>279</v>
      </c>
      <c r="AA126">
        <v>120</v>
      </c>
    </row>
    <row r="127" spans="1:27" x14ac:dyDescent="0.25">
      <c r="A127" s="66" t="s">
        <v>284</v>
      </c>
      <c r="B127" s="51">
        <v>44.25</v>
      </c>
      <c r="C127" s="52"/>
      <c r="D127" s="2" t="s">
        <v>282</v>
      </c>
      <c r="E127" s="53"/>
      <c r="G127" s="54"/>
      <c r="J127" s="63"/>
      <c r="L127" s="56"/>
      <c r="M127" s="57" t="s">
        <v>22</v>
      </c>
      <c r="N127" s="57" t="s">
        <v>22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22</v>
      </c>
      <c r="Z127" s="2" t="s">
        <v>282</v>
      </c>
      <c r="AA127">
        <v>121</v>
      </c>
    </row>
    <row r="128" spans="1:27" x14ac:dyDescent="0.25">
      <c r="A128" s="66" t="s">
        <v>287</v>
      </c>
      <c r="B128" s="51">
        <v>50.1</v>
      </c>
      <c r="C128" s="52"/>
      <c r="D128" s="2" t="s">
        <v>285</v>
      </c>
      <c r="E128" s="53"/>
      <c r="G128" s="54"/>
      <c r="J128" s="63"/>
      <c r="L128" s="56"/>
      <c r="M128" s="57" t="s">
        <v>22</v>
      </c>
      <c r="N128" s="57" t="s">
        <v>22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22</v>
      </c>
      <c r="Z128" s="2" t="s">
        <v>285</v>
      </c>
      <c r="AA128">
        <v>122</v>
      </c>
    </row>
    <row r="129" spans="1:27" x14ac:dyDescent="0.25">
      <c r="A129" s="45" t="s">
        <v>3675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3672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290</v>
      </c>
      <c r="B131" s="51">
        <v>55.45</v>
      </c>
      <c r="C131" s="52"/>
      <c r="D131" s="2" t="s">
        <v>288</v>
      </c>
      <c r="E131" s="46"/>
      <c r="G131" s="54"/>
      <c r="J131" s="63"/>
      <c r="L131" s="56"/>
      <c r="M131" s="57" t="s">
        <v>22</v>
      </c>
      <c r="N131" s="57" t="s">
        <v>22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288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3676</v>
      </c>
      <c r="B133" s="51"/>
      <c r="C133" s="40"/>
      <c r="E133" s="41"/>
      <c r="G133" s="54" t="s">
        <v>22</v>
      </c>
      <c r="H133" s="23" t="s">
        <v>22</v>
      </c>
      <c r="J133" s="63" t="s">
        <v>22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3677</v>
      </c>
      <c r="B134" s="51"/>
      <c r="C134" s="40"/>
      <c r="E134" s="41"/>
      <c r="G134" s="54" t="s">
        <v>22</v>
      </c>
      <c r="H134" s="23" t="s">
        <v>22</v>
      </c>
      <c r="J134" s="63" t="s">
        <v>22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293</v>
      </c>
      <c r="B135" s="51">
        <v>65.05</v>
      </c>
      <c r="C135" s="52"/>
      <c r="D135" s="2" t="s">
        <v>291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22</v>
      </c>
      <c r="N135" s="57" t="s">
        <v>22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291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3678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3679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299</v>
      </c>
      <c r="B139" s="51">
        <v>53.050000000000004</v>
      </c>
      <c r="C139" s="52"/>
      <c r="D139" s="2" t="s">
        <v>297</v>
      </c>
      <c r="E139" s="46"/>
      <c r="G139" s="54"/>
      <c r="J139" s="63"/>
      <c r="L139" s="56"/>
      <c r="M139" s="57" t="s">
        <v>22</v>
      </c>
      <c r="N139" s="57" t="s">
        <v>22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297</v>
      </c>
      <c r="AA139">
        <v>133</v>
      </c>
    </row>
    <row r="140" spans="1:27" x14ac:dyDescent="0.25">
      <c r="A140" s="1" t="s">
        <v>302</v>
      </c>
      <c r="B140" s="51">
        <v>69.3</v>
      </c>
      <c r="C140" s="52"/>
      <c r="D140" s="2" t="s">
        <v>300</v>
      </c>
      <c r="E140" s="46"/>
      <c r="G140" s="54"/>
      <c r="J140" s="63"/>
      <c r="L140" s="56"/>
      <c r="M140" s="57" t="s">
        <v>22</v>
      </c>
      <c r="N140" s="57" t="s">
        <v>22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300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3680</v>
      </c>
      <c r="B142" s="51"/>
      <c r="C142" s="40"/>
      <c r="E142" s="41"/>
      <c r="G142" s="54" t="s">
        <v>22</v>
      </c>
      <c r="H142" s="23" t="s">
        <v>22</v>
      </c>
      <c r="J142" s="63" t="s">
        <v>22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3679</v>
      </c>
      <c r="B143" s="51"/>
      <c r="C143" s="52"/>
      <c r="E143" s="53"/>
      <c r="G143" s="54" t="s">
        <v>22</v>
      </c>
      <c r="H143" s="23" t="s">
        <v>22</v>
      </c>
      <c r="J143" s="17" t="s">
        <v>22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305</v>
      </c>
      <c r="B144" s="51">
        <v>29.3</v>
      </c>
      <c r="C144" s="52"/>
      <c r="D144" s="2" t="s">
        <v>303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22</v>
      </c>
      <c r="N144" s="57" t="s">
        <v>22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303</v>
      </c>
      <c r="AA144">
        <v>138</v>
      </c>
    </row>
    <row r="145" spans="1:27" x14ac:dyDescent="0.25">
      <c r="A145" s="1" t="s">
        <v>308</v>
      </c>
      <c r="B145" s="51">
        <v>29.85</v>
      </c>
      <c r="C145" s="52"/>
      <c r="D145" s="2" t="s">
        <v>306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22</v>
      </c>
      <c r="N145" s="57" t="s">
        <v>22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306</v>
      </c>
      <c r="AA145">
        <v>139</v>
      </c>
    </row>
    <row r="146" spans="1:27" x14ac:dyDescent="0.25">
      <c r="A146" s="1" t="s">
        <v>311</v>
      </c>
      <c r="B146" s="51">
        <v>32.4</v>
      </c>
      <c r="C146" s="52"/>
      <c r="D146" s="2" t="s">
        <v>309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22</v>
      </c>
      <c r="N146" s="57" t="s">
        <v>22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309</v>
      </c>
      <c r="AA146">
        <v>140</v>
      </c>
    </row>
    <row r="147" spans="1:27" x14ac:dyDescent="0.25">
      <c r="A147" s="1" t="s">
        <v>314</v>
      </c>
      <c r="B147" s="51">
        <v>34.85</v>
      </c>
      <c r="C147" s="52"/>
      <c r="D147" s="2" t="s">
        <v>312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22</v>
      </c>
      <c r="N147" s="57" t="s">
        <v>22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312</v>
      </c>
      <c r="AA147">
        <v>141</v>
      </c>
    </row>
    <row r="148" spans="1:27" x14ac:dyDescent="0.25">
      <c r="A148" s="1" t="s">
        <v>317</v>
      </c>
      <c r="B148" s="51">
        <v>39.25</v>
      </c>
      <c r="C148" s="52"/>
      <c r="D148" s="2" t="s">
        <v>315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22</v>
      </c>
      <c r="N148" s="57" t="s">
        <v>22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315</v>
      </c>
      <c r="AA148">
        <v>142</v>
      </c>
    </row>
    <row r="149" spans="1:27" x14ac:dyDescent="0.25">
      <c r="A149" s="1" t="s">
        <v>320</v>
      </c>
      <c r="B149" s="51">
        <v>42</v>
      </c>
      <c r="C149" s="52"/>
      <c r="D149" s="2" t="s">
        <v>318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22</v>
      </c>
      <c r="N149" s="57" t="s">
        <v>22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318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3681</v>
      </c>
      <c r="B151" s="51"/>
      <c r="C151" s="40"/>
      <c r="E151" s="41"/>
      <c r="G151" s="54" t="s">
        <v>22</v>
      </c>
      <c r="H151" s="23" t="s">
        <v>22</v>
      </c>
      <c r="J151" s="73" t="s">
        <v>22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3679</v>
      </c>
      <c r="B152" s="51"/>
      <c r="C152" s="52"/>
      <c r="E152" s="53"/>
      <c r="G152" s="54" t="s">
        <v>22</v>
      </c>
      <c r="H152" s="23" t="s">
        <v>22</v>
      </c>
      <c r="J152" s="73" t="s">
        <v>22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323</v>
      </c>
      <c r="B153" s="51">
        <v>42</v>
      </c>
      <c r="C153" s="52"/>
      <c r="D153" s="2" t="s">
        <v>321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22</v>
      </c>
      <c r="N153" s="57" t="s">
        <v>22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321</v>
      </c>
      <c r="AA153">
        <v>147</v>
      </c>
    </row>
    <row r="154" spans="1:27" x14ac:dyDescent="0.25">
      <c r="A154" s="1" t="s">
        <v>326</v>
      </c>
      <c r="B154" s="51">
        <v>43.25</v>
      </c>
      <c r="C154" s="52"/>
      <c r="D154" s="2" t="s">
        <v>324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22</v>
      </c>
      <c r="N154" s="57" t="s">
        <v>22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324</v>
      </c>
      <c r="AA154">
        <v>148</v>
      </c>
    </row>
    <row r="155" spans="1:27" x14ac:dyDescent="0.25">
      <c r="A155" s="1" t="s">
        <v>329</v>
      </c>
      <c r="B155" s="51">
        <v>45.800000000000004</v>
      </c>
      <c r="C155" s="52"/>
      <c r="D155" s="2" t="s">
        <v>327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22</v>
      </c>
      <c r="N155" s="57" t="s">
        <v>22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327</v>
      </c>
      <c r="AA155">
        <v>149</v>
      </c>
    </row>
    <row r="156" spans="1:27" x14ac:dyDescent="0.25">
      <c r="A156" s="1" t="s">
        <v>332</v>
      </c>
      <c r="B156" s="51">
        <v>73.45</v>
      </c>
      <c r="C156" s="52"/>
      <c r="D156" s="2" t="s">
        <v>330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22</v>
      </c>
      <c r="N156" s="57" t="s">
        <v>22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330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335</v>
      </c>
      <c r="B158" s="51">
        <v>10.050000000000001</v>
      </c>
      <c r="C158" s="52"/>
      <c r="D158" s="75" t="s">
        <v>333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22</v>
      </c>
      <c r="N158" s="57" t="s">
        <v>22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333</v>
      </c>
      <c r="AA158">
        <v>152</v>
      </c>
    </row>
    <row r="159" spans="1:27" x14ac:dyDescent="0.25">
      <c r="A159" s="1" t="s">
        <v>337</v>
      </c>
      <c r="B159" s="51">
        <v>6.25</v>
      </c>
      <c r="C159" s="52"/>
      <c r="D159" s="2" t="s">
        <v>336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22</v>
      </c>
      <c r="N159" s="57" t="s">
        <v>22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336</v>
      </c>
      <c r="AA159">
        <v>153</v>
      </c>
    </row>
    <row r="160" spans="1:27" x14ac:dyDescent="0.25">
      <c r="B160" s="51"/>
      <c r="C160" s="52"/>
      <c r="E160" s="53"/>
      <c r="G160" s="54" t="s">
        <v>22</v>
      </c>
      <c r="H160" s="23" t="s">
        <v>22</v>
      </c>
      <c r="J160" s="73" t="s">
        <v>22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3682</v>
      </c>
      <c r="B161" s="51"/>
      <c r="C161" s="40"/>
      <c r="E161" s="41"/>
      <c r="G161" s="54" t="s">
        <v>22</v>
      </c>
      <c r="H161" s="23" t="s">
        <v>22</v>
      </c>
      <c r="J161" s="73" t="s">
        <v>22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3679</v>
      </c>
      <c r="B162" s="51"/>
      <c r="C162" s="40"/>
      <c r="E162" s="41"/>
      <c r="G162" s="54" t="s">
        <v>22</v>
      </c>
      <c r="H162" s="23" t="s">
        <v>22</v>
      </c>
      <c r="J162" s="73" t="s">
        <v>22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323</v>
      </c>
      <c r="B163" s="51">
        <v>40.800000000000004</v>
      </c>
      <c r="C163" s="52"/>
      <c r="D163" s="2" t="s">
        <v>338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22</v>
      </c>
      <c r="N163" s="57" t="s">
        <v>22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338</v>
      </c>
      <c r="AA163">
        <v>157</v>
      </c>
    </row>
    <row r="164" spans="1:27" x14ac:dyDescent="0.25">
      <c r="A164" s="1" t="s">
        <v>342</v>
      </c>
      <c r="B164" s="51">
        <v>41.400000000000006</v>
      </c>
      <c r="C164" s="52"/>
      <c r="D164" s="2" t="s">
        <v>340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22</v>
      </c>
      <c r="N164" s="57" t="s">
        <v>22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340</v>
      </c>
      <c r="AA164">
        <v>158</v>
      </c>
    </row>
    <row r="165" spans="1:27" x14ac:dyDescent="0.25">
      <c r="A165" s="1" t="s">
        <v>345</v>
      </c>
      <c r="B165" s="51">
        <v>42</v>
      </c>
      <c r="C165" s="52"/>
      <c r="D165" s="2" t="s">
        <v>343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22</v>
      </c>
      <c r="N165" s="57" t="s">
        <v>22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343</v>
      </c>
      <c r="AA165">
        <v>159</v>
      </c>
    </row>
    <row r="166" spans="1:27" x14ac:dyDescent="0.25">
      <c r="A166" s="1" t="s">
        <v>348</v>
      </c>
      <c r="B166" s="51">
        <v>43.25</v>
      </c>
      <c r="C166" s="52"/>
      <c r="D166" s="2" t="s">
        <v>346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22</v>
      </c>
      <c r="N166" s="57" t="s">
        <v>22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346</v>
      </c>
      <c r="AA166">
        <v>160</v>
      </c>
    </row>
    <row r="167" spans="1:27" x14ac:dyDescent="0.25">
      <c r="B167" s="51"/>
      <c r="C167" s="52"/>
      <c r="E167" s="53"/>
      <c r="G167" s="54" t="s">
        <v>22</v>
      </c>
      <c r="H167" s="23" t="s">
        <v>22</v>
      </c>
      <c r="J167" s="73" t="s">
        <v>22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3683</v>
      </c>
      <c r="B168" s="51"/>
      <c r="C168" s="40"/>
      <c r="E168" s="41"/>
      <c r="G168" s="54" t="s">
        <v>22</v>
      </c>
      <c r="H168" s="23" t="s">
        <v>22</v>
      </c>
      <c r="J168" s="17" t="s">
        <v>22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3684</v>
      </c>
      <c r="B169" s="51"/>
      <c r="C169" s="52"/>
      <c r="E169" s="53"/>
      <c r="G169" s="54" t="s">
        <v>22</v>
      </c>
      <c r="H169" s="23" t="s">
        <v>22</v>
      </c>
      <c r="J169" s="17" t="s">
        <v>22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351</v>
      </c>
      <c r="B170" s="51">
        <v>34.25</v>
      </c>
      <c r="C170" s="52"/>
      <c r="D170" s="2" t="s">
        <v>349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22</v>
      </c>
      <c r="N170" s="57" t="s">
        <v>22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349</v>
      </c>
      <c r="AA170">
        <v>164</v>
      </c>
    </row>
    <row r="171" spans="1:27" x14ac:dyDescent="0.25">
      <c r="A171" s="1" t="s">
        <v>354</v>
      </c>
      <c r="B171" s="51">
        <v>35.550000000000004</v>
      </c>
      <c r="C171" s="52"/>
      <c r="D171" s="2" t="s">
        <v>352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22</v>
      </c>
      <c r="N171" s="57" t="s">
        <v>22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352</v>
      </c>
      <c r="AA171">
        <v>165</v>
      </c>
    </row>
    <row r="172" spans="1:27" x14ac:dyDescent="0.25">
      <c r="A172" s="1" t="s">
        <v>357</v>
      </c>
      <c r="B172" s="51">
        <v>40.800000000000004</v>
      </c>
      <c r="C172" s="52"/>
      <c r="D172" s="2" t="s">
        <v>355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22</v>
      </c>
      <c r="N172" s="57" t="s">
        <v>22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355</v>
      </c>
      <c r="AA172">
        <v>166</v>
      </c>
    </row>
    <row r="173" spans="1:27" x14ac:dyDescent="0.25">
      <c r="B173" s="51"/>
      <c r="C173" s="52"/>
      <c r="E173" s="53"/>
      <c r="G173" s="54" t="s">
        <v>22</v>
      </c>
      <c r="H173" s="23" t="s">
        <v>22</v>
      </c>
      <c r="J173" s="63" t="s">
        <v>22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3660</v>
      </c>
      <c r="B174" s="25" t="s">
        <v>3624</v>
      </c>
      <c r="C174" s="26"/>
      <c r="D174" s="27" t="s">
        <v>3625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3685</v>
      </c>
      <c r="B175" s="51"/>
      <c r="C175" s="40"/>
      <c r="E175" s="41"/>
      <c r="G175" s="54" t="s">
        <v>22</v>
      </c>
      <c r="H175" s="23" t="s">
        <v>22</v>
      </c>
      <c r="J175" s="63" t="s">
        <v>22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3686</v>
      </c>
      <c r="B176" s="51"/>
      <c r="C176" s="52"/>
      <c r="E176" s="53"/>
      <c r="G176" s="54" t="s">
        <v>22</v>
      </c>
      <c r="H176" s="23" t="s">
        <v>22</v>
      </c>
      <c r="J176" s="63" t="s">
        <v>22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360</v>
      </c>
      <c r="B177" s="51">
        <v>43.95</v>
      </c>
      <c r="C177" s="52"/>
      <c r="D177" s="2" t="s">
        <v>358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22</v>
      </c>
      <c r="N177" s="57" t="s">
        <v>22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358</v>
      </c>
      <c r="AA177">
        <v>171</v>
      </c>
    </row>
    <row r="178" spans="1:27" x14ac:dyDescent="0.25">
      <c r="A178" s="1" t="s">
        <v>363</v>
      </c>
      <c r="B178" s="51">
        <v>46.400000000000006</v>
      </c>
      <c r="C178" s="52"/>
      <c r="D178" s="2" t="s">
        <v>361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22</v>
      </c>
      <c r="N178" s="57" t="s">
        <v>22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361</v>
      </c>
      <c r="AA178">
        <v>172</v>
      </c>
    </row>
    <row r="179" spans="1:27" x14ac:dyDescent="0.25">
      <c r="A179" s="1" t="s">
        <v>366</v>
      </c>
      <c r="B179" s="51">
        <v>48.95</v>
      </c>
      <c r="C179" s="52"/>
      <c r="D179" s="2" t="s">
        <v>364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22</v>
      </c>
      <c r="N179" s="57" t="s">
        <v>22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364</v>
      </c>
      <c r="AA179">
        <v>173</v>
      </c>
    </row>
    <row r="180" spans="1:27" x14ac:dyDescent="0.25">
      <c r="A180" s="9" t="s">
        <v>3687</v>
      </c>
      <c r="B180" s="51"/>
      <c r="C180" s="52"/>
      <c r="E180" s="53"/>
      <c r="G180" s="54" t="s">
        <v>22</v>
      </c>
      <c r="H180" s="23" t="s">
        <v>22</v>
      </c>
      <c r="J180" s="63" t="s">
        <v>22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3688</v>
      </c>
      <c r="B182" s="51"/>
      <c r="C182" s="40"/>
      <c r="E182" s="41"/>
      <c r="G182" s="54" t="s">
        <v>22</v>
      </c>
      <c r="H182" s="23" t="s">
        <v>22</v>
      </c>
      <c r="J182" s="63" t="s">
        <v>22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3689</v>
      </c>
      <c r="B183" s="51"/>
      <c r="C183" s="40"/>
      <c r="E183" s="41"/>
      <c r="G183" s="54" t="s">
        <v>22</v>
      </c>
      <c r="H183" s="23" t="s">
        <v>22</v>
      </c>
      <c r="J183" s="63" t="s">
        <v>22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392</v>
      </c>
      <c r="B184" s="51">
        <v>6.25</v>
      </c>
      <c r="C184" s="52"/>
      <c r="D184" s="75" t="s">
        <v>390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22</v>
      </c>
      <c r="N184" s="57" t="s">
        <v>22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390</v>
      </c>
      <c r="AA184">
        <v>178</v>
      </c>
    </row>
    <row r="185" spans="1:27" x14ac:dyDescent="0.25">
      <c r="A185" s="1" t="s">
        <v>395</v>
      </c>
      <c r="B185" s="51">
        <v>6.25</v>
      </c>
      <c r="C185" s="52"/>
      <c r="D185" s="75" t="s">
        <v>393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22</v>
      </c>
      <c r="N185" s="57" t="s">
        <v>22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393</v>
      </c>
      <c r="AA185">
        <v>179</v>
      </c>
    </row>
    <row r="186" spans="1:27" x14ac:dyDescent="0.25">
      <c r="A186" s="1" t="s">
        <v>398</v>
      </c>
      <c r="B186" s="51">
        <v>6.25</v>
      </c>
      <c r="C186" s="52"/>
      <c r="D186" s="75" t="s">
        <v>396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22</v>
      </c>
      <c r="N186" s="57" t="s">
        <v>22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396</v>
      </c>
      <c r="AA186">
        <v>180</v>
      </c>
    </row>
    <row r="187" spans="1:27" x14ac:dyDescent="0.25">
      <c r="B187" s="51"/>
      <c r="C187" s="52"/>
      <c r="E187" s="53"/>
      <c r="G187" s="54" t="s">
        <v>22</v>
      </c>
      <c r="H187" s="23" t="s">
        <v>22</v>
      </c>
      <c r="J187" s="63" t="s">
        <v>22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3690</v>
      </c>
      <c r="B188" s="51"/>
      <c r="C188" s="40"/>
      <c r="E188" s="41"/>
      <c r="G188" s="54" t="s">
        <v>22</v>
      </c>
      <c r="H188" s="23" t="s">
        <v>22</v>
      </c>
      <c r="J188" s="63" t="s">
        <v>22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3684</v>
      </c>
      <c r="B189" s="51"/>
      <c r="C189" s="40"/>
      <c r="E189" s="41"/>
      <c r="G189" s="54" t="s">
        <v>22</v>
      </c>
      <c r="H189" s="23" t="s">
        <v>22</v>
      </c>
      <c r="J189" s="63" t="s">
        <v>22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401</v>
      </c>
      <c r="B190" s="51">
        <v>2.85</v>
      </c>
      <c r="C190" s="52"/>
      <c r="D190" s="75" t="s">
        <v>399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22</v>
      </c>
      <c r="N190" s="57" t="s">
        <v>22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399</v>
      </c>
      <c r="AA190">
        <v>184</v>
      </c>
    </row>
    <row r="191" spans="1:27" x14ac:dyDescent="0.25">
      <c r="A191" s="1" t="s">
        <v>404</v>
      </c>
      <c r="B191" s="51">
        <v>2.85</v>
      </c>
      <c r="C191" s="52"/>
      <c r="D191" s="75" t="s">
        <v>402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22</v>
      </c>
      <c r="N191" s="57" t="s">
        <v>22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402</v>
      </c>
      <c r="AA191">
        <v>185</v>
      </c>
    </row>
    <row r="192" spans="1:27" x14ac:dyDescent="0.25">
      <c r="A192" s="1" t="s">
        <v>407</v>
      </c>
      <c r="B192" s="51">
        <v>2.85</v>
      </c>
      <c r="C192" s="52"/>
      <c r="D192" s="75" t="s">
        <v>405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22</v>
      </c>
      <c r="N192" s="57" t="s">
        <v>22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405</v>
      </c>
      <c r="AA192">
        <v>186</v>
      </c>
    </row>
    <row r="193" spans="1:27" x14ac:dyDescent="0.25">
      <c r="A193" s="1" t="s">
        <v>410</v>
      </c>
      <c r="B193" s="51">
        <v>2.85</v>
      </c>
      <c r="C193" s="52"/>
      <c r="D193" s="75" t="s">
        <v>408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22</v>
      </c>
      <c r="N193" s="57" t="s">
        <v>22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408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22</v>
      </c>
      <c r="H194" s="23" t="s">
        <v>22</v>
      </c>
      <c r="J194" s="17" t="s">
        <v>22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3691</v>
      </c>
      <c r="B195" s="51"/>
      <c r="C195" s="40"/>
      <c r="E195" s="41"/>
      <c r="G195" s="54" t="s">
        <v>22</v>
      </c>
      <c r="H195" s="23" t="s">
        <v>22</v>
      </c>
      <c r="J195" s="17" t="s">
        <v>22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3684</v>
      </c>
      <c r="B196" s="51"/>
      <c r="C196" s="40"/>
      <c r="E196" s="41"/>
      <c r="G196" s="54" t="s">
        <v>22</v>
      </c>
      <c r="H196" s="23" t="s">
        <v>22</v>
      </c>
      <c r="J196" s="17" t="s">
        <v>22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413</v>
      </c>
      <c r="B197" s="51">
        <v>17.400000000000002</v>
      </c>
      <c r="C197" s="52"/>
      <c r="D197" s="2" t="s">
        <v>411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22</v>
      </c>
      <c r="N197" s="57" t="s">
        <v>22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411</v>
      </c>
      <c r="AA197">
        <v>191</v>
      </c>
    </row>
    <row r="198" spans="1:27" x14ac:dyDescent="0.25">
      <c r="A198" s="1" t="s">
        <v>141</v>
      </c>
      <c r="B198" s="51">
        <v>19.8</v>
      </c>
      <c r="C198" s="52"/>
      <c r="D198" s="2" t="s">
        <v>414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22</v>
      </c>
      <c r="N198" s="57" t="s">
        <v>22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414</v>
      </c>
      <c r="AA198">
        <v>192</v>
      </c>
    </row>
    <row r="199" spans="1:27" x14ac:dyDescent="0.25">
      <c r="A199" s="1" t="s">
        <v>143</v>
      </c>
      <c r="B199" s="51">
        <v>22.400000000000002</v>
      </c>
      <c r="C199" s="52"/>
      <c r="D199" s="2" t="s">
        <v>416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22</v>
      </c>
      <c r="N199" s="57" t="s">
        <v>22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416</v>
      </c>
      <c r="AA199">
        <v>193</v>
      </c>
    </row>
    <row r="200" spans="1:27" x14ac:dyDescent="0.25">
      <c r="A200" s="1" t="s">
        <v>420</v>
      </c>
      <c r="B200" s="51">
        <v>24.450000000000003</v>
      </c>
      <c r="C200" s="52"/>
      <c r="D200" s="2" t="s">
        <v>418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22</v>
      </c>
      <c r="N200" s="57" t="s">
        <v>22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418</v>
      </c>
      <c r="AA200">
        <v>194</v>
      </c>
    </row>
    <row r="201" spans="1:27" x14ac:dyDescent="0.25">
      <c r="A201" s="1" t="s">
        <v>423</v>
      </c>
      <c r="B201" s="51">
        <v>27.75</v>
      </c>
      <c r="C201" s="52"/>
      <c r="D201" s="2" t="s">
        <v>421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22</v>
      </c>
      <c r="N201" s="57" t="s">
        <v>22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421</v>
      </c>
      <c r="AA201">
        <v>195</v>
      </c>
    </row>
    <row r="202" spans="1:27" x14ac:dyDescent="0.25">
      <c r="A202" s="1" t="s">
        <v>426</v>
      </c>
      <c r="B202" s="51">
        <v>31.900000000000002</v>
      </c>
      <c r="C202" s="52"/>
      <c r="D202" s="2" t="s">
        <v>424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22</v>
      </c>
      <c r="N202" s="57" t="s">
        <v>22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424</v>
      </c>
      <c r="AA202">
        <v>196</v>
      </c>
    </row>
    <row r="203" spans="1:27" x14ac:dyDescent="0.25">
      <c r="A203" s="1" t="s">
        <v>357</v>
      </c>
      <c r="B203" s="51">
        <v>35.700000000000003</v>
      </c>
      <c r="C203" s="52"/>
      <c r="D203" s="2" t="s">
        <v>427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22</v>
      </c>
      <c r="N203" s="57" t="s">
        <v>22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427</v>
      </c>
      <c r="AA203">
        <v>197</v>
      </c>
    </row>
    <row r="204" spans="1:27" x14ac:dyDescent="0.25">
      <c r="B204" s="51"/>
      <c r="C204" s="18"/>
      <c r="G204" s="54" t="s">
        <v>22</v>
      </c>
      <c r="H204" s="23" t="s">
        <v>22</v>
      </c>
      <c r="J204" s="63" t="s">
        <v>22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3692</v>
      </c>
      <c r="B205" s="51"/>
      <c r="C205" s="40"/>
      <c r="E205" s="41"/>
      <c r="G205" s="54" t="s">
        <v>22</v>
      </c>
      <c r="H205" s="23" t="s">
        <v>22</v>
      </c>
      <c r="J205" s="63" t="s">
        <v>22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143</v>
      </c>
      <c r="B206" s="51">
        <v>41</v>
      </c>
      <c r="C206" s="52"/>
      <c r="D206" s="2" t="s">
        <v>429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22</v>
      </c>
      <c r="N206" s="57" t="s">
        <v>22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429</v>
      </c>
      <c r="AA206">
        <v>200</v>
      </c>
    </row>
    <row r="207" spans="1:27" x14ac:dyDescent="0.25">
      <c r="A207" s="1" t="s">
        <v>420</v>
      </c>
      <c r="B207" s="51">
        <v>45.1</v>
      </c>
      <c r="C207" s="52"/>
      <c r="D207" s="2" t="s">
        <v>431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22</v>
      </c>
      <c r="N207" s="57" t="s">
        <v>22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431</v>
      </c>
      <c r="AA207">
        <v>201</v>
      </c>
    </row>
    <row r="208" spans="1:27" x14ac:dyDescent="0.25">
      <c r="A208" s="1" t="s">
        <v>426</v>
      </c>
      <c r="B208" s="51">
        <v>51.6</v>
      </c>
      <c r="C208" s="52"/>
      <c r="D208" s="2" t="s">
        <v>433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22</v>
      </c>
      <c r="N208" s="57" t="s">
        <v>22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433</v>
      </c>
      <c r="AA208">
        <v>202</v>
      </c>
    </row>
    <row r="209" spans="1:27" x14ac:dyDescent="0.25">
      <c r="A209" s="1" t="s">
        <v>357</v>
      </c>
      <c r="B209" s="51">
        <v>55.45</v>
      </c>
      <c r="C209" s="52"/>
      <c r="D209" s="2" t="s">
        <v>435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22</v>
      </c>
      <c r="N209" s="57" t="s">
        <v>22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435</v>
      </c>
      <c r="AA209">
        <v>203</v>
      </c>
    </row>
    <row r="210" spans="1:27" x14ac:dyDescent="0.25">
      <c r="B210" s="51"/>
      <c r="C210" s="52"/>
      <c r="E210" s="53"/>
      <c r="G210" s="54" t="s">
        <v>22</v>
      </c>
      <c r="H210" s="23" t="s">
        <v>22</v>
      </c>
      <c r="J210" s="63" t="s">
        <v>22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3693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438</v>
      </c>
      <c r="B212" s="51">
        <v>13.75</v>
      </c>
      <c r="C212" s="52"/>
      <c r="D212" s="2" t="s">
        <v>437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22</v>
      </c>
      <c r="N212" s="57" t="s">
        <v>22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437</v>
      </c>
      <c r="AA212">
        <v>206</v>
      </c>
    </row>
    <row r="213" spans="1:27" x14ac:dyDescent="0.25">
      <c r="A213" s="93" t="s">
        <v>440</v>
      </c>
      <c r="B213" s="51">
        <v>17.150000000000002</v>
      </c>
      <c r="C213" s="52"/>
      <c r="D213" s="2" t="s">
        <v>439</v>
      </c>
      <c r="E213" s="53"/>
      <c r="G213" s="54"/>
      <c r="J213" s="94"/>
      <c r="L213" s="56"/>
      <c r="M213" s="57" t="s">
        <v>22</v>
      </c>
      <c r="N213" s="57" t="s">
        <v>22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439</v>
      </c>
      <c r="AA213">
        <v>207</v>
      </c>
    </row>
    <row r="214" spans="1:27" x14ac:dyDescent="0.25">
      <c r="A214" s="93" t="s">
        <v>442</v>
      </c>
      <c r="B214" s="51">
        <v>20.25</v>
      </c>
      <c r="C214" s="52"/>
      <c r="D214" s="2" t="s">
        <v>441</v>
      </c>
      <c r="E214" s="53"/>
      <c r="G214" s="54"/>
      <c r="J214" s="94"/>
      <c r="L214" s="56"/>
      <c r="M214" s="57" t="s">
        <v>22</v>
      </c>
      <c r="N214" s="57" t="s">
        <v>22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441</v>
      </c>
      <c r="AA214">
        <v>208</v>
      </c>
    </row>
    <row r="215" spans="1:27" x14ac:dyDescent="0.25">
      <c r="A215" s="93" t="s">
        <v>444</v>
      </c>
      <c r="B215" s="51">
        <v>23.650000000000002</v>
      </c>
      <c r="C215" s="52"/>
      <c r="D215" s="2" t="s">
        <v>443</v>
      </c>
      <c r="E215" s="53"/>
      <c r="G215" s="54"/>
      <c r="J215" s="94"/>
      <c r="L215" s="56"/>
      <c r="M215" s="57" t="s">
        <v>22</v>
      </c>
      <c r="N215" s="57" t="s">
        <v>22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443</v>
      </c>
      <c r="AA215">
        <v>209</v>
      </c>
    </row>
    <row r="216" spans="1:27" x14ac:dyDescent="0.25">
      <c r="A216" s="93" t="s">
        <v>446</v>
      </c>
      <c r="B216" s="51">
        <v>27.150000000000002</v>
      </c>
      <c r="C216" s="52"/>
      <c r="D216" s="2" t="s">
        <v>445</v>
      </c>
      <c r="E216" s="53"/>
      <c r="G216" s="54"/>
      <c r="J216" s="94"/>
      <c r="L216" s="56"/>
      <c r="M216" s="57" t="s">
        <v>22</v>
      </c>
      <c r="N216" s="57" t="s">
        <v>22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445</v>
      </c>
      <c r="AA216">
        <v>210</v>
      </c>
    </row>
    <row r="217" spans="1:27" x14ac:dyDescent="0.25">
      <c r="A217" s="93" t="s">
        <v>448</v>
      </c>
      <c r="B217" s="51">
        <v>30.55</v>
      </c>
      <c r="C217" s="52"/>
      <c r="D217" s="2" t="s">
        <v>447</v>
      </c>
      <c r="E217" s="53"/>
      <c r="G217" s="54"/>
      <c r="J217" s="94"/>
      <c r="L217" s="56"/>
      <c r="M217" s="57" t="s">
        <v>22</v>
      </c>
      <c r="N217" s="57" t="s">
        <v>22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447</v>
      </c>
      <c r="AA217">
        <v>211</v>
      </c>
    </row>
    <row r="218" spans="1:27" x14ac:dyDescent="0.25">
      <c r="A218" s="93" t="s">
        <v>450</v>
      </c>
      <c r="B218" s="51">
        <v>33.950000000000003</v>
      </c>
      <c r="C218" s="52"/>
      <c r="D218" s="2" t="s">
        <v>449</v>
      </c>
      <c r="E218" s="53"/>
      <c r="G218" s="54"/>
      <c r="J218" s="94"/>
      <c r="L218" s="56"/>
      <c r="M218" s="57" t="s">
        <v>22</v>
      </c>
      <c r="N218" s="57" t="s">
        <v>22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449</v>
      </c>
      <c r="AA218">
        <v>212</v>
      </c>
    </row>
    <row r="219" spans="1:27" x14ac:dyDescent="0.25">
      <c r="A219" s="93" t="s">
        <v>452</v>
      </c>
      <c r="B219" s="51">
        <v>24</v>
      </c>
      <c r="C219" s="52"/>
      <c r="D219" s="2" t="s">
        <v>451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22</v>
      </c>
      <c r="N219" s="57" t="s">
        <v>22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451</v>
      </c>
      <c r="AA219">
        <v>213</v>
      </c>
    </row>
    <row r="220" spans="1:27" x14ac:dyDescent="0.25">
      <c r="A220" s="93" t="s">
        <v>454</v>
      </c>
      <c r="B220" s="51">
        <v>29.85</v>
      </c>
      <c r="C220" s="52"/>
      <c r="D220" s="2" t="s">
        <v>453</v>
      </c>
      <c r="E220" s="53"/>
      <c r="G220" s="54"/>
      <c r="J220" s="94"/>
      <c r="L220" s="56"/>
      <c r="M220" s="57" t="s">
        <v>22</v>
      </c>
      <c r="N220" s="57" t="s">
        <v>22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453</v>
      </c>
      <c r="AA220">
        <v>214</v>
      </c>
    </row>
    <row r="221" spans="1:27" x14ac:dyDescent="0.25">
      <c r="A221" s="93" t="s">
        <v>456</v>
      </c>
      <c r="B221" s="51">
        <v>36.1</v>
      </c>
      <c r="C221" s="52"/>
      <c r="D221" s="2" t="s">
        <v>455</v>
      </c>
      <c r="E221" s="53"/>
      <c r="G221" s="54"/>
      <c r="J221" s="94"/>
      <c r="L221" s="56"/>
      <c r="M221" s="57" t="s">
        <v>22</v>
      </c>
      <c r="N221" s="57" t="s">
        <v>22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455</v>
      </c>
      <c r="AA221">
        <v>215</v>
      </c>
    </row>
    <row r="222" spans="1:27" x14ac:dyDescent="0.25">
      <c r="A222" s="93" t="s">
        <v>458</v>
      </c>
      <c r="B222" s="51">
        <v>42</v>
      </c>
      <c r="C222" s="52"/>
      <c r="D222" s="2" t="s">
        <v>457</v>
      </c>
      <c r="E222" s="53"/>
      <c r="G222" s="54"/>
      <c r="J222" s="94"/>
      <c r="L222" s="56"/>
      <c r="M222" s="57" t="s">
        <v>22</v>
      </c>
      <c r="N222" s="57" t="s">
        <v>22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457</v>
      </c>
      <c r="AA222">
        <v>216</v>
      </c>
    </row>
    <row r="223" spans="1:27" x14ac:dyDescent="0.25">
      <c r="A223" s="93" t="s">
        <v>460</v>
      </c>
      <c r="B223" s="51">
        <v>47.95</v>
      </c>
      <c r="C223" s="52"/>
      <c r="D223" s="2" t="s">
        <v>459</v>
      </c>
      <c r="E223" s="53"/>
      <c r="G223" s="54"/>
      <c r="J223" s="94"/>
      <c r="L223" s="56"/>
      <c r="M223" s="57" t="s">
        <v>22</v>
      </c>
      <c r="N223" s="57" t="s">
        <v>22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459</v>
      </c>
      <c r="AA223">
        <v>217</v>
      </c>
    </row>
    <row r="224" spans="1:27" x14ac:dyDescent="0.25">
      <c r="A224" s="93" t="s">
        <v>462</v>
      </c>
      <c r="B224" s="51">
        <v>53.800000000000004</v>
      </c>
      <c r="C224" s="52"/>
      <c r="D224" s="2" t="s">
        <v>461</v>
      </c>
      <c r="E224" s="53"/>
      <c r="G224" s="54"/>
      <c r="J224" s="94"/>
      <c r="L224" s="56"/>
      <c r="M224" s="57" t="s">
        <v>22</v>
      </c>
      <c r="N224" s="57" t="s">
        <v>22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461</v>
      </c>
      <c r="AA224">
        <v>218</v>
      </c>
    </row>
    <row r="225" spans="1:27" x14ac:dyDescent="0.25">
      <c r="A225" s="93" t="s">
        <v>464</v>
      </c>
      <c r="B225" s="51">
        <v>60.050000000000004</v>
      </c>
      <c r="C225" s="52"/>
      <c r="D225" s="2" t="s">
        <v>463</v>
      </c>
      <c r="E225" s="53"/>
      <c r="G225" s="54"/>
      <c r="J225" s="94"/>
      <c r="L225" s="56"/>
      <c r="M225" s="57" t="s">
        <v>22</v>
      </c>
      <c r="N225" s="57" t="s">
        <v>22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463</v>
      </c>
      <c r="AA225">
        <v>219</v>
      </c>
    </row>
    <row r="226" spans="1:27" x14ac:dyDescent="0.25">
      <c r="A226" s="24" t="s">
        <v>3694</v>
      </c>
      <c r="B226" s="25" t="s">
        <v>3624</v>
      </c>
      <c r="C226" s="26"/>
      <c r="D226" s="27" t="s">
        <v>3625</v>
      </c>
      <c r="E226" s="28"/>
      <c r="G226" s="54" t="s">
        <v>22</v>
      </c>
      <c r="H226" s="23" t="s">
        <v>22</v>
      </c>
      <c r="J226" s="63" t="s">
        <v>22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3695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468</v>
      </c>
      <c r="B228" s="51">
        <v>219.9</v>
      </c>
      <c r="C228" s="52"/>
      <c r="D228" s="2" t="s">
        <v>465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22</v>
      </c>
      <c r="N228" s="57" t="s">
        <v>22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465</v>
      </c>
      <c r="AA228">
        <v>222</v>
      </c>
    </row>
    <row r="229" spans="1:27" x14ac:dyDescent="0.25">
      <c r="A229" s="50" t="s">
        <v>471</v>
      </c>
      <c r="B229" s="51">
        <v>312.90000000000003</v>
      </c>
      <c r="C229" s="52"/>
      <c r="D229" s="2" t="s">
        <v>470</v>
      </c>
      <c r="E229" s="53"/>
      <c r="G229" s="54"/>
      <c r="J229" s="63"/>
      <c r="L229" s="56"/>
      <c r="M229" s="57" t="s">
        <v>22</v>
      </c>
      <c r="N229" s="57" t="s">
        <v>22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22</v>
      </c>
      <c r="Z229" s="2" t="s">
        <v>470</v>
      </c>
      <c r="AA229">
        <v>223</v>
      </c>
    </row>
    <row r="230" spans="1:27" x14ac:dyDescent="0.25">
      <c r="A230" s="1" t="s">
        <v>474</v>
      </c>
      <c r="B230" s="51">
        <v>10.600000000000001</v>
      </c>
      <c r="C230" s="52"/>
      <c r="D230" s="2" t="s">
        <v>472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22</v>
      </c>
      <c r="N230" s="57" t="s">
        <v>22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472</v>
      </c>
      <c r="AA230">
        <v>224</v>
      </c>
    </row>
    <row r="231" spans="1:27" x14ac:dyDescent="0.25">
      <c r="B231" s="51"/>
      <c r="C231" s="52"/>
      <c r="E231" s="53"/>
      <c r="G231" s="54" t="s">
        <v>22</v>
      </c>
      <c r="H231" s="23" t="s">
        <v>22</v>
      </c>
      <c r="J231" s="63" t="s">
        <v>22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3696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484</v>
      </c>
      <c r="B233" s="51">
        <v>53.050000000000004</v>
      </c>
      <c r="C233" s="52"/>
      <c r="D233" s="2" t="s">
        <v>482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22</v>
      </c>
      <c r="N233" s="57" t="s">
        <v>22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482</v>
      </c>
      <c r="AA233">
        <v>227</v>
      </c>
    </row>
    <row r="234" spans="1:27" x14ac:dyDescent="0.25">
      <c r="A234" s="66" t="s">
        <v>488</v>
      </c>
      <c r="B234" s="51">
        <v>96.7</v>
      </c>
      <c r="C234" s="52"/>
      <c r="D234" s="2" t="s">
        <v>486</v>
      </c>
      <c r="E234" s="53"/>
      <c r="G234" s="54"/>
      <c r="J234" s="63"/>
      <c r="L234" s="56"/>
      <c r="M234" s="57" t="s">
        <v>22</v>
      </c>
      <c r="N234" s="57" t="s">
        <v>22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22</v>
      </c>
      <c r="Z234" s="2" t="s">
        <v>486</v>
      </c>
      <c r="AA234">
        <v>228</v>
      </c>
    </row>
    <row r="235" spans="1:27" x14ac:dyDescent="0.25">
      <c r="A235" s="1" t="s">
        <v>491</v>
      </c>
      <c r="B235" s="51">
        <v>61.650000000000006</v>
      </c>
      <c r="C235" s="52"/>
      <c r="D235" s="2" t="s">
        <v>489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22</v>
      </c>
      <c r="N235" s="57" t="s">
        <v>22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489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3697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494</v>
      </c>
      <c r="B238" s="51">
        <v>51.6</v>
      </c>
      <c r="C238" s="52"/>
      <c r="D238" s="2" t="s">
        <v>492</v>
      </c>
      <c r="E238" s="53"/>
      <c r="G238" s="59"/>
      <c r="J238" s="63"/>
      <c r="L238" s="56"/>
      <c r="M238" s="57" t="s">
        <v>22</v>
      </c>
      <c r="N238" s="57" t="s">
        <v>22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492</v>
      </c>
      <c r="AA238">
        <v>232</v>
      </c>
    </row>
    <row r="239" spans="1:27" x14ac:dyDescent="0.25">
      <c r="A239" s="9" t="s">
        <v>3698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497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496</v>
      </c>
      <c r="B242" s="51">
        <v>51.6</v>
      </c>
      <c r="C242" s="52"/>
      <c r="D242" s="2" t="s">
        <v>495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22</v>
      </c>
      <c r="N242" s="57" t="s">
        <v>22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495</v>
      </c>
      <c r="AA242">
        <v>236</v>
      </c>
    </row>
    <row r="243" spans="1:27" x14ac:dyDescent="0.25">
      <c r="A243" s="1" t="s">
        <v>500</v>
      </c>
      <c r="B243" s="51">
        <v>18.600000000000001</v>
      </c>
      <c r="C243" s="52"/>
      <c r="D243" s="2" t="s">
        <v>498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22</v>
      </c>
      <c r="N243" s="57" t="s">
        <v>22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498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3699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503</v>
      </c>
      <c r="B246" s="51">
        <v>55.45</v>
      </c>
      <c r="C246" s="52"/>
      <c r="D246" s="2" t="s">
        <v>501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22</v>
      </c>
      <c r="N246" s="57" t="s">
        <v>22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501</v>
      </c>
      <c r="AA246">
        <v>240</v>
      </c>
    </row>
    <row r="247" spans="1:27" x14ac:dyDescent="0.25">
      <c r="A247" s="1" t="s">
        <v>507</v>
      </c>
      <c r="B247" s="51">
        <v>66.350000000000009</v>
      </c>
      <c r="C247" s="52"/>
      <c r="D247" s="2" t="s">
        <v>505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22</v>
      </c>
      <c r="N247" s="57" t="s">
        <v>22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505</v>
      </c>
      <c r="AA247">
        <v>241</v>
      </c>
    </row>
    <row r="248" spans="1:27" x14ac:dyDescent="0.25">
      <c r="A248" s="1" t="s">
        <v>509</v>
      </c>
      <c r="B248" s="51">
        <v>80.800000000000011</v>
      </c>
      <c r="C248" s="52"/>
      <c r="D248" s="2" t="s">
        <v>508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22</v>
      </c>
      <c r="N248" s="57" t="s">
        <v>22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508</v>
      </c>
      <c r="AA248">
        <v>242</v>
      </c>
    </row>
    <row r="249" spans="1:27" x14ac:dyDescent="0.25">
      <c r="A249" s="1" t="s">
        <v>512</v>
      </c>
      <c r="B249" s="51">
        <v>353.20000000000005</v>
      </c>
      <c r="C249" s="52"/>
      <c r="D249" s="2" t="s">
        <v>510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22</v>
      </c>
      <c r="N249" s="57" t="s">
        <v>22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510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516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515</v>
      </c>
      <c r="B252" s="51">
        <v>54.300000000000004</v>
      </c>
      <c r="C252" s="52"/>
      <c r="D252" s="2" t="s">
        <v>513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22</v>
      </c>
      <c r="N252" s="57" t="s">
        <v>22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513</v>
      </c>
      <c r="AA252">
        <v>246</v>
      </c>
    </row>
    <row r="253" spans="1:27" x14ac:dyDescent="0.25">
      <c r="A253" s="1" t="s">
        <v>519</v>
      </c>
      <c r="B253" s="51">
        <v>58.400000000000006</v>
      </c>
      <c r="C253" s="52"/>
      <c r="D253" s="2" t="s">
        <v>517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22</v>
      </c>
      <c r="N253" s="57" t="s">
        <v>22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517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3700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476</v>
      </c>
      <c r="B256" s="51">
        <v>90.25</v>
      </c>
      <c r="C256" s="52"/>
      <c r="D256" s="2" t="s">
        <v>475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22</v>
      </c>
      <c r="N256" s="57" t="s">
        <v>22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475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22</v>
      </c>
      <c r="H257" s="23" t="s">
        <v>22</v>
      </c>
      <c r="J257" s="63" t="s">
        <v>22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3701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521</v>
      </c>
      <c r="B259" s="51">
        <v>56.050000000000004</v>
      </c>
      <c r="C259" s="98"/>
      <c r="D259" s="2" t="s">
        <v>520</v>
      </c>
      <c r="E259" s="46"/>
      <c r="G259" s="54"/>
      <c r="H259" s="99"/>
      <c r="J259" s="100"/>
      <c r="L259" s="56"/>
      <c r="M259" s="57" t="s">
        <v>22</v>
      </c>
      <c r="N259" s="57" t="s">
        <v>22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520</v>
      </c>
      <c r="AA259">
        <v>253</v>
      </c>
    </row>
    <row r="260" spans="1:27" x14ac:dyDescent="0.25">
      <c r="A260" s="101" t="s">
        <v>3702</v>
      </c>
      <c r="B260" s="51" t="s">
        <v>22</v>
      </c>
      <c r="C260" s="102"/>
      <c r="D260" s="103"/>
      <c r="F260" s="104"/>
      <c r="G260" s="54" t="s">
        <v>22</v>
      </c>
      <c r="H260" s="23" t="s">
        <v>22</v>
      </c>
      <c r="I260" s="104"/>
      <c r="J260" s="63" t="s">
        <v>22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945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479</v>
      </c>
      <c r="B263" s="51">
        <v>9.15</v>
      </c>
      <c r="C263" s="52"/>
      <c r="D263" s="75" t="s">
        <v>477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22</v>
      </c>
      <c r="N263" s="57" t="s">
        <v>22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477</v>
      </c>
      <c r="AA263">
        <v>257</v>
      </c>
    </row>
    <row r="264" spans="1:27" x14ac:dyDescent="0.25">
      <c r="A264" s="1" t="s">
        <v>481</v>
      </c>
      <c r="B264" s="51">
        <v>14.450000000000001</v>
      </c>
      <c r="C264" s="52"/>
      <c r="D264" s="2" t="s">
        <v>480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22</v>
      </c>
      <c r="N264" s="57" t="s">
        <v>22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480</v>
      </c>
      <c r="AA264">
        <v>258</v>
      </c>
    </row>
    <row r="265" spans="1:27" x14ac:dyDescent="0.25">
      <c r="A265" s="9"/>
      <c r="B265" s="51"/>
      <c r="C265" s="105"/>
      <c r="G265" s="54" t="s">
        <v>22</v>
      </c>
      <c r="H265" s="23" t="s">
        <v>22</v>
      </c>
      <c r="J265" s="63" t="s">
        <v>22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3703</v>
      </c>
      <c r="B266" s="25" t="s">
        <v>3624</v>
      </c>
      <c r="C266" s="26"/>
      <c r="D266" s="27" t="s">
        <v>3625</v>
      </c>
      <c r="E266" s="28"/>
      <c r="G266" s="54" t="s">
        <v>22</v>
      </c>
      <c r="H266" s="23" t="s">
        <v>22</v>
      </c>
      <c r="J266" s="63" t="s">
        <v>22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530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576</v>
      </c>
      <c r="B268" s="51">
        <v>56.900000000000006</v>
      </c>
      <c r="C268" s="52"/>
      <c r="D268" s="2" t="s">
        <v>574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22</v>
      </c>
      <c r="N268" s="57" t="s">
        <v>22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574</v>
      </c>
      <c r="AA268">
        <v>262</v>
      </c>
    </row>
    <row r="269" spans="1:27" x14ac:dyDescent="0.25">
      <c r="A269" s="1" t="s">
        <v>580</v>
      </c>
      <c r="B269" s="51">
        <v>25.700000000000003</v>
      </c>
      <c r="C269" s="52"/>
      <c r="D269" s="2" t="s">
        <v>578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22</v>
      </c>
      <c r="N269" s="57" t="s">
        <v>22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578</v>
      </c>
      <c r="AA269">
        <v>263</v>
      </c>
    </row>
    <row r="270" spans="1:27" ht="18" x14ac:dyDescent="0.25">
      <c r="A270" s="1" t="s">
        <v>685</v>
      </c>
      <c r="B270" s="51">
        <v>48.95</v>
      </c>
      <c r="C270" s="52"/>
      <c r="D270" s="2" t="s">
        <v>683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22</v>
      </c>
      <c r="N270" s="57" t="s">
        <v>22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683</v>
      </c>
      <c r="AA270">
        <v>264</v>
      </c>
    </row>
    <row r="271" spans="1:27" x14ac:dyDescent="0.25">
      <c r="A271" s="1" t="s">
        <v>542</v>
      </c>
      <c r="B271" s="51">
        <v>55.45</v>
      </c>
      <c r="C271" s="52"/>
      <c r="D271" s="2" t="s">
        <v>539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22</v>
      </c>
      <c r="N271" s="57" t="s">
        <v>22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539</v>
      </c>
      <c r="AA271">
        <v>265</v>
      </c>
    </row>
    <row r="272" spans="1:27" x14ac:dyDescent="0.25">
      <c r="A272" s="50" t="s">
        <v>544</v>
      </c>
      <c r="B272" s="51">
        <v>106.15</v>
      </c>
      <c r="C272" s="52"/>
      <c r="D272" s="2" t="s">
        <v>543</v>
      </c>
      <c r="E272" s="65"/>
      <c r="G272" s="59"/>
      <c r="J272" s="106"/>
      <c r="L272" s="56"/>
      <c r="M272" s="57" t="s">
        <v>22</v>
      </c>
      <c r="N272" s="57" t="s">
        <v>22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22</v>
      </c>
      <c r="Z272" s="2" t="s">
        <v>543</v>
      </c>
      <c r="AA272">
        <v>266</v>
      </c>
    </row>
    <row r="273" spans="1:27" x14ac:dyDescent="0.25">
      <c r="A273" s="1" t="s">
        <v>547</v>
      </c>
      <c r="B273" s="51">
        <v>50.45</v>
      </c>
      <c r="C273" s="52"/>
      <c r="D273" s="2" t="s">
        <v>545</v>
      </c>
      <c r="E273" s="46"/>
      <c r="G273" s="59"/>
      <c r="J273" s="106"/>
      <c r="L273" s="56"/>
      <c r="M273" s="57" t="s">
        <v>22</v>
      </c>
      <c r="N273" s="57" t="s">
        <v>22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545</v>
      </c>
      <c r="AA273">
        <v>267</v>
      </c>
    </row>
    <row r="274" spans="1:27" x14ac:dyDescent="0.25">
      <c r="A274" s="1" t="s">
        <v>550</v>
      </c>
      <c r="B274" s="51">
        <v>56.900000000000006</v>
      </c>
      <c r="C274" s="52"/>
      <c r="D274" s="2" t="s">
        <v>548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22</v>
      </c>
      <c r="N274" s="57" t="s">
        <v>22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548</v>
      </c>
      <c r="AA274">
        <v>268</v>
      </c>
    </row>
    <row r="275" spans="1:27" x14ac:dyDescent="0.25">
      <c r="A275" s="1" t="s">
        <v>553</v>
      </c>
      <c r="B275" s="51">
        <v>50.45</v>
      </c>
      <c r="C275" s="52"/>
      <c r="D275" s="2" t="s">
        <v>551</v>
      </c>
      <c r="E275" s="46"/>
      <c r="G275" s="59"/>
      <c r="J275" s="106"/>
      <c r="L275" s="56"/>
      <c r="M275" s="57" t="s">
        <v>22</v>
      </c>
      <c r="N275" s="57" t="s">
        <v>22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551</v>
      </c>
      <c r="AA275">
        <v>269</v>
      </c>
    </row>
    <row r="276" spans="1:27" x14ac:dyDescent="0.25">
      <c r="A276" s="1" t="s">
        <v>688</v>
      </c>
      <c r="B276" s="51">
        <v>70.75</v>
      </c>
      <c r="C276" s="52"/>
      <c r="D276" s="2" t="s">
        <v>686</v>
      </c>
      <c r="E276" s="46"/>
      <c r="G276" s="59"/>
      <c r="J276" s="106"/>
      <c r="L276" s="56"/>
      <c r="M276" s="57" t="s">
        <v>22</v>
      </c>
      <c r="N276" s="57" t="s">
        <v>22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686</v>
      </c>
      <c r="AA276">
        <v>270</v>
      </c>
    </row>
    <row r="277" spans="1:27" x14ac:dyDescent="0.25">
      <c r="A277" s="1" t="s">
        <v>556</v>
      </c>
      <c r="B277" s="51">
        <v>74</v>
      </c>
      <c r="C277" s="52"/>
      <c r="D277" s="2" t="s">
        <v>554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22</v>
      </c>
      <c r="N277" s="57" t="s">
        <v>22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554</v>
      </c>
      <c r="AA277">
        <v>271</v>
      </c>
    </row>
    <row r="278" spans="1:27" x14ac:dyDescent="0.25">
      <c r="A278" s="66" t="s">
        <v>559</v>
      </c>
      <c r="B278" s="51">
        <v>112</v>
      </c>
      <c r="C278" s="52"/>
      <c r="D278" s="69" t="s">
        <v>557</v>
      </c>
      <c r="E278" s="53"/>
      <c r="G278" s="59"/>
      <c r="J278" s="73"/>
      <c r="L278" s="56"/>
      <c r="M278" s="57" t="s">
        <v>22</v>
      </c>
      <c r="N278" s="57" t="s">
        <v>22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22</v>
      </c>
      <c r="Z278" s="2" t="s">
        <v>557</v>
      </c>
      <c r="AA278">
        <v>272</v>
      </c>
    </row>
    <row r="279" spans="1:27" x14ac:dyDescent="0.25">
      <c r="A279" s="1" t="s">
        <v>562</v>
      </c>
      <c r="B279" s="51">
        <v>81.350000000000009</v>
      </c>
      <c r="C279" s="52"/>
      <c r="D279" s="2" t="s">
        <v>560</v>
      </c>
      <c r="E279" s="46"/>
      <c r="G279" s="59"/>
      <c r="J279" s="73"/>
      <c r="L279" s="56"/>
      <c r="M279" s="57" t="s">
        <v>22</v>
      </c>
      <c r="N279" s="57" t="s">
        <v>22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560</v>
      </c>
      <c r="AA279">
        <v>273</v>
      </c>
    </row>
    <row r="280" spans="1:27" x14ac:dyDescent="0.25">
      <c r="A280" s="1" t="s">
        <v>565</v>
      </c>
      <c r="B280" s="51">
        <v>106.15</v>
      </c>
      <c r="C280" s="52"/>
      <c r="D280" s="2" t="s">
        <v>563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22</v>
      </c>
      <c r="N280" s="57" t="s">
        <v>22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563</v>
      </c>
      <c r="AA280">
        <v>274</v>
      </c>
    </row>
    <row r="281" spans="1:27" x14ac:dyDescent="0.25">
      <c r="A281" s="1" t="s">
        <v>568</v>
      </c>
      <c r="B281" s="51">
        <v>129.4</v>
      </c>
      <c r="C281" s="52"/>
      <c r="D281" s="2" t="s">
        <v>566</v>
      </c>
      <c r="E281" s="46"/>
      <c r="G281" s="59"/>
      <c r="J281" s="73"/>
      <c r="L281" s="56"/>
      <c r="M281" s="57" t="s">
        <v>22</v>
      </c>
      <c r="N281" s="57" t="s">
        <v>22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566</v>
      </c>
      <c r="AA281">
        <v>275</v>
      </c>
    </row>
    <row r="282" spans="1:27" x14ac:dyDescent="0.25">
      <c r="A282" t="s">
        <v>691</v>
      </c>
      <c r="B282" s="51">
        <v>129.4</v>
      </c>
      <c r="C282" s="52"/>
      <c r="D282" s="69" t="s">
        <v>689</v>
      </c>
      <c r="E282" s="46"/>
      <c r="G282" s="59"/>
      <c r="J282" s="73"/>
      <c r="L282" s="56"/>
      <c r="M282" s="57" t="s">
        <v>22</v>
      </c>
      <c r="N282" s="57" t="s">
        <v>22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22</v>
      </c>
      <c r="Z282" s="2" t="s">
        <v>689</v>
      </c>
      <c r="AA282">
        <v>276</v>
      </c>
    </row>
    <row r="283" spans="1:27" x14ac:dyDescent="0.25">
      <c r="A283" s="1" t="s">
        <v>570</v>
      </c>
      <c r="B283" s="51">
        <v>42.2</v>
      </c>
      <c r="C283" s="52"/>
      <c r="D283" s="2" t="s">
        <v>569</v>
      </c>
      <c r="E283" s="53"/>
      <c r="G283" s="59"/>
      <c r="J283" s="73"/>
      <c r="L283" s="56"/>
      <c r="M283" s="57" t="s">
        <v>22</v>
      </c>
      <c r="N283" s="57" t="s">
        <v>22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569</v>
      </c>
      <c r="AA283">
        <v>277</v>
      </c>
    </row>
    <row r="284" spans="1:27" x14ac:dyDescent="0.25">
      <c r="A284" s="107" t="s">
        <v>573</v>
      </c>
      <c r="B284" s="51">
        <v>106.15</v>
      </c>
      <c r="C284" s="52"/>
      <c r="D284" s="2" t="s">
        <v>571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22</v>
      </c>
      <c r="N284" s="57" t="s">
        <v>22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571</v>
      </c>
      <c r="AA284">
        <v>278</v>
      </c>
    </row>
    <row r="285" spans="1:27" x14ac:dyDescent="0.25">
      <c r="A285" s="9" t="s">
        <v>3704</v>
      </c>
      <c r="B285" s="51"/>
      <c r="C285" s="52"/>
      <c r="E285" s="53"/>
      <c r="G285" s="54" t="s">
        <v>22</v>
      </c>
      <c r="H285" s="23" t="s">
        <v>22</v>
      </c>
      <c r="J285" s="17" t="s">
        <v>22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22</v>
      </c>
      <c r="H286" s="23" t="s">
        <v>22</v>
      </c>
      <c r="J286" s="17" t="s">
        <v>22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577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583</v>
      </c>
      <c r="B288" s="51">
        <v>53.050000000000004</v>
      </c>
      <c r="C288" s="52"/>
      <c r="D288" s="2" t="s">
        <v>581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22</v>
      </c>
      <c r="N288" s="57" t="s">
        <v>22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581</v>
      </c>
      <c r="AA288">
        <v>282</v>
      </c>
    </row>
    <row r="289" spans="1:27" ht="18" x14ac:dyDescent="0.25">
      <c r="A289" s="1" t="s">
        <v>586</v>
      </c>
      <c r="B289" s="51">
        <v>58.400000000000006</v>
      </c>
      <c r="C289" s="52"/>
      <c r="D289" s="2" t="s">
        <v>584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22</v>
      </c>
      <c r="N289" s="57" t="s">
        <v>22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584</v>
      </c>
      <c r="AA289">
        <v>283</v>
      </c>
    </row>
    <row r="290" spans="1:27" ht="18" x14ac:dyDescent="0.25">
      <c r="A290" s="50" t="s">
        <v>589</v>
      </c>
      <c r="B290" s="51">
        <v>74.95</v>
      </c>
      <c r="C290" s="52"/>
      <c r="D290" s="2" t="s">
        <v>587</v>
      </c>
      <c r="E290" s="70"/>
      <c r="G290" s="59"/>
      <c r="J290" s="63"/>
      <c r="L290" s="56"/>
      <c r="M290" s="57" t="s">
        <v>22</v>
      </c>
      <c r="N290" s="57" t="s">
        <v>22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587</v>
      </c>
      <c r="AA290">
        <v>284</v>
      </c>
    </row>
    <row r="291" spans="1:27" x14ac:dyDescent="0.25">
      <c r="A291" s="50" t="s">
        <v>592</v>
      </c>
      <c r="B291" s="51">
        <v>63.7</v>
      </c>
      <c r="C291" s="52"/>
      <c r="D291" s="2" t="s">
        <v>590</v>
      </c>
      <c r="E291" s="53"/>
      <c r="F291" s="64"/>
      <c r="G291" s="108"/>
      <c r="H291" s="109"/>
      <c r="I291" s="64"/>
      <c r="J291" s="110"/>
      <c r="K291" s="64"/>
      <c r="L291" s="56"/>
      <c r="M291" s="57" t="s">
        <v>22</v>
      </c>
      <c r="N291" s="57" t="s">
        <v>22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22</v>
      </c>
      <c r="Z291" s="2" t="s">
        <v>590</v>
      </c>
      <c r="AA291">
        <v>285</v>
      </c>
    </row>
    <row r="292" spans="1:27" x14ac:dyDescent="0.25">
      <c r="A292" s="50" t="s">
        <v>596</v>
      </c>
      <c r="B292" s="51">
        <v>65.100000000000009</v>
      </c>
      <c r="C292" s="52"/>
      <c r="D292" s="2" t="s">
        <v>594</v>
      </c>
      <c r="E292" s="53"/>
      <c r="F292" s="64"/>
      <c r="G292" s="108"/>
      <c r="H292" s="109"/>
      <c r="I292" s="64"/>
      <c r="J292" s="110"/>
      <c r="K292" s="64"/>
      <c r="L292" s="56"/>
      <c r="M292" s="57" t="s">
        <v>22</v>
      </c>
      <c r="N292" s="57" t="s">
        <v>22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22</v>
      </c>
      <c r="Z292" s="2" t="s">
        <v>594</v>
      </c>
      <c r="AA292">
        <v>286</v>
      </c>
    </row>
    <row r="293" spans="1:27" x14ac:dyDescent="0.25">
      <c r="A293" s="50" t="s">
        <v>599</v>
      </c>
      <c r="B293" s="51">
        <v>69.8</v>
      </c>
      <c r="C293" s="52"/>
      <c r="D293" s="2" t="s">
        <v>597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22</v>
      </c>
      <c r="N293" s="57" t="s">
        <v>22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22</v>
      </c>
      <c r="Z293" s="2" t="s">
        <v>597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3705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601</v>
      </c>
      <c r="B296" s="51">
        <v>23.900000000000002</v>
      </c>
      <c r="C296" s="52"/>
      <c r="D296" s="2" t="s">
        <v>600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22</v>
      </c>
      <c r="N296" s="57" t="s">
        <v>22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600</v>
      </c>
      <c r="AA296">
        <v>290</v>
      </c>
    </row>
    <row r="297" spans="1:27" x14ac:dyDescent="0.25">
      <c r="A297" s="1" t="s">
        <v>603</v>
      </c>
      <c r="B297" s="51">
        <v>43.95</v>
      </c>
      <c r="C297" s="52"/>
      <c r="D297" s="2" t="s">
        <v>602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22</v>
      </c>
      <c r="N297" s="57" t="s">
        <v>22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602</v>
      </c>
      <c r="AA297">
        <v>291</v>
      </c>
    </row>
    <row r="298" spans="1:27" x14ac:dyDescent="0.25">
      <c r="A298" s="1" t="s">
        <v>605</v>
      </c>
      <c r="B298" s="51">
        <v>45.1</v>
      </c>
      <c r="C298" s="52"/>
      <c r="D298" s="2" t="s">
        <v>604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22</v>
      </c>
      <c r="N298" s="57" t="s">
        <v>22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604</v>
      </c>
      <c r="AA298">
        <v>292</v>
      </c>
    </row>
    <row r="299" spans="1:27" ht="18" x14ac:dyDescent="0.25">
      <c r="A299" s="1" t="s">
        <v>608</v>
      </c>
      <c r="B299" s="51">
        <v>47.800000000000004</v>
      </c>
      <c r="C299" s="52"/>
      <c r="D299" s="2" t="s">
        <v>606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22</v>
      </c>
      <c r="N299" s="57" t="s">
        <v>22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606</v>
      </c>
      <c r="AA299">
        <v>293</v>
      </c>
    </row>
    <row r="300" spans="1:27" ht="18" x14ac:dyDescent="0.25">
      <c r="A300" s="50" t="s">
        <v>611</v>
      </c>
      <c r="B300" s="51">
        <v>54.45</v>
      </c>
      <c r="C300" s="52"/>
      <c r="D300" s="2" t="s">
        <v>609</v>
      </c>
      <c r="E300" s="70"/>
      <c r="G300" s="54"/>
      <c r="J300" s="63"/>
      <c r="L300" s="56"/>
      <c r="M300" s="57" t="s">
        <v>22</v>
      </c>
      <c r="N300" s="57" t="s">
        <v>22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22</v>
      </c>
      <c r="Z300" s="2" t="s">
        <v>609</v>
      </c>
      <c r="AA300">
        <v>294</v>
      </c>
    </row>
    <row r="301" spans="1:27" ht="18" x14ac:dyDescent="0.25">
      <c r="A301" s="50" t="s">
        <v>614</v>
      </c>
      <c r="B301" s="51">
        <v>54.300000000000004</v>
      </c>
      <c r="C301" s="52"/>
      <c r="D301" s="2" t="s">
        <v>612</v>
      </c>
      <c r="E301" s="70"/>
      <c r="G301" s="54"/>
      <c r="J301" s="63"/>
      <c r="L301" s="56"/>
      <c r="M301" s="57" t="s">
        <v>22</v>
      </c>
      <c r="N301" s="57" t="s">
        <v>22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22</v>
      </c>
      <c r="Z301" s="2" t="s">
        <v>612</v>
      </c>
      <c r="AA301">
        <v>295</v>
      </c>
    </row>
    <row r="302" spans="1:27" x14ac:dyDescent="0.25">
      <c r="A302" s="50" t="s">
        <v>616</v>
      </c>
      <c r="B302" s="51">
        <v>28.35</v>
      </c>
      <c r="C302" s="52"/>
      <c r="D302" s="2" t="s">
        <v>615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22</v>
      </c>
      <c r="N302" s="57" t="s">
        <v>22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615</v>
      </c>
      <c r="AA302">
        <v>296</v>
      </c>
    </row>
    <row r="303" spans="1:27" x14ac:dyDescent="0.25">
      <c r="A303" s="50" t="s">
        <v>619</v>
      </c>
      <c r="B303" s="51">
        <v>35</v>
      </c>
      <c r="C303" s="52"/>
      <c r="D303" s="2" t="s">
        <v>617</v>
      </c>
      <c r="E303" s="53"/>
      <c r="G303" s="54"/>
      <c r="J303" s="63"/>
      <c r="L303" s="56"/>
      <c r="M303" s="57" t="s">
        <v>22</v>
      </c>
      <c r="N303" s="57" t="s">
        <v>22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22</v>
      </c>
      <c r="Z303" s="2" t="s">
        <v>617</v>
      </c>
      <c r="AA303">
        <v>297</v>
      </c>
    </row>
    <row r="304" spans="1:27" x14ac:dyDescent="0.25">
      <c r="A304" s="1" t="s">
        <v>622</v>
      </c>
      <c r="B304" s="51">
        <v>49.85</v>
      </c>
      <c r="C304" s="52"/>
      <c r="D304" s="75" t="s">
        <v>620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22</v>
      </c>
      <c r="N304" s="57" t="s">
        <v>22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620</v>
      </c>
      <c r="AA304">
        <v>298</v>
      </c>
    </row>
    <row r="305" spans="1:27" x14ac:dyDescent="0.25">
      <c r="A305" s="1" t="s">
        <v>624</v>
      </c>
      <c r="B305" s="51">
        <v>9.8500000000000014</v>
      </c>
      <c r="C305" s="52"/>
      <c r="D305" s="75" t="s">
        <v>623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22</v>
      </c>
      <c r="N305" s="57" t="s">
        <v>22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623</v>
      </c>
      <c r="AA305">
        <v>299</v>
      </c>
    </row>
    <row r="306" spans="1:27" ht="18" x14ac:dyDescent="0.25">
      <c r="A306" s="1" t="s">
        <v>709</v>
      </c>
      <c r="B306" s="51">
        <v>47.800000000000004</v>
      </c>
      <c r="C306" s="52"/>
      <c r="D306" s="2" t="s">
        <v>708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22</v>
      </c>
      <c r="N306" s="57" t="s">
        <v>22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708</v>
      </c>
      <c r="AA306">
        <v>300</v>
      </c>
    </row>
    <row r="307" spans="1:27" x14ac:dyDescent="0.25">
      <c r="A307" s="1" t="s">
        <v>627</v>
      </c>
      <c r="B307" s="51">
        <v>54.300000000000004</v>
      </c>
      <c r="C307" s="52"/>
      <c r="D307" s="2" t="s">
        <v>625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22</v>
      </c>
      <c r="N307" s="57" t="s">
        <v>22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625</v>
      </c>
      <c r="AA307">
        <v>301</v>
      </c>
    </row>
    <row r="308" spans="1:27" x14ac:dyDescent="0.25">
      <c r="A308" s="1" t="s">
        <v>630</v>
      </c>
      <c r="B308" s="51">
        <v>58.150000000000006</v>
      </c>
      <c r="C308" s="52"/>
      <c r="D308" s="2" t="s">
        <v>628</v>
      </c>
      <c r="E308" s="53"/>
      <c r="G308" s="54"/>
      <c r="J308" s="63"/>
      <c r="L308" s="56"/>
      <c r="M308" s="57" t="s">
        <v>22</v>
      </c>
      <c r="N308" s="57" t="s">
        <v>22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628</v>
      </c>
      <c r="AA308">
        <v>302</v>
      </c>
    </row>
    <row r="309" spans="1:27" x14ac:dyDescent="0.25">
      <c r="A309" s="1" t="s">
        <v>633</v>
      </c>
      <c r="B309" s="51">
        <v>63.7</v>
      </c>
      <c r="C309" s="52"/>
      <c r="D309" s="2" t="s">
        <v>631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22</v>
      </c>
      <c r="N309" s="57" t="s">
        <v>22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631</v>
      </c>
      <c r="AA309">
        <v>303</v>
      </c>
    </row>
    <row r="310" spans="1:27" x14ac:dyDescent="0.25">
      <c r="A310" s="1" t="s">
        <v>635</v>
      </c>
      <c r="B310" s="51">
        <v>14.8</v>
      </c>
      <c r="C310" s="52"/>
      <c r="D310" s="75" t="s">
        <v>634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22</v>
      </c>
      <c r="N310" s="57" t="s">
        <v>22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634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3706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712</v>
      </c>
      <c r="B313" s="51">
        <v>37.15</v>
      </c>
      <c r="C313" s="52"/>
      <c r="D313" s="2" t="s">
        <v>710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22</v>
      </c>
      <c r="N313" s="57" t="s">
        <v>22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710</v>
      </c>
      <c r="AA313">
        <v>307</v>
      </c>
    </row>
    <row r="314" spans="1:27" x14ac:dyDescent="0.25">
      <c r="A314" s="1" t="s">
        <v>638</v>
      </c>
      <c r="B314" s="51">
        <v>39.200000000000003</v>
      </c>
      <c r="C314" s="52"/>
      <c r="D314" s="2" t="s">
        <v>636</v>
      </c>
      <c r="E314" s="46"/>
      <c r="G314" s="59"/>
      <c r="J314" s="63"/>
      <c r="L314" s="56"/>
      <c r="M314" s="57" t="s">
        <v>22</v>
      </c>
      <c r="N314" s="57" t="s">
        <v>22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636</v>
      </c>
      <c r="AA314">
        <v>308</v>
      </c>
    </row>
    <row r="315" spans="1:27" x14ac:dyDescent="0.25">
      <c r="A315" s="1" t="s">
        <v>641</v>
      </c>
      <c r="B315" s="51">
        <v>47.150000000000006</v>
      </c>
      <c r="C315" s="52"/>
      <c r="D315" s="2" t="s">
        <v>639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22</v>
      </c>
      <c r="N315" s="57" t="s">
        <v>22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639</v>
      </c>
      <c r="AA315">
        <v>309</v>
      </c>
    </row>
    <row r="316" spans="1:27" x14ac:dyDescent="0.25">
      <c r="A316" s="1" t="s">
        <v>644</v>
      </c>
      <c r="B316" s="51">
        <v>54.300000000000004</v>
      </c>
      <c r="C316" s="52"/>
      <c r="D316" s="2" t="s">
        <v>642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22</v>
      </c>
      <c r="N316" s="57" t="s">
        <v>22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642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3707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3708</v>
      </c>
      <c r="B319" s="25" t="s">
        <v>3624</v>
      </c>
      <c r="C319" s="26"/>
      <c r="D319" s="27" t="s">
        <v>3625</v>
      </c>
      <c r="E319" s="28"/>
      <c r="G319" s="54" t="s">
        <v>22</v>
      </c>
      <c r="H319" s="23" t="s">
        <v>22</v>
      </c>
      <c r="J319" s="63" t="s">
        <v>22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3709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649</v>
      </c>
      <c r="B321" s="51">
        <v>48.95</v>
      </c>
      <c r="C321" s="52"/>
      <c r="D321" s="2" t="s">
        <v>647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22</v>
      </c>
      <c r="N321" s="57" t="s">
        <v>22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647</v>
      </c>
      <c r="AA321">
        <v>315</v>
      </c>
    </row>
    <row r="322" spans="1:27" ht="18" x14ac:dyDescent="0.25">
      <c r="A322" s="66" t="s">
        <v>652</v>
      </c>
      <c r="B322" s="51">
        <v>100.2</v>
      </c>
      <c r="C322" s="52"/>
      <c r="D322" s="69" t="s">
        <v>650</v>
      </c>
      <c r="E322" s="70"/>
      <c r="G322" s="54"/>
      <c r="J322" s="63"/>
      <c r="L322" s="56"/>
      <c r="M322" s="57" t="s">
        <v>22</v>
      </c>
      <c r="N322" s="57" t="s">
        <v>22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22</v>
      </c>
      <c r="Z322" s="2" t="s">
        <v>650</v>
      </c>
      <c r="AA322">
        <v>316</v>
      </c>
    </row>
    <row r="323" spans="1:27" ht="18" x14ac:dyDescent="0.25">
      <c r="A323" s="66" t="s">
        <v>655</v>
      </c>
      <c r="B323" s="51">
        <v>76.650000000000006</v>
      </c>
      <c r="C323" s="52"/>
      <c r="D323" s="69" t="s">
        <v>653</v>
      </c>
      <c r="E323" s="70"/>
      <c r="G323" s="54"/>
      <c r="J323" s="63"/>
      <c r="L323" s="56"/>
      <c r="M323" s="57" t="s">
        <v>22</v>
      </c>
      <c r="N323" s="57" t="s">
        <v>22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22</v>
      </c>
      <c r="Z323" s="2" t="s">
        <v>653</v>
      </c>
      <c r="AA323">
        <v>317</v>
      </c>
    </row>
    <row r="324" spans="1:27" x14ac:dyDescent="0.25">
      <c r="A324" s="1" t="s">
        <v>658</v>
      </c>
      <c r="B324" s="51">
        <v>110.85000000000001</v>
      </c>
      <c r="C324" s="52"/>
      <c r="D324" s="2" t="s">
        <v>656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22</v>
      </c>
      <c r="N324" s="57" t="s">
        <v>22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656</v>
      </c>
      <c r="AA324">
        <v>318</v>
      </c>
    </row>
    <row r="325" spans="1:27" x14ac:dyDescent="0.25">
      <c r="A325" s="1" t="s">
        <v>661</v>
      </c>
      <c r="B325" s="51">
        <v>16.55</v>
      </c>
      <c r="C325" s="52"/>
      <c r="D325" s="75" t="s">
        <v>659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22</v>
      </c>
      <c r="N325" s="57" t="s">
        <v>22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659</v>
      </c>
      <c r="AA325">
        <v>319</v>
      </c>
    </row>
    <row r="326" spans="1:27" x14ac:dyDescent="0.25">
      <c r="A326" s="1" t="s">
        <v>537</v>
      </c>
      <c r="B326" s="51">
        <v>10.600000000000001</v>
      </c>
      <c r="C326" s="52"/>
      <c r="D326" s="75" t="s">
        <v>535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22</v>
      </c>
      <c r="N326" s="57" t="s">
        <v>22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535</v>
      </c>
      <c r="AA326">
        <v>320</v>
      </c>
    </row>
    <row r="327" spans="1:27" x14ac:dyDescent="0.25">
      <c r="A327" s="1" t="s">
        <v>664</v>
      </c>
      <c r="B327" s="51">
        <v>263.90000000000003</v>
      </c>
      <c r="C327" s="52"/>
      <c r="D327" s="2" t="s">
        <v>662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22</v>
      </c>
      <c r="N327" s="57" t="s">
        <v>22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662</v>
      </c>
      <c r="AA327">
        <v>321</v>
      </c>
    </row>
    <row r="328" spans="1:27" x14ac:dyDescent="0.25">
      <c r="A328" s="1" t="s">
        <v>667</v>
      </c>
      <c r="B328" s="51">
        <v>57.2</v>
      </c>
      <c r="C328" s="52"/>
      <c r="D328" s="2" t="s">
        <v>665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22</v>
      </c>
      <c r="N328" s="57" t="s">
        <v>22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665</v>
      </c>
      <c r="AA328">
        <v>322</v>
      </c>
    </row>
    <row r="329" spans="1:27" x14ac:dyDescent="0.25">
      <c r="A329" s="1" t="s">
        <v>670</v>
      </c>
      <c r="B329" s="51">
        <v>23.5</v>
      </c>
      <c r="C329" s="52"/>
      <c r="D329" s="2" t="s">
        <v>668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22</v>
      </c>
      <c r="N329" s="57" t="s">
        <v>22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668</v>
      </c>
      <c r="AA329">
        <v>323</v>
      </c>
    </row>
    <row r="330" spans="1:27" x14ac:dyDescent="0.25">
      <c r="A330" s="9" t="s">
        <v>3710</v>
      </c>
      <c r="B330" s="51"/>
      <c r="C330" s="52"/>
      <c r="E330" s="53"/>
      <c r="G330" s="54" t="s">
        <v>22</v>
      </c>
      <c r="H330" s="23" t="s">
        <v>22</v>
      </c>
      <c r="J330" s="73" t="s">
        <v>22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22</v>
      </c>
      <c r="H331" s="23" t="s">
        <v>22</v>
      </c>
      <c r="J331" s="73" t="s">
        <v>22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672</v>
      </c>
      <c r="B332" s="51">
        <v>117.95</v>
      </c>
      <c r="C332" s="52"/>
      <c r="D332" s="2" t="s">
        <v>671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22</v>
      </c>
      <c r="N332" s="57" t="s">
        <v>22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671</v>
      </c>
      <c r="AA332">
        <v>326</v>
      </c>
    </row>
    <row r="333" spans="1:27" x14ac:dyDescent="0.25">
      <c r="A333" s="1" t="s">
        <v>674</v>
      </c>
      <c r="B333" s="51">
        <v>138.9</v>
      </c>
      <c r="C333" s="52"/>
      <c r="D333" s="2" t="s">
        <v>673</v>
      </c>
      <c r="E333" s="46"/>
      <c r="L333" s="56"/>
      <c r="M333" s="57" t="s">
        <v>22</v>
      </c>
      <c r="N333" s="57" t="s">
        <v>22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673</v>
      </c>
      <c r="AA333">
        <v>327</v>
      </c>
    </row>
    <row r="334" spans="1:27" x14ac:dyDescent="0.25">
      <c r="A334" s="9" t="s">
        <v>3711</v>
      </c>
      <c r="B334" s="51"/>
      <c r="C334" s="52"/>
      <c r="D334" s="12"/>
      <c r="E334" s="53"/>
      <c r="G334" s="54" t="s">
        <v>22</v>
      </c>
      <c r="H334" s="23" t="s">
        <v>22</v>
      </c>
      <c r="J334" s="73" t="s">
        <v>22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22</v>
      </c>
      <c r="H335" s="23" t="s">
        <v>22</v>
      </c>
      <c r="J335" s="73" t="s">
        <v>22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3712</v>
      </c>
      <c r="B336" s="25" t="s">
        <v>3624</v>
      </c>
      <c r="C336" s="26"/>
      <c r="D336" s="27" t="s">
        <v>3625</v>
      </c>
      <c r="E336" s="28"/>
      <c r="G336" s="54" t="s">
        <v>22</v>
      </c>
      <c r="H336" s="23" t="s">
        <v>22</v>
      </c>
      <c r="J336" s="73" t="s">
        <v>22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3713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739</v>
      </c>
      <c r="B338" s="51">
        <v>26.5</v>
      </c>
      <c r="C338" s="52"/>
      <c r="D338" s="2" t="s">
        <v>736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22</v>
      </c>
      <c r="N338" s="57" t="s">
        <v>22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736</v>
      </c>
      <c r="AA338">
        <v>332</v>
      </c>
    </row>
    <row r="339" spans="1:27" ht="18" x14ac:dyDescent="0.25">
      <c r="A339" s="50" t="s">
        <v>743</v>
      </c>
      <c r="B339" s="51">
        <v>64.850000000000009</v>
      </c>
      <c r="C339" s="52"/>
      <c r="D339" s="2" t="s">
        <v>741</v>
      </c>
      <c r="E339" s="70"/>
      <c r="G339" s="54"/>
      <c r="J339" s="73"/>
      <c r="L339" s="56"/>
      <c r="M339" s="57" t="s">
        <v>22</v>
      </c>
      <c r="N339" s="57" t="s">
        <v>22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22</v>
      </c>
      <c r="Z339" s="2" t="s">
        <v>741</v>
      </c>
      <c r="AA339">
        <v>333</v>
      </c>
    </row>
    <row r="340" spans="1:27" ht="18" x14ac:dyDescent="0.25">
      <c r="A340" s="50" t="s">
        <v>746</v>
      </c>
      <c r="B340" s="51">
        <v>64.850000000000009</v>
      </c>
      <c r="C340" s="52"/>
      <c r="D340" s="2" t="s">
        <v>744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22</v>
      </c>
      <c r="N340" s="57" t="s">
        <v>22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744</v>
      </c>
      <c r="AA340">
        <v>334</v>
      </c>
    </row>
    <row r="341" spans="1:27" x14ac:dyDescent="0.25">
      <c r="A341" s="50" t="s">
        <v>749</v>
      </c>
      <c r="B341" s="51">
        <v>105.7</v>
      </c>
      <c r="C341" s="68"/>
      <c r="D341" s="69" t="s">
        <v>747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22</v>
      </c>
      <c r="N341" s="57" t="s">
        <v>22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22</v>
      </c>
      <c r="Z341" s="2" t="s">
        <v>747</v>
      </c>
      <c r="AA341">
        <v>335</v>
      </c>
    </row>
    <row r="342" spans="1:27" x14ac:dyDescent="0.25">
      <c r="A342" s="9" t="s">
        <v>3714</v>
      </c>
      <c r="B342" s="51"/>
      <c r="C342" s="52"/>
      <c r="E342" s="53"/>
      <c r="G342" s="54" t="s">
        <v>22</v>
      </c>
      <c r="H342" s="23" t="s">
        <v>22</v>
      </c>
      <c r="J342" s="73" t="s">
        <v>22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22</v>
      </c>
      <c r="H343" s="23" t="s">
        <v>22</v>
      </c>
      <c r="J343" s="73" t="s">
        <v>22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3715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752</v>
      </c>
      <c r="B345" s="51">
        <v>79.550000000000011</v>
      </c>
      <c r="C345" s="52"/>
      <c r="D345" s="2" t="s">
        <v>750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22</v>
      </c>
      <c r="N345" s="57" t="s">
        <v>22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750</v>
      </c>
      <c r="AA345">
        <v>339</v>
      </c>
    </row>
    <row r="346" spans="1:27" x14ac:dyDescent="0.25">
      <c r="A346" s="1" t="s">
        <v>754</v>
      </c>
      <c r="B346" s="51">
        <v>120.30000000000001</v>
      </c>
      <c r="C346" s="52"/>
      <c r="D346" s="69" t="s">
        <v>753</v>
      </c>
      <c r="E346" s="53"/>
      <c r="G346" s="54"/>
      <c r="J346" s="73"/>
      <c r="L346" s="56"/>
      <c r="M346" s="57" t="s">
        <v>22</v>
      </c>
      <c r="N346" s="57" t="s">
        <v>22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22</v>
      </c>
      <c r="Z346" s="2" t="s">
        <v>753</v>
      </c>
      <c r="AA346">
        <v>340</v>
      </c>
    </row>
    <row r="347" spans="1:27" x14ac:dyDescent="0.25">
      <c r="A347" s="1" t="s">
        <v>757</v>
      </c>
      <c r="B347" s="51">
        <v>85.800000000000011</v>
      </c>
      <c r="C347" s="52"/>
      <c r="D347" s="2" t="s">
        <v>755</v>
      </c>
      <c r="E347" s="46"/>
      <c r="G347" s="54"/>
      <c r="J347" s="73"/>
      <c r="L347" s="56"/>
      <c r="M347" s="57" t="s">
        <v>22</v>
      </c>
      <c r="N347" s="57" t="s">
        <v>22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755</v>
      </c>
      <c r="AA347">
        <v>341</v>
      </c>
    </row>
    <row r="348" spans="1:27" ht="18" x14ac:dyDescent="0.25">
      <c r="A348" s="50" t="s">
        <v>760</v>
      </c>
      <c r="B348" s="51">
        <v>99.65</v>
      </c>
      <c r="C348" s="52"/>
      <c r="D348" s="2" t="s">
        <v>758</v>
      </c>
      <c r="E348" s="70"/>
      <c r="G348" s="54"/>
      <c r="J348" s="73"/>
      <c r="L348" s="56"/>
      <c r="M348" s="57" t="s">
        <v>22</v>
      </c>
      <c r="N348" s="57" t="s">
        <v>22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22</v>
      </c>
      <c r="Z348" s="2" t="s">
        <v>758</v>
      </c>
      <c r="AA348">
        <v>342</v>
      </c>
    </row>
    <row r="349" spans="1:27" x14ac:dyDescent="0.25">
      <c r="A349" s="50" t="s">
        <v>763</v>
      </c>
      <c r="B349" s="51">
        <v>61.650000000000006</v>
      </c>
      <c r="C349" s="52"/>
      <c r="D349" s="2" t="s">
        <v>761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22</v>
      </c>
      <c r="N349" s="57" t="s">
        <v>22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761</v>
      </c>
      <c r="AA349">
        <v>343</v>
      </c>
    </row>
    <row r="350" spans="1:27" x14ac:dyDescent="0.25">
      <c r="A350" s="50" t="s">
        <v>766</v>
      </c>
      <c r="B350" s="51">
        <v>94.350000000000009</v>
      </c>
      <c r="C350" s="52"/>
      <c r="D350" s="2" t="s">
        <v>765</v>
      </c>
      <c r="E350" s="53"/>
      <c r="G350" s="54"/>
      <c r="J350" s="73"/>
      <c r="L350" s="56"/>
      <c r="M350" s="57" t="s">
        <v>22</v>
      </c>
      <c r="N350" s="57" t="s">
        <v>22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22</v>
      </c>
      <c r="Z350" s="2" t="s">
        <v>765</v>
      </c>
      <c r="AA350">
        <v>344</v>
      </c>
    </row>
    <row r="351" spans="1:27" x14ac:dyDescent="0.25">
      <c r="A351" s="64" t="s">
        <v>768</v>
      </c>
      <c r="B351" s="51">
        <v>133.9</v>
      </c>
      <c r="C351" s="52"/>
      <c r="D351" s="69" t="s">
        <v>767</v>
      </c>
      <c r="E351" s="53"/>
      <c r="G351" s="54"/>
      <c r="J351" s="73"/>
      <c r="L351" s="56"/>
      <c r="M351" s="57" t="s">
        <v>22</v>
      </c>
      <c r="N351" s="57" t="s">
        <v>22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22</v>
      </c>
      <c r="Z351" s="2" t="s">
        <v>767</v>
      </c>
      <c r="AA351">
        <v>345</v>
      </c>
    </row>
    <row r="352" spans="1:27" x14ac:dyDescent="0.25">
      <c r="A352" s="50" t="s">
        <v>985</v>
      </c>
      <c r="B352" s="51">
        <v>163.5</v>
      </c>
      <c r="C352" s="52"/>
      <c r="D352" s="2" t="s">
        <v>1139</v>
      </c>
      <c r="E352" s="46"/>
      <c r="G352" s="54"/>
      <c r="J352" s="73"/>
      <c r="L352" s="56"/>
      <c r="M352" s="57" t="s">
        <v>22</v>
      </c>
      <c r="N352" s="57" t="s">
        <v>22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1139</v>
      </c>
      <c r="AA352">
        <v>346</v>
      </c>
    </row>
    <row r="353" spans="1:27" x14ac:dyDescent="0.25">
      <c r="A353" s="50" t="s">
        <v>1142</v>
      </c>
      <c r="B353" s="51">
        <v>180.15</v>
      </c>
      <c r="C353" s="52"/>
      <c r="D353" s="2" t="s">
        <v>1141</v>
      </c>
      <c r="E353" s="46"/>
      <c r="G353" s="54"/>
      <c r="J353" s="73"/>
      <c r="L353" s="56"/>
      <c r="M353" s="57" t="s">
        <v>22</v>
      </c>
      <c r="N353" s="57" t="s">
        <v>22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22</v>
      </c>
      <c r="Z353" s="2" t="s">
        <v>1141</v>
      </c>
      <c r="AA353">
        <v>347</v>
      </c>
    </row>
    <row r="354" spans="1:27" x14ac:dyDescent="0.25">
      <c r="A354" s="50" t="s">
        <v>770</v>
      </c>
      <c r="B354" s="51">
        <v>128.25</v>
      </c>
      <c r="C354" s="52"/>
      <c r="D354" s="2" t="s">
        <v>769</v>
      </c>
      <c r="E354" s="53"/>
      <c r="G354" s="54"/>
      <c r="J354" s="73"/>
      <c r="L354" s="56"/>
      <c r="M354" s="57" t="s">
        <v>22</v>
      </c>
      <c r="N354" s="57" t="s">
        <v>22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769</v>
      </c>
      <c r="AA354">
        <v>348</v>
      </c>
    </row>
    <row r="355" spans="1:27" x14ac:dyDescent="0.25">
      <c r="A355" s="1" t="s">
        <v>773</v>
      </c>
      <c r="B355" s="51">
        <v>15.950000000000001</v>
      </c>
      <c r="C355" s="52"/>
      <c r="D355" s="2" t="s">
        <v>771</v>
      </c>
      <c r="E355" s="53"/>
      <c r="G355" s="54"/>
      <c r="J355" s="73"/>
      <c r="L355" s="56"/>
      <c r="M355" s="57" t="s">
        <v>22</v>
      </c>
      <c r="N355" s="57" t="s">
        <v>22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771</v>
      </c>
      <c r="AA355">
        <v>349</v>
      </c>
    </row>
    <row r="356" spans="1:27" x14ac:dyDescent="0.25">
      <c r="A356" s="9" t="s">
        <v>3716</v>
      </c>
      <c r="B356" s="51"/>
      <c r="C356" s="112"/>
      <c r="E356" s="53"/>
      <c r="G356" s="54" t="s">
        <v>22</v>
      </c>
      <c r="H356" s="23" t="s">
        <v>22</v>
      </c>
      <c r="J356" s="73" t="s">
        <v>22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22</v>
      </c>
      <c r="H357" s="23" t="s">
        <v>22</v>
      </c>
      <c r="J357" s="73" t="s">
        <v>22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807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806</v>
      </c>
      <c r="B359" s="51">
        <v>74</v>
      </c>
      <c r="C359" s="52"/>
      <c r="D359" s="2" t="s">
        <v>805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22</v>
      </c>
      <c r="N359" s="57" t="s">
        <v>22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805</v>
      </c>
      <c r="AA359">
        <v>353</v>
      </c>
    </row>
    <row r="360" spans="1:27" x14ac:dyDescent="0.25">
      <c r="A360" s="1" t="s">
        <v>809</v>
      </c>
      <c r="B360" s="51">
        <v>53.050000000000004</v>
      </c>
      <c r="C360" s="52"/>
      <c r="D360" s="2" t="s">
        <v>808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22</v>
      </c>
      <c r="N360" s="57" t="s">
        <v>22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808</v>
      </c>
      <c r="AA360">
        <v>354</v>
      </c>
    </row>
    <row r="361" spans="1:27" x14ac:dyDescent="0.25">
      <c r="A361" s="66" t="s">
        <v>1316</v>
      </c>
      <c r="B361" s="51">
        <v>88.45</v>
      </c>
      <c r="C361" s="52"/>
      <c r="D361" s="69" t="s">
        <v>1314</v>
      </c>
      <c r="E361" s="53"/>
      <c r="G361" s="54"/>
      <c r="J361" s="73"/>
      <c r="L361" s="56"/>
      <c r="M361" s="57" t="s">
        <v>22</v>
      </c>
      <c r="N361" s="57" t="s">
        <v>22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22</v>
      </c>
      <c r="Z361" s="2" t="s">
        <v>1314</v>
      </c>
      <c r="AA361">
        <v>355</v>
      </c>
    </row>
    <row r="362" spans="1:27" x14ac:dyDescent="0.25">
      <c r="A362" s="9" t="s">
        <v>3717</v>
      </c>
      <c r="B362" s="51"/>
      <c r="C362" s="52"/>
      <c r="E362" s="53"/>
      <c r="G362" s="54" t="s">
        <v>22</v>
      </c>
      <c r="H362" s="23" t="s">
        <v>22</v>
      </c>
      <c r="J362" s="73" t="s">
        <v>22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3718</v>
      </c>
      <c r="B363" s="25" t="s">
        <v>3624</v>
      </c>
      <c r="C363" s="26"/>
      <c r="D363" s="27" t="s">
        <v>3625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777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776</v>
      </c>
      <c r="B365" s="51">
        <v>222.60000000000002</v>
      </c>
      <c r="C365" s="52"/>
      <c r="D365" s="2" t="s">
        <v>774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22</v>
      </c>
      <c r="N365" s="57" t="s">
        <v>22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774</v>
      </c>
      <c r="AA365">
        <v>359</v>
      </c>
    </row>
    <row r="366" spans="1:27" x14ac:dyDescent="0.25">
      <c r="A366" s="1" t="s">
        <v>780</v>
      </c>
      <c r="B366" s="51">
        <v>88.45</v>
      </c>
      <c r="C366" s="52"/>
      <c r="D366" s="2" t="s">
        <v>778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22</v>
      </c>
      <c r="N366" s="57" t="s">
        <v>22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778</v>
      </c>
      <c r="AA366">
        <v>360</v>
      </c>
    </row>
    <row r="367" spans="1:27" ht="18" x14ac:dyDescent="0.25">
      <c r="A367" s="1" t="s">
        <v>782</v>
      </c>
      <c r="B367" s="51">
        <v>108.5</v>
      </c>
      <c r="C367" s="52"/>
      <c r="D367" s="2" t="s">
        <v>781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22</v>
      </c>
      <c r="N367" s="57" t="s">
        <v>22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781</v>
      </c>
      <c r="AA367">
        <v>361</v>
      </c>
    </row>
    <row r="368" spans="1:27" x14ac:dyDescent="0.25">
      <c r="A368" s="1" t="s">
        <v>785</v>
      </c>
      <c r="B368" s="51">
        <v>135.05000000000001</v>
      </c>
      <c r="C368" s="52"/>
      <c r="D368" s="2" t="s">
        <v>783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22</v>
      </c>
      <c r="N368" s="57" t="s">
        <v>22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783</v>
      </c>
      <c r="AA368">
        <v>362</v>
      </c>
    </row>
    <row r="369" spans="1:27" x14ac:dyDescent="0.25">
      <c r="A369" s="50" t="s">
        <v>788</v>
      </c>
      <c r="B369" s="51">
        <v>223.4</v>
      </c>
      <c r="C369" s="52"/>
      <c r="D369" s="2" t="s">
        <v>786</v>
      </c>
      <c r="E369" s="53"/>
      <c r="G369" s="54"/>
      <c r="J369" s="73"/>
      <c r="L369" s="56"/>
      <c r="M369" s="57" t="s">
        <v>22</v>
      </c>
      <c r="N369" s="57" t="s">
        <v>22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22</v>
      </c>
      <c r="Z369" s="2" t="s">
        <v>786</v>
      </c>
      <c r="AA369">
        <v>363</v>
      </c>
    </row>
    <row r="370" spans="1:27" x14ac:dyDescent="0.25">
      <c r="A370" s="50" t="s">
        <v>790</v>
      </c>
      <c r="B370" s="51">
        <v>194.55</v>
      </c>
      <c r="C370" s="52"/>
      <c r="D370" s="2" t="s">
        <v>789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22</v>
      </c>
      <c r="N370" s="57" t="s">
        <v>22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789</v>
      </c>
      <c r="AA370">
        <v>364</v>
      </c>
    </row>
    <row r="371" spans="1:27" x14ac:dyDescent="0.25">
      <c r="A371" s="50" t="s">
        <v>792</v>
      </c>
      <c r="B371" s="51">
        <v>193.3</v>
      </c>
      <c r="C371" s="52"/>
      <c r="D371" s="2" t="s">
        <v>791</v>
      </c>
      <c r="E371" s="53"/>
      <c r="G371" s="54"/>
      <c r="J371" s="73"/>
      <c r="L371" s="56"/>
      <c r="M371" s="57" t="s">
        <v>22</v>
      </c>
      <c r="N371" s="57" t="s">
        <v>22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22</v>
      </c>
      <c r="Z371" s="2" t="s">
        <v>791</v>
      </c>
      <c r="AA371">
        <v>365</v>
      </c>
    </row>
    <row r="372" spans="1:27" x14ac:dyDescent="0.25">
      <c r="A372" s="50" t="s">
        <v>794</v>
      </c>
      <c r="B372" s="51">
        <v>362.15000000000003</v>
      </c>
      <c r="C372" s="52"/>
      <c r="D372" s="2" t="s">
        <v>793</v>
      </c>
      <c r="E372" s="53"/>
      <c r="G372" s="54"/>
      <c r="J372" s="73"/>
      <c r="L372" s="56"/>
      <c r="M372" s="57" t="s">
        <v>22</v>
      </c>
      <c r="N372" s="57" t="s">
        <v>22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22</v>
      </c>
      <c r="Z372" s="2" t="s">
        <v>793</v>
      </c>
      <c r="AA372">
        <v>366</v>
      </c>
    </row>
    <row r="373" spans="1:27" x14ac:dyDescent="0.25">
      <c r="A373" s="1" t="s">
        <v>796</v>
      </c>
      <c r="B373" s="51">
        <v>315.45000000000005</v>
      </c>
      <c r="C373" s="52"/>
      <c r="D373" s="2" t="s">
        <v>795</v>
      </c>
      <c r="E373" s="46"/>
      <c r="G373" s="54"/>
      <c r="J373" s="73"/>
      <c r="L373" s="56"/>
      <c r="M373" s="57" t="s">
        <v>22</v>
      </c>
      <c r="N373" s="57" t="s">
        <v>22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795</v>
      </c>
      <c r="AA373">
        <v>367</v>
      </c>
    </row>
    <row r="374" spans="1:27" x14ac:dyDescent="0.25">
      <c r="A374" s="1" t="s">
        <v>801</v>
      </c>
      <c r="B374" s="51">
        <v>82</v>
      </c>
      <c r="C374" s="52"/>
      <c r="D374" s="2" t="s">
        <v>799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22</v>
      </c>
      <c r="N374" s="57" t="s">
        <v>22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799</v>
      </c>
      <c r="AA374">
        <v>368</v>
      </c>
    </row>
    <row r="375" spans="1:27" x14ac:dyDescent="0.25">
      <c r="A375" s="1" t="s">
        <v>804</v>
      </c>
      <c r="B375" s="51">
        <v>12.100000000000001</v>
      </c>
      <c r="C375" s="52"/>
      <c r="D375" s="2" t="s">
        <v>802</v>
      </c>
      <c r="E375" s="46"/>
      <c r="G375" s="54"/>
      <c r="J375" s="73"/>
      <c r="L375" s="56"/>
      <c r="M375" s="57" t="s">
        <v>22</v>
      </c>
      <c r="N375" s="57" t="s">
        <v>22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802</v>
      </c>
      <c r="AA375">
        <v>369</v>
      </c>
    </row>
    <row r="376" spans="1:27" x14ac:dyDescent="0.25">
      <c r="A376" s="101" t="s">
        <v>3719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3720</v>
      </c>
      <c r="B377" s="51"/>
      <c r="C377" s="52"/>
      <c r="E377" s="53"/>
      <c r="G377" s="54" t="s">
        <v>22</v>
      </c>
      <c r="H377" s="23" t="s">
        <v>22</v>
      </c>
      <c r="J377" s="17" t="s">
        <v>22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3721</v>
      </c>
      <c r="B378" s="51"/>
      <c r="C378" s="52"/>
      <c r="E378" s="53"/>
      <c r="G378" s="54" t="s">
        <v>22</v>
      </c>
      <c r="H378" s="23" t="s">
        <v>22</v>
      </c>
      <c r="J378" s="17" t="s">
        <v>22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3722</v>
      </c>
      <c r="B380" s="25" t="s">
        <v>3624</v>
      </c>
      <c r="C380" s="26"/>
      <c r="D380" s="27" t="s">
        <v>3625</v>
      </c>
      <c r="E380" s="28"/>
      <c r="G380" s="54" t="s">
        <v>22</v>
      </c>
      <c r="H380" s="23" t="s">
        <v>22</v>
      </c>
      <c r="J380" s="17" t="s">
        <v>22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3723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1272</v>
      </c>
      <c r="B382" s="51">
        <v>66.350000000000009</v>
      </c>
      <c r="C382" s="52"/>
      <c r="D382" s="2" t="s">
        <v>1270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22</v>
      </c>
      <c r="N382" s="57" t="s">
        <v>22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1270</v>
      </c>
      <c r="AA382">
        <v>376</v>
      </c>
    </row>
    <row r="383" spans="1:27" x14ac:dyDescent="0.25">
      <c r="A383" s="1" t="s">
        <v>1275</v>
      </c>
      <c r="B383" s="51">
        <v>48.95</v>
      </c>
      <c r="C383" s="52"/>
      <c r="D383" s="2" t="s">
        <v>1274</v>
      </c>
      <c r="E383" s="65"/>
      <c r="G383" s="54"/>
      <c r="J383" s="63"/>
      <c r="L383" s="56"/>
      <c r="M383" s="57" t="s">
        <v>22</v>
      </c>
      <c r="N383" s="57" t="s">
        <v>22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1274</v>
      </c>
      <c r="AA383">
        <v>377</v>
      </c>
    </row>
    <row r="384" spans="1:27" x14ac:dyDescent="0.25">
      <c r="A384" s="1" t="s">
        <v>1278</v>
      </c>
      <c r="B384" s="51">
        <v>22.400000000000002</v>
      </c>
      <c r="C384" s="52"/>
      <c r="D384" s="2" t="s">
        <v>1276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22</v>
      </c>
      <c r="N384" s="57" t="s">
        <v>22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1276</v>
      </c>
      <c r="AA384">
        <v>378</v>
      </c>
    </row>
    <row r="385" spans="1:27" x14ac:dyDescent="0.25">
      <c r="A385" s="114" t="s">
        <v>3724</v>
      </c>
      <c r="B385" s="51"/>
      <c r="C385" s="52"/>
      <c r="E385" s="53"/>
      <c r="G385" s="54" t="s">
        <v>22</v>
      </c>
      <c r="H385" s="23" t="s">
        <v>22</v>
      </c>
      <c r="J385" s="63" t="s">
        <v>22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1285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1284</v>
      </c>
      <c r="B388" s="51">
        <v>48.95</v>
      </c>
      <c r="C388" s="52"/>
      <c r="D388" s="69" t="s">
        <v>1282</v>
      </c>
      <c r="E388" s="65"/>
      <c r="G388" s="54"/>
      <c r="J388" s="63"/>
      <c r="L388" s="56"/>
      <c r="M388" s="57" t="s">
        <v>22</v>
      </c>
      <c r="N388" s="57" t="s">
        <v>22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22</v>
      </c>
      <c r="Z388" s="2" t="s">
        <v>1282</v>
      </c>
      <c r="AA388">
        <v>382</v>
      </c>
    </row>
    <row r="389" spans="1:27" x14ac:dyDescent="0.25">
      <c r="A389" t="s">
        <v>1288</v>
      </c>
      <c r="B389" s="51">
        <v>61.1</v>
      </c>
      <c r="C389" s="52"/>
      <c r="D389" s="69" t="s">
        <v>1286</v>
      </c>
      <c r="E389" s="65"/>
      <c r="G389" s="54"/>
      <c r="J389" s="63"/>
      <c r="L389" s="56"/>
      <c r="M389" s="57" t="s">
        <v>22</v>
      </c>
      <c r="N389" s="57" t="s">
        <v>22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1286</v>
      </c>
      <c r="AA389">
        <v>383</v>
      </c>
    </row>
    <row r="390" spans="1:27" x14ac:dyDescent="0.25">
      <c r="A390" s="1" t="s">
        <v>1291</v>
      </c>
      <c r="B390" s="51">
        <v>35.700000000000003</v>
      </c>
      <c r="C390" s="52"/>
      <c r="D390" s="2" t="s">
        <v>1289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22</v>
      </c>
      <c r="N390" s="57" t="s">
        <v>22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1289</v>
      </c>
      <c r="AA390">
        <v>384</v>
      </c>
    </row>
    <row r="391" spans="1:27" x14ac:dyDescent="0.25">
      <c r="A391" s="50" t="s">
        <v>1293</v>
      </c>
      <c r="B391" s="51">
        <v>104.95</v>
      </c>
      <c r="C391" s="52"/>
      <c r="D391" s="2" t="s">
        <v>1292</v>
      </c>
      <c r="E391" s="65"/>
      <c r="G391" s="54"/>
      <c r="J391" s="63"/>
      <c r="L391" s="56"/>
      <c r="M391" s="57" t="s">
        <v>22</v>
      </c>
      <c r="N391" s="57" t="s">
        <v>22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22</v>
      </c>
      <c r="Z391" s="2" t="s">
        <v>1292</v>
      </c>
      <c r="AA391">
        <v>385</v>
      </c>
    </row>
    <row r="392" spans="1:27" x14ac:dyDescent="0.25">
      <c r="A392" s="50" t="s">
        <v>1295</v>
      </c>
      <c r="B392" s="51">
        <v>16.850000000000001</v>
      </c>
      <c r="C392" s="52"/>
      <c r="D392" s="2" t="s">
        <v>1294</v>
      </c>
      <c r="E392" s="65"/>
      <c r="G392" s="54">
        <v>17.692500000000003</v>
      </c>
      <c r="H392" s="23">
        <v>17.75</v>
      </c>
      <c r="J392" s="63">
        <v>10.5</v>
      </c>
      <c r="L392" s="111" t="s">
        <v>3725</v>
      </c>
      <c r="M392" s="57" t="s">
        <v>22</v>
      </c>
      <c r="N392" s="57" t="s">
        <v>22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1294</v>
      </c>
      <c r="AA392">
        <v>386</v>
      </c>
    </row>
    <row r="393" spans="1:27" x14ac:dyDescent="0.25">
      <c r="A393" s="1" t="s">
        <v>1297</v>
      </c>
      <c r="B393" s="51">
        <v>16.850000000000001</v>
      </c>
      <c r="C393" s="52"/>
      <c r="D393" s="2" t="s">
        <v>1296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22</v>
      </c>
      <c r="N393" s="57" t="s">
        <v>22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1296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3726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1281</v>
      </c>
      <c r="B396" s="51">
        <v>222.5</v>
      </c>
      <c r="C396" s="52"/>
      <c r="D396" s="2" t="s">
        <v>1279</v>
      </c>
      <c r="E396" s="53"/>
      <c r="G396" s="54"/>
      <c r="J396" s="63"/>
      <c r="L396" s="56"/>
      <c r="M396" s="57" t="s">
        <v>22</v>
      </c>
      <c r="N396" s="57" t="s">
        <v>22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22</v>
      </c>
      <c r="Z396" s="2" t="s">
        <v>1279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1300</v>
      </c>
      <c r="B398" s="51"/>
      <c r="C398" s="52"/>
      <c r="E398" s="53"/>
      <c r="G398" s="54" t="s">
        <v>22</v>
      </c>
      <c r="H398" s="23" t="s">
        <v>22</v>
      </c>
      <c r="J398" s="63" t="s">
        <v>22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1299</v>
      </c>
      <c r="B399" s="51">
        <v>117.95</v>
      </c>
      <c r="C399" s="52"/>
      <c r="D399" s="2" t="s">
        <v>1298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22</v>
      </c>
      <c r="N399" s="57" t="s">
        <v>22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1298</v>
      </c>
      <c r="AA399">
        <v>393</v>
      </c>
    </row>
    <row r="400" spans="1:27" x14ac:dyDescent="0.25">
      <c r="A400" s="1" t="s">
        <v>1302</v>
      </c>
      <c r="B400" s="51">
        <v>23.900000000000002</v>
      </c>
      <c r="C400" s="52"/>
      <c r="D400" s="2" t="s">
        <v>1301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22</v>
      </c>
      <c r="N400" s="57" t="s">
        <v>22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1301</v>
      </c>
      <c r="AA400">
        <v>394</v>
      </c>
    </row>
    <row r="401" spans="1:27" x14ac:dyDescent="0.25">
      <c r="A401" s="1" t="s">
        <v>1304</v>
      </c>
      <c r="B401" s="51">
        <v>35.700000000000003</v>
      </c>
      <c r="C401" s="52"/>
      <c r="D401" s="2" t="s">
        <v>1303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22</v>
      </c>
      <c r="N401" s="57" t="s">
        <v>22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1303</v>
      </c>
      <c r="AA401">
        <v>395</v>
      </c>
    </row>
    <row r="402" spans="1:27" ht="18" x14ac:dyDescent="0.25">
      <c r="A402" s="1" t="s">
        <v>1307</v>
      </c>
      <c r="B402" s="51">
        <v>71.650000000000006</v>
      </c>
      <c r="C402" s="52"/>
      <c r="D402" s="2" t="s">
        <v>1305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22</v>
      </c>
      <c r="N402" s="57" t="s">
        <v>22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1305</v>
      </c>
      <c r="AA402">
        <v>396</v>
      </c>
    </row>
    <row r="403" spans="1:27" x14ac:dyDescent="0.25">
      <c r="A403" s="1" t="s">
        <v>1310</v>
      </c>
      <c r="B403" s="51">
        <v>74</v>
      </c>
      <c r="C403" s="52"/>
      <c r="D403" s="2" t="s">
        <v>1308</v>
      </c>
      <c r="E403" s="46"/>
      <c r="G403" s="54"/>
      <c r="J403" s="63"/>
      <c r="L403" s="56"/>
      <c r="M403" s="57" t="s">
        <v>22</v>
      </c>
      <c r="N403" s="57" t="s">
        <v>22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1308</v>
      </c>
      <c r="AA403">
        <v>397</v>
      </c>
    </row>
    <row r="404" spans="1:27" x14ac:dyDescent="0.25">
      <c r="A404" s="1" t="s">
        <v>1313</v>
      </c>
      <c r="B404" s="51">
        <v>97.850000000000009</v>
      </c>
      <c r="C404" s="52"/>
      <c r="D404" s="69" t="s">
        <v>1311</v>
      </c>
      <c r="E404" s="46"/>
      <c r="G404" s="54"/>
      <c r="J404" s="63"/>
      <c r="L404" s="56"/>
      <c r="M404" s="57" t="s">
        <v>22</v>
      </c>
      <c r="N404" s="57" t="s">
        <v>22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1311</v>
      </c>
      <c r="AA404">
        <v>398</v>
      </c>
    </row>
    <row r="405" spans="1:27" x14ac:dyDescent="0.25">
      <c r="B405" s="51"/>
      <c r="C405" s="52"/>
      <c r="E405" s="53"/>
      <c r="G405" s="54" t="s">
        <v>22</v>
      </c>
      <c r="H405" s="23" t="s">
        <v>22</v>
      </c>
      <c r="J405" s="63" t="s">
        <v>22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3727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1319</v>
      </c>
      <c r="B407" s="51">
        <v>79.550000000000011</v>
      </c>
      <c r="C407" s="52">
        <v>6.25E-2</v>
      </c>
      <c r="D407" s="2" t="s">
        <v>1318</v>
      </c>
      <c r="E407" s="70"/>
      <c r="G407" s="54"/>
      <c r="J407" s="63"/>
      <c r="L407" s="56"/>
      <c r="M407" s="57" t="s">
        <v>22</v>
      </c>
      <c r="N407" s="57" t="s">
        <v>22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1318</v>
      </c>
      <c r="AA407">
        <v>401</v>
      </c>
    </row>
    <row r="408" spans="1:27" ht="18" x14ac:dyDescent="0.25">
      <c r="A408" s="50" t="s">
        <v>1321</v>
      </c>
      <c r="B408" s="51">
        <v>113.80000000000001</v>
      </c>
      <c r="C408" s="52"/>
      <c r="D408" s="2" t="s">
        <v>1320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22</v>
      </c>
      <c r="N408" s="57" t="s">
        <v>22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1320</v>
      </c>
      <c r="AA408">
        <v>402</v>
      </c>
    </row>
    <row r="409" spans="1:27" x14ac:dyDescent="0.25">
      <c r="A409" s="50" t="s">
        <v>1323</v>
      </c>
      <c r="B409" s="51">
        <v>128.85</v>
      </c>
      <c r="C409" s="52"/>
      <c r="D409" s="2" t="s">
        <v>1322</v>
      </c>
      <c r="E409" s="65"/>
      <c r="G409" s="54"/>
      <c r="J409" s="63"/>
      <c r="L409" s="56"/>
      <c r="M409" s="57" t="s">
        <v>22</v>
      </c>
      <c r="N409" s="57" t="s">
        <v>22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1322</v>
      </c>
      <c r="AA409">
        <v>403</v>
      </c>
    </row>
    <row r="410" spans="1:27" x14ac:dyDescent="0.25">
      <c r="A410" s="50" t="s">
        <v>1325</v>
      </c>
      <c r="B410" s="51">
        <v>144.6</v>
      </c>
      <c r="C410" s="52" t="s">
        <v>3728</v>
      </c>
      <c r="D410" s="2" t="s">
        <v>1324</v>
      </c>
      <c r="E410" s="65"/>
      <c r="G410" s="54"/>
      <c r="J410" s="63"/>
      <c r="L410" s="56"/>
      <c r="M410" s="57" t="s">
        <v>22</v>
      </c>
      <c r="N410" s="57" t="s">
        <v>22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22</v>
      </c>
      <c r="Z410" s="2" t="s">
        <v>1324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3729</v>
      </c>
      <c r="B412" s="25" t="s">
        <v>3624</v>
      </c>
      <c r="C412" s="26"/>
      <c r="D412" s="27" t="s">
        <v>3625</v>
      </c>
      <c r="E412" s="28"/>
      <c r="G412" s="54" t="s">
        <v>22</v>
      </c>
      <c r="H412" s="23" t="s">
        <v>22</v>
      </c>
      <c r="J412" s="63" t="s">
        <v>22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864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863</v>
      </c>
      <c r="B414" s="51">
        <v>25.35</v>
      </c>
      <c r="C414" s="52"/>
      <c r="D414" s="2" t="s">
        <v>861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22</v>
      </c>
      <c r="N414" s="57" t="s">
        <v>22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861</v>
      </c>
      <c r="AA414">
        <v>408</v>
      </c>
    </row>
    <row r="415" spans="1:27" x14ac:dyDescent="0.25">
      <c r="A415" s="1" t="s">
        <v>867</v>
      </c>
      <c r="B415" s="51">
        <v>30.700000000000003</v>
      </c>
      <c r="C415" s="52"/>
      <c r="D415" s="2" t="s">
        <v>865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22</v>
      </c>
      <c r="N415" s="57" t="s">
        <v>22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865</v>
      </c>
      <c r="AA415">
        <v>409</v>
      </c>
    </row>
    <row r="416" spans="1:27" x14ac:dyDescent="0.25">
      <c r="A416" s="50" t="s">
        <v>869</v>
      </c>
      <c r="B416" s="51">
        <v>112</v>
      </c>
      <c r="C416" s="52"/>
      <c r="D416" s="2" t="s">
        <v>868</v>
      </c>
      <c r="E416" s="53"/>
      <c r="G416" s="54"/>
      <c r="J416" s="63"/>
      <c r="L416" s="56"/>
      <c r="M416" s="57" t="s">
        <v>22</v>
      </c>
      <c r="N416" s="57" t="s">
        <v>22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22</v>
      </c>
      <c r="Z416" s="2" t="s">
        <v>868</v>
      </c>
      <c r="AA416">
        <v>410</v>
      </c>
    </row>
    <row r="417" spans="1:27" x14ac:dyDescent="0.25">
      <c r="A417" s="1" t="s">
        <v>871</v>
      </c>
      <c r="B417" s="51">
        <v>119.10000000000001</v>
      </c>
      <c r="C417" s="52"/>
      <c r="D417" s="2" t="s">
        <v>870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22</v>
      </c>
      <c r="N417" s="57" t="s">
        <v>22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870</v>
      </c>
      <c r="AA417">
        <v>411</v>
      </c>
    </row>
    <row r="418" spans="1:27" x14ac:dyDescent="0.25">
      <c r="A418" s="1" t="s">
        <v>873</v>
      </c>
      <c r="B418" s="51">
        <v>239.70000000000002</v>
      </c>
      <c r="C418" s="52"/>
      <c r="D418" s="2" t="s">
        <v>872</v>
      </c>
      <c r="E418" s="46"/>
      <c r="G418" s="54"/>
      <c r="J418" s="63"/>
      <c r="L418" s="56"/>
      <c r="M418" s="57" t="s">
        <v>22</v>
      </c>
      <c r="N418" s="57" t="s">
        <v>22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872</v>
      </c>
      <c r="AA418">
        <v>412</v>
      </c>
    </row>
    <row r="419" spans="1:27" x14ac:dyDescent="0.25">
      <c r="A419" s="1" t="s">
        <v>876</v>
      </c>
      <c r="B419" s="51">
        <v>302.8</v>
      </c>
      <c r="C419" s="52"/>
      <c r="D419" s="2" t="s">
        <v>874</v>
      </c>
      <c r="E419" s="46"/>
      <c r="G419" s="54"/>
      <c r="J419" s="63"/>
      <c r="L419" s="56"/>
      <c r="M419" s="57" t="s">
        <v>22</v>
      </c>
      <c r="N419" s="57" t="s">
        <v>22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874</v>
      </c>
      <c r="AA419">
        <v>413</v>
      </c>
    </row>
    <row r="420" spans="1:27" x14ac:dyDescent="0.25">
      <c r="A420" s="114" t="s">
        <v>3730</v>
      </c>
      <c r="B420" s="51"/>
      <c r="C420" s="52"/>
      <c r="E420" s="53"/>
      <c r="G420" s="54" t="s">
        <v>22</v>
      </c>
      <c r="H420" s="23" t="s">
        <v>22</v>
      </c>
      <c r="J420" s="63" t="s">
        <v>22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22</v>
      </c>
      <c r="H421" s="23" t="s">
        <v>22</v>
      </c>
      <c r="J421" s="63" t="s">
        <v>22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880</v>
      </c>
      <c r="B422" s="51"/>
      <c r="C422" s="52"/>
      <c r="D422" s="12"/>
      <c r="E422" s="53"/>
      <c r="G422" s="54" t="s">
        <v>22</v>
      </c>
      <c r="H422" s="23" t="s">
        <v>22</v>
      </c>
      <c r="J422" s="63" t="s">
        <v>22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879</v>
      </c>
      <c r="B423" s="51">
        <v>192.20000000000002</v>
      </c>
      <c r="C423" s="52"/>
      <c r="D423" s="2" t="s">
        <v>877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22</v>
      </c>
      <c r="N423" s="57" t="s">
        <v>22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877</v>
      </c>
      <c r="AA423">
        <v>417</v>
      </c>
    </row>
    <row r="424" spans="1:27" x14ac:dyDescent="0.25">
      <c r="A424" s="50" t="s">
        <v>852</v>
      </c>
      <c r="B424" s="51">
        <v>250.3</v>
      </c>
      <c r="C424" s="52"/>
      <c r="D424" s="2" t="s">
        <v>881</v>
      </c>
      <c r="E424" s="46"/>
      <c r="G424" s="54"/>
      <c r="J424" s="63"/>
      <c r="L424" s="56"/>
      <c r="M424" s="57" t="s">
        <v>22</v>
      </c>
      <c r="N424" s="57" t="s">
        <v>22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22</v>
      </c>
      <c r="Z424" s="2" t="s">
        <v>881</v>
      </c>
      <c r="AA424">
        <v>418</v>
      </c>
    </row>
    <row r="425" spans="1:27" x14ac:dyDescent="0.25">
      <c r="A425" s="50" t="s">
        <v>884</v>
      </c>
      <c r="B425" s="51">
        <v>211.4</v>
      </c>
      <c r="C425" s="52"/>
      <c r="D425" s="2" t="s">
        <v>882</v>
      </c>
      <c r="E425" s="46"/>
      <c r="G425" s="54"/>
      <c r="J425" s="63"/>
      <c r="L425" s="56"/>
      <c r="M425" s="57" t="s">
        <v>22</v>
      </c>
      <c r="N425" s="57" t="s">
        <v>22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882</v>
      </c>
      <c r="AA425">
        <v>419</v>
      </c>
    </row>
    <row r="426" spans="1:27" x14ac:dyDescent="0.25">
      <c r="A426" s="50" t="s">
        <v>887</v>
      </c>
      <c r="B426" s="51">
        <v>178</v>
      </c>
      <c r="C426" s="52"/>
      <c r="D426" s="2" t="s">
        <v>885</v>
      </c>
      <c r="E426" s="46"/>
      <c r="G426" s="54"/>
      <c r="J426" s="63"/>
      <c r="L426" s="56"/>
      <c r="M426" s="57" t="s">
        <v>22</v>
      </c>
      <c r="N426" s="57" t="s">
        <v>22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22</v>
      </c>
      <c r="Z426" s="2" t="s">
        <v>885</v>
      </c>
      <c r="AA426">
        <v>420</v>
      </c>
    </row>
    <row r="427" spans="1:27" ht="18" x14ac:dyDescent="0.25">
      <c r="A427" s="1" t="s">
        <v>889</v>
      </c>
      <c r="B427" s="51">
        <v>51.6</v>
      </c>
      <c r="C427" s="52"/>
      <c r="D427" s="2" t="s">
        <v>888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22</v>
      </c>
      <c r="N427" s="57" t="s">
        <v>22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888</v>
      </c>
      <c r="AA427">
        <v>421</v>
      </c>
    </row>
    <row r="428" spans="1:27" x14ac:dyDescent="0.25">
      <c r="A428" s="1" t="s">
        <v>891</v>
      </c>
      <c r="B428" s="51">
        <v>62.25</v>
      </c>
      <c r="C428" s="52"/>
      <c r="D428" s="2" t="s">
        <v>890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22</v>
      </c>
      <c r="N428" s="57" t="s">
        <v>22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890</v>
      </c>
      <c r="AA428">
        <v>422</v>
      </c>
    </row>
    <row r="429" spans="1:27" x14ac:dyDescent="0.25">
      <c r="A429" s="1" t="s">
        <v>893</v>
      </c>
      <c r="B429" s="51">
        <v>30.700000000000003</v>
      </c>
      <c r="C429" s="52"/>
      <c r="D429" s="2" t="s">
        <v>892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22</v>
      </c>
      <c r="N429" s="57" t="s">
        <v>22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892</v>
      </c>
      <c r="AA429">
        <v>423</v>
      </c>
    </row>
    <row r="430" spans="1:27" x14ac:dyDescent="0.25">
      <c r="A430" s="1" t="s">
        <v>895</v>
      </c>
      <c r="B430" s="51">
        <v>43.95</v>
      </c>
      <c r="C430" s="52"/>
      <c r="D430" s="2" t="s">
        <v>894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22</v>
      </c>
      <c r="N430" s="57" t="s">
        <v>22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894</v>
      </c>
      <c r="AA430">
        <v>424</v>
      </c>
    </row>
    <row r="431" spans="1:27" x14ac:dyDescent="0.25">
      <c r="A431" s="1" t="s">
        <v>854</v>
      </c>
      <c r="B431" s="51">
        <v>43.95</v>
      </c>
      <c r="C431" s="52"/>
      <c r="D431" s="2" t="s">
        <v>896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22</v>
      </c>
      <c r="N431" s="57" t="s">
        <v>22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896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901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900</v>
      </c>
      <c r="B434" s="51">
        <v>233.5</v>
      </c>
      <c r="C434" s="52"/>
      <c r="D434" s="2" t="s">
        <v>898</v>
      </c>
      <c r="E434" s="46"/>
      <c r="G434" s="54"/>
      <c r="J434" s="63"/>
      <c r="L434" s="56"/>
      <c r="M434" s="57" t="s">
        <v>22</v>
      </c>
      <c r="N434" s="57" t="s">
        <v>22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898</v>
      </c>
      <c r="AA434">
        <v>428</v>
      </c>
    </row>
    <row r="435" spans="1:27" x14ac:dyDescent="0.25">
      <c r="A435" s="1" t="s">
        <v>903</v>
      </c>
      <c r="B435" s="51">
        <v>117.95</v>
      </c>
      <c r="C435" s="52"/>
      <c r="D435" s="2" t="s">
        <v>902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22</v>
      </c>
      <c r="N435" s="57" t="s">
        <v>22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902</v>
      </c>
      <c r="AA435">
        <v>429</v>
      </c>
    </row>
    <row r="436" spans="1:27" x14ac:dyDescent="0.25">
      <c r="A436" s="1" t="s">
        <v>905</v>
      </c>
      <c r="B436" s="51">
        <v>15.950000000000001</v>
      </c>
      <c r="C436" s="52"/>
      <c r="D436" s="75" t="s">
        <v>904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22</v>
      </c>
      <c r="N436" s="57" t="s">
        <v>22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904</v>
      </c>
      <c r="AA436">
        <v>430</v>
      </c>
    </row>
    <row r="437" spans="1:27" x14ac:dyDescent="0.25">
      <c r="A437" s="1" t="s">
        <v>907</v>
      </c>
      <c r="B437" s="51">
        <v>42.2</v>
      </c>
      <c r="C437" s="52"/>
      <c r="D437" s="2" t="s">
        <v>906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22</v>
      </c>
      <c r="N437" s="57" t="s">
        <v>22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906</v>
      </c>
      <c r="AA437">
        <v>431</v>
      </c>
    </row>
    <row r="438" spans="1:27" x14ac:dyDescent="0.25">
      <c r="A438" s="1" t="s">
        <v>909</v>
      </c>
      <c r="B438" s="51">
        <v>58.400000000000006</v>
      </c>
      <c r="C438" s="52"/>
      <c r="D438" s="2" t="s">
        <v>908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22</v>
      </c>
      <c r="N438" s="57" t="s">
        <v>22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908</v>
      </c>
      <c r="AA438">
        <v>432</v>
      </c>
    </row>
    <row r="439" spans="1:27" x14ac:dyDescent="0.25">
      <c r="A439" s="1" t="s">
        <v>911</v>
      </c>
      <c r="B439" s="51">
        <v>55.45</v>
      </c>
      <c r="C439" s="52"/>
      <c r="D439" s="2" t="s">
        <v>910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22</v>
      </c>
      <c r="N439" s="57" t="s">
        <v>22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910</v>
      </c>
      <c r="AA439">
        <v>433</v>
      </c>
    </row>
    <row r="440" spans="1:27" x14ac:dyDescent="0.25">
      <c r="A440" s="114" t="s">
        <v>3731</v>
      </c>
      <c r="B440" s="51"/>
      <c r="C440" s="52"/>
      <c r="D440" s="12"/>
      <c r="E440" s="53"/>
      <c r="G440" s="54" t="s">
        <v>22</v>
      </c>
      <c r="H440" s="23" t="s">
        <v>22</v>
      </c>
      <c r="J440" s="63" t="s">
        <v>22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3732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913</v>
      </c>
      <c r="B443" s="51">
        <v>51.6</v>
      </c>
      <c r="C443" s="52"/>
      <c r="D443" s="2" t="s">
        <v>912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22</v>
      </c>
      <c r="N443" s="57" t="s">
        <v>22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912</v>
      </c>
      <c r="AA443">
        <v>437</v>
      </c>
    </row>
    <row r="444" spans="1:27" x14ac:dyDescent="0.25">
      <c r="A444" s="1" t="s">
        <v>916</v>
      </c>
      <c r="B444" s="51">
        <v>13.3</v>
      </c>
      <c r="C444" s="52"/>
      <c r="D444" s="75" t="s">
        <v>914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22</v>
      </c>
      <c r="N444" s="57" t="s">
        <v>22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914</v>
      </c>
      <c r="AA444">
        <v>438</v>
      </c>
    </row>
    <row r="445" spans="1:27" x14ac:dyDescent="0.25">
      <c r="A445" s="1" t="s">
        <v>918</v>
      </c>
      <c r="B445" s="51">
        <v>11.55</v>
      </c>
      <c r="C445" s="52"/>
      <c r="D445" s="75" t="s">
        <v>917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22</v>
      </c>
      <c r="N445" s="57" t="s">
        <v>22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917</v>
      </c>
      <c r="AA445">
        <v>439</v>
      </c>
    </row>
    <row r="446" spans="1:27" x14ac:dyDescent="0.25">
      <c r="B446" s="51"/>
      <c r="C446" s="52"/>
      <c r="E446" s="53"/>
      <c r="G446" s="54" t="s">
        <v>22</v>
      </c>
      <c r="H446" s="23" t="s">
        <v>22</v>
      </c>
      <c r="J446" s="63" t="s">
        <v>22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3733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921</v>
      </c>
      <c r="B448" s="51">
        <v>341.95000000000005</v>
      </c>
      <c r="C448" s="52"/>
      <c r="D448" s="69" t="s">
        <v>919</v>
      </c>
      <c r="E448" s="53"/>
      <c r="G448" s="54"/>
      <c r="J448" s="63"/>
      <c r="L448" s="56"/>
      <c r="M448" s="57" t="s">
        <v>22</v>
      </c>
      <c r="N448" s="57" t="s">
        <v>22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22</v>
      </c>
      <c r="Z448" s="2" t="s">
        <v>919</v>
      </c>
      <c r="AA448">
        <v>442</v>
      </c>
    </row>
    <row r="449" spans="1:27" x14ac:dyDescent="0.25">
      <c r="A449" s="1" t="s">
        <v>923</v>
      </c>
      <c r="B449" s="51">
        <v>53.050000000000004</v>
      </c>
      <c r="C449" s="52"/>
      <c r="D449" s="75" t="s">
        <v>922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22</v>
      </c>
      <c r="N449" s="57" t="s">
        <v>22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922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836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926</v>
      </c>
      <c r="B452" s="51">
        <v>62.25</v>
      </c>
      <c r="C452" s="52"/>
      <c r="D452" s="2" t="s">
        <v>924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22</v>
      </c>
      <c r="N452" s="57" t="s">
        <v>22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924</v>
      </c>
      <c r="AA452">
        <v>446</v>
      </c>
    </row>
    <row r="453" spans="1:27" ht="18" x14ac:dyDescent="0.25">
      <c r="A453" s="1" t="s">
        <v>929</v>
      </c>
      <c r="B453" s="51">
        <v>59.6</v>
      </c>
      <c r="C453" s="52"/>
      <c r="D453" s="2" t="s">
        <v>927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22</v>
      </c>
      <c r="N453" s="57" t="s">
        <v>22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927</v>
      </c>
      <c r="AA453">
        <v>447</v>
      </c>
    </row>
    <row r="454" spans="1:27" x14ac:dyDescent="0.25">
      <c r="A454" s="1" t="s">
        <v>932</v>
      </c>
      <c r="B454" s="51">
        <v>18.600000000000001</v>
      </c>
      <c r="C454" s="52"/>
      <c r="D454" s="75" t="s">
        <v>930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22</v>
      </c>
      <c r="N454" s="57" t="s">
        <v>22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930</v>
      </c>
      <c r="AA454">
        <v>448</v>
      </c>
    </row>
    <row r="455" spans="1:27" x14ac:dyDescent="0.25">
      <c r="A455" s="1" t="s">
        <v>934</v>
      </c>
      <c r="B455" s="51">
        <v>87.300000000000011</v>
      </c>
      <c r="C455" s="52"/>
      <c r="D455" s="2" t="s">
        <v>933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22</v>
      </c>
      <c r="N455" s="57" t="s">
        <v>22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933</v>
      </c>
      <c r="AA455">
        <v>449</v>
      </c>
    </row>
    <row r="456" spans="1:27" x14ac:dyDescent="0.25">
      <c r="A456" s="1" t="s">
        <v>936</v>
      </c>
      <c r="B456" s="51">
        <v>161.55000000000001</v>
      </c>
      <c r="C456" s="52"/>
      <c r="D456" s="2" t="s">
        <v>935</v>
      </c>
      <c r="E456" s="46"/>
      <c r="G456" s="54"/>
      <c r="J456" s="63"/>
      <c r="L456" s="56"/>
      <c r="M456" s="57" t="s">
        <v>22</v>
      </c>
      <c r="N456" s="57" t="s">
        <v>22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935</v>
      </c>
      <c r="AA456">
        <v>450</v>
      </c>
    </row>
    <row r="457" spans="1:27" x14ac:dyDescent="0.25">
      <c r="A457" s="1" t="s">
        <v>939</v>
      </c>
      <c r="B457" s="51">
        <v>215.8</v>
      </c>
      <c r="C457" s="52"/>
      <c r="D457" s="2" t="s">
        <v>937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22</v>
      </c>
      <c r="N457" s="57" t="s">
        <v>22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937</v>
      </c>
      <c r="AA457">
        <v>451</v>
      </c>
    </row>
    <row r="458" spans="1:27" x14ac:dyDescent="0.25">
      <c r="A458" s="1" t="s">
        <v>941</v>
      </c>
      <c r="B458" s="51">
        <v>113.80000000000001</v>
      </c>
      <c r="C458" s="52"/>
      <c r="D458" s="2" t="s">
        <v>940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22</v>
      </c>
      <c r="N458" s="57" t="s">
        <v>22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940</v>
      </c>
      <c r="AA458">
        <v>452</v>
      </c>
    </row>
    <row r="459" spans="1:27" x14ac:dyDescent="0.25">
      <c r="A459" s="9" t="s">
        <v>3734</v>
      </c>
      <c r="B459" s="51"/>
      <c r="C459" s="52"/>
      <c r="E459" s="53"/>
      <c r="G459" s="54" t="s">
        <v>22</v>
      </c>
      <c r="H459" s="23" t="s">
        <v>22</v>
      </c>
      <c r="J459" s="63" t="s">
        <v>22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3735</v>
      </c>
      <c r="B460" s="25" t="s">
        <v>3624</v>
      </c>
      <c r="C460" s="26"/>
      <c r="D460" s="27" t="s">
        <v>3625</v>
      </c>
      <c r="E460" s="28"/>
      <c r="G460" s="54" t="s">
        <v>22</v>
      </c>
      <c r="H460" s="23" t="s">
        <v>22</v>
      </c>
      <c r="J460" s="63" t="s">
        <v>22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3736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1001</v>
      </c>
      <c r="B462" s="51">
        <v>34.200000000000003</v>
      </c>
      <c r="C462" s="76"/>
      <c r="D462" s="118" t="s">
        <v>1000</v>
      </c>
      <c r="E462" s="77"/>
      <c r="G462" s="54"/>
      <c r="J462" s="63"/>
      <c r="L462" s="56"/>
      <c r="M462" s="57" t="s">
        <v>22</v>
      </c>
      <c r="N462" s="57" t="s">
        <v>22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1000</v>
      </c>
      <c r="AA462">
        <v>456</v>
      </c>
    </row>
    <row r="463" spans="1:27" x14ac:dyDescent="0.25">
      <c r="A463" s="1" t="s">
        <v>1003</v>
      </c>
      <c r="B463" s="51">
        <v>15.950000000000001</v>
      </c>
      <c r="C463" s="52"/>
      <c r="D463" s="2" t="s">
        <v>1002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22</v>
      </c>
      <c r="N463" s="57" t="s">
        <v>22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1002</v>
      </c>
      <c r="AA463">
        <v>457</v>
      </c>
    </row>
    <row r="464" spans="1:27" ht="18" x14ac:dyDescent="0.25">
      <c r="A464" s="1" t="s">
        <v>1006</v>
      </c>
      <c r="B464" s="51">
        <v>18.900000000000002</v>
      </c>
      <c r="C464" s="52"/>
      <c r="D464" s="2" t="s">
        <v>1004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22</v>
      </c>
      <c r="N464" s="57" t="s">
        <v>22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1004</v>
      </c>
      <c r="AA464">
        <v>458</v>
      </c>
    </row>
    <row r="465" spans="1:27" x14ac:dyDescent="0.25">
      <c r="A465" s="1" t="s">
        <v>1008</v>
      </c>
      <c r="B465" s="51">
        <v>15.350000000000001</v>
      </c>
      <c r="C465" s="52"/>
      <c r="D465" s="2" t="s">
        <v>1007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22</v>
      </c>
      <c r="N465" s="57" t="s">
        <v>22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1007</v>
      </c>
      <c r="AA465">
        <v>459</v>
      </c>
    </row>
    <row r="466" spans="1:27" x14ac:dyDescent="0.25">
      <c r="A466" s="50" t="s">
        <v>1012</v>
      </c>
      <c r="B466" s="51">
        <v>55.35</v>
      </c>
      <c r="C466" s="52"/>
      <c r="D466" s="2" t="s">
        <v>1011</v>
      </c>
      <c r="E466" s="65"/>
      <c r="G466" s="54"/>
      <c r="J466" s="63"/>
      <c r="L466" s="56"/>
      <c r="M466" s="57" t="s">
        <v>22</v>
      </c>
      <c r="N466" s="57" t="s">
        <v>22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22</v>
      </c>
      <c r="Z466" s="2" t="s">
        <v>1011</v>
      </c>
      <c r="AA466">
        <v>460</v>
      </c>
    </row>
    <row r="467" spans="1:27" x14ac:dyDescent="0.25">
      <c r="A467" s="50" t="s">
        <v>1014</v>
      </c>
      <c r="B467" s="51">
        <v>19.450000000000003</v>
      </c>
      <c r="C467" s="52"/>
      <c r="D467" s="2" t="s">
        <v>1013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22</v>
      </c>
      <c r="N467" s="57" t="s">
        <v>22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1013</v>
      </c>
      <c r="AA467">
        <v>461</v>
      </c>
    </row>
    <row r="468" spans="1:27" x14ac:dyDescent="0.25">
      <c r="A468" s="50" t="s">
        <v>1017</v>
      </c>
      <c r="B468" s="51">
        <v>22.150000000000002</v>
      </c>
      <c r="C468" s="52"/>
      <c r="D468" s="2" t="s">
        <v>1015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22</v>
      </c>
      <c r="N468" s="57" t="s">
        <v>22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1015</v>
      </c>
      <c r="AA468">
        <v>462</v>
      </c>
    </row>
    <row r="469" spans="1:27" x14ac:dyDescent="0.25">
      <c r="A469" s="50" t="s">
        <v>1020</v>
      </c>
      <c r="B469" s="51">
        <v>15.350000000000001</v>
      </c>
      <c r="C469" s="52"/>
      <c r="D469" s="2" t="s">
        <v>1018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22</v>
      </c>
      <c r="N469" s="57" t="s">
        <v>22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1018</v>
      </c>
      <c r="AA469">
        <v>463</v>
      </c>
    </row>
    <row r="470" spans="1:27" x14ac:dyDescent="0.25">
      <c r="A470" s="50" t="s">
        <v>1022</v>
      </c>
      <c r="B470" s="51">
        <v>66.5</v>
      </c>
      <c r="C470" s="52"/>
      <c r="D470" s="2" t="s">
        <v>1021</v>
      </c>
      <c r="E470" s="53"/>
      <c r="G470" s="54"/>
      <c r="J470" s="63"/>
      <c r="L470" s="56"/>
      <c r="M470" s="57" t="s">
        <v>22</v>
      </c>
      <c r="N470" s="57" t="s">
        <v>22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22</v>
      </c>
      <c r="Z470" s="2" t="s">
        <v>1021</v>
      </c>
      <c r="AA470">
        <v>464</v>
      </c>
    </row>
    <row r="471" spans="1:27" x14ac:dyDescent="0.25">
      <c r="A471" s="114" t="s">
        <v>3737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1026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1025</v>
      </c>
      <c r="B474" s="51">
        <v>47.5</v>
      </c>
      <c r="C474" s="52"/>
      <c r="D474" s="2" t="s">
        <v>1023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22</v>
      </c>
      <c r="N474" s="57" t="s">
        <v>22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1023</v>
      </c>
      <c r="AA474">
        <v>468</v>
      </c>
    </row>
    <row r="475" spans="1:27" x14ac:dyDescent="0.25">
      <c r="A475" s="121" t="s">
        <v>670</v>
      </c>
      <c r="B475" s="51">
        <v>23.5</v>
      </c>
      <c r="C475" s="122"/>
      <c r="D475" s="123" t="s">
        <v>668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3738</v>
      </c>
      <c r="M475" s="57" t="s">
        <v>22</v>
      </c>
      <c r="N475" s="57" t="s">
        <v>22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668</v>
      </c>
      <c r="AA475">
        <v>469</v>
      </c>
    </row>
    <row r="476" spans="1:27" x14ac:dyDescent="0.25">
      <c r="A476" s="1" t="s">
        <v>1029</v>
      </c>
      <c r="B476" s="51">
        <v>25.35</v>
      </c>
      <c r="C476" s="52"/>
      <c r="D476" s="2" t="s">
        <v>1027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22</v>
      </c>
      <c r="N476" s="57" t="s">
        <v>22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1027</v>
      </c>
      <c r="AA476">
        <v>470</v>
      </c>
    </row>
    <row r="477" spans="1:27" x14ac:dyDescent="0.25">
      <c r="A477" s="50" t="s">
        <v>1031</v>
      </c>
      <c r="B477" s="51">
        <v>65.100000000000009</v>
      </c>
      <c r="C477" s="52"/>
      <c r="D477" s="2" t="s">
        <v>1030</v>
      </c>
      <c r="E477" s="53"/>
      <c r="G477" s="54"/>
      <c r="J477" s="63"/>
      <c r="L477" s="56"/>
      <c r="M477" s="57" t="s">
        <v>22</v>
      </c>
      <c r="N477" s="57" t="s">
        <v>22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22</v>
      </c>
      <c r="Z477" s="2" t="s">
        <v>1030</v>
      </c>
      <c r="AA477">
        <v>471</v>
      </c>
    </row>
    <row r="478" spans="1:27" x14ac:dyDescent="0.25">
      <c r="A478" s="50" t="s">
        <v>1033</v>
      </c>
      <c r="B478" s="51">
        <v>116.80000000000001</v>
      </c>
      <c r="C478" s="52"/>
      <c r="D478" s="2" t="s">
        <v>1032</v>
      </c>
      <c r="E478" s="53"/>
      <c r="G478" s="54"/>
      <c r="J478" s="63"/>
      <c r="L478" s="56"/>
      <c r="M478" s="57" t="s">
        <v>22</v>
      </c>
      <c r="N478" s="57" t="s">
        <v>22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22</v>
      </c>
      <c r="Z478" s="2" t="s">
        <v>1032</v>
      </c>
      <c r="AA478">
        <v>472</v>
      </c>
    </row>
    <row r="479" spans="1:27" x14ac:dyDescent="0.25">
      <c r="A479" s="1" t="s">
        <v>1036</v>
      </c>
      <c r="B479" s="51">
        <v>76.350000000000009</v>
      </c>
      <c r="C479" s="52"/>
      <c r="D479" s="2" t="s">
        <v>1034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22</v>
      </c>
      <c r="N479" s="57" t="s">
        <v>22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1034</v>
      </c>
      <c r="AA479">
        <v>473</v>
      </c>
    </row>
    <row r="480" spans="1:27" x14ac:dyDescent="0.25">
      <c r="A480" s="1" t="s">
        <v>1038</v>
      </c>
      <c r="B480" s="51">
        <v>142.1</v>
      </c>
      <c r="C480" s="52"/>
      <c r="D480" s="2" t="s">
        <v>1037</v>
      </c>
      <c r="E480" s="46"/>
      <c r="G480" s="59"/>
      <c r="J480" s="63"/>
      <c r="K480" s="119"/>
      <c r="L480" s="56"/>
      <c r="M480" s="57" t="s">
        <v>22</v>
      </c>
      <c r="N480" s="57" t="s">
        <v>22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1037</v>
      </c>
      <c r="AA480">
        <v>474</v>
      </c>
    </row>
    <row r="481" spans="1:27" x14ac:dyDescent="0.25">
      <c r="A481" s="1" t="s">
        <v>1040</v>
      </c>
      <c r="B481" s="51">
        <v>121.2</v>
      </c>
      <c r="C481" s="52"/>
      <c r="D481" s="2" t="s">
        <v>1039</v>
      </c>
      <c r="E481" s="53"/>
      <c r="G481" s="59"/>
      <c r="J481" s="63"/>
      <c r="K481" s="119"/>
      <c r="L481" s="56"/>
      <c r="M481" s="57" t="s">
        <v>22</v>
      </c>
      <c r="N481" s="57" t="s">
        <v>22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1039</v>
      </c>
      <c r="AA481">
        <v>475</v>
      </c>
    </row>
    <row r="482" spans="1:27" x14ac:dyDescent="0.25">
      <c r="A482" s="1" t="s">
        <v>1043</v>
      </c>
      <c r="B482" s="51">
        <v>122.10000000000001</v>
      </c>
      <c r="C482" s="52"/>
      <c r="D482" s="2" t="s">
        <v>1041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22</v>
      </c>
      <c r="N482" s="57" t="s">
        <v>22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1041</v>
      </c>
      <c r="AA482">
        <v>476</v>
      </c>
    </row>
    <row r="483" spans="1:27" x14ac:dyDescent="0.25">
      <c r="A483" s="1" t="s">
        <v>1045</v>
      </c>
      <c r="B483" s="51">
        <v>107.35000000000001</v>
      </c>
      <c r="C483" s="52"/>
      <c r="D483" s="2" t="s">
        <v>1044</v>
      </c>
      <c r="E483" s="53"/>
      <c r="G483" s="54"/>
      <c r="J483" s="63"/>
      <c r="K483" s="119"/>
      <c r="L483" s="56"/>
      <c r="M483" s="57" t="s">
        <v>22</v>
      </c>
      <c r="N483" s="57" t="s">
        <v>22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1044</v>
      </c>
      <c r="AA483">
        <v>477</v>
      </c>
    </row>
    <row r="484" spans="1:27" x14ac:dyDescent="0.25">
      <c r="A484" s="1" t="s">
        <v>1047</v>
      </c>
      <c r="B484" s="51">
        <v>149.30000000000001</v>
      </c>
      <c r="C484" s="52"/>
      <c r="D484" s="2" t="s">
        <v>1046</v>
      </c>
      <c r="E484" s="53"/>
      <c r="G484" s="54"/>
      <c r="J484" s="63"/>
      <c r="K484" s="119"/>
      <c r="L484" s="56"/>
      <c r="M484" s="57" t="s">
        <v>22</v>
      </c>
      <c r="N484" s="57" t="s">
        <v>22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1046</v>
      </c>
      <c r="AA484">
        <v>478</v>
      </c>
    </row>
    <row r="485" spans="1:27" x14ac:dyDescent="0.25">
      <c r="A485" s="1" t="s">
        <v>1049</v>
      </c>
      <c r="B485" s="51">
        <v>130.05000000000001</v>
      </c>
      <c r="C485" s="52"/>
      <c r="D485" s="2" t="s">
        <v>1048</v>
      </c>
      <c r="E485" s="53"/>
      <c r="G485" s="54"/>
      <c r="J485" s="63"/>
      <c r="K485" s="119"/>
      <c r="L485" s="56"/>
      <c r="M485" s="57" t="s">
        <v>22</v>
      </c>
      <c r="N485" s="57" t="s">
        <v>22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1048</v>
      </c>
      <c r="AA485">
        <v>479</v>
      </c>
    </row>
    <row r="486" spans="1:27" x14ac:dyDescent="0.25">
      <c r="A486" s="1" t="s">
        <v>1052</v>
      </c>
      <c r="B486" s="51">
        <v>176.60000000000002</v>
      </c>
      <c r="C486" s="52"/>
      <c r="D486" s="2" t="s">
        <v>1050</v>
      </c>
      <c r="E486" s="46"/>
      <c r="G486" s="54"/>
      <c r="J486" s="63"/>
      <c r="K486" s="119"/>
      <c r="L486" s="56"/>
      <c r="M486" s="57" t="s">
        <v>22</v>
      </c>
      <c r="N486" s="57" t="s">
        <v>22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1050</v>
      </c>
      <c r="AA486">
        <v>480</v>
      </c>
    </row>
    <row r="487" spans="1:27" x14ac:dyDescent="0.25">
      <c r="A487" s="114" t="s">
        <v>3739</v>
      </c>
      <c r="B487" s="51"/>
      <c r="C487" s="52"/>
      <c r="D487" s="12"/>
      <c r="E487" s="53"/>
      <c r="G487" s="54" t="s">
        <v>22</v>
      </c>
      <c r="H487" s="23" t="s">
        <v>22</v>
      </c>
      <c r="J487" s="17" t="s">
        <v>22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1054</v>
      </c>
      <c r="B488" s="51">
        <v>67.5</v>
      </c>
      <c r="C488" s="52"/>
      <c r="D488" s="2" t="s">
        <v>1053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22</v>
      </c>
      <c r="N488" s="57" t="s">
        <v>22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1053</v>
      </c>
      <c r="AA488">
        <v>482</v>
      </c>
    </row>
    <row r="489" spans="1:27" x14ac:dyDescent="0.25">
      <c r="A489" s="130" t="s">
        <v>1057</v>
      </c>
      <c r="B489" s="51">
        <v>54.300000000000004</v>
      </c>
      <c r="C489" s="52"/>
      <c r="D489" s="2" t="s">
        <v>1055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22</v>
      </c>
      <c r="N489" s="57" t="s">
        <v>22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1055</v>
      </c>
      <c r="AA489">
        <v>483</v>
      </c>
    </row>
    <row r="490" spans="1:27" x14ac:dyDescent="0.25">
      <c r="A490" s="130" t="s">
        <v>1059</v>
      </c>
      <c r="B490" s="51">
        <v>9.5</v>
      </c>
      <c r="C490" s="52"/>
      <c r="D490" s="2" t="s">
        <v>1058</v>
      </c>
      <c r="E490" s="53"/>
      <c r="G490" s="59">
        <v>9.9749999999999996</v>
      </c>
      <c r="H490" s="23">
        <v>10</v>
      </c>
      <c r="J490" s="63"/>
      <c r="L490" s="56"/>
      <c r="M490" s="57" t="s">
        <v>22</v>
      </c>
      <c r="N490" s="57" t="s">
        <v>22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1058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1062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1061</v>
      </c>
      <c r="B493" s="51">
        <v>26.5</v>
      </c>
      <c r="C493" s="52"/>
      <c r="D493" s="2" t="s">
        <v>1060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22</v>
      </c>
      <c r="N493" s="57" t="s">
        <v>22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1060</v>
      </c>
      <c r="AA493">
        <v>487</v>
      </c>
    </row>
    <row r="494" spans="1:27" x14ac:dyDescent="0.25">
      <c r="A494" s="130" t="s">
        <v>1064</v>
      </c>
      <c r="B494" s="51">
        <v>80.800000000000011</v>
      </c>
      <c r="C494" s="52"/>
      <c r="D494" s="2" t="s">
        <v>1063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22</v>
      </c>
      <c r="N494" s="57" t="s">
        <v>22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1063</v>
      </c>
      <c r="AA494">
        <v>488</v>
      </c>
    </row>
    <row r="495" spans="1:27" x14ac:dyDescent="0.25">
      <c r="A495" s="130" t="s">
        <v>1066</v>
      </c>
      <c r="B495" s="51">
        <v>107.35000000000001</v>
      </c>
      <c r="C495" s="52"/>
      <c r="D495" s="2" t="s">
        <v>1065</v>
      </c>
      <c r="E495" s="46"/>
      <c r="G495" s="54"/>
      <c r="J495" s="63"/>
      <c r="L495" s="56"/>
      <c r="M495" s="57" t="s">
        <v>22</v>
      </c>
      <c r="N495" s="57" t="s">
        <v>22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1065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3740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1144</v>
      </c>
      <c r="B498" s="51">
        <v>23.35</v>
      </c>
      <c r="C498" s="52"/>
      <c r="D498" s="2" t="s">
        <v>1143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22</v>
      </c>
      <c r="N498" s="57" t="s">
        <v>22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1143</v>
      </c>
      <c r="AA498">
        <v>492</v>
      </c>
    </row>
    <row r="499" spans="1:27" x14ac:dyDescent="0.25">
      <c r="A499" s="1" t="s">
        <v>1148</v>
      </c>
      <c r="B499" s="51">
        <v>25.950000000000003</v>
      </c>
      <c r="C499" s="52"/>
      <c r="D499" s="2" t="s">
        <v>1146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22</v>
      </c>
      <c r="N499" s="57" t="s">
        <v>22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1146</v>
      </c>
      <c r="AA499">
        <v>493</v>
      </c>
    </row>
    <row r="500" spans="1:27" ht="18" x14ac:dyDescent="0.25">
      <c r="A500" s="97" t="s">
        <v>1150</v>
      </c>
      <c r="B500" s="51">
        <v>46.35</v>
      </c>
      <c r="C500" s="52"/>
      <c r="D500" s="2" t="s">
        <v>1149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22</v>
      </c>
      <c r="N500" s="57" t="s">
        <v>22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1149</v>
      </c>
      <c r="AA500">
        <v>494</v>
      </c>
    </row>
    <row r="501" spans="1:27" x14ac:dyDescent="0.25">
      <c r="A501" s="97" t="s">
        <v>1153</v>
      </c>
      <c r="B501" s="51">
        <v>51</v>
      </c>
      <c r="C501" s="52"/>
      <c r="D501" s="2" t="s">
        <v>1151</v>
      </c>
      <c r="E501" s="46"/>
      <c r="G501" s="54"/>
      <c r="J501" s="63"/>
      <c r="L501" s="56"/>
      <c r="M501" s="57" t="s">
        <v>22</v>
      </c>
      <c r="N501" s="57" t="s">
        <v>22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1151</v>
      </c>
      <c r="AA501">
        <v>495</v>
      </c>
    </row>
    <row r="502" spans="1:27" x14ac:dyDescent="0.25">
      <c r="A502" s="97" t="s">
        <v>1170</v>
      </c>
      <c r="B502" s="51">
        <v>63.7</v>
      </c>
      <c r="C502" s="52"/>
      <c r="D502" s="2" t="s">
        <v>1168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22</v>
      </c>
      <c r="N502" s="57" t="s">
        <v>22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1168</v>
      </c>
      <c r="AA502">
        <v>496</v>
      </c>
    </row>
    <row r="503" spans="1:27" x14ac:dyDescent="0.25">
      <c r="A503" s="50" t="s">
        <v>1135</v>
      </c>
      <c r="B503" s="51">
        <v>66.75</v>
      </c>
      <c r="C503" s="52"/>
      <c r="D503" s="2" t="s">
        <v>1134</v>
      </c>
      <c r="E503" s="53"/>
      <c r="G503" s="54"/>
      <c r="J503" s="63"/>
      <c r="L503" s="56"/>
      <c r="M503" s="57" t="s">
        <v>22</v>
      </c>
      <c r="N503" s="57" t="s">
        <v>22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22</v>
      </c>
      <c r="Z503" s="2" t="s">
        <v>1134</v>
      </c>
      <c r="AA503">
        <v>497</v>
      </c>
    </row>
    <row r="504" spans="1:27" x14ac:dyDescent="0.25">
      <c r="A504" s="97" t="s">
        <v>1133</v>
      </c>
      <c r="B504" s="51">
        <v>165.70000000000002</v>
      </c>
      <c r="C504" s="52"/>
      <c r="D504" s="2" t="s">
        <v>1131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22</v>
      </c>
      <c r="N504" s="57" t="s">
        <v>22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1131</v>
      </c>
      <c r="AA504">
        <v>498</v>
      </c>
    </row>
    <row r="505" spans="1:27" x14ac:dyDescent="0.25">
      <c r="A505" s="97" t="s">
        <v>1164</v>
      </c>
      <c r="B505" s="51">
        <v>30.400000000000002</v>
      </c>
      <c r="C505" s="52"/>
      <c r="D505" s="2" t="s">
        <v>1163</v>
      </c>
      <c r="E505" s="46"/>
      <c r="G505" s="54"/>
      <c r="J505" s="63"/>
      <c r="L505" s="56"/>
      <c r="M505" s="57" t="s">
        <v>22</v>
      </c>
      <c r="N505" s="57" t="s">
        <v>22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1163</v>
      </c>
      <c r="AA505">
        <v>499</v>
      </c>
    </row>
    <row r="506" spans="1:27" x14ac:dyDescent="0.25">
      <c r="A506" s="96" t="s">
        <v>3741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3742</v>
      </c>
      <c r="B507" s="25" t="s">
        <v>3624</v>
      </c>
      <c r="C507" s="26"/>
      <c r="D507" s="27" t="s">
        <v>3625</v>
      </c>
      <c r="E507" s="28"/>
      <c r="G507" s="54" t="s">
        <v>22</v>
      </c>
      <c r="H507" s="23" t="s">
        <v>22</v>
      </c>
      <c r="J507" s="63" t="s">
        <v>22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1072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1071</v>
      </c>
      <c r="B509" s="51">
        <v>61.1</v>
      </c>
      <c r="C509" s="52"/>
      <c r="D509" s="2" t="s">
        <v>1069</v>
      </c>
      <c r="E509" s="53"/>
      <c r="G509" s="54"/>
      <c r="J509" s="63"/>
      <c r="L509" s="56"/>
      <c r="M509" s="57" t="s">
        <v>22</v>
      </c>
      <c r="N509" s="57" t="s">
        <v>22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1069</v>
      </c>
      <c r="AA509">
        <v>503</v>
      </c>
    </row>
    <row r="510" spans="1:27" x14ac:dyDescent="0.25">
      <c r="A510" s="1" t="s">
        <v>1075</v>
      </c>
      <c r="B510" s="51">
        <v>92.9</v>
      </c>
      <c r="C510" s="52"/>
      <c r="D510" s="2" t="s">
        <v>1073</v>
      </c>
      <c r="E510" s="53"/>
      <c r="G510" s="54"/>
      <c r="J510" s="63"/>
      <c r="L510" s="56"/>
      <c r="M510" s="57" t="s">
        <v>22</v>
      </c>
      <c r="N510" s="57" t="s">
        <v>22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1073</v>
      </c>
      <c r="AA510">
        <v>504</v>
      </c>
    </row>
    <row r="511" spans="1:27" x14ac:dyDescent="0.25">
      <c r="A511" s="1" t="s">
        <v>1078</v>
      </c>
      <c r="B511" s="51">
        <v>58.400000000000006</v>
      </c>
      <c r="C511" s="52"/>
      <c r="D511" s="2" t="s">
        <v>1076</v>
      </c>
      <c r="E511" s="53"/>
      <c r="G511" s="54"/>
      <c r="J511" s="63"/>
      <c r="L511" s="56"/>
      <c r="M511" s="57" t="s">
        <v>22</v>
      </c>
      <c r="N511" s="57" t="s">
        <v>22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1076</v>
      </c>
      <c r="AA511">
        <v>505</v>
      </c>
    </row>
    <row r="512" spans="1:27" x14ac:dyDescent="0.25">
      <c r="A512" s="1" t="s">
        <v>1081</v>
      </c>
      <c r="B512" s="51">
        <v>84.9</v>
      </c>
      <c r="C512" s="52"/>
      <c r="D512" s="2" t="s">
        <v>1079</v>
      </c>
      <c r="E512" s="53"/>
      <c r="G512" s="54"/>
      <c r="J512" s="63"/>
      <c r="L512" s="56"/>
      <c r="M512" s="57" t="s">
        <v>22</v>
      </c>
      <c r="N512" s="57" t="s">
        <v>22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1079</v>
      </c>
      <c r="AA512">
        <v>506</v>
      </c>
    </row>
    <row r="513" spans="1:27" x14ac:dyDescent="0.25">
      <c r="A513" s="96" t="s">
        <v>3743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1084</v>
      </c>
      <c r="B514" s="51">
        <v>55.45</v>
      </c>
      <c r="C514" s="52"/>
      <c r="D514" s="2" t="s">
        <v>1082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22</v>
      </c>
      <c r="N514" s="57" t="s">
        <v>22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1082</v>
      </c>
      <c r="AA514">
        <v>508</v>
      </c>
    </row>
    <row r="515" spans="1:27" x14ac:dyDescent="0.25">
      <c r="A515" s="130" t="s">
        <v>1087</v>
      </c>
      <c r="B515" s="51">
        <v>69.3</v>
      </c>
      <c r="D515" s="2" t="s">
        <v>1085</v>
      </c>
      <c r="E515" s="46"/>
      <c r="L515" s="56"/>
      <c r="M515" s="57" t="s">
        <v>22</v>
      </c>
      <c r="N515" s="57" t="s">
        <v>22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1085</v>
      </c>
      <c r="AA515">
        <v>509</v>
      </c>
    </row>
    <row r="516" spans="1:27" x14ac:dyDescent="0.25">
      <c r="A516" s="130" t="s">
        <v>1090</v>
      </c>
      <c r="B516" s="51">
        <v>54.300000000000004</v>
      </c>
      <c r="C516" s="52"/>
      <c r="D516" s="2" t="s">
        <v>1088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22</v>
      </c>
      <c r="N516" s="57" t="s">
        <v>22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1088</v>
      </c>
      <c r="AA516">
        <v>510</v>
      </c>
    </row>
    <row r="517" spans="1:27" x14ac:dyDescent="0.25">
      <c r="A517" s="130" t="s">
        <v>1092</v>
      </c>
      <c r="B517" s="51">
        <v>25.35</v>
      </c>
      <c r="C517" s="52"/>
      <c r="D517" s="2" t="s">
        <v>1091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22</v>
      </c>
      <c r="N517" s="57" t="s">
        <v>22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1091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1096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1113</v>
      </c>
      <c r="B520" s="51">
        <v>36</v>
      </c>
      <c r="C520" s="52"/>
      <c r="D520" s="2" t="s">
        <v>1111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22</v>
      </c>
      <c r="N520" s="57" t="s">
        <v>22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1111</v>
      </c>
      <c r="AA520">
        <v>514</v>
      </c>
    </row>
    <row r="521" spans="1:27" x14ac:dyDescent="0.25">
      <c r="A521" s="97" t="s">
        <v>1116</v>
      </c>
      <c r="B521" s="51">
        <v>27.75</v>
      </c>
      <c r="C521" s="52"/>
      <c r="D521" s="2" t="s">
        <v>1114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22</v>
      </c>
      <c r="N521" s="57" t="s">
        <v>22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1114</v>
      </c>
      <c r="AA521">
        <v>515</v>
      </c>
    </row>
    <row r="522" spans="1:27" ht="18" x14ac:dyDescent="0.25">
      <c r="A522" s="97" t="s">
        <v>1119</v>
      </c>
      <c r="B522" s="51">
        <v>31.25</v>
      </c>
      <c r="C522" s="52"/>
      <c r="D522" s="2" t="s">
        <v>1117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22</v>
      </c>
      <c r="N522" s="57" t="s">
        <v>22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1117</v>
      </c>
      <c r="AA522">
        <v>516</v>
      </c>
    </row>
    <row r="523" spans="1:27" x14ac:dyDescent="0.25">
      <c r="A523" s="97" t="s">
        <v>1122</v>
      </c>
      <c r="B523" s="51">
        <v>31.25</v>
      </c>
      <c r="C523" s="52"/>
      <c r="D523" s="2" t="s">
        <v>1120</v>
      </c>
      <c r="E523" s="65"/>
      <c r="G523" s="54"/>
      <c r="J523" s="63"/>
      <c r="L523" s="56"/>
      <c r="M523" s="57" t="s">
        <v>22</v>
      </c>
      <c r="N523" s="57" t="s">
        <v>22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1120</v>
      </c>
      <c r="AA523">
        <v>517</v>
      </c>
    </row>
    <row r="524" spans="1:27" x14ac:dyDescent="0.25">
      <c r="A524" s="1" t="s">
        <v>1128</v>
      </c>
      <c r="B524" s="51">
        <v>43.35</v>
      </c>
      <c r="C524" s="52"/>
      <c r="D524" s="2" t="s">
        <v>1126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22</v>
      </c>
      <c r="N524" s="57" t="s">
        <v>22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1126</v>
      </c>
      <c r="AA524">
        <v>518</v>
      </c>
    </row>
    <row r="525" spans="1:27" x14ac:dyDescent="0.25">
      <c r="A525" s="97" t="s">
        <v>1167</v>
      </c>
      <c r="B525" s="51">
        <v>63.7</v>
      </c>
      <c r="C525" s="52"/>
      <c r="D525" s="2" t="s">
        <v>1165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22</v>
      </c>
      <c r="N525" s="57" t="s">
        <v>22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1165</v>
      </c>
      <c r="AA525">
        <v>519</v>
      </c>
    </row>
    <row r="526" spans="1:27" x14ac:dyDescent="0.25">
      <c r="A526" s="1" t="s">
        <v>1095</v>
      </c>
      <c r="B526" s="51">
        <v>84.9</v>
      </c>
      <c r="C526" s="52"/>
      <c r="D526" s="2" t="s">
        <v>1093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22</v>
      </c>
      <c r="N526" s="57" t="s">
        <v>22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1093</v>
      </c>
      <c r="AA526">
        <v>520</v>
      </c>
    </row>
    <row r="527" spans="1:27" x14ac:dyDescent="0.25">
      <c r="A527" s="97" t="s">
        <v>1099</v>
      </c>
      <c r="B527" s="51">
        <v>91.350000000000009</v>
      </c>
      <c r="C527" s="52"/>
      <c r="D527" s="2" t="s">
        <v>1097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22</v>
      </c>
      <c r="N527" s="57" t="s">
        <v>22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1097</v>
      </c>
      <c r="AA527">
        <v>521</v>
      </c>
    </row>
    <row r="528" spans="1:27" x14ac:dyDescent="0.25">
      <c r="A528" s="97" t="s">
        <v>1104</v>
      </c>
      <c r="B528" s="51">
        <v>84.9</v>
      </c>
      <c r="C528" s="52"/>
      <c r="D528" s="2" t="s">
        <v>1102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22</v>
      </c>
      <c r="N528" s="57" t="s">
        <v>22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1102</v>
      </c>
      <c r="AA528">
        <v>522</v>
      </c>
    </row>
    <row r="529" spans="1:27" x14ac:dyDescent="0.25">
      <c r="A529" s="97" t="s">
        <v>1107</v>
      </c>
      <c r="B529" s="51">
        <v>39.800000000000004</v>
      </c>
      <c r="C529" s="52"/>
      <c r="D529" s="2" t="s">
        <v>1105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22</v>
      </c>
      <c r="N529" s="57" t="s">
        <v>22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1105</v>
      </c>
      <c r="AA529">
        <v>523</v>
      </c>
    </row>
    <row r="530" spans="1:27" x14ac:dyDescent="0.25">
      <c r="A530" s="97" t="s">
        <v>966</v>
      </c>
      <c r="B530" s="51">
        <v>93.45</v>
      </c>
      <c r="C530" s="52"/>
      <c r="D530" s="2" t="s">
        <v>964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22</v>
      </c>
      <c r="N530" s="57" t="s">
        <v>22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964</v>
      </c>
      <c r="AA530">
        <v>524</v>
      </c>
    </row>
    <row r="531" spans="1:27" x14ac:dyDescent="0.25">
      <c r="A531" s="97" t="s">
        <v>2847</v>
      </c>
      <c r="B531" s="51">
        <v>41</v>
      </c>
      <c r="C531" s="52"/>
      <c r="D531" s="75" t="s">
        <v>2845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22</v>
      </c>
      <c r="N531" s="57" t="s">
        <v>22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2845</v>
      </c>
      <c r="AA531">
        <v>525</v>
      </c>
    </row>
    <row r="532" spans="1:27" x14ac:dyDescent="0.25">
      <c r="A532" s="97" t="s">
        <v>1138</v>
      </c>
      <c r="B532" s="51">
        <v>68.7</v>
      </c>
      <c r="C532" s="52"/>
      <c r="D532" s="2" t="s">
        <v>1136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22</v>
      </c>
      <c r="N532" s="57" t="s">
        <v>22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1136</v>
      </c>
      <c r="AA532">
        <v>526</v>
      </c>
    </row>
    <row r="533" spans="1:27" x14ac:dyDescent="0.25">
      <c r="A533" s="130" t="s">
        <v>2407</v>
      </c>
      <c r="B533" s="51">
        <v>18.600000000000001</v>
      </c>
      <c r="C533" s="52"/>
      <c r="D533" s="75" t="s">
        <v>2405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22</v>
      </c>
      <c r="N533" s="57" t="s">
        <v>22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2405</v>
      </c>
      <c r="AA533">
        <v>527</v>
      </c>
    </row>
    <row r="534" spans="1:27" x14ac:dyDescent="0.25">
      <c r="A534" s="96" t="s">
        <v>3743</v>
      </c>
      <c r="B534" s="51"/>
      <c r="C534" s="112"/>
      <c r="D534" s="12"/>
      <c r="E534" s="53"/>
      <c r="G534" s="54" t="s">
        <v>22</v>
      </c>
      <c r="H534" s="23" t="s">
        <v>22</v>
      </c>
      <c r="J534" s="63" t="s">
        <v>22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22</v>
      </c>
      <c r="H535" s="23" t="s">
        <v>22</v>
      </c>
      <c r="J535" s="63" t="s">
        <v>22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3744</v>
      </c>
      <c r="B536" s="25" t="s">
        <v>3624</v>
      </c>
      <c r="C536" s="26"/>
      <c r="D536" s="27" t="s">
        <v>3625</v>
      </c>
      <c r="E536" s="28"/>
      <c r="G536" s="54" t="s">
        <v>22</v>
      </c>
      <c r="H536" s="23" t="s">
        <v>22</v>
      </c>
      <c r="J536" s="17" t="s">
        <v>22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1730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1729</v>
      </c>
      <c r="B538" s="51">
        <v>199.9</v>
      </c>
      <c r="C538" s="52"/>
      <c r="D538" s="2" t="s">
        <v>1728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22</v>
      </c>
      <c r="N538" s="57" t="s">
        <v>22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1728</v>
      </c>
      <c r="AA538">
        <v>532</v>
      </c>
    </row>
    <row r="539" spans="1:27" x14ac:dyDescent="0.25">
      <c r="A539" s="97" t="s">
        <v>1733</v>
      </c>
      <c r="B539" s="51">
        <v>19.8</v>
      </c>
      <c r="C539" s="52"/>
      <c r="D539" s="75" t="s">
        <v>1731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22</v>
      </c>
      <c r="N539" s="57" t="s">
        <v>22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1731</v>
      </c>
      <c r="AA539">
        <v>533</v>
      </c>
    </row>
    <row r="540" spans="1:27" x14ac:dyDescent="0.25">
      <c r="A540" s="97" t="s">
        <v>1735</v>
      </c>
      <c r="B540" s="51">
        <v>3.5500000000000003</v>
      </c>
      <c r="C540" s="52"/>
      <c r="D540" s="2" t="s">
        <v>1734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22</v>
      </c>
      <c r="N540" s="57" t="s">
        <v>22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1734</v>
      </c>
      <c r="AA540">
        <v>534</v>
      </c>
    </row>
    <row r="541" spans="1:27" x14ac:dyDescent="0.25">
      <c r="A541" s="96" t="s">
        <v>3745</v>
      </c>
      <c r="B541" s="51"/>
      <c r="C541" s="52"/>
      <c r="E541" s="53"/>
      <c r="G541" s="54" t="s">
        <v>22</v>
      </c>
      <c r="H541" s="23" t="s">
        <v>22</v>
      </c>
      <c r="J541" s="63" t="s">
        <v>22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1739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1738</v>
      </c>
      <c r="B544" s="51">
        <v>41</v>
      </c>
      <c r="C544" s="52"/>
      <c r="D544" s="2" t="s">
        <v>1736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22</v>
      </c>
      <c r="N544" s="57" t="s">
        <v>22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1736</v>
      </c>
      <c r="AA544">
        <v>538</v>
      </c>
    </row>
    <row r="545" spans="1:27" x14ac:dyDescent="0.25">
      <c r="A545" s="97" t="s">
        <v>1742</v>
      </c>
      <c r="B545" s="51">
        <v>10.050000000000001</v>
      </c>
      <c r="C545" s="52"/>
      <c r="D545" s="75" t="s">
        <v>1740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22</v>
      </c>
      <c r="N545" s="57" t="s">
        <v>22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1740</v>
      </c>
      <c r="AA545">
        <v>539</v>
      </c>
    </row>
    <row r="546" spans="1:27" ht="18" x14ac:dyDescent="0.25">
      <c r="A546" s="97" t="s">
        <v>1744</v>
      </c>
      <c r="B546" s="51">
        <v>70.45</v>
      </c>
      <c r="C546" s="52"/>
      <c r="D546" s="2" t="s">
        <v>1743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22</v>
      </c>
      <c r="N546" s="57" t="s">
        <v>22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1743</v>
      </c>
      <c r="AA546">
        <v>540</v>
      </c>
    </row>
    <row r="547" spans="1:27" ht="18" x14ac:dyDescent="0.25">
      <c r="A547" s="50" t="s">
        <v>1746</v>
      </c>
      <c r="B547" s="51">
        <v>94.550000000000011</v>
      </c>
      <c r="C547" s="52"/>
      <c r="D547" s="2" t="s">
        <v>1745</v>
      </c>
      <c r="E547" s="70"/>
      <c r="G547" s="54"/>
      <c r="J547" s="63"/>
      <c r="L547" s="56"/>
      <c r="M547" s="57" t="s">
        <v>22</v>
      </c>
      <c r="N547" s="57" t="s">
        <v>22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22</v>
      </c>
      <c r="Z547" s="2" t="s">
        <v>1745</v>
      </c>
      <c r="AA547">
        <v>541</v>
      </c>
    </row>
    <row r="548" spans="1:27" x14ac:dyDescent="0.25">
      <c r="A548" s="97" t="s">
        <v>1749</v>
      </c>
      <c r="B548" s="51">
        <v>26.5</v>
      </c>
      <c r="C548" s="52"/>
      <c r="D548" s="2" t="s">
        <v>1747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22</v>
      </c>
      <c r="N548" s="57" t="s">
        <v>22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1747</v>
      </c>
      <c r="AA548">
        <v>542</v>
      </c>
    </row>
    <row r="549" spans="1:27" x14ac:dyDescent="0.25">
      <c r="A549" s="97" t="s">
        <v>1864</v>
      </c>
      <c r="B549" s="51">
        <v>18.600000000000001</v>
      </c>
      <c r="C549" s="52"/>
      <c r="D549" s="75" t="s">
        <v>1863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22</v>
      </c>
      <c r="N549" s="57" t="s">
        <v>22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1863</v>
      </c>
      <c r="AA549">
        <v>543</v>
      </c>
    </row>
    <row r="550" spans="1:27" x14ac:dyDescent="0.25">
      <c r="A550" s="1" t="s">
        <v>1751</v>
      </c>
      <c r="B550" s="51">
        <v>19.8</v>
      </c>
      <c r="C550" s="52"/>
      <c r="D550" s="2" t="s">
        <v>1750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22</v>
      </c>
      <c r="N550" s="57" t="s">
        <v>22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1750</v>
      </c>
      <c r="AA550">
        <v>544</v>
      </c>
    </row>
    <row r="551" spans="1:27" x14ac:dyDescent="0.25">
      <c r="A551" s="96" t="s">
        <v>3746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22</v>
      </c>
      <c r="H552" s="23" t="s">
        <v>22</v>
      </c>
      <c r="J552" s="63" t="s">
        <v>22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1062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1068</v>
      </c>
      <c r="B554" s="51">
        <v>20.650000000000002</v>
      </c>
      <c r="C554" s="122"/>
      <c r="D554" s="123" t="s">
        <v>1067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22</v>
      </c>
      <c r="N554" s="57" t="s">
        <v>22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1067</v>
      </c>
      <c r="AA554">
        <v>548</v>
      </c>
    </row>
    <row r="555" spans="1:27" x14ac:dyDescent="0.25">
      <c r="A555" s="121" t="s">
        <v>1061</v>
      </c>
      <c r="B555" s="51">
        <v>26.5</v>
      </c>
      <c r="C555" s="122"/>
      <c r="D555" s="123" t="s">
        <v>1060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22</v>
      </c>
      <c r="N555" s="57" t="s">
        <v>22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1060</v>
      </c>
      <c r="AA555">
        <v>549</v>
      </c>
    </row>
    <row r="556" spans="1:27" x14ac:dyDescent="0.25">
      <c r="A556" s="132" t="s">
        <v>3747</v>
      </c>
      <c r="B556" s="51">
        <v>80.800000000000011</v>
      </c>
      <c r="C556" s="122"/>
      <c r="D556" s="123" t="s">
        <v>1063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22</v>
      </c>
      <c r="N556" s="57" t="s">
        <v>22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1063</v>
      </c>
      <c r="AA556">
        <v>550</v>
      </c>
    </row>
    <row r="557" spans="1:27" x14ac:dyDescent="0.25">
      <c r="A557" s="132" t="s">
        <v>3748</v>
      </c>
      <c r="B557" s="51">
        <v>107.35000000000001</v>
      </c>
      <c r="C557" s="122"/>
      <c r="D557" s="123" t="s">
        <v>1065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22</v>
      </c>
      <c r="N557" s="57" t="s">
        <v>22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1065</v>
      </c>
      <c r="AA557">
        <v>551</v>
      </c>
    </row>
    <row r="558" spans="1:27" x14ac:dyDescent="0.25">
      <c r="A558" s="114" t="s">
        <v>3749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22</v>
      </c>
      <c r="H559" s="23" t="s">
        <v>22</v>
      </c>
      <c r="J559" s="63" t="s">
        <v>22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3750</v>
      </c>
      <c r="B560" s="25" t="s">
        <v>3624</v>
      </c>
      <c r="C560" s="26"/>
      <c r="D560" s="27" t="s">
        <v>3625</v>
      </c>
      <c r="E560" s="28"/>
      <c r="G560" s="54" t="s">
        <v>22</v>
      </c>
      <c r="H560" s="23" t="s">
        <v>22</v>
      </c>
      <c r="J560" s="63" t="s">
        <v>22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3751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1201</v>
      </c>
      <c r="B562" s="51">
        <v>57.300000000000004</v>
      </c>
      <c r="C562" s="135"/>
      <c r="D562" s="2" t="s">
        <v>1199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22</v>
      </c>
      <c r="N562" s="57" t="s">
        <v>22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1199</v>
      </c>
      <c r="AA562">
        <v>556</v>
      </c>
    </row>
    <row r="563" spans="1:27" x14ac:dyDescent="0.25">
      <c r="A563" s="130" t="s">
        <v>1203</v>
      </c>
      <c r="B563" s="51">
        <v>20.650000000000002</v>
      </c>
      <c r="C563" s="135"/>
      <c r="D563" s="75" t="s">
        <v>1202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22</v>
      </c>
      <c r="N563" s="57" t="s">
        <v>22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1202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3752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1206</v>
      </c>
      <c r="B566" s="51">
        <v>77.850000000000009</v>
      </c>
      <c r="C566" s="135"/>
      <c r="D566" s="2" t="s">
        <v>1204</v>
      </c>
      <c r="E566" s="46"/>
      <c r="G566" s="54">
        <v>81.742500000000007</v>
      </c>
      <c r="H566" s="23">
        <v>81.75</v>
      </c>
      <c r="J566" s="63" t="s">
        <v>22</v>
      </c>
      <c r="L566" s="56"/>
      <c r="M566" s="57" t="s">
        <v>22</v>
      </c>
      <c r="N566" s="57" t="s">
        <v>22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1204</v>
      </c>
      <c r="AA566">
        <v>560</v>
      </c>
    </row>
    <row r="567" spans="1:27" x14ac:dyDescent="0.25">
      <c r="A567" s="130" t="s">
        <v>1209</v>
      </c>
      <c r="B567" s="51">
        <v>67.5</v>
      </c>
      <c r="C567" s="135"/>
      <c r="D567" s="2" t="s">
        <v>1207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22</v>
      </c>
      <c r="N567" s="57" t="s">
        <v>22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1207</v>
      </c>
      <c r="AA567">
        <v>561</v>
      </c>
    </row>
    <row r="568" spans="1:27" ht="18" x14ac:dyDescent="0.25">
      <c r="A568" s="130" t="s">
        <v>1212</v>
      </c>
      <c r="B568" s="51">
        <v>70.45</v>
      </c>
      <c r="C568" s="135"/>
      <c r="D568" s="2" t="s">
        <v>1210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22</v>
      </c>
      <c r="N568" s="57" t="s">
        <v>22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1210</v>
      </c>
      <c r="AA568">
        <v>562</v>
      </c>
    </row>
    <row r="569" spans="1:27" x14ac:dyDescent="0.25">
      <c r="A569" s="130" t="s">
        <v>1215</v>
      </c>
      <c r="B569" s="51">
        <v>9.8500000000000014</v>
      </c>
      <c r="C569" s="52"/>
      <c r="D569" s="75" t="s">
        <v>1213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22</v>
      </c>
      <c r="N569" s="57" t="s">
        <v>22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1213</v>
      </c>
      <c r="AA569">
        <v>563</v>
      </c>
    </row>
    <row r="570" spans="1:27" x14ac:dyDescent="0.25">
      <c r="A570" s="132" t="s">
        <v>524</v>
      </c>
      <c r="B570" s="51">
        <v>35.700000000000003</v>
      </c>
      <c r="C570" s="122"/>
      <c r="D570" s="138" t="s">
        <v>523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22</v>
      </c>
      <c r="N570" s="57" t="s">
        <v>22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523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22</v>
      </c>
      <c r="H571" s="23" t="s">
        <v>22</v>
      </c>
      <c r="J571" s="63" t="s">
        <v>22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3753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1217</v>
      </c>
      <c r="B573" s="51">
        <v>67.5</v>
      </c>
      <c r="C573" s="135"/>
      <c r="D573" s="2" t="s">
        <v>1216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22</v>
      </c>
      <c r="N573" s="57" t="s">
        <v>22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1216</v>
      </c>
      <c r="AA573">
        <v>567</v>
      </c>
    </row>
    <row r="574" spans="1:27" x14ac:dyDescent="0.25">
      <c r="A574" s="132" t="s">
        <v>1215</v>
      </c>
      <c r="B574" s="51">
        <v>9.8500000000000014</v>
      </c>
      <c r="C574" s="122"/>
      <c r="D574" s="138" t="s">
        <v>1213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3754</v>
      </c>
      <c r="M574" s="57" t="s">
        <v>22</v>
      </c>
      <c r="N574" s="57" t="s">
        <v>22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1213</v>
      </c>
      <c r="AA574">
        <v>568</v>
      </c>
    </row>
    <row r="575" spans="1:27" x14ac:dyDescent="0.25">
      <c r="A575" s="130" t="s">
        <v>1220</v>
      </c>
      <c r="B575" s="51">
        <v>43.95</v>
      </c>
      <c r="C575" s="139"/>
      <c r="D575" s="2" t="s">
        <v>1218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22</v>
      </c>
      <c r="N575" s="57" t="s">
        <v>22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1218</v>
      </c>
      <c r="AA575">
        <v>569</v>
      </c>
    </row>
    <row r="576" spans="1:27" x14ac:dyDescent="0.25">
      <c r="A576" s="121" t="s">
        <v>526</v>
      </c>
      <c r="B576" s="51">
        <v>55.45</v>
      </c>
      <c r="C576" s="141"/>
      <c r="D576" s="123" t="s">
        <v>525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22</v>
      </c>
      <c r="N576" s="57" t="s">
        <v>22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525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22</v>
      </c>
      <c r="H577" s="23" t="s">
        <v>22</v>
      </c>
      <c r="J577" s="63" t="s">
        <v>22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3755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1223</v>
      </c>
      <c r="B579" s="51">
        <v>54.300000000000004</v>
      </c>
      <c r="C579" s="139"/>
      <c r="D579" s="2" t="s">
        <v>1221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22</v>
      </c>
      <c r="N579" s="57" t="s">
        <v>22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1221</v>
      </c>
      <c r="AA579">
        <v>573</v>
      </c>
    </row>
    <row r="580" spans="1:27" x14ac:dyDescent="0.25">
      <c r="A580" s="114" t="s">
        <v>3756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3757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1226</v>
      </c>
      <c r="B583" s="51">
        <v>61.1</v>
      </c>
      <c r="C583" s="139"/>
      <c r="D583" s="2" t="s">
        <v>1224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22</v>
      </c>
      <c r="N583" s="57" t="s">
        <v>22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1224</v>
      </c>
      <c r="AA583">
        <v>577</v>
      </c>
    </row>
    <row r="584" spans="1:27" x14ac:dyDescent="0.25">
      <c r="A584" s="1" t="s">
        <v>1229</v>
      </c>
      <c r="B584" s="51">
        <v>43.050000000000004</v>
      </c>
      <c r="C584" s="52"/>
      <c r="D584" s="2" t="s">
        <v>1227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22</v>
      </c>
      <c r="N584" s="57" t="s">
        <v>22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1227</v>
      </c>
      <c r="AA584">
        <v>578</v>
      </c>
    </row>
    <row r="585" spans="1:27" x14ac:dyDescent="0.25">
      <c r="A585" s="1" t="s">
        <v>1232</v>
      </c>
      <c r="B585" s="51">
        <v>46</v>
      </c>
      <c r="C585" s="139"/>
      <c r="D585" s="2" t="s">
        <v>1230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22</v>
      </c>
      <c r="N585" s="57" t="s">
        <v>22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1230</v>
      </c>
      <c r="AA585">
        <v>579</v>
      </c>
    </row>
    <row r="586" spans="1:27" x14ac:dyDescent="0.25">
      <c r="A586" s="1" t="s">
        <v>1235</v>
      </c>
      <c r="B586" s="51">
        <v>61.35</v>
      </c>
      <c r="C586" s="139"/>
      <c r="D586" s="2" t="s">
        <v>1233</v>
      </c>
      <c r="E586" s="46"/>
      <c r="G586" s="54"/>
      <c r="J586" s="63"/>
      <c r="L586" s="56"/>
      <c r="M586" s="57" t="s">
        <v>22</v>
      </c>
      <c r="N586" s="57" t="s">
        <v>22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1233</v>
      </c>
      <c r="AA586">
        <v>580</v>
      </c>
    </row>
    <row r="587" spans="1:27" x14ac:dyDescent="0.25">
      <c r="A587" s="1" t="s">
        <v>646</v>
      </c>
      <c r="B587" s="51">
        <v>9.8500000000000014</v>
      </c>
      <c r="C587" s="139"/>
      <c r="D587" s="2" t="s">
        <v>645</v>
      </c>
      <c r="E587" s="46"/>
      <c r="G587" s="54"/>
      <c r="J587" s="63"/>
      <c r="L587" s="56"/>
      <c r="M587" s="57" t="s">
        <v>22</v>
      </c>
      <c r="N587" s="57" t="s">
        <v>22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645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3758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1238</v>
      </c>
      <c r="B590" s="51">
        <v>48.95</v>
      </c>
      <c r="C590" s="139"/>
      <c r="D590" s="69" t="s">
        <v>1236</v>
      </c>
      <c r="E590" s="46"/>
      <c r="G590" s="54"/>
      <c r="J590" s="63"/>
      <c r="L590" s="56"/>
      <c r="M590" s="57" t="s">
        <v>22</v>
      </c>
      <c r="N590" s="57" t="s">
        <v>22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22</v>
      </c>
      <c r="Z590" s="2" t="s">
        <v>1236</v>
      </c>
      <c r="AA590">
        <v>584</v>
      </c>
    </row>
    <row r="591" spans="1:27" x14ac:dyDescent="0.25">
      <c r="A591" s="50" t="s">
        <v>1241</v>
      </c>
      <c r="B591" s="51">
        <v>56.050000000000004</v>
      </c>
      <c r="C591" s="52"/>
      <c r="D591" s="2" t="s">
        <v>1239</v>
      </c>
      <c r="E591" s="46"/>
      <c r="G591" s="54"/>
      <c r="J591" s="63"/>
      <c r="L591" s="56"/>
      <c r="M591" s="57" t="s">
        <v>22</v>
      </c>
      <c r="N591" s="57" t="s">
        <v>22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22</v>
      </c>
      <c r="Z591" s="2" t="s">
        <v>1239</v>
      </c>
      <c r="AA591">
        <v>585</v>
      </c>
    </row>
    <row r="592" spans="1:27" x14ac:dyDescent="0.25">
      <c r="A592" s="50" t="s">
        <v>1244</v>
      </c>
      <c r="B592" s="51">
        <v>65.350000000000009</v>
      </c>
      <c r="C592" s="52"/>
      <c r="D592" s="2" t="s">
        <v>1242</v>
      </c>
      <c r="E592" s="46"/>
      <c r="G592" s="54"/>
      <c r="J592" s="63"/>
      <c r="L592" s="56"/>
      <c r="M592" s="57" t="s">
        <v>22</v>
      </c>
      <c r="N592" s="57" t="s">
        <v>22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22</v>
      </c>
      <c r="Z592" s="2" t="s">
        <v>1242</v>
      </c>
      <c r="AA592">
        <v>586</v>
      </c>
    </row>
    <row r="593" spans="1:27" x14ac:dyDescent="0.25">
      <c r="A593" s="50" t="s">
        <v>1247</v>
      </c>
      <c r="B593" s="51">
        <v>35.700000000000003</v>
      </c>
      <c r="C593" s="52"/>
      <c r="D593" s="2" t="s">
        <v>1245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22</v>
      </c>
      <c r="N593" s="57" t="s">
        <v>22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1245</v>
      </c>
      <c r="AA593">
        <v>587</v>
      </c>
    </row>
    <row r="594" spans="1:27" x14ac:dyDescent="0.25">
      <c r="A594" s="50" t="s">
        <v>1250</v>
      </c>
      <c r="B594" s="51">
        <v>68.400000000000006</v>
      </c>
      <c r="C594" s="52"/>
      <c r="D594" s="2" t="s">
        <v>1248</v>
      </c>
      <c r="E594" s="140"/>
      <c r="G594" s="54"/>
      <c r="J594" s="63"/>
      <c r="L594" s="56"/>
      <c r="M594" s="57" t="s">
        <v>22</v>
      </c>
      <c r="N594" s="57" t="s">
        <v>22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22</v>
      </c>
      <c r="Z594" s="2" t="s">
        <v>1248</v>
      </c>
      <c r="AA594">
        <v>588</v>
      </c>
    </row>
    <row r="595" spans="1:27" x14ac:dyDescent="0.25">
      <c r="A595" s="130" t="s">
        <v>1252</v>
      </c>
      <c r="B595" s="51">
        <v>68.150000000000006</v>
      </c>
      <c r="C595" s="139"/>
      <c r="D595" s="2" t="s">
        <v>1251</v>
      </c>
      <c r="E595" s="46"/>
      <c r="G595" s="54"/>
      <c r="J595" s="63"/>
      <c r="L595" s="56"/>
      <c r="M595" s="57" t="s">
        <v>22</v>
      </c>
      <c r="N595" s="57" t="s">
        <v>22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1251</v>
      </c>
      <c r="AA595">
        <v>589</v>
      </c>
    </row>
    <row r="596" spans="1:27" x14ac:dyDescent="0.25">
      <c r="A596" s="132" t="s">
        <v>521</v>
      </c>
      <c r="B596" s="51">
        <v>56.050000000000004</v>
      </c>
      <c r="C596" s="144"/>
      <c r="D596" s="123" t="s">
        <v>520</v>
      </c>
      <c r="E596" s="134"/>
      <c r="F596" s="125"/>
      <c r="G596" s="126"/>
      <c r="H596" s="127"/>
      <c r="I596" s="125"/>
      <c r="J596" s="133"/>
      <c r="K596" s="125"/>
      <c r="L596" s="111" t="s">
        <v>3759</v>
      </c>
      <c r="M596" s="57" t="s">
        <v>22</v>
      </c>
      <c r="N596" s="57" t="s">
        <v>22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520</v>
      </c>
      <c r="AA596">
        <v>590</v>
      </c>
    </row>
    <row r="597" spans="1:27" x14ac:dyDescent="0.25">
      <c r="A597" s="114" t="s">
        <v>3760</v>
      </c>
      <c r="B597" s="51"/>
      <c r="C597" s="139"/>
      <c r="E597" s="140"/>
      <c r="G597" s="54" t="s">
        <v>22</v>
      </c>
      <c r="H597" s="23" t="s">
        <v>22</v>
      </c>
      <c r="J597" s="17" t="s">
        <v>22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22</v>
      </c>
      <c r="H598" s="23" t="s">
        <v>22</v>
      </c>
      <c r="J598" s="17" t="s">
        <v>22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3761</v>
      </c>
      <c r="B599" s="25" t="s">
        <v>3624</v>
      </c>
      <c r="C599" s="26"/>
      <c r="D599" s="27" t="s">
        <v>3625</v>
      </c>
      <c r="E599" s="28"/>
      <c r="G599" s="54" t="s">
        <v>22</v>
      </c>
      <c r="H599" s="23" t="s">
        <v>22</v>
      </c>
      <c r="J599" s="17" t="s">
        <v>22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3762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1338</v>
      </c>
      <c r="B601" s="51">
        <v>172.20000000000002</v>
      </c>
      <c r="C601" s="52"/>
      <c r="D601" s="2" t="s">
        <v>1337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22</v>
      </c>
      <c r="N601" s="57" t="s">
        <v>22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1337</v>
      </c>
      <c r="AA601">
        <v>595</v>
      </c>
    </row>
    <row r="602" spans="1:27" ht="18" x14ac:dyDescent="0.25">
      <c r="A602" s="50" t="s">
        <v>1341</v>
      </c>
      <c r="B602" s="51">
        <v>68.7</v>
      </c>
      <c r="C602" s="52"/>
      <c r="D602" s="2" t="s">
        <v>1340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22</v>
      </c>
      <c r="N602" s="57" t="s">
        <v>22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1340</v>
      </c>
      <c r="AA602">
        <v>596</v>
      </c>
    </row>
    <row r="603" spans="1:27" ht="18" x14ac:dyDescent="0.25">
      <c r="A603" s="50" t="s">
        <v>1344</v>
      </c>
      <c r="B603" s="51">
        <v>68.7</v>
      </c>
      <c r="C603" s="52"/>
      <c r="D603" s="2" t="s">
        <v>1342</v>
      </c>
      <c r="E603" s="70"/>
      <c r="G603" s="54"/>
      <c r="J603" s="63"/>
      <c r="L603" s="56"/>
      <c r="M603" s="57" t="s">
        <v>22</v>
      </c>
      <c r="N603" s="57" t="s">
        <v>22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22</v>
      </c>
      <c r="Z603" s="2" t="s">
        <v>1342</v>
      </c>
      <c r="AA603">
        <v>597</v>
      </c>
    </row>
    <row r="604" spans="1:27" x14ac:dyDescent="0.25">
      <c r="A604" s="50" t="s">
        <v>1346</v>
      </c>
      <c r="B604" s="51">
        <v>62.25</v>
      </c>
      <c r="C604" s="52"/>
      <c r="D604" s="2" t="s">
        <v>1345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22</v>
      </c>
      <c r="N604" s="57" t="s">
        <v>22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1345</v>
      </c>
      <c r="AA604">
        <v>598</v>
      </c>
    </row>
    <row r="605" spans="1:27" x14ac:dyDescent="0.25">
      <c r="A605" s="50" t="s">
        <v>1348</v>
      </c>
      <c r="B605" s="51">
        <v>62.25</v>
      </c>
      <c r="C605" s="52"/>
      <c r="D605" s="2" t="s">
        <v>1347</v>
      </c>
      <c r="E605" s="53"/>
      <c r="G605" s="54"/>
      <c r="J605" s="63"/>
      <c r="L605" s="56"/>
      <c r="M605" s="57" t="s">
        <v>22</v>
      </c>
      <c r="N605" s="57" t="s">
        <v>22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22</v>
      </c>
      <c r="Z605" s="2" t="s">
        <v>1347</v>
      </c>
      <c r="AA605">
        <v>599</v>
      </c>
    </row>
    <row r="606" spans="1:27" x14ac:dyDescent="0.25">
      <c r="A606" s="1" t="s">
        <v>1350</v>
      </c>
      <c r="B606" s="51">
        <v>70.45</v>
      </c>
      <c r="C606" s="52"/>
      <c r="D606" s="2" t="s">
        <v>1349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22</v>
      </c>
      <c r="N606" s="57" t="s">
        <v>22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1349</v>
      </c>
      <c r="AA606">
        <v>600</v>
      </c>
    </row>
    <row r="607" spans="1:27" x14ac:dyDescent="0.25">
      <c r="A607" s="1" t="s">
        <v>1336</v>
      </c>
      <c r="B607" s="51">
        <v>95.2</v>
      </c>
      <c r="C607" s="52"/>
      <c r="D607" s="2" t="s">
        <v>1334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22</v>
      </c>
      <c r="N607" s="57" t="s">
        <v>22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1334</v>
      </c>
      <c r="AA607">
        <v>601</v>
      </c>
    </row>
    <row r="608" spans="1:27" x14ac:dyDescent="0.25">
      <c r="A608" s="1" t="s">
        <v>1367</v>
      </c>
      <c r="B608" s="51">
        <v>8.5500000000000007</v>
      </c>
      <c r="C608" s="52"/>
      <c r="D608" s="75" t="s">
        <v>1365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22</v>
      </c>
      <c r="N608" s="57" t="s">
        <v>22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1365</v>
      </c>
      <c r="AA608">
        <v>602</v>
      </c>
    </row>
    <row r="609" spans="1:27" x14ac:dyDescent="0.25">
      <c r="A609" s="1" t="s">
        <v>1371</v>
      </c>
      <c r="B609" s="51">
        <v>10.050000000000001</v>
      </c>
      <c r="C609" s="52"/>
      <c r="D609" s="75" t="s">
        <v>1369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22</v>
      </c>
      <c r="N609" s="57" t="s">
        <v>22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1369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3763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1374</v>
      </c>
      <c r="B612" s="51">
        <v>107.35000000000001</v>
      </c>
      <c r="C612" s="52"/>
      <c r="D612" s="2" t="s">
        <v>1372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22</v>
      </c>
      <c r="N612" s="57" t="s">
        <v>22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1372</v>
      </c>
      <c r="AA612">
        <v>606</v>
      </c>
    </row>
    <row r="613" spans="1:27" x14ac:dyDescent="0.25">
      <c r="A613" s="1" t="s">
        <v>1377</v>
      </c>
      <c r="B613" s="51">
        <v>14.450000000000001</v>
      </c>
      <c r="C613" s="52"/>
      <c r="D613" s="75" t="s">
        <v>1375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22</v>
      </c>
      <c r="N613" s="57" t="s">
        <v>22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1375</v>
      </c>
      <c r="AA613">
        <v>607</v>
      </c>
    </row>
    <row r="614" spans="1:27" x14ac:dyDescent="0.25">
      <c r="A614" s="24" t="s">
        <v>3764</v>
      </c>
      <c r="B614" s="25" t="s">
        <v>3624</v>
      </c>
      <c r="C614" s="26"/>
      <c r="D614" s="27" t="s">
        <v>3625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3765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1150</v>
      </c>
      <c r="B616" s="51">
        <v>46.35</v>
      </c>
      <c r="C616" s="122"/>
      <c r="D616" s="123" t="s">
        <v>1149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3766</v>
      </c>
      <c r="M616" s="57" t="s">
        <v>22</v>
      </c>
      <c r="N616" s="57" t="s">
        <v>22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1149</v>
      </c>
      <c r="AA616">
        <v>610</v>
      </c>
    </row>
    <row r="617" spans="1:27" x14ac:dyDescent="0.25">
      <c r="A617" s="145" t="s">
        <v>1153</v>
      </c>
      <c r="B617" s="51">
        <v>51</v>
      </c>
      <c r="C617" s="122"/>
      <c r="D617" s="123" t="s">
        <v>1151</v>
      </c>
      <c r="E617" s="134"/>
      <c r="F617" s="125"/>
      <c r="G617" s="126"/>
      <c r="H617" s="127"/>
      <c r="I617" s="125"/>
      <c r="J617" s="133"/>
      <c r="K617" s="125"/>
      <c r="L617" s="146" t="s">
        <v>3767</v>
      </c>
      <c r="M617" s="57" t="s">
        <v>22</v>
      </c>
      <c r="N617" s="57" t="s">
        <v>22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1151</v>
      </c>
      <c r="AA617">
        <v>611</v>
      </c>
    </row>
    <row r="618" spans="1:27" x14ac:dyDescent="0.25">
      <c r="A618" s="145" t="s">
        <v>1170</v>
      </c>
      <c r="B618" s="51">
        <v>63.7</v>
      </c>
      <c r="C618" s="122"/>
      <c r="D618" s="123" t="s">
        <v>1168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3768</v>
      </c>
      <c r="M618" s="57" t="s">
        <v>22</v>
      </c>
      <c r="N618" s="57" t="s">
        <v>22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1168</v>
      </c>
      <c r="AA618">
        <v>612</v>
      </c>
    </row>
    <row r="619" spans="1:27" x14ac:dyDescent="0.25">
      <c r="A619" s="66" t="s">
        <v>1352</v>
      </c>
      <c r="B619" s="51">
        <v>68.7</v>
      </c>
      <c r="C619" s="52"/>
      <c r="D619" s="2" t="s">
        <v>1351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22</v>
      </c>
      <c r="N619" s="57" t="s">
        <v>22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1351</v>
      </c>
      <c r="AA619">
        <v>613</v>
      </c>
    </row>
    <row r="620" spans="1:27" x14ac:dyDescent="0.25">
      <c r="A620" s="66" t="s">
        <v>1354</v>
      </c>
      <c r="B620" s="51">
        <v>78.850000000000009</v>
      </c>
      <c r="C620" s="52"/>
      <c r="D620" s="148" t="s">
        <v>1353</v>
      </c>
      <c r="E620" s="53"/>
      <c r="G620" s="54"/>
      <c r="J620" s="63"/>
      <c r="L620" s="56"/>
      <c r="M620" s="57" t="s">
        <v>22</v>
      </c>
      <c r="N620" s="57" t="s">
        <v>22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1353</v>
      </c>
      <c r="AA620">
        <v>614</v>
      </c>
    </row>
    <row r="621" spans="1:27" x14ac:dyDescent="0.25">
      <c r="A621" s="149" t="s">
        <v>3769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1357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1356</v>
      </c>
      <c r="B624" s="51">
        <v>53.050000000000004</v>
      </c>
      <c r="C624" s="52"/>
      <c r="D624" s="2" t="s">
        <v>1355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22</v>
      </c>
      <c r="N624" s="57" t="s">
        <v>22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1355</v>
      </c>
      <c r="AA624">
        <v>618</v>
      </c>
    </row>
    <row r="625" spans="1:27" x14ac:dyDescent="0.25">
      <c r="A625" s="1" t="s">
        <v>1360</v>
      </c>
      <c r="B625" s="51">
        <v>98.15</v>
      </c>
      <c r="C625" s="52"/>
      <c r="D625" s="2" t="s">
        <v>1358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22</v>
      </c>
      <c r="N625" s="57" t="s">
        <v>22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1358</v>
      </c>
      <c r="AA625">
        <v>619</v>
      </c>
    </row>
    <row r="626" spans="1:27" x14ac:dyDescent="0.25">
      <c r="A626" s="1" t="s">
        <v>1362</v>
      </c>
      <c r="B626" s="51">
        <v>18.600000000000001</v>
      </c>
      <c r="C626" s="52"/>
      <c r="D626" s="2" t="s">
        <v>1361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22</v>
      </c>
      <c r="N626" s="57" t="s">
        <v>22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1361</v>
      </c>
      <c r="AA626">
        <v>620</v>
      </c>
    </row>
    <row r="627" spans="1:27" x14ac:dyDescent="0.25">
      <c r="A627" s="1" t="s">
        <v>1364</v>
      </c>
      <c r="B627" s="51">
        <v>21.25</v>
      </c>
      <c r="C627" s="52"/>
      <c r="D627" s="2" t="s">
        <v>1363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22</v>
      </c>
      <c r="N627" s="57" t="s">
        <v>22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1363</v>
      </c>
      <c r="AA627">
        <v>621</v>
      </c>
    </row>
    <row r="628" spans="1:27" x14ac:dyDescent="0.25">
      <c r="A628" s="24" t="s">
        <v>1660</v>
      </c>
      <c r="B628" s="25" t="s">
        <v>3624</v>
      </c>
      <c r="C628" s="26"/>
      <c r="D628" s="27" t="s">
        <v>3625</v>
      </c>
      <c r="E628" s="28"/>
      <c r="G628" s="54" t="s">
        <v>22</v>
      </c>
      <c r="H628" s="23" t="s">
        <v>22</v>
      </c>
      <c r="J628" s="17" t="s">
        <v>22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1680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1679</v>
      </c>
      <c r="B630" s="51">
        <v>22.400000000000002</v>
      </c>
      <c r="C630" s="52"/>
      <c r="D630" s="2" t="s">
        <v>1677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22</v>
      </c>
      <c r="N630" s="57" t="s">
        <v>22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1677</v>
      </c>
      <c r="AA630">
        <v>624</v>
      </c>
    </row>
    <row r="631" spans="1:27" x14ac:dyDescent="0.25">
      <c r="A631" s="1" t="s">
        <v>1683</v>
      </c>
      <c r="B631" s="51">
        <v>69.3</v>
      </c>
      <c r="C631" s="52"/>
      <c r="D631" s="2" t="s">
        <v>1681</v>
      </c>
      <c r="E631" s="46"/>
      <c r="G631" s="54"/>
      <c r="J631" s="63"/>
      <c r="L631" s="56"/>
      <c r="M631" s="57" t="s">
        <v>22</v>
      </c>
      <c r="N631" s="57" t="s">
        <v>22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1681</v>
      </c>
      <c r="AA631">
        <v>625</v>
      </c>
    </row>
    <row r="632" spans="1:27" x14ac:dyDescent="0.25">
      <c r="A632" s="1" t="s">
        <v>1686</v>
      </c>
      <c r="B632" s="51">
        <v>27.75</v>
      </c>
      <c r="C632" s="52"/>
      <c r="D632" s="2" t="s">
        <v>1684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22</v>
      </c>
      <c r="N632" s="57" t="s">
        <v>22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1684</v>
      </c>
      <c r="AA632">
        <v>626</v>
      </c>
    </row>
    <row r="633" spans="1:27" x14ac:dyDescent="0.25">
      <c r="A633" s="1" t="s">
        <v>1689</v>
      </c>
      <c r="B633" s="51">
        <v>22.75</v>
      </c>
      <c r="C633" s="52"/>
      <c r="D633" s="2" t="s">
        <v>1687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22</v>
      </c>
      <c r="N633" s="57" t="s">
        <v>22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1687</v>
      </c>
      <c r="AA633">
        <v>627</v>
      </c>
    </row>
    <row r="634" spans="1:27" ht="18" x14ac:dyDescent="0.25">
      <c r="A634" s="1" t="s">
        <v>1692</v>
      </c>
      <c r="B634" s="51">
        <v>24</v>
      </c>
      <c r="C634" s="52"/>
      <c r="D634" s="2" t="s">
        <v>1690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22</v>
      </c>
      <c r="N634" s="57" t="s">
        <v>22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1690</v>
      </c>
      <c r="AA634">
        <v>628</v>
      </c>
    </row>
    <row r="635" spans="1:27" x14ac:dyDescent="0.25">
      <c r="A635" s="1" t="s">
        <v>1695</v>
      </c>
      <c r="B635" s="51">
        <v>43.95</v>
      </c>
      <c r="C635" s="52"/>
      <c r="D635" s="2" t="s">
        <v>1693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22</v>
      </c>
      <c r="N635" s="57" t="s">
        <v>22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1693</v>
      </c>
      <c r="AA635">
        <v>629</v>
      </c>
    </row>
    <row r="636" spans="1:27" x14ac:dyDescent="0.25">
      <c r="A636" s="1" t="s">
        <v>1698</v>
      </c>
      <c r="B636" s="51">
        <v>35.700000000000003</v>
      </c>
      <c r="C636" s="52"/>
      <c r="D636" s="2" t="s">
        <v>1696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22</v>
      </c>
      <c r="N636" s="57" t="s">
        <v>22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1696</v>
      </c>
      <c r="AA636">
        <v>630</v>
      </c>
    </row>
    <row r="637" spans="1:27" x14ac:dyDescent="0.25">
      <c r="A637" s="1" t="s">
        <v>1700</v>
      </c>
      <c r="B637" s="51">
        <v>45.050000000000004</v>
      </c>
      <c r="C637" s="52"/>
      <c r="D637" s="69" t="s">
        <v>1699</v>
      </c>
      <c r="E637" s="53"/>
      <c r="G637" s="54"/>
      <c r="J637" s="63"/>
      <c r="L637" s="56"/>
      <c r="M637" s="57" t="s">
        <v>22</v>
      </c>
      <c r="N637" s="57" t="s">
        <v>22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22</v>
      </c>
      <c r="Z637" s="2" t="s">
        <v>1699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1704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1703</v>
      </c>
      <c r="B640" s="51">
        <v>14.450000000000001</v>
      </c>
      <c r="C640" s="52"/>
      <c r="D640" s="2" t="s">
        <v>1701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22</v>
      </c>
      <c r="N640" s="57" t="s">
        <v>22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1701</v>
      </c>
      <c r="AA640">
        <v>634</v>
      </c>
    </row>
    <row r="641" spans="1:27" x14ac:dyDescent="0.25">
      <c r="A641" s="1" t="s">
        <v>1707</v>
      </c>
      <c r="B641" s="51">
        <v>23.900000000000002</v>
      </c>
      <c r="C641" s="52"/>
      <c r="D641" s="2" t="s">
        <v>1705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22</v>
      </c>
      <c r="N641" s="57" t="s">
        <v>22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1705</v>
      </c>
      <c r="AA641">
        <v>635</v>
      </c>
    </row>
    <row r="642" spans="1:27" x14ac:dyDescent="0.25">
      <c r="A642" s="1" t="s">
        <v>1709</v>
      </c>
      <c r="B642" s="51">
        <v>18.900000000000002</v>
      </c>
      <c r="C642" s="52"/>
      <c r="D642" s="2" t="s">
        <v>1708</v>
      </c>
      <c r="E642" s="53"/>
      <c r="G642" s="54"/>
      <c r="J642" s="63"/>
      <c r="L642" s="56"/>
      <c r="M642" s="57" t="s">
        <v>22</v>
      </c>
      <c r="N642" s="57" t="s">
        <v>22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1708</v>
      </c>
      <c r="AA642">
        <v>636</v>
      </c>
    </row>
    <row r="643" spans="1:27" x14ac:dyDescent="0.25">
      <c r="A643" s="1" t="s">
        <v>1712</v>
      </c>
      <c r="B643" s="51">
        <v>57.2</v>
      </c>
      <c r="C643" s="52"/>
      <c r="D643" s="2" t="s">
        <v>1710</v>
      </c>
      <c r="E643" s="53"/>
      <c r="G643" s="54"/>
      <c r="J643" s="63"/>
      <c r="L643" s="56"/>
      <c r="M643" s="57" t="s">
        <v>22</v>
      </c>
      <c r="N643" s="57" t="s">
        <v>22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22</v>
      </c>
      <c r="Z643" s="2" t="s">
        <v>1710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1715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1714</v>
      </c>
      <c r="B646" s="51">
        <v>28.400000000000002</v>
      </c>
      <c r="C646" s="52"/>
      <c r="D646" s="2" t="s">
        <v>1713</v>
      </c>
      <c r="E646" s="53"/>
      <c r="G646" s="54"/>
      <c r="J646" s="63"/>
      <c r="L646" s="56"/>
      <c r="M646" s="57" t="s">
        <v>22</v>
      </c>
      <c r="N646" s="57" t="s">
        <v>22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22</v>
      </c>
      <c r="Z646" s="2" t="s">
        <v>1713</v>
      </c>
      <c r="AA646">
        <v>640</v>
      </c>
    </row>
    <row r="647" spans="1:27" ht="18" x14ac:dyDescent="0.25">
      <c r="A647" s="66" t="s">
        <v>1718</v>
      </c>
      <c r="B647" s="51">
        <v>23.900000000000002</v>
      </c>
      <c r="C647" s="52"/>
      <c r="D647" s="2" t="s">
        <v>1716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22</v>
      </c>
      <c r="N647" s="57" t="s">
        <v>22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1716</v>
      </c>
      <c r="AA647">
        <v>641</v>
      </c>
    </row>
    <row r="648" spans="1:27" ht="18" x14ac:dyDescent="0.25">
      <c r="A648" s="96" t="s">
        <v>3770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1721</v>
      </c>
      <c r="B649" s="51">
        <v>7.4</v>
      </c>
      <c r="C649" s="52"/>
      <c r="D649" s="2" t="s">
        <v>1719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22</v>
      </c>
      <c r="N649" s="57" t="s">
        <v>22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1637</v>
      </c>
      <c r="Z649" s="2" t="s">
        <v>1719</v>
      </c>
      <c r="AA649">
        <v>643</v>
      </c>
    </row>
    <row r="650" spans="1:27" x14ac:dyDescent="0.25">
      <c r="A650" s="96" t="s">
        <v>3771</v>
      </c>
      <c r="B650" s="51"/>
      <c r="C650" s="52"/>
      <c r="E650" s="53"/>
      <c r="G650" s="54" t="s">
        <v>22</v>
      </c>
      <c r="H650" s="23" t="s">
        <v>22</v>
      </c>
      <c r="J650" s="17" t="s">
        <v>22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3772</v>
      </c>
      <c r="B651" s="25" t="s">
        <v>3624</v>
      </c>
      <c r="C651" s="26"/>
      <c r="D651" s="27" t="s">
        <v>3625</v>
      </c>
      <c r="E651" s="28"/>
      <c r="G651" s="54" t="s">
        <v>22</v>
      </c>
      <c r="H651" s="23" t="s">
        <v>22</v>
      </c>
      <c r="J651" s="17" t="s">
        <v>22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3773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1986</v>
      </c>
      <c r="B653" s="51">
        <v>64.850000000000009</v>
      </c>
      <c r="C653" s="52"/>
      <c r="D653" s="2" t="s">
        <v>1984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22</v>
      </c>
      <c r="N653" s="57" t="s">
        <v>22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1984</v>
      </c>
      <c r="AA653">
        <v>647</v>
      </c>
    </row>
    <row r="654" spans="1:27" ht="18" x14ac:dyDescent="0.25">
      <c r="A654" s="1" t="s">
        <v>1989</v>
      </c>
      <c r="B654" s="51">
        <v>64.850000000000009</v>
      </c>
      <c r="C654" s="52"/>
      <c r="D654" s="2" t="s">
        <v>1987</v>
      </c>
      <c r="E654" s="70"/>
      <c r="G654" s="18"/>
      <c r="H654" s="18"/>
      <c r="J654" s="55">
        <v>51.5</v>
      </c>
      <c r="L654" s="56"/>
      <c r="M654" s="57" t="s">
        <v>22</v>
      </c>
      <c r="N654" s="57" t="s">
        <v>22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1987</v>
      </c>
      <c r="AA654">
        <v>648</v>
      </c>
    </row>
    <row r="655" spans="1:27" x14ac:dyDescent="0.25">
      <c r="A655" s="101" t="s">
        <v>3774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1992</v>
      </c>
      <c r="B656" s="51">
        <v>74</v>
      </c>
      <c r="C656" s="52"/>
      <c r="D656" s="2" t="s">
        <v>1990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22</v>
      </c>
      <c r="N656" s="57" t="s">
        <v>22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1990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3775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1995</v>
      </c>
      <c r="B659" s="51">
        <v>62.25</v>
      </c>
      <c r="C659" s="52"/>
      <c r="D659" s="2" t="s">
        <v>1993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22</v>
      </c>
      <c r="N659" s="57" t="s">
        <v>22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1993</v>
      </c>
      <c r="AA659">
        <v>653</v>
      </c>
    </row>
    <row r="660" spans="1:27" x14ac:dyDescent="0.25">
      <c r="A660" s="66" t="s">
        <v>1998</v>
      </c>
      <c r="B660" s="51">
        <v>136.20000000000002</v>
      </c>
      <c r="C660" s="52"/>
      <c r="D660" s="2" t="s">
        <v>1996</v>
      </c>
      <c r="E660" s="46"/>
      <c r="G660" s="54"/>
      <c r="J660" s="73"/>
      <c r="L660" s="56"/>
      <c r="M660" s="57" t="s">
        <v>22</v>
      </c>
      <c r="N660" s="57" t="s">
        <v>22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1996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3776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2001</v>
      </c>
      <c r="B663" s="51">
        <v>143.25</v>
      </c>
      <c r="C663" s="52"/>
      <c r="D663" s="2" t="s">
        <v>1999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22</v>
      </c>
      <c r="N663" s="57" t="s">
        <v>22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1999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3777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2004</v>
      </c>
      <c r="B666" s="51">
        <v>17.400000000000002</v>
      </c>
      <c r="C666" s="52"/>
      <c r="D666" s="75" t="s">
        <v>2002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22</v>
      </c>
      <c r="N666" s="57" t="s">
        <v>22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2002</v>
      </c>
      <c r="AA666">
        <v>660</v>
      </c>
    </row>
    <row r="667" spans="1:27" x14ac:dyDescent="0.25">
      <c r="A667" s="96" t="s">
        <v>3778</v>
      </c>
      <c r="B667" s="51"/>
      <c r="C667" s="52"/>
      <c r="E667" s="53"/>
      <c r="G667" s="54" t="s">
        <v>22</v>
      </c>
      <c r="H667" s="23" t="s">
        <v>22</v>
      </c>
      <c r="J667" s="17" t="s">
        <v>22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3779</v>
      </c>
      <c r="B668" s="25" t="s">
        <v>3624</v>
      </c>
      <c r="C668" s="26"/>
      <c r="D668" s="27" t="s">
        <v>3625</v>
      </c>
      <c r="E668" s="28"/>
      <c r="G668" s="54" t="s">
        <v>22</v>
      </c>
      <c r="H668" s="23" t="s">
        <v>22</v>
      </c>
      <c r="J668" s="17" t="s">
        <v>22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1878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1904</v>
      </c>
      <c r="B670" s="51">
        <v>70.45</v>
      </c>
      <c r="C670" s="52"/>
      <c r="D670" s="2" t="s">
        <v>1903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22</v>
      </c>
      <c r="N670" s="57" t="s">
        <v>22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1903</v>
      </c>
      <c r="AA670">
        <v>664</v>
      </c>
    </row>
    <row r="671" spans="1:27" x14ac:dyDescent="0.25">
      <c r="A671" s="151" t="s">
        <v>1906</v>
      </c>
      <c r="B671" s="51">
        <v>141.5</v>
      </c>
      <c r="C671" s="52"/>
      <c r="D671" s="69" t="s">
        <v>1905</v>
      </c>
      <c r="E671" s="53"/>
      <c r="G671" s="54"/>
      <c r="J671" s="63"/>
      <c r="L671" s="56"/>
      <c r="M671" s="57" t="s">
        <v>22</v>
      </c>
      <c r="N671" s="57" t="s">
        <v>22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22</v>
      </c>
      <c r="Z671" s="2" t="s">
        <v>1905</v>
      </c>
      <c r="AA671">
        <v>665</v>
      </c>
    </row>
    <row r="672" spans="1:27" x14ac:dyDescent="0.25">
      <c r="A672" s="97" t="s">
        <v>1908</v>
      </c>
      <c r="B672" s="51">
        <v>117.95</v>
      </c>
      <c r="C672" s="52"/>
      <c r="D672" s="2" t="s">
        <v>1907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22</v>
      </c>
      <c r="N672" s="57" t="s">
        <v>22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1907</v>
      </c>
      <c r="AA672">
        <v>666</v>
      </c>
    </row>
    <row r="673" spans="1:27" x14ac:dyDescent="0.25">
      <c r="A673" s="97" t="s">
        <v>1910</v>
      </c>
      <c r="B673" s="51">
        <v>210.8</v>
      </c>
      <c r="C673" s="52"/>
      <c r="D673" s="2" t="s">
        <v>1909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22</v>
      </c>
      <c r="N673" s="57" t="s">
        <v>22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1909</v>
      </c>
      <c r="AA673">
        <v>667</v>
      </c>
    </row>
    <row r="674" spans="1:27" x14ac:dyDescent="0.25">
      <c r="A674" s="1" t="s">
        <v>1913</v>
      </c>
      <c r="B674" s="51">
        <v>262.35000000000002</v>
      </c>
      <c r="C674" s="52"/>
      <c r="D674" s="2" t="s">
        <v>1912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22</v>
      </c>
      <c r="N674" s="57" t="s">
        <v>22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1912</v>
      </c>
      <c r="AA674">
        <v>668</v>
      </c>
    </row>
    <row r="675" spans="1:27" x14ac:dyDescent="0.25">
      <c r="A675" s="1" t="s">
        <v>1915</v>
      </c>
      <c r="B675" s="51">
        <v>294.2</v>
      </c>
      <c r="C675" s="52"/>
      <c r="D675" s="2" t="s">
        <v>1914</v>
      </c>
      <c r="E675" s="53"/>
      <c r="G675" s="54"/>
      <c r="J675" s="63"/>
      <c r="L675" s="56"/>
      <c r="M675" s="57" t="s">
        <v>22</v>
      </c>
      <c r="N675" s="57" t="s">
        <v>22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22</v>
      </c>
      <c r="Z675" s="2" t="s">
        <v>1914</v>
      </c>
      <c r="AA675">
        <v>669</v>
      </c>
    </row>
    <row r="676" spans="1:27" x14ac:dyDescent="0.25">
      <c r="A676" s="1" t="s">
        <v>1919</v>
      </c>
      <c r="B676" s="51">
        <v>312.45000000000005</v>
      </c>
      <c r="C676" s="52"/>
      <c r="D676" s="2" t="s">
        <v>1918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22</v>
      </c>
      <c r="N676" s="57" t="s">
        <v>22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1918</v>
      </c>
      <c r="AA676">
        <v>670</v>
      </c>
    </row>
    <row r="677" spans="1:27" x14ac:dyDescent="0.25">
      <c r="A677" s="1" t="s">
        <v>1921</v>
      </c>
      <c r="B677" s="51">
        <v>447</v>
      </c>
      <c r="C677" s="52"/>
      <c r="D677" s="2" t="s">
        <v>1920</v>
      </c>
      <c r="E677" s="53"/>
      <c r="G677" s="54"/>
      <c r="J677" s="63"/>
      <c r="L677" s="56"/>
      <c r="M677" s="57" t="s">
        <v>22</v>
      </c>
      <c r="N677" s="57" t="s">
        <v>22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22</v>
      </c>
      <c r="Z677" s="2" t="s">
        <v>1920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3780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1924</v>
      </c>
      <c r="B680" s="51">
        <v>205.55</v>
      </c>
      <c r="C680" s="52"/>
      <c r="D680" s="2" t="s">
        <v>1922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22</v>
      </c>
      <c r="N680" s="57" t="s">
        <v>22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1922</v>
      </c>
      <c r="AA680">
        <v>674</v>
      </c>
    </row>
    <row r="681" spans="1:27" x14ac:dyDescent="0.25">
      <c r="A681" s="1" t="s">
        <v>1927</v>
      </c>
      <c r="B681" s="51">
        <v>31.55</v>
      </c>
      <c r="C681" s="52"/>
      <c r="D681" s="2" t="s">
        <v>1925</v>
      </c>
      <c r="E681" s="53"/>
      <c r="G681" s="54"/>
      <c r="J681" s="63"/>
      <c r="L681" s="56"/>
      <c r="M681" s="57" t="s">
        <v>22</v>
      </c>
      <c r="N681" s="57" t="s">
        <v>22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1925</v>
      </c>
      <c r="AA681">
        <v>675</v>
      </c>
    </row>
    <row r="682" spans="1:27" x14ac:dyDescent="0.25">
      <c r="A682" s="1" t="s">
        <v>1929</v>
      </c>
      <c r="B682" s="51">
        <v>43.95</v>
      </c>
      <c r="C682" s="52"/>
      <c r="D682" s="2" t="s">
        <v>1928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22</v>
      </c>
      <c r="N682" s="57" t="s">
        <v>22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1928</v>
      </c>
      <c r="AA682">
        <v>676</v>
      </c>
    </row>
    <row r="683" spans="1:27" x14ac:dyDescent="0.25">
      <c r="A683" s="96" t="s">
        <v>3781</v>
      </c>
      <c r="B683" s="51"/>
      <c r="C683" s="52"/>
      <c r="E683" s="53"/>
      <c r="G683" s="54" t="s">
        <v>22</v>
      </c>
      <c r="H683" s="23" t="s">
        <v>22</v>
      </c>
      <c r="J683" s="63" t="s">
        <v>22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1898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1931</v>
      </c>
      <c r="B686" s="51">
        <v>38.700000000000003</v>
      </c>
      <c r="C686" s="52"/>
      <c r="D686" s="2" t="s">
        <v>1930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22</v>
      </c>
      <c r="N686" s="57" t="s">
        <v>22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1930</v>
      </c>
      <c r="AA686">
        <v>680</v>
      </c>
    </row>
    <row r="687" spans="1:27" ht="18" x14ac:dyDescent="0.25">
      <c r="A687" s="97" t="s">
        <v>1933</v>
      </c>
      <c r="B687" s="51">
        <v>14.450000000000001</v>
      </c>
      <c r="C687" s="52"/>
      <c r="D687" s="2" t="s">
        <v>1932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22</v>
      </c>
      <c r="N687" s="57" t="s">
        <v>22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1932</v>
      </c>
      <c r="AA687">
        <v>681</v>
      </c>
    </row>
    <row r="688" spans="1:27" x14ac:dyDescent="0.25">
      <c r="A688" s="97" t="s">
        <v>1935</v>
      </c>
      <c r="B688" s="51">
        <v>14.450000000000001</v>
      </c>
      <c r="C688" s="52"/>
      <c r="D688" s="2" t="s">
        <v>1934</v>
      </c>
      <c r="E688" s="53"/>
      <c r="G688" s="54"/>
      <c r="J688" s="63"/>
      <c r="L688" s="56"/>
      <c r="M688" s="57" t="s">
        <v>22</v>
      </c>
      <c r="N688" s="57" t="s">
        <v>22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1934</v>
      </c>
      <c r="AA688">
        <v>682</v>
      </c>
    </row>
    <row r="689" spans="1:27" x14ac:dyDescent="0.25">
      <c r="A689" s="97" t="s">
        <v>1938</v>
      </c>
      <c r="B689" s="51">
        <v>27.75</v>
      </c>
      <c r="C689" s="52"/>
      <c r="D689" s="2" t="s">
        <v>1936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22</v>
      </c>
      <c r="N689" s="57" t="s">
        <v>22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1936</v>
      </c>
      <c r="AA689">
        <v>683</v>
      </c>
    </row>
    <row r="690" spans="1:27" x14ac:dyDescent="0.25">
      <c r="A690" s="97" t="s">
        <v>1941</v>
      </c>
      <c r="B690" s="51">
        <v>54.300000000000004</v>
      </c>
      <c r="C690" s="52"/>
      <c r="D690" s="2" t="s">
        <v>1939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22</v>
      </c>
      <c r="N690" s="57" t="s">
        <v>22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1939</v>
      </c>
      <c r="AA690">
        <v>684</v>
      </c>
    </row>
    <row r="691" spans="1:27" x14ac:dyDescent="0.25">
      <c r="A691" s="97" t="s">
        <v>1944</v>
      </c>
      <c r="B691" s="51">
        <v>66.350000000000009</v>
      </c>
      <c r="C691" s="52"/>
      <c r="D691" s="2" t="s">
        <v>1942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22</v>
      </c>
      <c r="N691" s="57" t="s">
        <v>22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1942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3782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1947</v>
      </c>
      <c r="B694" s="51">
        <v>5.6000000000000005</v>
      </c>
      <c r="C694" s="52"/>
      <c r="D694" s="75" t="s">
        <v>1945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22</v>
      </c>
      <c r="N694" s="57" t="s">
        <v>22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1945</v>
      </c>
      <c r="AA694">
        <v>688</v>
      </c>
    </row>
    <row r="695" spans="1:27" x14ac:dyDescent="0.25">
      <c r="A695" s="97" t="s">
        <v>1950</v>
      </c>
      <c r="B695" s="51">
        <v>14</v>
      </c>
      <c r="C695" s="52"/>
      <c r="D695" s="2" t="s">
        <v>1948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22</v>
      </c>
      <c r="N695" s="57" t="s">
        <v>22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1948</v>
      </c>
      <c r="AA695">
        <v>689</v>
      </c>
    </row>
    <row r="696" spans="1:27" x14ac:dyDescent="0.25">
      <c r="A696" s="97" t="s">
        <v>1952</v>
      </c>
      <c r="B696" s="51">
        <v>5.3500000000000005</v>
      </c>
      <c r="C696" s="52"/>
      <c r="D696" s="75" t="s">
        <v>1951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22</v>
      </c>
      <c r="N696" s="57" t="s">
        <v>22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1951</v>
      </c>
      <c r="AA696">
        <v>690</v>
      </c>
    </row>
    <row r="697" spans="1:27" x14ac:dyDescent="0.25">
      <c r="A697" s="97" t="s">
        <v>1955</v>
      </c>
      <c r="B697" s="51">
        <v>23.900000000000002</v>
      </c>
      <c r="C697" s="52"/>
      <c r="D697" s="75" t="s">
        <v>1953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22</v>
      </c>
      <c r="N697" s="57" t="s">
        <v>22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1953</v>
      </c>
      <c r="AA697">
        <v>691</v>
      </c>
    </row>
    <row r="698" spans="1:27" x14ac:dyDescent="0.25">
      <c r="A698" s="97" t="s">
        <v>1958</v>
      </c>
      <c r="B698" s="51">
        <v>13.9</v>
      </c>
      <c r="C698" s="52"/>
      <c r="D698" s="75" t="s">
        <v>1956</v>
      </c>
      <c r="E698" s="46"/>
      <c r="G698" s="54"/>
      <c r="J698" s="63"/>
      <c r="L698" s="56"/>
      <c r="M698" s="57" t="s">
        <v>22</v>
      </c>
      <c r="N698" s="57" t="s">
        <v>22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1956</v>
      </c>
      <c r="AA698">
        <v>692</v>
      </c>
    </row>
    <row r="699" spans="1:27" x14ac:dyDescent="0.25">
      <c r="A699" s="97" t="s">
        <v>1960</v>
      </c>
      <c r="B699" s="51">
        <v>2.7</v>
      </c>
      <c r="C699" s="52"/>
      <c r="D699" s="69" t="s">
        <v>1959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22</v>
      </c>
      <c r="N699" s="57" t="s">
        <v>22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22</v>
      </c>
      <c r="Z699" s="2" t="s">
        <v>1959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3783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1963</v>
      </c>
      <c r="B702" s="51">
        <v>14.450000000000001</v>
      </c>
      <c r="C702" s="52"/>
      <c r="D702" s="2" t="s">
        <v>1961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22</v>
      </c>
      <c r="N702" s="57" t="s">
        <v>22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1961</v>
      </c>
      <c r="AA702">
        <v>696</v>
      </c>
    </row>
    <row r="703" spans="1:27" x14ac:dyDescent="0.25">
      <c r="A703" s="1" t="s">
        <v>1966</v>
      </c>
      <c r="B703" s="51">
        <v>33.050000000000004</v>
      </c>
      <c r="C703" s="52"/>
      <c r="D703" s="2" t="s">
        <v>1964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22</v>
      </c>
      <c r="N703" s="57" t="s">
        <v>22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1964</v>
      </c>
      <c r="AA703">
        <v>697</v>
      </c>
    </row>
    <row r="704" spans="1:27" x14ac:dyDescent="0.25">
      <c r="A704" s="1" t="s">
        <v>1969</v>
      </c>
      <c r="B704" s="51">
        <v>33.050000000000004</v>
      </c>
      <c r="C704" s="52"/>
      <c r="D704" s="2" t="s">
        <v>1967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22</v>
      </c>
      <c r="N704" s="57" t="s">
        <v>22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1967</v>
      </c>
      <c r="AA704">
        <v>698</v>
      </c>
    </row>
    <row r="705" spans="1:27" x14ac:dyDescent="0.25">
      <c r="A705" s="1" t="s">
        <v>1972</v>
      </c>
      <c r="B705" s="51">
        <v>35.700000000000003</v>
      </c>
      <c r="C705" s="52"/>
      <c r="D705" s="2" t="s">
        <v>1970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22</v>
      </c>
      <c r="N705" s="57" t="s">
        <v>22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1970</v>
      </c>
      <c r="AA705">
        <v>699</v>
      </c>
    </row>
    <row r="706" spans="1:27" x14ac:dyDescent="0.25">
      <c r="A706" s="1" t="s">
        <v>1975</v>
      </c>
      <c r="B706" s="51">
        <v>33.050000000000004</v>
      </c>
      <c r="C706" s="52"/>
      <c r="D706" s="2" t="s">
        <v>1973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22</v>
      </c>
      <c r="N706" s="57" t="s">
        <v>22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1973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3784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466</v>
      </c>
      <c r="B709" s="51">
        <v>219.9</v>
      </c>
      <c r="C709" s="122"/>
      <c r="D709" s="123" t="s">
        <v>465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3785</v>
      </c>
      <c r="M709" s="57" t="s">
        <v>22</v>
      </c>
      <c r="N709" s="57" t="s">
        <v>22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465</v>
      </c>
      <c r="AA709">
        <v>703</v>
      </c>
    </row>
    <row r="710" spans="1:27" x14ac:dyDescent="0.25">
      <c r="A710" s="145" t="s">
        <v>3786</v>
      </c>
      <c r="B710" s="51">
        <v>90.25</v>
      </c>
      <c r="C710" s="122"/>
      <c r="D710" s="123" t="s">
        <v>475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3787</v>
      </c>
      <c r="M710" s="57" t="s">
        <v>22</v>
      </c>
      <c r="N710" s="57" t="s">
        <v>22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475</v>
      </c>
      <c r="AA710">
        <v>704</v>
      </c>
    </row>
    <row r="711" spans="1:27" x14ac:dyDescent="0.25">
      <c r="A711" t="s">
        <v>471</v>
      </c>
      <c r="B711" s="51">
        <v>312.90000000000003</v>
      </c>
      <c r="C711" s="122"/>
      <c r="D711" s="148" t="s">
        <v>470</v>
      </c>
      <c r="E711" s="124"/>
      <c r="F711" s="125"/>
      <c r="G711" s="126"/>
      <c r="H711" s="127"/>
      <c r="I711" s="125"/>
      <c r="J711" s="133"/>
      <c r="K711" s="125"/>
      <c r="L711" s="111" t="s">
        <v>3788</v>
      </c>
      <c r="M711" s="57" t="s">
        <v>22</v>
      </c>
      <c r="N711" s="57" t="s">
        <v>22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22</v>
      </c>
      <c r="Y711" s="125"/>
      <c r="Z711" s="2" t="s">
        <v>470</v>
      </c>
      <c r="AA711">
        <v>705</v>
      </c>
    </row>
    <row r="712" spans="1:27" x14ac:dyDescent="0.25">
      <c r="A712" s="24" t="s">
        <v>3789</v>
      </c>
      <c r="B712" s="25" t="s">
        <v>3624</v>
      </c>
      <c r="C712" s="26"/>
      <c r="D712" s="27" t="s">
        <v>3625</v>
      </c>
      <c r="E712" s="28"/>
      <c r="G712" s="54" t="s">
        <v>22</v>
      </c>
      <c r="H712" s="23" t="s">
        <v>22</v>
      </c>
      <c r="J712" s="63" t="s">
        <v>22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2295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2294</v>
      </c>
      <c r="B714" s="51">
        <v>75.5</v>
      </c>
      <c r="C714" s="52"/>
      <c r="D714" s="2" t="s">
        <v>2293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22</v>
      </c>
      <c r="N714" s="57" t="s">
        <v>22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2293</v>
      </c>
      <c r="AA714">
        <v>708</v>
      </c>
    </row>
    <row r="715" spans="1:27" x14ac:dyDescent="0.25">
      <c r="A715" s="149" t="s">
        <v>3790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2298</v>
      </c>
      <c r="B717" s="51">
        <v>141.5</v>
      </c>
      <c r="C717" s="52"/>
      <c r="D717" s="69" t="s">
        <v>2296</v>
      </c>
      <c r="E717" s="53"/>
      <c r="G717" s="54"/>
      <c r="J717" s="63"/>
      <c r="L717" s="56"/>
      <c r="M717" s="57" t="s">
        <v>22</v>
      </c>
      <c r="N717" s="57" t="s">
        <v>22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22</v>
      </c>
      <c r="Z717" s="2" t="s">
        <v>2296</v>
      </c>
      <c r="AA717">
        <v>711</v>
      </c>
    </row>
    <row r="718" spans="1:27" x14ac:dyDescent="0.25">
      <c r="A718" s="97" t="s">
        <v>2301</v>
      </c>
      <c r="B718" s="51">
        <v>149.20000000000002</v>
      </c>
      <c r="C718" s="52"/>
      <c r="D718" s="2" t="s">
        <v>2299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22</v>
      </c>
      <c r="N718" s="57" t="s">
        <v>22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2299</v>
      </c>
      <c r="AA718">
        <v>712</v>
      </c>
    </row>
    <row r="719" spans="1:27" x14ac:dyDescent="0.25">
      <c r="A719" s="97" t="s">
        <v>2304</v>
      </c>
      <c r="B719" s="51">
        <v>11.55</v>
      </c>
      <c r="C719" s="52"/>
      <c r="D719" s="75" t="s">
        <v>2302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22</v>
      </c>
      <c r="N719" s="57" t="s">
        <v>22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2302</v>
      </c>
      <c r="AA719">
        <v>713</v>
      </c>
    </row>
    <row r="720" spans="1:27" x14ac:dyDescent="0.25">
      <c r="A720" s="97" t="s">
        <v>2307</v>
      </c>
      <c r="B720" s="51">
        <v>33.050000000000004</v>
      </c>
      <c r="C720" s="154"/>
      <c r="D720" s="75" t="s">
        <v>2305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22</v>
      </c>
      <c r="N720" s="57" t="s">
        <v>22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2305</v>
      </c>
      <c r="AA720">
        <v>714</v>
      </c>
    </row>
    <row r="721" spans="1:27" x14ac:dyDescent="0.25">
      <c r="A721" s="97" t="s">
        <v>2310</v>
      </c>
      <c r="B721" s="51">
        <v>156.25</v>
      </c>
      <c r="C721" s="52"/>
      <c r="D721" s="2" t="s">
        <v>2308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22</v>
      </c>
      <c r="N721" s="57" t="s">
        <v>22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2308</v>
      </c>
      <c r="AA721">
        <v>715</v>
      </c>
    </row>
    <row r="722" spans="1:27" x14ac:dyDescent="0.25">
      <c r="A722" s="149" t="s">
        <v>3791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3792</v>
      </c>
      <c r="B723" s="25" t="s">
        <v>3624</v>
      </c>
      <c r="C723" s="26"/>
      <c r="D723" s="27" t="s">
        <v>3625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2313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2312</v>
      </c>
      <c r="B725" s="51">
        <v>67.5</v>
      </c>
      <c r="C725" s="52"/>
      <c r="D725" s="2" t="s">
        <v>2311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22</v>
      </c>
      <c r="N725" s="57" t="s">
        <v>22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2311</v>
      </c>
      <c r="AA725">
        <v>719</v>
      </c>
    </row>
    <row r="726" spans="1:27" x14ac:dyDescent="0.25">
      <c r="A726" s="97" t="s">
        <v>2316</v>
      </c>
      <c r="B726" s="51">
        <v>181.35000000000002</v>
      </c>
      <c r="C726" s="52"/>
      <c r="D726" s="2" t="s">
        <v>2314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22</v>
      </c>
      <c r="N726" s="57" t="s">
        <v>22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2314</v>
      </c>
      <c r="AA726">
        <v>720</v>
      </c>
    </row>
    <row r="727" spans="1:27" x14ac:dyDescent="0.25">
      <c r="A727" s="97" t="s">
        <v>2318</v>
      </c>
      <c r="B727" s="51">
        <v>117.95</v>
      </c>
      <c r="C727" s="52"/>
      <c r="D727" s="2" t="s">
        <v>2317</v>
      </c>
      <c r="E727" s="46"/>
      <c r="G727" s="54"/>
      <c r="J727" s="63"/>
      <c r="L727" s="56"/>
      <c r="M727" s="57" t="s">
        <v>22</v>
      </c>
      <c r="N727" s="57" t="s">
        <v>22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2317</v>
      </c>
      <c r="AA727">
        <v>721</v>
      </c>
    </row>
    <row r="728" spans="1:27" x14ac:dyDescent="0.25">
      <c r="A728" s="149" t="s">
        <v>3793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3794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496</v>
      </c>
      <c r="B731" s="51">
        <v>51.6</v>
      </c>
      <c r="C731" s="122"/>
      <c r="D731" s="123" t="s">
        <v>495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3795</v>
      </c>
      <c r="M731" s="57" t="s">
        <v>22</v>
      </c>
      <c r="N731" s="57" t="s">
        <v>22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495</v>
      </c>
      <c r="AA731">
        <v>725</v>
      </c>
    </row>
    <row r="732" spans="1:27" x14ac:dyDescent="0.25">
      <c r="A732" s="121" t="s">
        <v>576</v>
      </c>
      <c r="B732" s="51">
        <v>56.900000000000006</v>
      </c>
      <c r="C732" s="122"/>
      <c r="D732" s="123" t="s">
        <v>574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3796</v>
      </c>
      <c r="M732" s="57" t="s">
        <v>22</v>
      </c>
      <c r="N732" s="57" t="s">
        <v>22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574</v>
      </c>
      <c r="AA732">
        <v>726</v>
      </c>
    </row>
    <row r="733" spans="1:27" x14ac:dyDescent="0.25">
      <c r="A733" s="121" t="s">
        <v>3797</v>
      </c>
      <c r="B733" s="51">
        <v>25.700000000000003</v>
      </c>
      <c r="C733" s="122"/>
      <c r="D733" s="123" t="s">
        <v>578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3798</v>
      </c>
      <c r="M733" s="57" t="s">
        <v>22</v>
      </c>
      <c r="N733" s="57" t="s">
        <v>22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578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3699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502</v>
      </c>
      <c r="B736" s="51">
        <v>55.45</v>
      </c>
      <c r="C736" s="122"/>
      <c r="D736" s="123" t="s">
        <v>501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3799</v>
      </c>
      <c r="M736" s="57" t="s">
        <v>22</v>
      </c>
      <c r="N736" s="57" t="s">
        <v>22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501</v>
      </c>
      <c r="AA736">
        <v>730</v>
      </c>
    </row>
    <row r="737" spans="1:27" x14ac:dyDescent="0.25">
      <c r="A737" s="121" t="s">
        <v>506</v>
      </c>
      <c r="B737" s="51">
        <v>66.350000000000009</v>
      </c>
      <c r="C737" s="122"/>
      <c r="D737" s="123" t="s">
        <v>505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3800</v>
      </c>
      <c r="M737" s="57" t="s">
        <v>22</v>
      </c>
      <c r="N737" s="57" t="s">
        <v>22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505</v>
      </c>
      <c r="AA737">
        <v>731</v>
      </c>
    </row>
    <row r="738" spans="1:27" x14ac:dyDescent="0.25">
      <c r="A738" s="121" t="s">
        <v>509</v>
      </c>
      <c r="B738" s="51">
        <v>80.800000000000011</v>
      </c>
      <c r="C738" s="122"/>
      <c r="D738" s="123" t="s">
        <v>508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3801</v>
      </c>
      <c r="M738" s="57" t="s">
        <v>22</v>
      </c>
      <c r="N738" s="57" t="s">
        <v>22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508</v>
      </c>
      <c r="AA738">
        <v>732</v>
      </c>
    </row>
    <row r="739" spans="1:27" x14ac:dyDescent="0.25">
      <c r="A739" s="121" t="s">
        <v>3802</v>
      </c>
      <c r="B739" s="51">
        <v>353.20000000000005</v>
      </c>
      <c r="C739" s="122"/>
      <c r="D739" s="123" t="s">
        <v>510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3803</v>
      </c>
      <c r="M739" s="57" t="s">
        <v>22</v>
      </c>
      <c r="N739" s="57" t="s">
        <v>22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510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2321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2320</v>
      </c>
      <c r="B742" s="51">
        <v>150.05000000000001</v>
      </c>
      <c r="C742" s="52"/>
      <c r="D742" s="2" t="s">
        <v>2319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22</v>
      </c>
      <c r="N742" s="57" t="s">
        <v>22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2319</v>
      </c>
      <c r="AA742">
        <v>736</v>
      </c>
    </row>
    <row r="743" spans="1:27" x14ac:dyDescent="0.25">
      <c r="A743" s="96" t="s">
        <v>3804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3805</v>
      </c>
      <c r="B744" s="25" t="s">
        <v>3624</v>
      </c>
      <c r="C744" s="26"/>
      <c r="D744" s="27" t="s">
        <v>3625</v>
      </c>
      <c r="E744" s="28"/>
      <c r="G744" s="54" t="s">
        <v>22</v>
      </c>
      <c r="H744" s="23" t="s">
        <v>22</v>
      </c>
      <c r="J744" s="17" t="s">
        <v>22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2339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2338</v>
      </c>
      <c r="B746" s="51">
        <v>77</v>
      </c>
      <c r="C746" s="52"/>
      <c r="D746" s="2" t="s">
        <v>2336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22</v>
      </c>
      <c r="N746" s="57" t="s">
        <v>22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2336</v>
      </c>
      <c r="AA746">
        <v>740</v>
      </c>
    </row>
    <row r="747" spans="1:27" x14ac:dyDescent="0.25">
      <c r="A747" s="97" t="s">
        <v>2341</v>
      </c>
      <c r="B747" s="51">
        <v>72.850000000000009</v>
      </c>
      <c r="C747" s="52"/>
      <c r="D747" s="2" t="s">
        <v>2340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22</v>
      </c>
      <c r="N747" s="57" t="s">
        <v>22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2340</v>
      </c>
      <c r="AA747">
        <v>741</v>
      </c>
    </row>
    <row r="748" spans="1:27" x14ac:dyDescent="0.25">
      <c r="A748" s="97" t="s">
        <v>2344</v>
      </c>
      <c r="B748" s="51">
        <v>31.900000000000002</v>
      </c>
      <c r="C748" s="52"/>
      <c r="D748" s="2" t="s">
        <v>2342</v>
      </c>
      <c r="E748" s="53"/>
      <c r="G748" s="54"/>
      <c r="J748" s="63"/>
      <c r="L748" s="56"/>
      <c r="M748" s="57" t="s">
        <v>22</v>
      </c>
      <c r="N748" s="57" t="s">
        <v>22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2342</v>
      </c>
      <c r="AA748">
        <v>742</v>
      </c>
    </row>
    <row r="749" spans="1:27" x14ac:dyDescent="0.25">
      <c r="A749" s="97" t="s">
        <v>2347</v>
      </c>
      <c r="B749" s="51">
        <v>214.65</v>
      </c>
      <c r="C749" s="52"/>
      <c r="D749" s="2" t="s">
        <v>2345</v>
      </c>
      <c r="E749" s="46"/>
      <c r="G749" s="54"/>
      <c r="J749" s="63"/>
      <c r="L749" s="56"/>
      <c r="M749" s="57" t="s">
        <v>22</v>
      </c>
      <c r="N749" s="57" t="s">
        <v>22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2345</v>
      </c>
      <c r="AA749">
        <v>743</v>
      </c>
    </row>
    <row r="750" spans="1:27" x14ac:dyDescent="0.25">
      <c r="A750" s="97" t="s">
        <v>2349</v>
      </c>
      <c r="B750" s="51">
        <v>78.150000000000006</v>
      </c>
      <c r="C750" s="52"/>
      <c r="D750" s="2" t="s">
        <v>2348</v>
      </c>
      <c r="E750" s="46"/>
      <c r="G750" s="54"/>
      <c r="J750" s="63"/>
      <c r="L750" s="56"/>
      <c r="M750" s="57" t="s">
        <v>22</v>
      </c>
      <c r="N750" s="57" t="s">
        <v>22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2348</v>
      </c>
      <c r="AA750">
        <v>744</v>
      </c>
    </row>
    <row r="751" spans="1:27" x14ac:dyDescent="0.25">
      <c r="A751" s="97" t="s">
        <v>2352</v>
      </c>
      <c r="B751" s="51">
        <v>113.5</v>
      </c>
      <c r="C751" s="52"/>
      <c r="D751" s="2" t="s">
        <v>2350</v>
      </c>
      <c r="E751" s="46"/>
      <c r="G751" s="54"/>
      <c r="J751" s="63"/>
      <c r="L751" s="56"/>
      <c r="M751" s="57" t="s">
        <v>22</v>
      </c>
      <c r="N751" s="57" t="s">
        <v>22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2350</v>
      </c>
      <c r="AA751">
        <v>745</v>
      </c>
    </row>
    <row r="752" spans="1:27" x14ac:dyDescent="0.25">
      <c r="A752" s="1" t="s">
        <v>2354</v>
      </c>
      <c r="B752" s="51">
        <v>33.35</v>
      </c>
      <c r="C752" s="52"/>
      <c r="D752" s="2" t="s">
        <v>2353</v>
      </c>
      <c r="E752" s="46"/>
      <c r="G752" s="54"/>
      <c r="J752" s="63"/>
      <c r="L752" s="56"/>
      <c r="M752" s="57" t="s">
        <v>22</v>
      </c>
      <c r="N752" s="57" t="s">
        <v>22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22</v>
      </c>
      <c r="Z752" s="2" t="s">
        <v>2353</v>
      </c>
      <c r="AA752">
        <v>746</v>
      </c>
    </row>
    <row r="753" spans="1:27" x14ac:dyDescent="0.25">
      <c r="A753" s="97" t="s">
        <v>2356</v>
      </c>
      <c r="B753" s="51">
        <v>116.2</v>
      </c>
      <c r="C753" s="52"/>
      <c r="D753" s="69" t="s">
        <v>2355</v>
      </c>
      <c r="E753" s="46"/>
      <c r="G753" s="54"/>
      <c r="J753" s="63"/>
      <c r="L753" s="56"/>
      <c r="M753" s="57" t="s">
        <v>22</v>
      </c>
      <c r="N753" s="57" t="s">
        <v>22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2355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3806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2358</v>
      </c>
      <c r="B756" s="51">
        <v>25.35</v>
      </c>
      <c r="C756" s="52"/>
      <c r="D756" s="2" t="s">
        <v>2357</v>
      </c>
      <c r="E756" s="46"/>
      <c r="G756" s="54"/>
      <c r="J756" s="63"/>
      <c r="L756" s="56"/>
      <c r="M756" s="57" t="s">
        <v>22</v>
      </c>
      <c r="N756" s="57" t="s">
        <v>22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2357</v>
      </c>
      <c r="AA756">
        <v>750</v>
      </c>
    </row>
    <row r="757" spans="1:27" x14ac:dyDescent="0.25">
      <c r="A757" s="97" t="s">
        <v>2361</v>
      </c>
      <c r="B757" s="51">
        <v>36.6</v>
      </c>
      <c r="C757" s="52"/>
      <c r="D757" s="2" t="s">
        <v>2360</v>
      </c>
      <c r="E757" s="46"/>
      <c r="G757" s="54"/>
      <c r="J757" s="63"/>
      <c r="L757" s="56"/>
      <c r="M757" s="57" t="s">
        <v>22</v>
      </c>
      <c r="N757" s="57" t="s">
        <v>22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2360</v>
      </c>
      <c r="AA757">
        <v>751</v>
      </c>
    </row>
    <row r="758" spans="1:27" x14ac:dyDescent="0.25">
      <c r="A758" s="97" t="s">
        <v>2363</v>
      </c>
      <c r="B758" s="51">
        <v>36.6</v>
      </c>
      <c r="C758" s="52"/>
      <c r="D758" s="2" t="s">
        <v>2362</v>
      </c>
      <c r="E758" s="46"/>
      <c r="G758" s="54"/>
      <c r="J758" s="63"/>
      <c r="L758" s="56"/>
      <c r="M758" s="57" t="s">
        <v>22</v>
      </c>
      <c r="N758" s="57" t="s">
        <v>22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2362</v>
      </c>
      <c r="AA758">
        <v>752</v>
      </c>
    </row>
    <row r="759" spans="1:27" x14ac:dyDescent="0.25">
      <c r="A759" s="97" t="s">
        <v>2365</v>
      </c>
      <c r="B759" s="51">
        <v>61.900000000000006</v>
      </c>
      <c r="C759" s="52"/>
      <c r="D759" s="2" t="s">
        <v>2364</v>
      </c>
      <c r="E759" s="46"/>
      <c r="G759" s="54"/>
      <c r="J759" s="63"/>
      <c r="L759" s="56"/>
      <c r="M759" s="57" t="s">
        <v>22</v>
      </c>
      <c r="N759" s="57" t="s">
        <v>22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2364</v>
      </c>
      <c r="AA759">
        <v>753</v>
      </c>
    </row>
    <row r="760" spans="1:27" x14ac:dyDescent="0.25">
      <c r="A760" s="149" t="s">
        <v>3807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2374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2373</v>
      </c>
      <c r="B763" s="51">
        <v>66.350000000000009</v>
      </c>
      <c r="C763" s="52"/>
      <c r="D763" s="2" t="s">
        <v>2371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22</v>
      </c>
      <c r="N763" s="57" t="s">
        <v>22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2371</v>
      </c>
      <c r="AA763">
        <v>757</v>
      </c>
    </row>
    <row r="764" spans="1:27" x14ac:dyDescent="0.25">
      <c r="A764" s="97" t="s">
        <v>2376</v>
      </c>
      <c r="B764" s="51">
        <v>49.300000000000004</v>
      </c>
      <c r="C764" s="52"/>
      <c r="D764" s="2" t="s">
        <v>2375</v>
      </c>
      <c r="E764" s="46"/>
      <c r="G764" s="54"/>
      <c r="J764" s="63"/>
      <c r="L764" s="56"/>
      <c r="M764" s="57" t="s">
        <v>22</v>
      </c>
      <c r="N764" s="57" t="s">
        <v>22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2375</v>
      </c>
      <c r="AA764">
        <v>758</v>
      </c>
    </row>
    <row r="765" spans="1:27" ht="18" x14ac:dyDescent="0.25">
      <c r="A765" s="1" t="s">
        <v>2378</v>
      </c>
      <c r="B765" s="51">
        <v>170.70000000000002</v>
      </c>
      <c r="C765" s="52"/>
      <c r="D765" s="2" t="s">
        <v>2377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22</v>
      </c>
      <c r="N765" s="57" t="s">
        <v>22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2377</v>
      </c>
      <c r="AA765">
        <v>759</v>
      </c>
    </row>
    <row r="766" spans="1:27" x14ac:dyDescent="0.25">
      <c r="A766" s="151" t="s">
        <v>2381</v>
      </c>
      <c r="B766" s="51">
        <v>211.4</v>
      </c>
      <c r="C766" s="52"/>
      <c r="D766" s="2" t="s">
        <v>2379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22</v>
      </c>
      <c r="N766" s="57" t="s">
        <v>22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2379</v>
      </c>
      <c r="AA766">
        <v>760</v>
      </c>
    </row>
    <row r="767" spans="1:27" x14ac:dyDescent="0.25">
      <c r="A767" s="97" t="s">
        <v>2384</v>
      </c>
      <c r="B767" s="51">
        <v>16.55</v>
      </c>
      <c r="C767" s="52"/>
      <c r="D767" s="2" t="s">
        <v>2382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22</v>
      </c>
      <c r="N767" s="57" t="s">
        <v>22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2382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3808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2368</v>
      </c>
      <c r="B770" s="51">
        <v>30.400000000000002</v>
      </c>
      <c r="C770" s="52"/>
      <c r="D770" s="2" t="s">
        <v>2366</v>
      </c>
      <c r="E770" s="46"/>
      <c r="G770" s="54"/>
      <c r="J770" s="63"/>
      <c r="L770" s="56"/>
      <c r="M770" s="57" t="s">
        <v>22</v>
      </c>
      <c r="N770" s="57" t="s">
        <v>22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2366</v>
      </c>
      <c r="AA770">
        <v>764</v>
      </c>
    </row>
    <row r="771" spans="1:27" x14ac:dyDescent="0.25">
      <c r="A771" s="151" t="s">
        <v>2370</v>
      </c>
      <c r="B771" s="51">
        <v>32.25</v>
      </c>
      <c r="C771" s="68"/>
      <c r="D771" s="69" t="s">
        <v>2369</v>
      </c>
      <c r="E771" s="46"/>
      <c r="G771" s="54"/>
      <c r="J771" s="63"/>
      <c r="L771" s="56"/>
      <c r="M771" s="57" t="s">
        <v>22</v>
      </c>
      <c r="N771" s="57" t="s">
        <v>22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2369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22</v>
      </c>
      <c r="H772" s="23" t="s">
        <v>22</v>
      </c>
      <c r="J772" s="63" t="s">
        <v>22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3809</v>
      </c>
      <c r="B773" s="25" t="s">
        <v>3624</v>
      </c>
      <c r="C773" s="26"/>
      <c r="D773" s="27" t="s">
        <v>3625</v>
      </c>
      <c r="E773" s="28"/>
      <c r="G773" s="54" t="s">
        <v>22</v>
      </c>
      <c r="H773" s="23" t="s">
        <v>22</v>
      </c>
      <c r="J773" s="63" t="s">
        <v>22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3810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2391</v>
      </c>
      <c r="B775" s="51">
        <v>39.800000000000004</v>
      </c>
      <c r="C775" s="52"/>
      <c r="D775" s="2" t="s">
        <v>2390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22</v>
      </c>
      <c r="N775" s="57" t="s">
        <v>22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2390</v>
      </c>
      <c r="AA775">
        <v>769</v>
      </c>
    </row>
    <row r="776" spans="1:27" x14ac:dyDescent="0.25">
      <c r="A776" s="97" t="s">
        <v>2394</v>
      </c>
      <c r="B776" s="51">
        <v>39.800000000000004</v>
      </c>
      <c r="C776" s="52"/>
      <c r="D776" s="2" t="s">
        <v>2393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22</v>
      </c>
      <c r="N776" s="57" t="s">
        <v>22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2393</v>
      </c>
      <c r="AA776">
        <v>770</v>
      </c>
    </row>
    <row r="777" spans="1:27" x14ac:dyDescent="0.25">
      <c r="A777" s="97" t="s">
        <v>1173</v>
      </c>
      <c r="B777" s="51">
        <v>42.2</v>
      </c>
      <c r="C777" s="52"/>
      <c r="D777" s="2" t="s">
        <v>1171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22</v>
      </c>
      <c r="N777" s="57" t="s">
        <v>22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1171</v>
      </c>
      <c r="AA777">
        <v>771</v>
      </c>
    </row>
    <row r="778" spans="1:27" x14ac:dyDescent="0.25">
      <c r="A778" s="97" t="s">
        <v>1175</v>
      </c>
      <c r="B778" s="51">
        <v>38.700000000000003</v>
      </c>
      <c r="C778" s="52"/>
      <c r="D778" s="2" t="s">
        <v>1174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22</v>
      </c>
      <c r="N778" s="57" t="s">
        <v>22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1174</v>
      </c>
      <c r="AA778">
        <v>772</v>
      </c>
    </row>
    <row r="779" spans="1:27" x14ac:dyDescent="0.25">
      <c r="A779" s="97" t="s">
        <v>2397</v>
      </c>
      <c r="B779" s="51">
        <v>44.550000000000004</v>
      </c>
      <c r="C779" s="52"/>
      <c r="D779" s="2" t="s">
        <v>2395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22</v>
      </c>
      <c r="N779" s="57" t="s">
        <v>22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2395</v>
      </c>
      <c r="AA779">
        <v>773</v>
      </c>
    </row>
    <row r="780" spans="1:27" x14ac:dyDescent="0.25">
      <c r="A780" s="1" t="s">
        <v>2400</v>
      </c>
      <c r="B780" s="51">
        <v>64.850000000000009</v>
      </c>
      <c r="C780" s="52"/>
      <c r="D780" s="2" t="s">
        <v>2398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22</v>
      </c>
      <c r="N780" s="57" t="s">
        <v>22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2398</v>
      </c>
      <c r="AA780">
        <v>774</v>
      </c>
    </row>
    <row r="781" spans="1:27" x14ac:dyDescent="0.25">
      <c r="A781" s="97" t="s">
        <v>1177</v>
      </c>
      <c r="B781" s="51">
        <v>50.45</v>
      </c>
      <c r="C781" s="52"/>
      <c r="D781" s="2" t="s">
        <v>1176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22</v>
      </c>
      <c r="N781" s="57" t="s">
        <v>22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1176</v>
      </c>
      <c r="AA781">
        <v>775</v>
      </c>
    </row>
    <row r="782" spans="1:27" x14ac:dyDescent="0.25">
      <c r="A782" s="149" t="s">
        <v>3811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3812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1145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1144</v>
      </c>
      <c r="B786" s="51">
        <v>23.35</v>
      </c>
      <c r="C786" s="122"/>
      <c r="D786" s="123" t="s">
        <v>1143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3813</v>
      </c>
      <c r="M786" s="57" t="s">
        <v>22</v>
      </c>
      <c r="N786" s="57" t="s">
        <v>22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1143</v>
      </c>
      <c r="AA786">
        <v>780</v>
      </c>
    </row>
    <row r="787" spans="1:27" x14ac:dyDescent="0.25">
      <c r="A787" s="121" t="s">
        <v>1147</v>
      </c>
      <c r="B787" s="51">
        <v>25.950000000000003</v>
      </c>
      <c r="C787" s="122"/>
      <c r="D787" s="123" t="s">
        <v>1146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3814</v>
      </c>
      <c r="M787" s="57" t="s">
        <v>22</v>
      </c>
      <c r="N787" s="57" t="s">
        <v>22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1146</v>
      </c>
      <c r="AA787">
        <v>781</v>
      </c>
    </row>
    <row r="788" spans="1:27" ht="18" x14ac:dyDescent="0.25">
      <c r="A788" s="145" t="s">
        <v>1150</v>
      </c>
      <c r="B788" s="51">
        <v>46.35</v>
      </c>
      <c r="C788" s="122"/>
      <c r="D788" s="123" t="s">
        <v>1149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3766</v>
      </c>
      <c r="M788" s="57" t="s">
        <v>22</v>
      </c>
      <c r="N788" s="57" t="s">
        <v>22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1149</v>
      </c>
      <c r="AA788">
        <v>782</v>
      </c>
    </row>
    <row r="789" spans="1:27" x14ac:dyDescent="0.25">
      <c r="A789" s="97" t="s">
        <v>1156</v>
      </c>
      <c r="B789" s="51">
        <v>59.6</v>
      </c>
      <c r="C789" s="52"/>
      <c r="D789" s="2" t="s">
        <v>1154</v>
      </c>
      <c r="E789" s="46"/>
      <c r="G789" s="54"/>
      <c r="J789" s="63"/>
      <c r="L789" s="56"/>
      <c r="M789" s="57" t="s">
        <v>22</v>
      </c>
      <c r="N789" s="57" t="s">
        <v>22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1154</v>
      </c>
      <c r="AA789">
        <v>783</v>
      </c>
    </row>
    <row r="790" spans="1:27" x14ac:dyDescent="0.25">
      <c r="A790" s="97" t="s">
        <v>1159</v>
      </c>
      <c r="B790" s="51">
        <v>82</v>
      </c>
      <c r="C790" s="52"/>
      <c r="D790" s="2" t="s">
        <v>1157</v>
      </c>
      <c r="E790" s="46"/>
      <c r="G790" s="54"/>
      <c r="J790" s="63"/>
      <c r="L790" s="56"/>
      <c r="M790" s="57" t="s">
        <v>22</v>
      </c>
      <c r="N790" s="57" t="s">
        <v>22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22</v>
      </c>
      <c r="Z790" s="2" t="s">
        <v>1157</v>
      </c>
      <c r="AA790">
        <v>784</v>
      </c>
    </row>
    <row r="791" spans="1:27" x14ac:dyDescent="0.25">
      <c r="A791" s="145" t="s">
        <v>1153</v>
      </c>
      <c r="B791" s="51">
        <v>51</v>
      </c>
      <c r="C791" s="122"/>
      <c r="D791" s="123" t="s">
        <v>1151</v>
      </c>
      <c r="E791" s="134"/>
      <c r="F791" s="125"/>
      <c r="G791" s="126"/>
      <c r="H791" s="127"/>
      <c r="I791" s="125"/>
      <c r="J791" s="133"/>
      <c r="K791" s="125"/>
      <c r="L791" s="146" t="s">
        <v>3767</v>
      </c>
      <c r="M791" s="57" t="s">
        <v>22</v>
      </c>
      <c r="N791" s="57" t="s">
        <v>22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1151</v>
      </c>
      <c r="AA791">
        <v>785</v>
      </c>
    </row>
    <row r="792" spans="1:27" x14ac:dyDescent="0.25">
      <c r="A792" s="1" t="s">
        <v>1162</v>
      </c>
      <c r="B792" s="51">
        <v>75.600000000000009</v>
      </c>
      <c r="C792" s="52"/>
      <c r="D792" s="2" t="s">
        <v>1160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22</v>
      </c>
      <c r="N792" s="57" t="s">
        <v>22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22</v>
      </c>
      <c r="Y792" s="125"/>
      <c r="Z792" s="2" t="s">
        <v>1160</v>
      </c>
      <c r="AA792">
        <v>786</v>
      </c>
    </row>
    <row r="793" spans="1:27" x14ac:dyDescent="0.25">
      <c r="A793" s="145" t="s">
        <v>1170</v>
      </c>
      <c r="B793" s="51">
        <v>63.7</v>
      </c>
      <c r="C793" s="122"/>
      <c r="D793" s="123" t="s">
        <v>1168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3768</v>
      </c>
      <c r="M793" s="57" t="s">
        <v>22</v>
      </c>
      <c r="N793" s="57" t="s">
        <v>22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1168</v>
      </c>
      <c r="AA793">
        <v>787</v>
      </c>
    </row>
    <row r="794" spans="1:27" x14ac:dyDescent="0.25">
      <c r="A794" s="130" t="s">
        <v>1132</v>
      </c>
      <c r="B794" s="51">
        <v>165.70000000000002</v>
      </c>
      <c r="C794" s="52"/>
      <c r="D794" s="2" t="s">
        <v>1131</v>
      </c>
      <c r="E794" s="53"/>
      <c r="G794" s="54">
        <v>173.98500000000001</v>
      </c>
      <c r="H794" s="23">
        <v>174</v>
      </c>
      <c r="J794" s="63">
        <v>131.25</v>
      </c>
      <c r="L794" s="146" t="s">
        <v>3815</v>
      </c>
      <c r="M794" s="57" t="s">
        <v>22</v>
      </c>
      <c r="N794" s="57" t="s">
        <v>22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1131</v>
      </c>
      <c r="AA794">
        <v>788</v>
      </c>
    </row>
    <row r="795" spans="1:27" x14ac:dyDescent="0.25">
      <c r="A795" s="149" t="s">
        <v>3816</v>
      </c>
      <c r="B795" s="51"/>
      <c r="C795" s="112"/>
      <c r="D795" s="12"/>
      <c r="E795" s="65"/>
      <c r="G795" s="54" t="s">
        <v>22</v>
      </c>
      <c r="H795" s="23" t="s">
        <v>22</v>
      </c>
      <c r="J795" s="63" t="s">
        <v>22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3817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1113</v>
      </c>
      <c r="B798" s="51">
        <v>36</v>
      </c>
      <c r="C798" s="122"/>
      <c r="D798" s="123" t="s">
        <v>1111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3818</v>
      </c>
      <c r="M798" s="57" t="s">
        <v>22</v>
      </c>
      <c r="N798" s="57" t="s">
        <v>22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1111</v>
      </c>
      <c r="AA798">
        <v>792</v>
      </c>
    </row>
    <row r="799" spans="1:27" x14ac:dyDescent="0.25">
      <c r="A799" s="145" t="s">
        <v>1116</v>
      </c>
      <c r="B799" s="51">
        <v>27.75</v>
      </c>
      <c r="C799" s="122"/>
      <c r="D799" s="123" t="s">
        <v>1114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3819</v>
      </c>
      <c r="M799" s="57" t="s">
        <v>22</v>
      </c>
      <c r="N799" s="57" t="s">
        <v>22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1114</v>
      </c>
      <c r="AA799">
        <v>793</v>
      </c>
    </row>
    <row r="800" spans="1:27" ht="18" x14ac:dyDescent="0.25">
      <c r="A800" s="145" t="s">
        <v>1119</v>
      </c>
      <c r="B800" s="51">
        <v>31.25</v>
      </c>
      <c r="C800" s="122"/>
      <c r="D800" s="123" t="s">
        <v>1117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3820</v>
      </c>
      <c r="M800" s="57" t="s">
        <v>22</v>
      </c>
      <c r="N800" s="57" t="s">
        <v>22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1117</v>
      </c>
      <c r="AA800">
        <v>794</v>
      </c>
    </row>
    <row r="801" spans="1:27" x14ac:dyDescent="0.25">
      <c r="A801" s="145" t="s">
        <v>1122</v>
      </c>
      <c r="B801" s="51">
        <v>31.25</v>
      </c>
      <c r="C801" s="122"/>
      <c r="D801" s="123" t="s">
        <v>1120</v>
      </c>
      <c r="E801" s="147"/>
      <c r="F801" s="125"/>
      <c r="G801" s="126"/>
      <c r="H801" s="127"/>
      <c r="I801" s="125"/>
      <c r="J801" s="133"/>
      <c r="K801" s="125"/>
      <c r="L801" s="146" t="s">
        <v>3821</v>
      </c>
      <c r="M801" s="57" t="s">
        <v>22</v>
      </c>
      <c r="N801" s="57" t="s">
        <v>22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1120</v>
      </c>
      <c r="AA801">
        <v>795</v>
      </c>
    </row>
    <row r="802" spans="1:27" x14ac:dyDescent="0.25">
      <c r="A802" s="1" t="s">
        <v>1125</v>
      </c>
      <c r="B802" s="51">
        <v>43.300000000000004</v>
      </c>
      <c r="C802" s="52"/>
      <c r="D802" s="2" t="s">
        <v>1123</v>
      </c>
      <c r="E802" s="147"/>
      <c r="F802" s="125"/>
      <c r="G802" s="126"/>
      <c r="H802" s="127"/>
      <c r="I802" s="125"/>
      <c r="J802" s="133"/>
      <c r="K802" s="125"/>
      <c r="L802"/>
      <c r="M802" s="57" t="s">
        <v>22</v>
      </c>
      <c r="N802" s="57" t="s">
        <v>22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22</v>
      </c>
      <c r="Y802" s="125"/>
      <c r="Z802" s="2" t="s">
        <v>1123</v>
      </c>
      <c r="AA802">
        <v>796</v>
      </c>
    </row>
    <row r="803" spans="1:27" x14ac:dyDescent="0.25">
      <c r="A803" s="1" t="s">
        <v>1128</v>
      </c>
      <c r="B803" s="51">
        <v>43.35</v>
      </c>
      <c r="C803" s="52"/>
      <c r="D803" s="2" t="s">
        <v>1126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3822</v>
      </c>
      <c r="M803" s="57" t="s">
        <v>22</v>
      </c>
      <c r="N803" s="57" t="s">
        <v>22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1126</v>
      </c>
      <c r="AA803">
        <v>797</v>
      </c>
    </row>
    <row r="804" spans="1:27" x14ac:dyDescent="0.25">
      <c r="A804" s="1" t="s">
        <v>1130</v>
      </c>
      <c r="B804" s="51">
        <v>55.050000000000004</v>
      </c>
      <c r="C804" s="52"/>
      <c r="D804" s="2" t="s">
        <v>1129</v>
      </c>
      <c r="E804" s="147"/>
      <c r="F804" s="125"/>
      <c r="G804" s="126"/>
      <c r="H804" s="127"/>
      <c r="I804" s="125"/>
      <c r="J804" s="133"/>
      <c r="K804" s="125"/>
      <c r="L804"/>
      <c r="M804" s="57" t="s">
        <v>22</v>
      </c>
      <c r="N804" s="57" t="s">
        <v>22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22</v>
      </c>
      <c r="Y804" s="125"/>
      <c r="Z804" s="2" t="s">
        <v>1129</v>
      </c>
      <c r="AA804">
        <v>798</v>
      </c>
    </row>
    <row r="805" spans="1:27" x14ac:dyDescent="0.25">
      <c r="A805" s="145" t="s">
        <v>3823</v>
      </c>
      <c r="B805" s="51">
        <v>63.7</v>
      </c>
      <c r="C805" s="122"/>
      <c r="D805" s="123" t="s">
        <v>1165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3824</v>
      </c>
      <c r="M805" s="57" t="s">
        <v>22</v>
      </c>
      <c r="N805" s="57" t="s">
        <v>22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1165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3825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1095</v>
      </c>
      <c r="B808" s="51">
        <v>84.9</v>
      </c>
      <c r="C808" s="122"/>
      <c r="D808" s="123" t="s">
        <v>1093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3826</v>
      </c>
      <c r="M808" s="57" t="s">
        <v>22</v>
      </c>
      <c r="N808" s="57" t="s">
        <v>22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1093</v>
      </c>
      <c r="AA808">
        <v>802</v>
      </c>
    </row>
    <row r="809" spans="1:27" x14ac:dyDescent="0.25">
      <c r="A809" s="1" t="s">
        <v>1110</v>
      </c>
      <c r="B809" s="51">
        <v>96.2</v>
      </c>
      <c r="C809" s="52"/>
      <c r="D809" s="2" t="s">
        <v>1108</v>
      </c>
      <c r="E809" s="124"/>
      <c r="F809" s="125"/>
      <c r="G809" s="126"/>
      <c r="H809" s="127"/>
      <c r="I809" s="125"/>
      <c r="J809" s="133"/>
      <c r="K809" s="125"/>
      <c r="L809"/>
      <c r="M809" s="57" t="s">
        <v>22</v>
      </c>
      <c r="N809" s="57" t="s">
        <v>22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22</v>
      </c>
      <c r="Y809" s="125"/>
      <c r="Z809" s="2" t="s">
        <v>1108</v>
      </c>
      <c r="AA809">
        <v>803</v>
      </c>
    </row>
    <row r="810" spans="1:27" x14ac:dyDescent="0.25">
      <c r="A810" s="145" t="s">
        <v>1099</v>
      </c>
      <c r="B810" s="51">
        <v>91.350000000000009</v>
      </c>
      <c r="C810" s="122"/>
      <c r="D810" s="123" t="s">
        <v>1097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3827</v>
      </c>
      <c r="M810" s="57" t="s">
        <v>22</v>
      </c>
      <c r="N810" s="57" t="s">
        <v>22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1097</v>
      </c>
      <c r="AA810">
        <v>804</v>
      </c>
    </row>
    <row r="811" spans="1:27" x14ac:dyDescent="0.25">
      <c r="A811" s="166" t="s">
        <v>1104</v>
      </c>
      <c r="B811" s="51">
        <v>84.9</v>
      </c>
      <c r="C811" s="167"/>
      <c r="D811" s="123" t="s">
        <v>1102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3828</v>
      </c>
      <c r="M811" s="57" t="s">
        <v>22</v>
      </c>
      <c r="N811" s="57" t="s">
        <v>22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1102</v>
      </c>
      <c r="AA811">
        <v>805</v>
      </c>
    </row>
    <row r="812" spans="1:27" x14ac:dyDescent="0.25">
      <c r="A812" s="145" t="s">
        <v>1107</v>
      </c>
      <c r="B812" s="51">
        <v>39.800000000000004</v>
      </c>
      <c r="C812" s="122"/>
      <c r="D812" s="123" t="s">
        <v>1105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3829</v>
      </c>
      <c r="M812" s="57" t="s">
        <v>22</v>
      </c>
      <c r="N812" s="57" t="s">
        <v>22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1105</v>
      </c>
      <c r="AA812">
        <v>806</v>
      </c>
    </row>
    <row r="813" spans="1:27" x14ac:dyDescent="0.25">
      <c r="A813" s="145" t="s">
        <v>966</v>
      </c>
      <c r="B813" s="51">
        <v>93.45</v>
      </c>
      <c r="C813" s="122"/>
      <c r="D813" s="123" t="s">
        <v>964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3830</v>
      </c>
      <c r="M813" s="57" t="s">
        <v>22</v>
      </c>
      <c r="N813" s="57" t="s">
        <v>22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964</v>
      </c>
      <c r="AA813">
        <v>807</v>
      </c>
    </row>
    <row r="814" spans="1:27" x14ac:dyDescent="0.25">
      <c r="A814" s="145" t="s">
        <v>3831</v>
      </c>
      <c r="B814" s="51">
        <v>41</v>
      </c>
      <c r="C814" s="122"/>
      <c r="D814" s="138" t="s">
        <v>2845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3832</v>
      </c>
      <c r="M814" s="57" t="s">
        <v>22</v>
      </c>
      <c r="N814" s="57" t="s">
        <v>22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2845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3833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1138</v>
      </c>
      <c r="B817" s="51">
        <v>68.7</v>
      </c>
      <c r="C817" s="122"/>
      <c r="D817" s="123" t="s">
        <v>1136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3834</v>
      </c>
      <c r="M817" s="57" t="s">
        <v>22</v>
      </c>
      <c r="N817" s="57" t="s">
        <v>22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1136</v>
      </c>
      <c r="AA817">
        <v>811</v>
      </c>
    </row>
    <row r="818" spans="1:27" x14ac:dyDescent="0.25">
      <c r="A818" s="132" t="s">
        <v>2407</v>
      </c>
      <c r="B818" s="51">
        <v>18.600000000000001</v>
      </c>
      <c r="C818" s="122"/>
      <c r="D818" s="138" t="s">
        <v>2405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3835</v>
      </c>
      <c r="M818" s="57" t="s">
        <v>22</v>
      </c>
      <c r="N818" s="57" t="s">
        <v>22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2405</v>
      </c>
      <c r="AA818">
        <v>812</v>
      </c>
    </row>
    <row r="819" spans="1:27" x14ac:dyDescent="0.25">
      <c r="A819" s="1" t="s">
        <v>2402</v>
      </c>
      <c r="B819" s="51">
        <v>73.7</v>
      </c>
      <c r="C819" s="52"/>
      <c r="D819" s="2" t="s">
        <v>2401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22</v>
      </c>
      <c r="N819" s="57" t="s">
        <v>22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22</v>
      </c>
      <c r="Y819" s="125"/>
      <c r="Z819" s="2" t="s">
        <v>2401</v>
      </c>
      <c r="AA819">
        <v>813</v>
      </c>
    </row>
    <row r="820" spans="1:27" x14ac:dyDescent="0.25">
      <c r="A820" s="1" t="s">
        <v>2404</v>
      </c>
      <c r="B820" s="51">
        <v>7.1000000000000005</v>
      </c>
      <c r="C820" s="52"/>
      <c r="D820" s="2" t="s">
        <v>2403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22</v>
      </c>
      <c r="N820" s="57" t="s">
        <v>22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22</v>
      </c>
      <c r="Y820" s="125"/>
      <c r="Z820" s="2" t="s">
        <v>2403</v>
      </c>
      <c r="AA820">
        <v>814</v>
      </c>
    </row>
    <row r="821" spans="1:27" x14ac:dyDescent="0.25">
      <c r="A821" s="96" t="s">
        <v>3743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2408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2410</v>
      </c>
      <c r="B824" s="51">
        <v>15.950000000000001</v>
      </c>
      <c r="C824" s="52"/>
      <c r="D824" s="75" t="s">
        <v>2409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22</v>
      </c>
      <c r="N824" s="57" t="s">
        <v>22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2409</v>
      </c>
      <c r="AA824">
        <v>818</v>
      </c>
    </row>
    <row r="825" spans="1:27" x14ac:dyDescent="0.25">
      <c r="A825" s="97" t="s">
        <v>2413</v>
      </c>
      <c r="B825" s="51">
        <v>7.4</v>
      </c>
      <c r="C825" s="52"/>
      <c r="D825" s="75" t="s">
        <v>2411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22</v>
      </c>
      <c r="N825" s="57" t="s">
        <v>22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2411</v>
      </c>
      <c r="AA825">
        <v>819</v>
      </c>
    </row>
    <row r="826" spans="1:27" x14ac:dyDescent="0.25">
      <c r="A826" s="97" t="s">
        <v>2416</v>
      </c>
      <c r="B826" s="51">
        <v>12.65</v>
      </c>
      <c r="C826" s="52"/>
      <c r="D826" s="75" t="s">
        <v>2414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22</v>
      </c>
      <c r="N826" s="57" t="s">
        <v>22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2414</v>
      </c>
      <c r="AA826">
        <v>820</v>
      </c>
    </row>
    <row r="827" spans="1:27" x14ac:dyDescent="0.25">
      <c r="A827" s="97" t="s">
        <v>2418</v>
      </c>
      <c r="B827" s="51">
        <v>2.7</v>
      </c>
      <c r="C827" s="52"/>
      <c r="D827" s="75" t="s">
        <v>2417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22</v>
      </c>
      <c r="N827" s="57" t="s">
        <v>22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2417</v>
      </c>
      <c r="AA827">
        <v>821</v>
      </c>
    </row>
    <row r="828" spans="1:27" x14ac:dyDescent="0.25">
      <c r="A828" s="24" t="s">
        <v>3836</v>
      </c>
      <c r="B828" s="25" t="s">
        <v>3624</v>
      </c>
      <c r="C828" s="26"/>
      <c r="D828" s="27" t="s">
        <v>3625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3837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2421</v>
      </c>
      <c r="B830" s="51">
        <v>12.100000000000001</v>
      </c>
      <c r="C830" s="52"/>
      <c r="D830" s="2" t="s">
        <v>2419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22</v>
      </c>
      <c r="N830" s="57" t="s">
        <v>22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2419</v>
      </c>
      <c r="AA830">
        <v>824</v>
      </c>
    </row>
    <row r="831" spans="1:27" x14ac:dyDescent="0.25">
      <c r="A831" s="97" t="s">
        <v>2424</v>
      </c>
      <c r="B831" s="51">
        <v>28.950000000000003</v>
      </c>
      <c r="C831" s="52"/>
      <c r="D831" s="2" t="s">
        <v>2422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22</v>
      </c>
      <c r="N831" s="57" t="s">
        <v>22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2422</v>
      </c>
      <c r="AA831">
        <v>825</v>
      </c>
    </row>
    <row r="832" spans="1:27" x14ac:dyDescent="0.25">
      <c r="A832" s="97" t="s">
        <v>2427</v>
      </c>
      <c r="B832" s="51">
        <v>37.75</v>
      </c>
      <c r="C832" s="52"/>
      <c r="D832" s="2" t="s">
        <v>2425</v>
      </c>
      <c r="E832" s="46"/>
      <c r="G832" s="54"/>
      <c r="J832" s="63"/>
      <c r="L832" s="56"/>
      <c r="M832" s="57" t="s">
        <v>22</v>
      </c>
      <c r="N832" s="57" t="s">
        <v>22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2425</v>
      </c>
      <c r="AA832">
        <v>826</v>
      </c>
    </row>
    <row r="833" spans="1:27" x14ac:dyDescent="0.25">
      <c r="A833" s="97" t="s">
        <v>2429</v>
      </c>
      <c r="B833" s="51">
        <v>34.550000000000004</v>
      </c>
      <c r="C833" s="52"/>
      <c r="D833" s="2" t="s">
        <v>2428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22</v>
      </c>
      <c r="N833" s="57" t="s">
        <v>22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2428</v>
      </c>
      <c r="AA833">
        <v>827</v>
      </c>
    </row>
    <row r="834" spans="1:27" x14ac:dyDescent="0.25">
      <c r="A834" s="97" t="s">
        <v>2432</v>
      </c>
      <c r="B834" s="51">
        <v>41</v>
      </c>
      <c r="C834" s="52"/>
      <c r="D834" s="2" t="s">
        <v>2430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22</v>
      </c>
      <c r="N834" s="57" t="s">
        <v>22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2430</v>
      </c>
      <c r="AA834">
        <v>828</v>
      </c>
    </row>
    <row r="835" spans="1:27" x14ac:dyDescent="0.25">
      <c r="A835" s="97" t="s">
        <v>2435</v>
      </c>
      <c r="B835" s="51">
        <v>91.350000000000009</v>
      </c>
      <c r="C835" s="52"/>
      <c r="D835" s="2" t="s">
        <v>2433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22</v>
      </c>
      <c r="N835" s="57" t="s">
        <v>22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2433</v>
      </c>
      <c r="AA835">
        <v>829</v>
      </c>
    </row>
    <row r="836" spans="1:27" x14ac:dyDescent="0.25">
      <c r="A836" s="97" t="s">
        <v>2438</v>
      </c>
      <c r="B836" s="51">
        <v>57.2</v>
      </c>
      <c r="C836" s="52"/>
      <c r="D836" s="2" t="s">
        <v>2436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22</v>
      </c>
      <c r="N836" s="57" t="s">
        <v>22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2436</v>
      </c>
      <c r="AA836">
        <v>830</v>
      </c>
    </row>
    <row r="837" spans="1:27" x14ac:dyDescent="0.25">
      <c r="A837" s="97" t="s">
        <v>2440</v>
      </c>
      <c r="B837" s="51">
        <v>47.050000000000004</v>
      </c>
      <c r="C837" s="52"/>
      <c r="D837" s="2" t="s">
        <v>2439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22</v>
      </c>
      <c r="N837" s="57" t="s">
        <v>22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2439</v>
      </c>
      <c r="AA837">
        <v>831</v>
      </c>
    </row>
    <row r="838" spans="1:27" x14ac:dyDescent="0.25">
      <c r="A838" s="1" t="s">
        <v>2389</v>
      </c>
      <c r="B838" s="51">
        <v>74.05</v>
      </c>
      <c r="C838" s="52"/>
      <c r="D838" s="2" t="s">
        <v>2441</v>
      </c>
      <c r="G838" s="54"/>
      <c r="J838" s="63"/>
      <c r="K838" s="119"/>
      <c r="L838" s="56"/>
      <c r="M838" s="57" t="s">
        <v>22</v>
      </c>
      <c r="N838" s="57" t="s">
        <v>22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22</v>
      </c>
      <c r="Z838" s="2" t="s">
        <v>2441</v>
      </c>
      <c r="AA838">
        <v>832</v>
      </c>
    </row>
    <row r="839" spans="1:27" x14ac:dyDescent="0.25">
      <c r="A839" s="96" t="s">
        <v>3838</v>
      </c>
      <c r="B839" s="51"/>
      <c r="C839" s="112"/>
      <c r="D839" s="12"/>
      <c r="E839" s="65"/>
      <c r="F839" s="64"/>
      <c r="G839" s="54" t="s">
        <v>22</v>
      </c>
      <c r="H839" s="109" t="s">
        <v>22</v>
      </c>
      <c r="I839" s="64"/>
      <c r="J839" s="110" t="s">
        <v>22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3839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22</v>
      </c>
      <c r="H841" s="23" t="s">
        <v>22</v>
      </c>
      <c r="J841" s="63" t="s">
        <v>22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3840</v>
      </c>
      <c r="B842" s="25" t="s">
        <v>3624</v>
      </c>
      <c r="C842" s="26"/>
      <c r="D842" s="27" t="s">
        <v>3625</v>
      </c>
      <c r="E842" s="28"/>
      <c r="G842" s="54" t="s">
        <v>22</v>
      </c>
      <c r="H842" s="23" t="s">
        <v>22</v>
      </c>
      <c r="J842" s="63" t="s">
        <v>22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1777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1776</v>
      </c>
      <c r="B844" s="51">
        <v>45.1</v>
      </c>
      <c r="C844" s="52"/>
      <c r="D844" s="2" t="s">
        <v>1774</v>
      </c>
      <c r="E844" s="53"/>
      <c r="G844" s="54"/>
      <c r="J844" s="63"/>
      <c r="L844" s="56"/>
      <c r="M844" s="57" t="s">
        <v>22</v>
      </c>
      <c r="N844" s="57" t="s">
        <v>22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1774</v>
      </c>
      <c r="AA844">
        <v>838</v>
      </c>
    </row>
    <row r="845" spans="1:27" x14ac:dyDescent="0.25">
      <c r="A845" s="1" t="s">
        <v>1780</v>
      </c>
      <c r="B845" s="51">
        <v>45.1</v>
      </c>
      <c r="C845" s="52"/>
      <c r="D845" s="2" t="s">
        <v>1778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22</v>
      </c>
      <c r="N845" s="57" t="s">
        <v>22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1778</v>
      </c>
      <c r="AA845">
        <v>839</v>
      </c>
    </row>
    <row r="846" spans="1:27" x14ac:dyDescent="0.25">
      <c r="A846" s="1" t="s">
        <v>1783</v>
      </c>
      <c r="B846" s="51">
        <v>91.350000000000009</v>
      </c>
      <c r="C846" s="52"/>
      <c r="D846" s="2" t="s">
        <v>1781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22</v>
      </c>
      <c r="N846" s="57" t="s">
        <v>22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1781</v>
      </c>
      <c r="AA846">
        <v>840</v>
      </c>
    </row>
    <row r="847" spans="1:27" x14ac:dyDescent="0.25">
      <c r="A847" s="101" t="s">
        <v>3841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1786</v>
      </c>
      <c r="B849" s="51">
        <v>131.20000000000002</v>
      </c>
      <c r="C849" s="52"/>
      <c r="D849" s="2" t="s">
        <v>1784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22</v>
      </c>
      <c r="N849" s="57" t="s">
        <v>22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1784</v>
      </c>
      <c r="AA849">
        <v>843</v>
      </c>
    </row>
    <row r="850" spans="1:27" x14ac:dyDescent="0.25">
      <c r="A850" s="1" t="s">
        <v>3842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3843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1788</v>
      </c>
      <c r="B853" s="51">
        <v>148.25</v>
      </c>
      <c r="C853" s="52"/>
      <c r="D853" s="2" t="s">
        <v>1787</v>
      </c>
      <c r="E853" s="53"/>
      <c r="G853" s="54"/>
      <c r="J853" s="63"/>
      <c r="L853" s="56"/>
      <c r="M853" s="57" t="s">
        <v>22</v>
      </c>
      <c r="N853" s="57" t="s">
        <v>22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1787</v>
      </c>
      <c r="AA853">
        <v>847</v>
      </c>
    </row>
    <row r="854" spans="1:27" x14ac:dyDescent="0.25">
      <c r="A854" s="96" t="s">
        <v>3844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3845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1791</v>
      </c>
      <c r="B857" s="51">
        <v>31.900000000000002</v>
      </c>
      <c r="C857" s="52"/>
      <c r="D857" s="75" t="s">
        <v>1789</v>
      </c>
      <c r="E857" s="53"/>
      <c r="G857" s="54"/>
      <c r="J857" s="63"/>
      <c r="L857" s="56"/>
      <c r="M857" s="57" t="s">
        <v>22</v>
      </c>
      <c r="N857" s="57" t="s">
        <v>22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1789</v>
      </c>
      <c r="AA857">
        <v>851</v>
      </c>
    </row>
    <row r="858" spans="1:27" x14ac:dyDescent="0.25">
      <c r="A858" s="1" t="s">
        <v>1794</v>
      </c>
      <c r="B858" s="51">
        <v>58.150000000000006</v>
      </c>
      <c r="C858" s="52"/>
      <c r="D858" s="2" t="s">
        <v>1793</v>
      </c>
      <c r="E858" s="46"/>
      <c r="G858" s="54"/>
      <c r="J858" s="63"/>
      <c r="L858" s="56"/>
      <c r="M858" s="57" t="s">
        <v>22</v>
      </c>
      <c r="N858" s="57" t="s">
        <v>22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1793</v>
      </c>
      <c r="AA858">
        <v>852</v>
      </c>
    </row>
    <row r="859" spans="1:27" x14ac:dyDescent="0.25">
      <c r="A859" s="1" t="s">
        <v>1796</v>
      </c>
      <c r="B859" s="51">
        <v>70.75</v>
      </c>
      <c r="C859" s="52"/>
      <c r="D859" s="2" t="s">
        <v>1795</v>
      </c>
      <c r="E859" s="46"/>
      <c r="G859" s="54"/>
      <c r="J859" s="63"/>
      <c r="L859" s="56"/>
      <c r="M859" s="57" t="s">
        <v>22</v>
      </c>
      <c r="N859" s="57" t="s">
        <v>22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1795</v>
      </c>
      <c r="AA859">
        <v>853</v>
      </c>
    </row>
    <row r="860" spans="1:27" x14ac:dyDescent="0.25">
      <c r="A860" s="1" t="s">
        <v>1799</v>
      </c>
      <c r="B860" s="51">
        <v>21.55</v>
      </c>
      <c r="C860" s="52"/>
      <c r="D860" s="2" t="s">
        <v>1797</v>
      </c>
      <c r="E860" s="46"/>
      <c r="G860" s="54"/>
      <c r="J860" s="63"/>
      <c r="L860" s="56"/>
      <c r="M860" s="57" t="s">
        <v>22</v>
      </c>
      <c r="N860" s="57" t="s">
        <v>22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1797</v>
      </c>
      <c r="AA860">
        <v>854</v>
      </c>
    </row>
    <row r="861" spans="1:27" x14ac:dyDescent="0.25">
      <c r="A861" s="1" t="s">
        <v>1802</v>
      </c>
      <c r="B861" s="51">
        <v>53.050000000000004</v>
      </c>
      <c r="C861" s="52"/>
      <c r="D861" s="2" t="s">
        <v>1800</v>
      </c>
      <c r="E861" s="53"/>
      <c r="G861" s="54"/>
      <c r="J861" s="63"/>
      <c r="L861" s="56"/>
      <c r="M861" s="57" t="s">
        <v>22</v>
      </c>
      <c r="N861" s="57" t="s">
        <v>22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1800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3846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1818</v>
      </c>
      <c r="B864" s="51">
        <v>46.35</v>
      </c>
      <c r="C864" s="52"/>
      <c r="D864" s="2" t="s">
        <v>1816</v>
      </c>
      <c r="E864" s="53"/>
      <c r="G864" s="54"/>
      <c r="J864" s="63"/>
      <c r="L864" s="56"/>
      <c r="M864" s="57" t="s">
        <v>22</v>
      </c>
      <c r="N864" s="57" t="s">
        <v>22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1816</v>
      </c>
      <c r="AA864">
        <v>858</v>
      </c>
    </row>
    <row r="865" spans="1:27" x14ac:dyDescent="0.25">
      <c r="A865" s="1" t="s">
        <v>1805</v>
      </c>
      <c r="B865" s="51">
        <v>46.35</v>
      </c>
      <c r="C865" s="52"/>
      <c r="D865" s="2" t="s">
        <v>1803</v>
      </c>
      <c r="E865" s="53"/>
      <c r="G865" s="54"/>
      <c r="J865" s="63"/>
      <c r="L865" s="56"/>
      <c r="M865" s="57" t="s">
        <v>22</v>
      </c>
      <c r="N865" s="57" t="s">
        <v>22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1803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3847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1808</v>
      </c>
      <c r="B868" s="51">
        <v>106.15</v>
      </c>
      <c r="C868" s="52"/>
      <c r="D868" s="2" t="s">
        <v>1807</v>
      </c>
      <c r="E868" s="46"/>
      <c r="G868" s="54"/>
      <c r="J868" s="63"/>
      <c r="L868" s="56"/>
      <c r="M868" s="57" t="s">
        <v>22</v>
      </c>
      <c r="N868" s="57" t="s">
        <v>22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1807</v>
      </c>
      <c r="AA868">
        <v>862</v>
      </c>
    </row>
    <row r="869" spans="1:27" x14ac:dyDescent="0.25">
      <c r="A869" s="1" t="s">
        <v>1811</v>
      </c>
      <c r="B869" s="51">
        <v>49.300000000000004</v>
      </c>
      <c r="C869" s="52"/>
      <c r="D869" s="2" t="s">
        <v>1809</v>
      </c>
      <c r="E869" s="46"/>
      <c r="G869" s="54"/>
      <c r="J869" s="63"/>
      <c r="L869" s="56"/>
      <c r="M869" s="57" t="s">
        <v>22</v>
      </c>
      <c r="N869" s="57" t="s">
        <v>22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1809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3848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1813</v>
      </c>
      <c r="B872" s="51">
        <v>43.95</v>
      </c>
      <c r="C872" s="52"/>
      <c r="D872" s="2" t="s">
        <v>1812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22</v>
      </c>
      <c r="N872" s="57" t="s">
        <v>22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1812</v>
      </c>
      <c r="AA872">
        <v>866</v>
      </c>
    </row>
    <row r="873" spans="1:27" x14ac:dyDescent="0.25">
      <c r="A873" s="1" t="s">
        <v>1815</v>
      </c>
      <c r="B873" s="51">
        <v>57.2</v>
      </c>
      <c r="C873" s="52"/>
      <c r="D873" s="2" t="s">
        <v>1814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22</v>
      </c>
      <c r="N873" s="57" t="s">
        <v>22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1814</v>
      </c>
      <c r="AA873">
        <v>867</v>
      </c>
    </row>
    <row r="874" spans="1:27" x14ac:dyDescent="0.25">
      <c r="A874" s="1" t="s">
        <v>1821</v>
      </c>
      <c r="B874" s="51">
        <v>22.400000000000002</v>
      </c>
      <c r="C874" s="52"/>
      <c r="D874" s="75" t="s">
        <v>1820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22</v>
      </c>
      <c r="N874" s="57" t="s">
        <v>22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1820</v>
      </c>
      <c r="AA874">
        <v>868</v>
      </c>
    </row>
    <row r="875" spans="1:27" x14ac:dyDescent="0.25">
      <c r="A875" s="1" t="s">
        <v>1823</v>
      </c>
      <c r="B875" s="51">
        <v>27.150000000000002</v>
      </c>
      <c r="C875" s="52"/>
      <c r="D875" s="75" t="s">
        <v>1822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22</v>
      </c>
      <c r="N875" s="57" t="s">
        <v>22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1822</v>
      </c>
      <c r="AA875">
        <v>869</v>
      </c>
    </row>
    <row r="876" spans="1:27" x14ac:dyDescent="0.25">
      <c r="A876" s="1" t="s">
        <v>1825</v>
      </c>
      <c r="B876" s="51">
        <v>35.700000000000003</v>
      </c>
      <c r="C876" s="52"/>
      <c r="D876" s="75" t="s">
        <v>1824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22</v>
      </c>
      <c r="N876" s="57" t="s">
        <v>22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1824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3849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1827</v>
      </c>
      <c r="B879" s="51">
        <v>18.600000000000001</v>
      </c>
      <c r="C879" s="52"/>
      <c r="D879" s="2" t="s">
        <v>1826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22</v>
      </c>
      <c r="N879" s="57" t="s">
        <v>22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1826</v>
      </c>
      <c r="AA879">
        <v>873</v>
      </c>
    </row>
    <row r="880" spans="1:27" x14ac:dyDescent="0.25">
      <c r="A880" s="1" t="s">
        <v>1829</v>
      </c>
      <c r="B880" s="51">
        <v>23.900000000000002</v>
      </c>
      <c r="C880" s="52"/>
      <c r="D880" s="2" t="s">
        <v>1828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22</v>
      </c>
      <c r="N880" s="57" t="s">
        <v>22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1828</v>
      </c>
      <c r="AA880">
        <v>874</v>
      </c>
    </row>
    <row r="881" spans="1:27" x14ac:dyDescent="0.25">
      <c r="A881" s="1" t="s">
        <v>1831</v>
      </c>
      <c r="B881" s="51">
        <v>25.35</v>
      </c>
      <c r="C881" s="52"/>
      <c r="D881" s="2" t="s">
        <v>1830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22</v>
      </c>
      <c r="N881" s="57" t="s">
        <v>22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1830</v>
      </c>
      <c r="AA881">
        <v>875</v>
      </c>
    </row>
    <row r="882" spans="1:27" x14ac:dyDescent="0.25">
      <c r="A882" s="24" t="s">
        <v>3850</v>
      </c>
      <c r="B882" s="25" t="s">
        <v>3624</v>
      </c>
      <c r="C882" s="26"/>
      <c r="D882" s="27" t="s">
        <v>3625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3851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1834</v>
      </c>
      <c r="B884" s="51">
        <v>151.25</v>
      </c>
      <c r="C884" s="52"/>
      <c r="D884" s="2" t="s">
        <v>1832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22</v>
      </c>
      <c r="N884" s="57" t="s">
        <v>22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1832</v>
      </c>
      <c r="AA884">
        <v>878</v>
      </c>
    </row>
    <row r="885" spans="1:27" x14ac:dyDescent="0.25">
      <c r="A885" s="1" t="s">
        <v>1838</v>
      </c>
      <c r="B885" s="51">
        <v>45.1</v>
      </c>
      <c r="C885" s="52"/>
      <c r="D885" s="2" t="s">
        <v>1836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22</v>
      </c>
      <c r="N885" s="57" t="s">
        <v>22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1836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1841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2352</v>
      </c>
      <c r="B888" s="51">
        <v>113.5</v>
      </c>
      <c r="C888" s="122"/>
      <c r="D888" s="123" t="s">
        <v>2350</v>
      </c>
      <c r="E888" s="134"/>
      <c r="F888" s="125"/>
      <c r="G888" s="126"/>
      <c r="H888" s="127"/>
      <c r="I888" s="125"/>
      <c r="J888" s="133"/>
      <c r="K888" s="125"/>
      <c r="L888" s="111" t="s">
        <v>3852</v>
      </c>
      <c r="M888" s="57" t="s">
        <v>22</v>
      </c>
      <c r="N888" s="57" t="s">
        <v>22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2350</v>
      </c>
      <c r="AA888">
        <v>882</v>
      </c>
    </row>
    <row r="889" spans="1:27" x14ac:dyDescent="0.25">
      <c r="A889" s="1" t="s">
        <v>1840</v>
      </c>
      <c r="B889" s="51">
        <v>51.6</v>
      </c>
      <c r="C889" s="52"/>
      <c r="D889" s="2" t="s">
        <v>1839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22</v>
      </c>
      <c r="N889" s="57" t="s">
        <v>22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1839</v>
      </c>
      <c r="AA889">
        <v>883</v>
      </c>
    </row>
    <row r="890" spans="1:27" x14ac:dyDescent="0.25">
      <c r="A890" s="1" t="s">
        <v>1844</v>
      </c>
      <c r="B890" s="51">
        <v>14.450000000000001</v>
      </c>
      <c r="C890" s="52"/>
      <c r="D890" s="75" t="s">
        <v>1842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22</v>
      </c>
      <c r="N890" s="57" t="s">
        <v>22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1842</v>
      </c>
      <c r="AA890">
        <v>884</v>
      </c>
    </row>
    <row r="891" spans="1:27" x14ac:dyDescent="0.25">
      <c r="A891" s="1" t="s">
        <v>1846</v>
      </c>
      <c r="B891" s="51">
        <v>13.9</v>
      </c>
      <c r="C891" s="52"/>
      <c r="D891" s="2" t="s">
        <v>1845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22</v>
      </c>
      <c r="N891" s="57" t="s">
        <v>22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1845</v>
      </c>
      <c r="AA891">
        <v>885</v>
      </c>
    </row>
    <row r="892" spans="1:27" x14ac:dyDescent="0.25">
      <c r="A892" s="1" t="s">
        <v>1849</v>
      </c>
      <c r="B892" s="51">
        <v>12.65</v>
      </c>
      <c r="C892" s="52"/>
      <c r="D892" s="75" t="s">
        <v>1847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22</v>
      </c>
      <c r="N892" s="57" t="s">
        <v>22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1847</v>
      </c>
      <c r="AA892">
        <v>886</v>
      </c>
    </row>
    <row r="893" spans="1:27" x14ac:dyDescent="0.25">
      <c r="A893" s="1" t="s">
        <v>1851</v>
      </c>
      <c r="B893" s="51">
        <v>12.65</v>
      </c>
      <c r="C893" s="52"/>
      <c r="D893" s="75" t="s">
        <v>1850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22</v>
      </c>
      <c r="N893" s="57" t="s">
        <v>22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1850</v>
      </c>
      <c r="AA893">
        <v>887</v>
      </c>
    </row>
    <row r="894" spans="1:27" x14ac:dyDescent="0.25">
      <c r="A894" s="1" t="s">
        <v>1853</v>
      </c>
      <c r="B894" s="51">
        <v>6.5</v>
      </c>
      <c r="C894" s="52"/>
      <c r="D894" s="75" t="s">
        <v>1852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22</v>
      </c>
      <c r="N894" s="57" t="s">
        <v>22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1852</v>
      </c>
      <c r="AA894">
        <v>888</v>
      </c>
    </row>
    <row r="895" spans="1:27" x14ac:dyDescent="0.25">
      <c r="A895" s="1" t="s">
        <v>1856</v>
      </c>
      <c r="B895" s="51">
        <v>4.1500000000000004</v>
      </c>
      <c r="C895" s="52"/>
      <c r="D895" s="75" t="s">
        <v>1854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22</v>
      </c>
      <c r="N895" s="57" t="s">
        <v>22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1854</v>
      </c>
      <c r="AA895">
        <v>889</v>
      </c>
    </row>
    <row r="896" spans="1:27" x14ac:dyDescent="0.25">
      <c r="A896" s="1" t="s">
        <v>1859</v>
      </c>
      <c r="B896" s="51">
        <v>13.9</v>
      </c>
      <c r="C896" s="52"/>
      <c r="D896" s="75" t="s">
        <v>1857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22</v>
      </c>
      <c r="N896" s="57" t="s">
        <v>22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1857</v>
      </c>
      <c r="AA896">
        <v>890</v>
      </c>
    </row>
    <row r="897" spans="1:27" x14ac:dyDescent="0.25">
      <c r="A897" s="1" t="s">
        <v>1862</v>
      </c>
      <c r="B897" s="51">
        <v>18.600000000000001</v>
      </c>
      <c r="C897" s="52"/>
      <c r="D897" s="2" t="s">
        <v>1860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22</v>
      </c>
      <c r="N897" s="57" t="s">
        <v>22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1860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22</v>
      </c>
      <c r="H898" s="23" t="s">
        <v>22</v>
      </c>
      <c r="J898" s="63" t="s">
        <v>22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1865</v>
      </c>
      <c r="B899" s="51"/>
      <c r="C899" s="52"/>
      <c r="E899" s="53"/>
      <c r="G899" s="54" t="s">
        <v>22</v>
      </c>
      <c r="H899" s="23" t="s">
        <v>22</v>
      </c>
      <c r="J899" s="63" t="s">
        <v>22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1867</v>
      </c>
      <c r="B900" s="51">
        <v>21.25</v>
      </c>
      <c r="C900" s="52"/>
      <c r="D900" s="75" t="s">
        <v>1866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22</v>
      </c>
      <c r="N900" s="57" t="s">
        <v>22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1866</v>
      </c>
      <c r="AA900">
        <v>894</v>
      </c>
    </row>
    <row r="901" spans="1:27" x14ac:dyDescent="0.25">
      <c r="A901" s="1" t="s">
        <v>1869</v>
      </c>
      <c r="B901" s="51">
        <v>34.550000000000004</v>
      </c>
      <c r="C901" s="52"/>
      <c r="D901" s="75" t="s">
        <v>1868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22</v>
      </c>
      <c r="N901" s="57" t="s">
        <v>22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1868</v>
      </c>
      <c r="AA901">
        <v>895</v>
      </c>
    </row>
    <row r="902" spans="1:27" x14ac:dyDescent="0.25">
      <c r="A902" s="145" t="s">
        <v>1864</v>
      </c>
      <c r="B902" s="51">
        <v>18.600000000000001</v>
      </c>
      <c r="C902" s="171"/>
      <c r="D902" s="123" t="s">
        <v>1863</v>
      </c>
      <c r="E902" s="163"/>
      <c r="F902" s="125"/>
      <c r="G902" s="126">
        <v>19.53</v>
      </c>
      <c r="H902" s="127">
        <v>19.5</v>
      </c>
      <c r="I902" s="125"/>
      <c r="J902" s="133" t="s">
        <v>22</v>
      </c>
      <c r="K902" s="125"/>
      <c r="L902" s="111" t="s">
        <v>3853</v>
      </c>
      <c r="M902" s="57" t="s">
        <v>22</v>
      </c>
      <c r="N902" s="57" t="s">
        <v>22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1863</v>
      </c>
      <c r="AA902">
        <v>896</v>
      </c>
    </row>
    <row r="903" spans="1:27" x14ac:dyDescent="0.25">
      <c r="A903" s="149" t="s">
        <v>3854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22</v>
      </c>
      <c r="H904" s="23" t="s">
        <v>22</v>
      </c>
      <c r="J904" s="63" t="s">
        <v>22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3855</v>
      </c>
      <c r="B905" s="25" t="s">
        <v>3624</v>
      </c>
      <c r="C905" s="26"/>
      <c r="D905" s="27" t="s">
        <v>3625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3856</v>
      </c>
      <c r="B906" s="51"/>
      <c r="C906" s="52"/>
      <c r="E906" s="53"/>
      <c r="G906" s="54" t="s">
        <v>22</v>
      </c>
      <c r="H906" s="23" t="s">
        <v>22</v>
      </c>
      <c r="J906" s="63" t="s">
        <v>22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2006</v>
      </c>
      <c r="B907" s="51">
        <v>8.0500000000000007</v>
      </c>
      <c r="C907" s="52"/>
      <c r="D907" s="75" t="s">
        <v>2005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22</v>
      </c>
      <c r="N907" s="57" t="s">
        <v>22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2005</v>
      </c>
      <c r="AA907">
        <v>901</v>
      </c>
    </row>
    <row r="908" spans="1:27" x14ac:dyDescent="0.25">
      <c r="A908" s="149" t="s">
        <v>3857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2010</v>
      </c>
      <c r="B909" s="51">
        <v>3.5500000000000003</v>
      </c>
      <c r="C909" s="52"/>
      <c r="D909" s="75" t="s">
        <v>2009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22</v>
      </c>
      <c r="N909" s="57" t="s">
        <v>22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2009</v>
      </c>
      <c r="AA909">
        <v>903</v>
      </c>
    </row>
    <row r="910" spans="1:27" x14ac:dyDescent="0.25">
      <c r="A910" s="97" t="s">
        <v>2012</v>
      </c>
      <c r="B910" s="51">
        <v>4.1500000000000004</v>
      </c>
      <c r="C910" s="52"/>
      <c r="D910" s="75" t="s">
        <v>2011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22</v>
      </c>
      <c r="N910" s="57" t="s">
        <v>22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2011</v>
      </c>
      <c r="AA910">
        <v>904</v>
      </c>
    </row>
    <row r="911" spans="1:27" x14ac:dyDescent="0.25">
      <c r="A911" s="1" t="s">
        <v>2014</v>
      </c>
      <c r="B911" s="51">
        <v>4.1500000000000004</v>
      </c>
      <c r="C911" s="52"/>
      <c r="D911" s="75" t="s">
        <v>2013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22</v>
      </c>
      <c r="N911" s="57" t="s">
        <v>22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2013</v>
      </c>
      <c r="AA911">
        <v>905</v>
      </c>
    </row>
    <row r="912" spans="1:27" x14ac:dyDescent="0.25">
      <c r="A912" s="97" t="s">
        <v>2016</v>
      </c>
      <c r="B912" s="51">
        <v>8.0500000000000007</v>
      </c>
      <c r="C912" s="52"/>
      <c r="D912" s="75" t="s">
        <v>2015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22</v>
      </c>
      <c r="N912" s="57" t="s">
        <v>22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2015</v>
      </c>
      <c r="AA912">
        <v>906</v>
      </c>
    </row>
    <row r="913" spans="1:27" x14ac:dyDescent="0.25">
      <c r="A913" s="97" t="s">
        <v>2018</v>
      </c>
      <c r="B913" s="51">
        <v>2.7</v>
      </c>
      <c r="C913" s="52"/>
      <c r="D913" s="75" t="s">
        <v>2017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22</v>
      </c>
      <c r="N913" s="57" t="s">
        <v>22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2017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3858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2036</v>
      </c>
      <c r="B916" s="51">
        <v>13.3</v>
      </c>
      <c r="C916" s="52"/>
      <c r="D916" s="75" t="s">
        <v>2034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22</v>
      </c>
      <c r="N916" s="57" t="s">
        <v>22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2034</v>
      </c>
      <c r="AA916">
        <v>910</v>
      </c>
    </row>
    <row r="917" spans="1:27" x14ac:dyDescent="0.25">
      <c r="A917" s="97" t="s">
        <v>2039</v>
      </c>
      <c r="B917" s="51">
        <v>28.35</v>
      </c>
      <c r="C917" s="52"/>
      <c r="D917" s="2" t="s">
        <v>2038</v>
      </c>
      <c r="E917" s="53"/>
      <c r="G917" s="59">
        <v>29.767500000000002</v>
      </c>
      <c r="H917" s="23">
        <v>29.75</v>
      </c>
      <c r="J917" s="63"/>
      <c r="L917" s="56"/>
      <c r="M917" s="57" t="s">
        <v>22</v>
      </c>
      <c r="N917" s="57" t="s">
        <v>22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2038</v>
      </c>
      <c r="AA917">
        <v>911</v>
      </c>
    </row>
    <row r="918" spans="1:27" x14ac:dyDescent="0.25">
      <c r="A918" s="97" t="s">
        <v>2042</v>
      </c>
      <c r="B918" s="51">
        <v>10.050000000000001</v>
      </c>
      <c r="C918" s="52"/>
      <c r="D918" s="75" t="s">
        <v>2040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22</v>
      </c>
      <c r="N918" s="57" t="s">
        <v>22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2040</v>
      </c>
      <c r="AA918">
        <v>912</v>
      </c>
    </row>
    <row r="919" spans="1:27" x14ac:dyDescent="0.25">
      <c r="A919" s="97" t="s">
        <v>2044</v>
      </c>
      <c r="B919" s="51">
        <v>2.7</v>
      </c>
      <c r="C919" s="52"/>
      <c r="D919" s="75" t="s">
        <v>2043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22</v>
      </c>
      <c r="N919" s="57" t="s">
        <v>22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2043</v>
      </c>
      <c r="AA919">
        <v>913</v>
      </c>
    </row>
    <row r="920" spans="1:27" x14ac:dyDescent="0.25">
      <c r="A920" s="97" t="s">
        <v>2046</v>
      </c>
      <c r="B920" s="51">
        <v>2.7</v>
      </c>
      <c r="C920" s="52"/>
      <c r="D920" s="75" t="s">
        <v>2045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22</v>
      </c>
      <c r="N920" s="57" t="s">
        <v>22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2045</v>
      </c>
      <c r="AA920">
        <v>914</v>
      </c>
    </row>
    <row r="921" spans="1:27" x14ac:dyDescent="0.25">
      <c r="A921" s="97" t="s">
        <v>2174</v>
      </c>
      <c r="B921" s="51">
        <v>1.5</v>
      </c>
      <c r="C921" s="52"/>
      <c r="D921" s="75" t="s">
        <v>2173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22</v>
      </c>
      <c r="N921" s="57" t="s">
        <v>22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2173</v>
      </c>
      <c r="AA921">
        <v>915</v>
      </c>
    </row>
    <row r="922" spans="1:27" x14ac:dyDescent="0.25">
      <c r="A922" s="149" t="s">
        <v>3859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3860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2049</v>
      </c>
      <c r="B925" s="51">
        <v>14.450000000000001</v>
      </c>
      <c r="C925" s="52"/>
      <c r="D925" s="75" t="s">
        <v>2047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22</v>
      </c>
      <c r="N925" s="57" t="s">
        <v>22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2047</v>
      </c>
      <c r="AA925">
        <v>919</v>
      </c>
    </row>
    <row r="926" spans="1:27" x14ac:dyDescent="0.25">
      <c r="A926" s="97" t="s">
        <v>2052</v>
      </c>
      <c r="B926" s="51">
        <v>14.450000000000001</v>
      </c>
      <c r="C926" s="52"/>
      <c r="D926" s="75" t="s">
        <v>2050</v>
      </c>
      <c r="E926" s="46"/>
      <c r="G926" s="54"/>
      <c r="J926" s="63"/>
      <c r="L926" s="56"/>
      <c r="M926" s="57" t="s">
        <v>22</v>
      </c>
      <c r="N926" s="57" t="s">
        <v>22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2050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3861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2021</v>
      </c>
      <c r="B929" s="51">
        <v>5.3500000000000005</v>
      </c>
      <c r="C929" s="52"/>
      <c r="D929" s="75" t="s">
        <v>2019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22</v>
      </c>
      <c r="N929" s="57" t="s">
        <v>22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2019</v>
      </c>
      <c r="AA929">
        <v>923</v>
      </c>
    </row>
    <row r="930" spans="1:27" x14ac:dyDescent="0.25">
      <c r="A930" s="97" t="s">
        <v>2024</v>
      </c>
      <c r="B930" s="51">
        <v>6.5</v>
      </c>
      <c r="C930" s="52"/>
      <c r="D930" s="75" t="s">
        <v>2022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22</v>
      </c>
      <c r="N930" s="57" t="s">
        <v>22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2022</v>
      </c>
      <c r="AA930">
        <v>924</v>
      </c>
    </row>
    <row r="931" spans="1:27" x14ac:dyDescent="0.25">
      <c r="A931" s="97" t="s">
        <v>2027</v>
      </c>
      <c r="B931" s="51">
        <v>8.0500000000000007</v>
      </c>
      <c r="C931" s="52"/>
      <c r="D931" s="75" t="s">
        <v>2025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22</v>
      </c>
      <c r="N931" s="57" t="s">
        <v>22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2025</v>
      </c>
      <c r="AA931">
        <v>925</v>
      </c>
    </row>
    <row r="932" spans="1:27" x14ac:dyDescent="0.25">
      <c r="A932" s="97" t="s">
        <v>2030</v>
      </c>
      <c r="B932" s="51">
        <v>13.3</v>
      </c>
      <c r="C932" s="52"/>
      <c r="D932" s="75" t="s">
        <v>2028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22</v>
      </c>
      <c r="N932" s="57" t="s">
        <v>22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2028</v>
      </c>
      <c r="AA932">
        <v>926</v>
      </c>
    </row>
    <row r="933" spans="1:27" x14ac:dyDescent="0.25">
      <c r="A933" s="97" t="s">
        <v>2033</v>
      </c>
      <c r="B933" s="51">
        <v>13.3</v>
      </c>
      <c r="C933" s="52"/>
      <c r="D933" s="75" t="s">
        <v>2031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22</v>
      </c>
      <c r="N933" s="57" t="s">
        <v>22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2031</v>
      </c>
      <c r="AA933">
        <v>927</v>
      </c>
    </row>
    <row r="934" spans="1:27" x14ac:dyDescent="0.25">
      <c r="A934" s="24" t="s">
        <v>3862</v>
      </c>
      <c r="B934" s="25" t="s">
        <v>3624</v>
      </c>
      <c r="C934" s="26"/>
      <c r="D934" s="27" t="s">
        <v>3625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1865</v>
      </c>
      <c r="B935" s="51"/>
      <c r="C935" s="52"/>
      <c r="E935" s="53"/>
      <c r="G935" s="54" t="s">
        <v>22</v>
      </c>
      <c r="H935" s="23" t="s">
        <v>22</v>
      </c>
      <c r="J935" s="63" t="s">
        <v>22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1867</v>
      </c>
      <c r="B936" s="51">
        <v>21.25</v>
      </c>
      <c r="C936" s="122"/>
      <c r="D936" s="138" t="s">
        <v>1866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3863</v>
      </c>
      <c r="M936" s="57" t="s">
        <v>22</v>
      </c>
      <c r="N936" s="57" t="s">
        <v>22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1866</v>
      </c>
      <c r="AA936">
        <v>930</v>
      </c>
    </row>
    <row r="937" spans="1:27" x14ac:dyDescent="0.25">
      <c r="A937" s="121" t="s">
        <v>1869</v>
      </c>
      <c r="B937" s="51">
        <v>34.550000000000004</v>
      </c>
      <c r="C937" s="122"/>
      <c r="D937" s="138" t="s">
        <v>1868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3864</v>
      </c>
      <c r="M937" s="57" t="s">
        <v>22</v>
      </c>
      <c r="N937" s="57" t="s">
        <v>22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1868</v>
      </c>
      <c r="AA937">
        <v>931</v>
      </c>
    </row>
    <row r="938" spans="1:27" x14ac:dyDescent="0.25">
      <c r="A938" s="145" t="s">
        <v>1864</v>
      </c>
      <c r="B938" s="51">
        <v>18.600000000000001</v>
      </c>
      <c r="C938" s="171"/>
      <c r="D938" s="123" t="s">
        <v>1863</v>
      </c>
      <c r="E938" s="163"/>
      <c r="F938" s="125"/>
      <c r="G938" s="126">
        <v>19.53</v>
      </c>
      <c r="H938" s="127">
        <v>19.5</v>
      </c>
      <c r="I938" s="125"/>
      <c r="J938" s="133" t="s">
        <v>22</v>
      </c>
      <c r="K938" s="125"/>
      <c r="L938" s="111" t="s">
        <v>3853</v>
      </c>
      <c r="M938" s="57" t="s">
        <v>22</v>
      </c>
      <c r="N938" s="57" t="s">
        <v>22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1863</v>
      </c>
      <c r="AA938">
        <v>932</v>
      </c>
    </row>
    <row r="939" spans="1:27" x14ac:dyDescent="0.25">
      <c r="A939" s="149" t="s">
        <v>3854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3865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2055</v>
      </c>
      <c r="B942" s="51">
        <v>12.100000000000001</v>
      </c>
      <c r="C942" s="52"/>
      <c r="D942" s="75" t="s">
        <v>2053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22</v>
      </c>
      <c r="N942" s="57" t="s">
        <v>22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2053</v>
      </c>
      <c r="AA942">
        <v>936</v>
      </c>
    </row>
    <row r="943" spans="1:27" x14ac:dyDescent="0.25">
      <c r="A943" s="97" t="s">
        <v>2059</v>
      </c>
      <c r="B943" s="51">
        <v>10.050000000000001</v>
      </c>
      <c r="C943" s="52"/>
      <c r="D943" s="75" t="s">
        <v>2057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22</v>
      </c>
      <c r="N943" s="57" t="s">
        <v>22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2057</v>
      </c>
      <c r="AA943">
        <v>937</v>
      </c>
    </row>
    <row r="944" spans="1:27" x14ac:dyDescent="0.25">
      <c r="A944" s="121" t="s">
        <v>1376</v>
      </c>
      <c r="B944" s="51">
        <v>14.450000000000001</v>
      </c>
      <c r="C944" s="122"/>
      <c r="D944" s="138" t="s">
        <v>1375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3866</v>
      </c>
      <c r="M944" s="57" t="s">
        <v>22</v>
      </c>
      <c r="N944" s="57" t="s">
        <v>22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1375</v>
      </c>
      <c r="AA944">
        <v>938</v>
      </c>
    </row>
    <row r="945" spans="1:27" x14ac:dyDescent="0.25">
      <c r="A945" s="145" t="s">
        <v>3867</v>
      </c>
      <c r="B945" s="51">
        <v>10.050000000000001</v>
      </c>
      <c r="C945" s="122"/>
      <c r="D945" s="138" t="s">
        <v>1369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3868</v>
      </c>
      <c r="M945" s="57" t="s">
        <v>22</v>
      </c>
      <c r="N945" s="57" t="s">
        <v>22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1369</v>
      </c>
      <c r="AA945">
        <v>939</v>
      </c>
    </row>
    <row r="946" spans="1:27" x14ac:dyDescent="0.25">
      <c r="A946" s="97" t="s">
        <v>2061</v>
      </c>
      <c r="B946" s="51">
        <v>20.650000000000002</v>
      </c>
      <c r="C946" s="52"/>
      <c r="D946" s="75" t="s">
        <v>2060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22</v>
      </c>
      <c r="N946" s="57" t="s">
        <v>22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2060</v>
      </c>
      <c r="AA946">
        <v>940</v>
      </c>
    </row>
    <row r="947" spans="1:27" x14ac:dyDescent="0.25">
      <c r="A947" s="149" t="s">
        <v>3869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3870</v>
      </c>
      <c r="B949" s="25" t="s">
        <v>3624</v>
      </c>
      <c r="C949" s="26"/>
      <c r="D949" s="27" t="s">
        <v>3625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2080</v>
      </c>
      <c r="B950" s="51"/>
      <c r="C950" s="52"/>
      <c r="E950" s="53"/>
      <c r="G950" s="54" t="s">
        <v>22</v>
      </c>
      <c r="H950" s="23" t="s">
        <v>22</v>
      </c>
      <c r="J950" s="63" t="s">
        <v>22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3871</v>
      </c>
      <c r="B951" s="51"/>
      <c r="C951" s="52"/>
      <c r="E951" s="53"/>
      <c r="G951" s="54" t="s">
        <v>22</v>
      </c>
      <c r="H951" s="23" t="s">
        <v>22</v>
      </c>
      <c r="J951" s="63" t="s">
        <v>22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2079</v>
      </c>
      <c r="B952" s="51">
        <v>5.6000000000000005</v>
      </c>
      <c r="C952" s="52"/>
      <c r="D952" s="75" t="s">
        <v>2077</v>
      </c>
      <c r="E952" s="70"/>
      <c r="G952" s="54"/>
      <c r="J952" s="63"/>
      <c r="L952" s="56"/>
      <c r="M952" s="57" t="s">
        <v>22</v>
      </c>
      <c r="N952" s="57" t="s">
        <v>22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2077</v>
      </c>
      <c r="AA952">
        <v>946</v>
      </c>
    </row>
    <row r="953" spans="1:27" ht="18" x14ac:dyDescent="0.25">
      <c r="A953" s="1" t="s">
        <v>2083</v>
      </c>
      <c r="B953" s="51">
        <v>5.6000000000000005</v>
      </c>
      <c r="C953" s="52"/>
      <c r="D953" s="75" t="s">
        <v>2081</v>
      </c>
      <c r="E953" s="70"/>
      <c r="G953" s="54"/>
      <c r="J953" s="63"/>
      <c r="L953" s="56"/>
      <c r="M953" s="57" t="s">
        <v>22</v>
      </c>
      <c r="N953" s="57" t="s">
        <v>22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2081</v>
      </c>
      <c r="AA953">
        <v>947</v>
      </c>
    </row>
    <row r="954" spans="1:27" x14ac:dyDescent="0.25">
      <c r="A954" s="1" t="s">
        <v>2086</v>
      </c>
      <c r="B954" s="51">
        <v>5.6000000000000005</v>
      </c>
      <c r="C954" s="52"/>
      <c r="D954" s="75" t="s">
        <v>2084</v>
      </c>
      <c r="E954" s="53"/>
      <c r="G954" s="54"/>
      <c r="J954" s="63"/>
      <c r="L954" s="56"/>
      <c r="M954" s="57" t="s">
        <v>22</v>
      </c>
      <c r="N954" s="57" t="s">
        <v>22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2084</v>
      </c>
      <c r="AA954">
        <v>948</v>
      </c>
    </row>
    <row r="955" spans="1:27" ht="18" x14ac:dyDescent="0.25">
      <c r="A955" s="66" t="s">
        <v>2089</v>
      </c>
      <c r="B955" s="51">
        <v>5.6000000000000005</v>
      </c>
      <c r="C955" s="52"/>
      <c r="D955" s="75" t="s">
        <v>2087</v>
      </c>
      <c r="E955" s="70"/>
      <c r="G955" s="54"/>
      <c r="J955" s="63"/>
      <c r="L955" s="56"/>
      <c r="M955" s="57" t="s">
        <v>22</v>
      </c>
      <c r="N955" s="57" t="s">
        <v>22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2087</v>
      </c>
      <c r="AA955">
        <v>949</v>
      </c>
    </row>
    <row r="956" spans="1:27" ht="18" x14ac:dyDescent="0.25">
      <c r="A956" s="1" t="s">
        <v>2092</v>
      </c>
      <c r="B956" s="51">
        <v>5.6000000000000005</v>
      </c>
      <c r="C956" s="52"/>
      <c r="D956" s="75" t="s">
        <v>2090</v>
      </c>
      <c r="E956" s="70"/>
      <c r="G956" s="54"/>
      <c r="J956" s="63"/>
      <c r="L956" s="56"/>
      <c r="M956" s="57" t="s">
        <v>22</v>
      </c>
      <c r="N956" s="57" t="s">
        <v>22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2090</v>
      </c>
      <c r="AA956">
        <v>950</v>
      </c>
    </row>
    <row r="957" spans="1:27" x14ac:dyDescent="0.25">
      <c r="A957" s="1" t="s">
        <v>2095</v>
      </c>
      <c r="B957" s="51">
        <v>6.5</v>
      </c>
      <c r="C957" s="52"/>
      <c r="D957" s="75" t="s">
        <v>2093</v>
      </c>
      <c r="E957" s="53"/>
      <c r="G957" s="54"/>
      <c r="J957" s="63"/>
      <c r="L957" s="56"/>
      <c r="M957" s="57" t="s">
        <v>22</v>
      </c>
      <c r="N957" s="57" t="s">
        <v>22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2093</v>
      </c>
      <c r="AA957">
        <v>951</v>
      </c>
    </row>
    <row r="958" spans="1:27" x14ac:dyDescent="0.25">
      <c r="A958" s="1" t="s">
        <v>2098</v>
      </c>
      <c r="B958" s="51">
        <v>14.450000000000001</v>
      </c>
      <c r="C958" s="52"/>
      <c r="D958" s="75" t="s">
        <v>2096</v>
      </c>
      <c r="E958" s="53"/>
      <c r="G958" s="54"/>
      <c r="J958" s="63"/>
      <c r="L958" s="56"/>
      <c r="M958" s="57" t="s">
        <v>22</v>
      </c>
      <c r="N958" s="57" t="s">
        <v>22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2096</v>
      </c>
      <c r="AA958">
        <v>952</v>
      </c>
    </row>
    <row r="959" spans="1:27" x14ac:dyDescent="0.25">
      <c r="A959" s="1" t="s">
        <v>2101</v>
      </c>
      <c r="B959" s="51">
        <v>19.05</v>
      </c>
      <c r="C959" s="52"/>
      <c r="D959" s="148" t="s">
        <v>2099</v>
      </c>
      <c r="E959" s="53"/>
      <c r="G959" s="54"/>
      <c r="J959" s="63"/>
      <c r="L959" s="56"/>
      <c r="M959" s="57" t="s">
        <v>22</v>
      </c>
      <c r="N959" s="57" t="s">
        <v>22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22</v>
      </c>
      <c r="Z959" s="2" t="s">
        <v>2099</v>
      </c>
      <c r="AA959">
        <v>953</v>
      </c>
    </row>
    <row r="960" spans="1:27" x14ac:dyDescent="0.25">
      <c r="A960" s="1" t="s">
        <v>2103</v>
      </c>
      <c r="B960" s="51">
        <v>36.050000000000004</v>
      </c>
      <c r="C960" s="52"/>
      <c r="D960" s="148" t="s">
        <v>2102</v>
      </c>
      <c r="E960" s="53"/>
      <c r="G960" s="54"/>
      <c r="J960" s="63"/>
      <c r="L960" s="56"/>
      <c r="M960" s="57" t="s">
        <v>22</v>
      </c>
      <c r="N960" s="57" t="s">
        <v>22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22</v>
      </c>
      <c r="Z960" s="2" t="s">
        <v>2102</v>
      </c>
      <c r="AA960">
        <v>954</v>
      </c>
    </row>
    <row r="961" spans="1:27" x14ac:dyDescent="0.25">
      <c r="A961" s="1" t="s">
        <v>2106</v>
      </c>
      <c r="B961" s="51">
        <v>4.75</v>
      </c>
      <c r="C961" s="52"/>
      <c r="D961" s="75" t="s">
        <v>2104</v>
      </c>
      <c r="E961" s="53"/>
      <c r="G961" s="54"/>
      <c r="J961" s="63"/>
      <c r="L961" s="56"/>
      <c r="M961" s="57" t="s">
        <v>22</v>
      </c>
      <c r="N961" s="57" t="s">
        <v>22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2104</v>
      </c>
      <c r="AA961">
        <v>955</v>
      </c>
    </row>
    <row r="962" spans="1:27" x14ac:dyDescent="0.25">
      <c r="A962" s="1" t="s">
        <v>2109</v>
      </c>
      <c r="B962" s="51">
        <v>4.75</v>
      </c>
      <c r="C962" s="52"/>
      <c r="D962" s="75" t="s">
        <v>2107</v>
      </c>
      <c r="E962" s="53"/>
      <c r="G962" s="54"/>
      <c r="J962" s="63"/>
      <c r="L962" s="56"/>
      <c r="M962" s="57" t="s">
        <v>22</v>
      </c>
      <c r="N962" s="57" t="s">
        <v>22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2107</v>
      </c>
      <c r="AA962">
        <v>956</v>
      </c>
    </row>
    <row r="963" spans="1:27" x14ac:dyDescent="0.25">
      <c r="A963" s="1" t="s">
        <v>2112</v>
      </c>
      <c r="B963" s="51">
        <v>4.75</v>
      </c>
      <c r="C963" s="52"/>
      <c r="D963" s="75" t="s">
        <v>2110</v>
      </c>
      <c r="E963" s="53"/>
      <c r="G963" s="54"/>
      <c r="J963" s="63"/>
      <c r="L963" s="56"/>
      <c r="M963" s="57" t="s">
        <v>22</v>
      </c>
      <c r="N963" s="57" t="s">
        <v>22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2110</v>
      </c>
      <c r="AA963">
        <v>957</v>
      </c>
    </row>
    <row r="964" spans="1:27" x14ac:dyDescent="0.25">
      <c r="A964" s="1" t="s">
        <v>2115</v>
      </c>
      <c r="B964" s="51">
        <v>4.75</v>
      </c>
      <c r="C964" s="52"/>
      <c r="D964" s="75" t="s">
        <v>2113</v>
      </c>
      <c r="E964" s="53"/>
      <c r="G964" s="54"/>
      <c r="J964" s="63"/>
      <c r="L964" s="56"/>
      <c r="M964" s="57" t="s">
        <v>22</v>
      </c>
      <c r="N964" s="57" t="s">
        <v>22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2113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3155</v>
      </c>
      <c r="B966" s="51"/>
      <c r="C966" s="52"/>
      <c r="E966" s="53"/>
      <c r="G966" s="54" t="s">
        <v>22</v>
      </c>
      <c r="H966" s="23" t="s">
        <v>22</v>
      </c>
      <c r="J966" s="63" t="s">
        <v>22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2118</v>
      </c>
      <c r="B967" s="51">
        <v>51</v>
      </c>
      <c r="C967" s="52"/>
      <c r="D967" s="2" t="s">
        <v>2116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22</v>
      </c>
      <c r="N967" s="57" t="s">
        <v>22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2116</v>
      </c>
      <c r="AA967">
        <v>961</v>
      </c>
    </row>
    <row r="968" spans="1:27" x14ac:dyDescent="0.25">
      <c r="A968" s="149" t="s">
        <v>3872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2122</v>
      </c>
      <c r="B969" s="51">
        <v>57.800000000000004</v>
      </c>
      <c r="C969" s="52"/>
      <c r="D969" s="2" t="s">
        <v>2120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22</v>
      </c>
      <c r="N969" s="57" t="s">
        <v>22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2120</v>
      </c>
      <c r="AA969">
        <v>963</v>
      </c>
    </row>
    <row r="970" spans="1:27" x14ac:dyDescent="0.25">
      <c r="A970" s="1" t="s">
        <v>2125</v>
      </c>
      <c r="B970" s="51">
        <v>63.150000000000006</v>
      </c>
      <c r="C970" s="52"/>
      <c r="D970" s="2" t="s">
        <v>2123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22</v>
      </c>
      <c r="N970" s="57" t="s">
        <v>22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2123</v>
      </c>
      <c r="AA970">
        <v>964</v>
      </c>
    </row>
    <row r="971" spans="1:27" x14ac:dyDescent="0.25">
      <c r="A971" s="1" t="s">
        <v>2128</v>
      </c>
      <c r="B971" s="51">
        <v>65.75</v>
      </c>
      <c r="C971" s="52"/>
      <c r="D971" s="2" t="s">
        <v>2126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22</v>
      </c>
      <c r="N971" s="57" t="s">
        <v>22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2126</v>
      </c>
      <c r="AA971">
        <v>965</v>
      </c>
    </row>
    <row r="972" spans="1:27" x14ac:dyDescent="0.25">
      <c r="A972" s="1" t="s">
        <v>2131</v>
      </c>
      <c r="B972" s="51">
        <v>107.35000000000001</v>
      </c>
      <c r="C972" s="52"/>
      <c r="D972" s="2" t="s">
        <v>2129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22</v>
      </c>
      <c r="N972" s="57" t="s">
        <v>22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2129</v>
      </c>
      <c r="AA972">
        <v>966</v>
      </c>
    </row>
    <row r="973" spans="1:27" x14ac:dyDescent="0.25">
      <c r="A973" s="1" t="s">
        <v>2133</v>
      </c>
      <c r="B973" s="51">
        <v>141.20000000000002</v>
      </c>
      <c r="C973" s="52"/>
      <c r="D973" s="2" t="s">
        <v>2132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22</v>
      </c>
      <c r="N973" s="57" t="s">
        <v>22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2132</v>
      </c>
      <c r="AA973">
        <v>967</v>
      </c>
    </row>
    <row r="974" spans="1:27" x14ac:dyDescent="0.25">
      <c r="A974" s="1" t="s">
        <v>2135</v>
      </c>
      <c r="B974" s="51">
        <v>174.3</v>
      </c>
      <c r="C974" s="52"/>
      <c r="D974" s="2" t="s">
        <v>2134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22</v>
      </c>
      <c r="N974" s="57" t="s">
        <v>22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2134</v>
      </c>
      <c r="AA974">
        <v>968</v>
      </c>
    </row>
    <row r="975" spans="1:27" x14ac:dyDescent="0.25">
      <c r="A975" s="1" t="s">
        <v>2138</v>
      </c>
      <c r="B975" s="51">
        <v>181.60000000000002</v>
      </c>
      <c r="C975" s="52"/>
      <c r="D975" s="2" t="s">
        <v>2136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22</v>
      </c>
      <c r="N975" s="57" t="s">
        <v>22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2136</v>
      </c>
      <c r="AA975">
        <v>969</v>
      </c>
    </row>
    <row r="976" spans="1:27" x14ac:dyDescent="0.25">
      <c r="A976" s="1" t="s">
        <v>2141</v>
      </c>
      <c r="B976" s="51">
        <v>71.150000000000006</v>
      </c>
      <c r="C976" s="52"/>
      <c r="D976" s="2" t="s">
        <v>2139</v>
      </c>
      <c r="E976" s="46"/>
      <c r="G976" s="54"/>
      <c r="J976" s="63"/>
      <c r="L976" s="56"/>
      <c r="M976" s="57" t="s">
        <v>22</v>
      </c>
      <c r="N976" s="57" t="s">
        <v>22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22</v>
      </c>
      <c r="Z976" s="2" t="s">
        <v>2139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2144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2143</v>
      </c>
      <c r="B979" s="51">
        <v>15.950000000000001</v>
      </c>
      <c r="C979" s="52"/>
      <c r="D979" s="75" t="s">
        <v>2142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22</v>
      </c>
      <c r="N979" s="57" t="s">
        <v>22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2142</v>
      </c>
      <c r="AA979">
        <v>973</v>
      </c>
    </row>
    <row r="980" spans="1:27" x14ac:dyDescent="0.25">
      <c r="A980" s="97" t="s">
        <v>2147</v>
      </c>
      <c r="B980" s="51">
        <v>15.950000000000001</v>
      </c>
      <c r="C980" s="52"/>
      <c r="D980" s="75" t="s">
        <v>2145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22</v>
      </c>
      <c r="N980" s="57" t="s">
        <v>22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2145</v>
      </c>
      <c r="AA980">
        <v>974</v>
      </c>
    </row>
    <row r="981" spans="1:27" x14ac:dyDescent="0.25">
      <c r="A981" s="1" t="s">
        <v>2150</v>
      </c>
      <c r="B981" s="51">
        <v>15.950000000000001</v>
      </c>
      <c r="C981" s="52"/>
      <c r="D981" s="75" t="s">
        <v>2148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22</v>
      </c>
      <c r="N981" s="57" t="s">
        <v>22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2148</v>
      </c>
      <c r="AA981">
        <v>975</v>
      </c>
    </row>
    <row r="982" spans="1:27" x14ac:dyDescent="0.25">
      <c r="A982" s="1" t="s">
        <v>2152</v>
      </c>
      <c r="B982" s="51">
        <v>15.950000000000001</v>
      </c>
      <c r="C982" s="52"/>
      <c r="D982" s="75" t="s">
        <v>2151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22</v>
      </c>
      <c r="N982" s="57" t="s">
        <v>22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2151</v>
      </c>
      <c r="AA982">
        <v>976</v>
      </c>
    </row>
    <row r="983" spans="1:27" x14ac:dyDescent="0.25">
      <c r="A983" s="1" t="s">
        <v>2154</v>
      </c>
      <c r="B983" s="51">
        <v>19.8</v>
      </c>
      <c r="C983" s="52"/>
      <c r="D983" s="75" t="s">
        <v>2153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22</v>
      </c>
      <c r="N983" s="57" t="s">
        <v>22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2153</v>
      </c>
      <c r="AA983">
        <v>977</v>
      </c>
    </row>
    <row r="984" spans="1:27" x14ac:dyDescent="0.25">
      <c r="A984" s="151" t="s">
        <v>2157</v>
      </c>
      <c r="B984" s="67">
        <v>40.450000000000003</v>
      </c>
      <c r="C984" s="68"/>
      <c r="D984" s="69" t="s">
        <v>2155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22</v>
      </c>
      <c r="N984" s="57" t="s">
        <v>22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2155</v>
      </c>
      <c r="AA984">
        <v>978</v>
      </c>
    </row>
    <row r="985" spans="1:27" x14ac:dyDescent="0.25">
      <c r="A985" s="151" t="s">
        <v>2160</v>
      </c>
      <c r="B985" s="51">
        <v>53.050000000000004</v>
      </c>
      <c r="C985" s="52"/>
      <c r="D985" s="75" t="s">
        <v>2158</v>
      </c>
      <c r="E985" s="46"/>
      <c r="G985" s="54"/>
      <c r="J985" s="63"/>
      <c r="L985" s="56"/>
      <c r="M985" s="57" t="s">
        <v>22</v>
      </c>
      <c r="N985" s="57" t="s">
        <v>22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2158</v>
      </c>
      <c r="AA985">
        <v>979</v>
      </c>
    </row>
    <row r="986" spans="1:27" x14ac:dyDescent="0.25">
      <c r="A986" s="96" t="s">
        <v>3873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3874</v>
      </c>
      <c r="B987" s="25" t="s">
        <v>3624</v>
      </c>
      <c r="C987" s="26"/>
      <c r="D987" s="27" t="s">
        <v>3625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2164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2163</v>
      </c>
      <c r="B989" s="51">
        <v>31.900000000000002</v>
      </c>
      <c r="C989" s="52"/>
      <c r="D989" s="2" t="s">
        <v>2161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22</v>
      </c>
      <c r="N989" s="57" t="s">
        <v>22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2161</v>
      </c>
      <c r="AA989">
        <v>983</v>
      </c>
    </row>
    <row r="990" spans="1:27" x14ac:dyDescent="0.25">
      <c r="A990" s="97" t="s">
        <v>2166</v>
      </c>
      <c r="B990" s="51">
        <v>18.650000000000002</v>
      </c>
      <c r="C990" s="52"/>
      <c r="D990" s="2" t="s">
        <v>2165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22</v>
      </c>
      <c r="N990" s="57" t="s">
        <v>22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2165</v>
      </c>
      <c r="AA990">
        <v>984</v>
      </c>
    </row>
    <row r="991" spans="1:27" x14ac:dyDescent="0.25">
      <c r="A991" s="97" t="s">
        <v>2168</v>
      </c>
      <c r="B991" s="51">
        <v>25.35</v>
      </c>
      <c r="C991" s="52"/>
      <c r="D991" s="2" t="s">
        <v>2167</v>
      </c>
      <c r="E991" s="53"/>
      <c r="G991" s="54"/>
      <c r="J991" s="63"/>
      <c r="L991" s="56"/>
      <c r="M991" s="57" t="s">
        <v>22</v>
      </c>
      <c r="N991" s="57" t="s">
        <v>22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2167</v>
      </c>
      <c r="AA991">
        <v>985</v>
      </c>
    </row>
    <row r="992" spans="1:27" x14ac:dyDescent="0.25">
      <c r="A992" s="145" t="s">
        <v>3875</v>
      </c>
      <c r="B992" s="51">
        <v>17.400000000000002</v>
      </c>
      <c r="C992" s="122"/>
      <c r="D992" s="123" t="s">
        <v>2002</v>
      </c>
      <c r="E992" s="124"/>
      <c r="F992" s="125"/>
      <c r="G992" s="126"/>
      <c r="H992" s="127"/>
      <c r="I992" s="125"/>
      <c r="J992" s="133"/>
      <c r="K992" s="125"/>
      <c r="L992" s="111" t="s">
        <v>3876</v>
      </c>
      <c r="M992" s="57" t="s">
        <v>22</v>
      </c>
      <c r="N992" s="57" t="s">
        <v>22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2002</v>
      </c>
      <c r="AA992">
        <v>986</v>
      </c>
    </row>
    <row r="993" spans="1:27" x14ac:dyDescent="0.25">
      <c r="A993" s="97" t="s">
        <v>2170</v>
      </c>
      <c r="B993" s="51">
        <v>31.900000000000002</v>
      </c>
      <c r="C993" s="52"/>
      <c r="D993" s="2" t="s">
        <v>2169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22</v>
      </c>
      <c r="N993" s="57" t="s">
        <v>22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2169</v>
      </c>
      <c r="AA993">
        <v>987</v>
      </c>
    </row>
    <row r="994" spans="1:27" x14ac:dyDescent="0.25">
      <c r="A994" s="97" t="s">
        <v>2172</v>
      </c>
      <c r="B994" s="51">
        <v>10.050000000000001</v>
      </c>
      <c r="C994" s="52"/>
      <c r="D994" s="75" t="s">
        <v>2171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22</v>
      </c>
      <c r="N994" s="57" t="s">
        <v>22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2171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2175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2177</v>
      </c>
      <c r="B997" s="51">
        <v>5.6000000000000005</v>
      </c>
      <c r="C997" s="52"/>
      <c r="D997" s="75" t="s">
        <v>2176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22</v>
      </c>
      <c r="N997" s="57" t="s">
        <v>22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2176</v>
      </c>
      <c r="AA997">
        <v>991</v>
      </c>
    </row>
    <row r="998" spans="1:27" x14ac:dyDescent="0.25">
      <c r="A998" s="97" t="s">
        <v>2180</v>
      </c>
      <c r="B998" s="51">
        <v>3.75</v>
      </c>
      <c r="C998" s="52"/>
      <c r="D998" s="75" t="s">
        <v>2178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22</v>
      </c>
      <c r="N998" s="57" t="s">
        <v>22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2178</v>
      </c>
      <c r="AA998">
        <v>992</v>
      </c>
    </row>
    <row r="999" spans="1:27" x14ac:dyDescent="0.25">
      <c r="A999" s="1" t="s">
        <v>2182</v>
      </c>
      <c r="B999" s="51">
        <v>9.15</v>
      </c>
      <c r="C999" s="52"/>
      <c r="D999" s="75" t="s">
        <v>2181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22</v>
      </c>
      <c r="N999" s="57" t="s">
        <v>22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2181</v>
      </c>
      <c r="AA999">
        <v>993</v>
      </c>
    </row>
    <row r="1000" spans="1:27" x14ac:dyDescent="0.25">
      <c r="A1000" s="1" t="s">
        <v>2185</v>
      </c>
      <c r="B1000" s="51">
        <v>9.7000000000000011</v>
      </c>
      <c r="C1000" s="52"/>
      <c r="D1000" s="75" t="s">
        <v>2183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22</v>
      </c>
      <c r="N1000" s="57" t="s">
        <v>22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2183</v>
      </c>
      <c r="AA1000">
        <v>994</v>
      </c>
    </row>
    <row r="1001" spans="1:27" x14ac:dyDescent="0.25">
      <c r="A1001" s="97" t="s">
        <v>2188</v>
      </c>
      <c r="B1001" s="51">
        <v>15.950000000000001</v>
      </c>
      <c r="C1001" s="52"/>
      <c r="D1001" s="75" t="s">
        <v>2186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22</v>
      </c>
      <c r="N1001" s="57" t="s">
        <v>22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2186</v>
      </c>
      <c r="AA1001">
        <v>995</v>
      </c>
    </row>
    <row r="1002" spans="1:27" x14ac:dyDescent="0.25">
      <c r="A1002" s="145" t="s">
        <v>2174</v>
      </c>
      <c r="B1002" s="51">
        <v>1.5</v>
      </c>
      <c r="C1002" s="122"/>
      <c r="D1002" s="138" t="s">
        <v>2173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3877</v>
      </c>
      <c r="M1002" s="57" t="s">
        <v>22</v>
      </c>
      <c r="N1002" s="57" t="s">
        <v>22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2173</v>
      </c>
      <c r="AA1002">
        <v>996</v>
      </c>
    </row>
    <row r="1003" spans="1:27" x14ac:dyDescent="0.25">
      <c r="A1003" s="96" t="s">
        <v>3878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3879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2191</v>
      </c>
      <c r="B1006" s="51">
        <v>33.050000000000004</v>
      </c>
      <c r="C1006" s="52"/>
      <c r="D1006" s="2" t="s">
        <v>2189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22</v>
      </c>
      <c r="N1006" s="57" t="s">
        <v>22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2189</v>
      </c>
      <c r="AA1006">
        <v>1000</v>
      </c>
    </row>
    <row r="1007" spans="1:27" x14ac:dyDescent="0.25">
      <c r="A1007" s="97" t="s">
        <v>2194</v>
      </c>
      <c r="B1007" s="51">
        <v>42.2</v>
      </c>
      <c r="C1007" s="52"/>
      <c r="D1007" s="2" t="s">
        <v>2192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22</v>
      </c>
      <c r="N1007" s="57" t="s">
        <v>22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2192</v>
      </c>
      <c r="AA1007">
        <v>1001</v>
      </c>
    </row>
    <row r="1008" spans="1:27" x14ac:dyDescent="0.25">
      <c r="A1008" s="1" t="s">
        <v>2197</v>
      </c>
      <c r="B1008" s="51">
        <v>78.150000000000006</v>
      </c>
      <c r="C1008" s="52"/>
      <c r="D1008" s="2" t="s">
        <v>2195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22</v>
      </c>
      <c r="N1008" s="57" t="s">
        <v>22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2195</v>
      </c>
      <c r="AA1008">
        <v>1002</v>
      </c>
    </row>
    <row r="1009" spans="1:27" x14ac:dyDescent="0.25">
      <c r="A1009" s="97" t="s">
        <v>2199</v>
      </c>
      <c r="B1009" s="51">
        <v>33.050000000000004</v>
      </c>
      <c r="C1009" s="52"/>
      <c r="D1009" s="2" t="s">
        <v>2198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22</v>
      </c>
      <c r="N1009" s="57" t="s">
        <v>22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2198</v>
      </c>
      <c r="AA1009">
        <v>1003</v>
      </c>
    </row>
    <row r="1010" spans="1:27" x14ac:dyDescent="0.25">
      <c r="A1010" s="97" t="s">
        <v>2202</v>
      </c>
      <c r="B1010" s="51">
        <v>46.35</v>
      </c>
      <c r="C1010" s="52"/>
      <c r="D1010" s="2" t="s">
        <v>2200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22</v>
      </c>
      <c r="N1010" s="57" t="s">
        <v>22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2200</v>
      </c>
      <c r="AA1010">
        <v>1004</v>
      </c>
    </row>
    <row r="1011" spans="1:27" x14ac:dyDescent="0.25">
      <c r="A1011" s="151" t="s">
        <v>2205</v>
      </c>
      <c r="B1011" s="51">
        <v>46.6</v>
      </c>
      <c r="C1011" s="52"/>
      <c r="D1011" s="69" t="s">
        <v>2203</v>
      </c>
      <c r="E1011" s="46"/>
      <c r="G1011" s="54"/>
      <c r="J1011" s="63"/>
      <c r="L1011" s="56"/>
      <c r="M1011" s="57" t="s">
        <v>22</v>
      </c>
      <c r="N1011" s="57" t="s">
        <v>22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22</v>
      </c>
      <c r="Z1011" s="2" t="s">
        <v>2203</v>
      </c>
      <c r="AA1011">
        <v>1005</v>
      </c>
    </row>
    <row r="1012" spans="1:27" x14ac:dyDescent="0.25">
      <c r="A1012" s="174" t="s">
        <v>2208</v>
      </c>
      <c r="B1012" s="51">
        <v>82.550000000000011</v>
      </c>
      <c r="C1012" s="52"/>
      <c r="D1012" s="69" t="s">
        <v>2206</v>
      </c>
      <c r="E1012" s="46"/>
      <c r="G1012" s="54"/>
      <c r="J1012" s="63"/>
      <c r="L1012" s="56"/>
      <c r="M1012" s="57" t="s">
        <v>22</v>
      </c>
      <c r="N1012" s="57" t="s">
        <v>22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22</v>
      </c>
      <c r="Z1012" s="2" t="s">
        <v>2206</v>
      </c>
      <c r="AA1012">
        <v>1006</v>
      </c>
    </row>
    <row r="1013" spans="1:27" x14ac:dyDescent="0.25">
      <c r="A1013" s="97" t="s">
        <v>2211</v>
      </c>
      <c r="B1013" s="51">
        <v>63.6</v>
      </c>
      <c r="C1013" s="52"/>
      <c r="D1013" s="2" t="s">
        <v>2209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22</v>
      </c>
      <c r="N1013" s="57" t="s">
        <v>22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2209</v>
      </c>
      <c r="AA1013">
        <v>1007</v>
      </c>
    </row>
    <row r="1014" spans="1:27" x14ac:dyDescent="0.25">
      <c r="A1014" s="1" t="s">
        <v>2214</v>
      </c>
      <c r="B1014" s="51">
        <v>46.35</v>
      </c>
      <c r="C1014" s="52"/>
      <c r="D1014" s="2" t="s">
        <v>2212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22</v>
      </c>
      <c r="N1014" s="57" t="s">
        <v>22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2212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2217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2216</v>
      </c>
      <c r="B1017" s="51">
        <v>41.6</v>
      </c>
      <c r="C1017" s="52"/>
      <c r="D1017" s="75" t="s">
        <v>2215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22</v>
      </c>
      <c r="N1017" s="57" t="s">
        <v>22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2215</v>
      </c>
      <c r="AA1017">
        <v>1011</v>
      </c>
    </row>
    <row r="1018" spans="1:27" x14ac:dyDescent="0.25">
      <c r="A1018" s="149" t="s">
        <v>3880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3881</v>
      </c>
      <c r="B1020" s="25" t="s">
        <v>3624</v>
      </c>
      <c r="C1020" s="26"/>
      <c r="D1020" s="27" t="s">
        <v>3625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3882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2251</v>
      </c>
      <c r="B1023" s="51">
        <v>18.600000000000001</v>
      </c>
      <c r="C1023" s="52"/>
      <c r="D1023" s="2" t="s">
        <v>2249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22</v>
      </c>
      <c r="N1023" s="57" t="s">
        <v>22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2249</v>
      </c>
      <c r="AA1023">
        <v>1017</v>
      </c>
    </row>
    <row r="1024" spans="1:27" x14ac:dyDescent="0.25">
      <c r="A1024" s="97" t="s">
        <v>2224</v>
      </c>
      <c r="B1024" s="51">
        <v>3.5500000000000003</v>
      </c>
      <c r="C1024" s="52"/>
      <c r="D1024" s="2" t="s">
        <v>2222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22</v>
      </c>
      <c r="N1024" s="57" t="s">
        <v>22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2222</v>
      </c>
      <c r="AA1024">
        <v>1018</v>
      </c>
    </row>
    <row r="1025" spans="1:27" x14ac:dyDescent="0.25">
      <c r="A1025" s="97" t="s">
        <v>2254</v>
      </c>
      <c r="B1025" s="51">
        <v>6.5</v>
      </c>
      <c r="C1025" s="52"/>
      <c r="D1025" s="2" t="s">
        <v>2253</v>
      </c>
      <c r="E1025" s="53"/>
      <c r="F1025" s="18" t="s">
        <v>3883</v>
      </c>
      <c r="G1025" s="54">
        <v>6.8250000000000002</v>
      </c>
      <c r="H1025" s="23">
        <v>6.75</v>
      </c>
      <c r="J1025" s="95">
        <v>5.25</v>
      </c>
      <c r="L1025" s="56"/>
      <c r="M1025" s="57" t="s">
        <v>22</v>
      </c>
      <c r="N1025" s="57" t="s">
        <v>22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2253</v>
      </c>
      <c r="AA1025">
        <v>1019</v>
      </c>
    </row>
    <row r="1026" spans="1:27" x14ac:dyDescent="0.25">
      <c r="A1026" s="97" t="s">
        <v>2257</v>
      </c>
      <c r="B1026" s="51">
        <v>18.600000000000001</v>
      </c>
      <c r="C1026" s="52"/>
      <c r="D1026" s="2" t="s">
        <v>2255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22</v>
      </c>
      <c r="N1026" s="57" t="s">
        <v>22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2255</v>
      </c>
      <c r="AA1026">
        <v>1020</v>
      </c>
    </row>
    <row r="1027" spans="1:27" x14ac:dyDescent="0.25">
      <c r="A1027" s="97" t="s">
        <v>2260</v>
      </c>
      <c r="B1027" s="51">
        <v>22.400000000000002</v>
      </c>
      <c r="C1027" s="52"/>
      <c r="D1027" s="2" t="s">
        <v>2258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22</v>
      </c>
      <c r="N1027" s="57" t="s">
        <v>22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2258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2252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2263</v>
      </c>
      <c r="B1030" s="51">
        <v>39.800000000000004</v>
      </c>
      <c r="C1030" s="52"/>
      <c r="D1030" s="2" t="s">
        <v>2261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22</v>
      </c>
      <c r="N1030" s="57" t="s">
        <v>22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2261</v>
      </c>
      <c r="AA1030">
        <v>1024</v>
      </c>
    </row>
    <row r="1031" spans="1:27" x14ac:dyDescent="0.25">
      <c r="A1031" s="97" t="s">
        <v>2266</v>
      </c>
      <c r="B1031" s="51">
        <v>37.15</v>
      </c>
      <c r="C1031" s="52"/>
      <c r="D1031" s="2" t="s">
        <v>2264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22</v>
      </c>
      <c r="N1031" s="57" t="s">
        <v>22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2264</v>
      </c>
      <c r="AA1031">
        <v>1025</v>
      </c>
    </row>
    <row r="1032" spans="1:27" x14ac:dyDescent="0.25">
      <c r="A1032" s="97" t="s">
        <v>2269</v>
      </c>
      <c r="B1032" s="51">
        <v>31.900000000000002</v>
      </c>
      <c r="C1032" s="52"/>
      <c r="D1032" s="2" t="s">
        <v>2267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22</v>
      </c>
      <c r="N1032" s="57" t="s">
        <v>22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2267</v>
      </c>
      <c r="AA1032">
        <v>1026</v>
      </c>
    </row>
    <row r="1033" spans="1:27" x14ac:dyDescent="0.25">
      <c r="A1033" s="97" t="s">
        <v>2272</v>
      </c>
      <c r="B1033" s="51">
        <v>26.5</v>
      </c>
      <c r="C1033" s="52"/>
      <c r="D1033" s="2" t="s">
        <v>2270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22</v>
      </c>
      <c r="N1033" s="57" t="s">
        <v>22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2270</v>
      </c>
      <c r="AA1033">
        <v>1027</v>
      </c>
    </row>
    <row r="1034" spans="1:27" x14ac:dyDescent="0.25">
      <c r="A1034" s="97" t="s">
        <v>2275</v>
      </c>
      <c r="B1034" s="51">
        <v>21.25</v>
      </c>
      <c r="C1034" s="52"/>
      <c r="D1034" s="2" t="s">
        <v>2273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22</v>
      </c>
      <c r="N1034" s="57" t="s">
        <v>22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2273</v>
      </c>
      <c r="AA1034">
        <v>1028</v>
      </c>
    </row>
    <row r="1035" spans="1:27" x14ac:dyDescent="0.25">
      <c r="A1035" s="97" t="s">
        <v>2278</v>
      </c>
      <c r="B1035" s="51">
        <v>59.6</v>
      </c>
      <c r="C1035" s="52"/>
      <c r="D1035" s="2" t="s">
        <v>2276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22</v>
      </c>
      <c r="N1035" s="57" t="s">
        <v>22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2276</v>
      </c>
      <c r="AA1035">
        <v>1029</v>
      </c>
    </row>
    <row r="1036" spans="1:27" x14ac:dyDescent="0.25">
      <c r="A1036" s="97" t="s">
        <v>2281</v>
      </c>
      <c r="B1036" s="51">
        <v>7.4</v>
      </c>
      <c r="C1036" s="52"/>
      <c r="D1036" s="2" t="s">
        <v>2279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22</v>
      </c>
      <c r="N1036" s="57" t="s">
        <v>22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2279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2284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2214</v>
      </c>
      <c r="B1039" s="51">
        <v>46.35</v>
      </c>
      <c r="C1039" s="122"/>
      <c r="D1039" s="123" t="s">
        <v>2212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3884</v>
      </c>
      <c r="M1039" s="57" t="s">
        <v>22</v>
      </c>
      <c r="N1039" s="57" t="s">
        <v>22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2212</v>
      </c>
      <c r="AA1039">
        <v>1033</v>
      </c>
    </row>
    <row r="1040" spans="1:27" x14ac:dyDescent="0.25">
      <c r="A1040" s="97" t="s">
        <v>2283</v>
      </c>
      <c r="B1040" s="51">
        <v>15.950000000000001</v>
      </c>
      <c r="C1040" s="52"/>
      <c r="D1040" s="2" t="s">
        <v>2282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22</v>
      </c>
      <c r="N1040" s="57" t="s">
        <v>22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2282</v>
      </c>
      <c r="AA1040">
        <v>1034</v>
      </c>
    </row>
    <row r="1041" spans="1:27" x14ac:dyDescent="0.25">
      <c r="A1041" s="97" t="s">
        <v>2286</v>
      </c>
      <c r="B1041" s="51">
        <v>22.400000000000002</v>
      </c>
      <c r="C1041" s="52"/>
      <c r="D1041" s="2" t="s">
        <v>2285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22</v>
      </c>
      <c r="N1041" s="57" t="s">
        <v>22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2285</v>
      </c>
      <c r="AA1041">
        <v>1035</v>
      </c>
    </row>
    <row r="1042" spans="1:27" x14ac:dyDescent="0.25">
      <c r="A1042" s="97" t="s">
        <v>2288</v>
      </c>
      <c r="B1042" s="51">
        <v>22.400000000000002</v>
      </c>
      <c r="C1042" s="52"/>
      <c r="D1042" s="2" t="s">
        <v>2287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22</v>
      </c>
      <c r="N1042" s="57" t="s">
        <v>22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2287</v>
      </c>
      <c r="AA1042">
        <v>1036</v>
      </c>
    </row>
    <row r="1043" spans="1:27" x14ac:dyDescent="0.25">
      <c r="A1043" s="24" t="s">
        <v>3885</v>
      </c>
      <c r="B1043" s="25" t="s">
        <v>3624</v>
      </c>
      <c r="C1043" s="26"/>
      <c r="D1043" s="27" t="s">
        <v>3625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3886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2228</v>
      </c>
      <c r="B1045" s="51">
        <v>13.3</v>
      </c>
      <c r="C1045" s="52"/>
      <c r="D1045" s="2" t="s">
        <v>2226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22</v>
      </c>
      <c r="N1045" s="57" t="s">
        <v>22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2226</v>
      </c>
      <c r="AA1045">
        <v>1039</v>
      </c>
    </row>
    <row r="1046" spans="1:27" ht="18" x14ac:dyDescent="0.25">
      <c r="A1046" s="97" t="s">
        <v>2230</v>
      </c>
      <c r="B1046" s="51">
        <v>5.8500000000000005</v>
      </c>
      <c r="C1046" s="52"/>
      <c r="D1046" s="2" t="s">
        <v>2229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22</v>
      </c>
      <c r="N1046" s="57" t="s">
        <v>22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2229</v>
      </c>
      <c r="AA1046">
        <v>1040</v>
      </c>
    </row>
    <row r="1047" spans="1:27" x14ac:dyDescent="0.25">
      <c r="A1047" s="145" t="s">
        <v>2224</v>
      </c>
      <c r="B1047" s="51">
        <v>3.5500000000000003</v>
      </c>
      <c r="C1047" s="122"/>
      <c r="D1047" s="123" t="s">
        <v>2222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3887</v>
      </c>
      <c r="M1047" s="57" t="s">
        <v>22</v>
      </c>
      <c r="N1047" s="57" t="s">
        <v>22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2222</v>
      </c>
      <c r="AA1047">
        <v>1041</v>
      </c>
    </row>
    <row r="1048" spans="1:27" x14ac:dyDescent="0.25">
      <c r="A1048" s="145" t="s">
        <v>2254</v>
      </c>
      <c r="B1048" s="51">
        <v>6.5</v>
      </c>
      <c r="C1048" s="122"/>
      <c r="D1048" s="123" t="s">
        <v>2253</v>
      </c>
      <c r="E1048" s="124"/>
      <c r="F1048" s="125" t="s">
        <v>3883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3888</v>
      </c>
      <c r="M1048" s="57" t="s">
        <v>22</v>
      </c>
      <c r="N1048" s="57" t="s">
        <v>22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2253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2225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2232</v>
      </c>
      <c r="B1051" s="51">
        <v>42.2</v>
      </c>
      <c r="C1051" s="52"/>
      <c r="D1051" s="2" t="s">
        <v>2231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22</v>
      </c>
      <c r="N1051" s="57" t="s">
        <v>22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2231</v>
      </c>
      <c r="AA1051">
        <v>1045</v>
      </c>
    </row>
    <row r="1052" spans="1:27" x14ac:dyDescent="0.25">
      <c r="A1052" s="97" t="s">
        <v>2235</v>
      </c>
      <c r="B1052" s="51">
        <v>42.5</v>
      </c>
      <c r="C1052" s="52"/>
      <c r="D1052" s="2" t="s">
        <v>2233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22</v>
      </c>
      <c r="N1052" s="57" t="s">
        <v>22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2233</v>
      </c>
      <c r="AA1052">
        <v>1046</v>
      </c>
    </row>
    <row r="1053" spans="1:27" x14ac:dyDescent="0.25">
      <c r="A1053" s="97" t="s">
        <v>2237</v>
      </c>
      <c r="B1053" s="51">
        <v>12.100000000000001</v>
      </c>
      <c r="C1053" s="52"/>
      <c r="D1053" s="2" t="s">
        <v>2236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22</v>
      </c>
      <c r="N1053" s="57" t="s">
        <v>22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2236</v>
      </c>
      <c r="AA1053">
        <v>1047</v>
      </c>
    </row>
    <row r="1054" spans="1:27" x14ac:dyDescent="0.25">
      <c r="A1054" s="97" t="s">
        <v>2239</v>
      </c>
      <c r="B1054" s="51">
        <v>26.5</v>
      </c>
      <c r="C1054" s="52"/>
      <c r="D1054" s="2" t="s">
        <v>2238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22</v>
      </c>
      <c r="N1054" s="57" t="s">
        <v>22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2238</v>
      </c>
      <c r="AA1054">
        <v>1048</v>
      </c>
    </row>
    <row r="1055" spans="1:27" x14ac:dyDescent="0.25">
      <c r="A1055" s="97" t="s">
        <v>2242</v>
      </c>
      <c r="B1055" s="51">
        <v>97.600000000000009</v>
      </c>
      <c r="C1055" s="52"/>
      <c r="D1055" s="2" t="s">
        <v>2240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22</v>
      </c>
      <c r="N1055" s="57" t="s">
        <v>22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2240</v>
      </c>
      <c r="AA1055">
        <v>1049</v>
      </c>
    </row>
    <row r="1056" spans="1:27" x14ac:dyDescent="0.25">
      <c r="A1056" s="97" t="s">
        <v>2245</v>
      </c>
      <c r="B1056" s="51">
        <v>189.25</v>
      </c>
      <c r="C1056" s="52"/>
      <c r="D1056" s="2" t="s">
        <v>2243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22</v>
      </c>
      <c r="N1056" s="57" t="s">
        <v>22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2243</v>
      </c>
      <c r="AA1056">
        <v>1050</v>
      </c>
    </row>
    <row r="1057" spans="1:27" x14ac:dyDescent="0.25">
      <c r="A1057" s="97" t="s">
        <v>2248</v>
      </c>
      <c r="B1057" s="51">
        <v>126.25</v>
      </c>
      <c r="C1057" s="52"/>
      <c r="D1057" s="2" t="s">
        <v>2246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22</v>
      </c>
      <c r="N1057" s="57" t="s">
        <v>22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2246</v>
      </c>
      <c r="AA1057">
        <v>1051</v>
      </c>
    </row>
    <row r="1058" spans="1:27" x14ac:dyDescent="0.25">
      <c r="A1058" s="178" t="s">
        <v>3889</v>
      </c>
      <c r="B1058" s="51" t="s">
        <v>22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3890</v>
      </c>
      <c r="B1059" s="25" t="s">
        <v>3624</v>
      </c>
      <c r="C1059" s="26"/>
      <c r="D1059" s="27" t="s">
        <v>3625</v>
      </c>
      <c r="E1059" s="28"/>
      <c r="G1059" s="54" t="s">
        <v>22</v>
      </c>
      <c r="H1059" s="23" t="s">
        <v>22</v>
      </c>
      <c r="J1059" s="63" t="s">
        <v>22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3891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1414</v>
      </c>
      <c r="B1061" s="51">
        <v>31.900000000000002</v>
      </c>
      <c r="C1061" s="52"/>
      <c r="D1061" s="2" t="s">
        <v>1412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22</v>
      </c>
      <c r="N1061" s="57" t="s">
        <v>22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1412</v>
      </c>
      <c r="AA1061">
        <v>1055</v>
      </c>
    </row>
    <row r="1062" spans="1:27" x14ac:dyDescent="0.25">
      <c r="A1062" s="1" t="s">
        <v>1468</v>
      </c>
      <c r="B1062" s="51">
        <v>45.1</v>
      </c>
      <c r="C1062" s="52"/>
      <c r="D1062" s="2" t="s">
        <v>1466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22</v>
      </c>
      <c r="N1062" s="57" t="s">
        <v>22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1466</v>
      </c>
      <c r="AA1062">
        <v>1056</v>
      </c>
    </row>
    <row r="1063" spans="1:27" x14ac:dyDescent="0.25">
      <c r="A1063" s="1" t="s">
        <v>1472</v>
      </c>
      <c r="B1063" s="51">
        <v>54.300000000000004</v>
      </c>
      <c r="C1063" s="52"/>
      <c r="D1063" s="2" t="s">
        <v>1470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22</v>
      </c>
      <c r="N1063" s="57" t="s">
        <v>22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1470</v>
      </c>
      <c r="AA1063">
        <v>1057</v>
      </c>
    </row>
    <row r="1064" spans="1:27" x14ac:dyDescent="0.25">
      <c r="A1064" s="101" t="s">
        <v>3892</v>
      </c>
      <c r="B1064" s="51"/>
      <c r="C1064" s="52"/>
      <c r="E1064" s="53"/>
      <c r="G1064" s="54" t="s">
        <v>22</v>
      </c>
      <c r="H1064" s="23" t="s">
        <v>22</v>
      </c>
      <c r="J1064" s="63" t="s">
        <v>22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22</v>
      </c>
      <c r="H1065" s="23" t="s">
        <v>22</v>
      </c>
      <c r="J1065" s="63" t="s">
        <v>22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3893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1475</v>
      </c>
      <c r="B1067" s="51">
        <v>27.75</v>
      </c>
      <c r="C1067" s="52"/>
      <c r="D1067" s="2" t="s">
        <v>1473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22</v>
      </c>
      <c r="N1067" s="57" t="s">
        <v>22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1473</v>
      </c>
      <c r="AA1067">
        <v>1061</v>
      </c>
    </row>
    <row r="1068" spans="1:27" x14ac:dyDescent="0.25">
      <c r="A1068" s="1" t="s">
        <v>1583</v>
      </c>
      <c r="B1068" s="51">
        <v>28.950000000000003</v>
      </c>
      <c r="C1068" s="52"/>
      <c r="D1068" s="2" t="s">
        <v>1581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22</v>
      </c>
      <c r="N1068" s="57" t="s">
        <v>22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1581</v>
      </c>
      <c r="AA1068">
        <v>1062</v>
      </c>
    </row>
    <row r="1069" spans="1:27" x14ac:dyDescent="0.25">
      <c r="A1069" s="1" t="s">
        <v>1479</v>
      </c>
      <c r="B1069" s="51">
        <v>7.4</v>
      </c>
      <c r="C1069" s="52"/>
      <c r="D1069" s="75" t="s">
        <v>1477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22</v>
      </c>
      <c r="N1069" s="57" t="s">
        <v>22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1477</v>
      </c>
      <c r="AA1069">
        <v>1063</v>
      </c>
    </row>
    <row r="1070" spans="1:27" x14ac:dyDescent="0.25">
      <c r="A1070" s="1" t="s">
        <v>1482</v>
      </c>
      <c r="B1070" s="51">
        <v>15.100000000000001</v>
      </c>
      <c r="C1070" s="52"/>
      <c r="D1070" s="75" t="s">
        <v>1480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22</v>
      </c>
      <c r="N1070" s="57" t="s">
        <v>22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1480</v>
      </c>
      <c r="AA1070">
        <v>1064</v>
      </c>
    </row>
    <row r="1071" spans="1:27" x14ac:dyDescent="0.25">
      <c r="A1071" s="1" t="s">
        <v>1485</v>
      </c>
      <c r="B1071" s="51">
        <v>15.950000000000001</v>
      </c>
      <c r="C1071" s="52"/>
      <c r="D1071" s="75" t="s">
        <v>1483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22</v>
      </c>
      <c r="N1071" s="57" t="s">
        <v>22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1483</v>
      </c>
      <c r="AA1071">
        <v>1065</v>
      </c>
    </row>
    <row r="1072" spans="1:27" x14ac:dyDescent="0.25">
      <c r="A1072" s="1" t="s">
        <v>1488</v>
      </c>
      <c r="B1072" s="51">
        <v>22.400000000000002</v>
      </c>
      <c r="C1072" s="52"/>
      <c r="D1072" s="75" t="s">
        <v>1486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22</v>
      </c>
      <c r="N1072" s="57" t="s">
        <v>22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1486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3894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1490</v>
      </c>
      <c r="B1075" s="51">
        <v>74</v>
      </c>
      <c r="C1075" s="52"/>
      <c r="D1075" s="2" t="s">
        <v>1489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22</v>
      </c>
      <c r="N1075" s="57" t="s">
        <v>22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1489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1507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1506</v>
      </c>
      <c r="B1078" s="51">
        <v>146.25</v>
      </c>
      <c r="C1078" s="52"/>
      <c r="D1078" s="2" t="s">
        <v>1504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22</v>
      </c>
      <c r="N1078" s="57" t="s">
        <v>22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1504</v>
      </c>
      <c r="AA1078">
        <v>1072</v>
      </c>
    </row>
    <row r="1079" spans="1:27" x14ac:dyDescent="0.25">
      <c r="A1079" s="1" t="s">
        <v>1510</v>
      </c>
      <c r="B1079" s="51">
        <v>166.5</v>
      </c>
      <c r="C1079" s="52"/>
      <c r="D1079" s="2" t="s">
        <v>1508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22</v>
      </c>
      <c r="N1079" s="57" t="s">
        <v>22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1508</v>
      </c>
      <c r="AA1079">
        <v>1073</v>
      </c>
    </row>
    <row r="1080" spans="1:27" x14ac:dyDescent="0.25">
      <c r="A1080" s="1" t="s">
        <v>1513</v>
      </c>
      <c r="B1080" s="51">
        <v>172.05</v>
      </c>
      <c r="C1080" s="52"/>
      <c r="D1080" s="2" t="s">
        <v>1511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22</v>
      </c>
      <c r="N1080" s="57" t="s">
        <v>22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22</v>
      </c>
      <c r="Y1080" s="177"/>
      <c r="Z1080" s="2" t="s">
        <v>1511</v>
      </c>
      <c r="AA1080">
        <v>1074</v>
      </c>
    </row>
    <row r="1081" spans="1:27" x14ac:dyDescent="0.25">
      <c r="A1081" s="1" t="s">
        <v>1516</v>
      </c>
      <c r="B1081" s="51">
        <v>177.35000000000002</v>
      </c>
      <c r="C1081" s="52"/>
      <c r="D1081" s="2" t="s">
        <v>1514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22</v>
      </c>
      <c r="N1081" s="57" t="s">
        <v>22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1514</v>
      </c>
      <c r="AA1081">
        <v>1075</v>
      </c>
    </row>
    <row r="1082" spans="1:27" x14ac:dyDescent="0.25">
      <c r="A1082" s="1" t="s">
        <v>1519</v>
      </c>
      <c r="B1082" s="51">
        <v>23.900000000000002</v>
      </c>
      <c r="C1082" s="52"/>
      <c r="D1082" s="75" t="s">
        <v>1517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22</v>
      </c>
      <c r="N1082" s="57" t="s">
        <v>22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1517</v>
      </c>
      <c r="AA1082">
        <v>1076</v>
      </c>
    </row>
    <row r="1083" spans="1:27" x14ac:dyDescent="0.25">
      <c r="A1083" s="1" t="s">
        <v>1522</v>
      </c>
      <c r="B1083" s="51">
        <v>25.35</v>
      </c>
      <c r="C1083" s="52"/>
      <c r="D1083" s="75" t="s">
        <v>1520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22</v>
      </c>
      <c r="N1083" s="57" t="s">
        <v>22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1520</v>
      </c>
      <c r="AA1083">
        <v>1077</v>
      </c>
    </row>
    <row r="1084" spans="1:27" x14ac:dyDescent="0.25">
      <c r="A1084" s="1" t="s">
        <v>1524</v>
      </c>
      <c r="B1084" s="51">
        <v>106.15</v>
      </c>
      <c r="C1084" s="52"/>
      <c r="D1084" s="75" t="s">
        <v>1523</v>
      </c>
      <c r="E1084" s="53"/>
      <c r="G1084" s="54"/>
      <c r="J1084" s="63"/>
      <c r="L1084" s="56"/>
      <c r="M1084" s="57" t="s">
        <v>22</v>
      </c>
      <c r="N1084" s="57" t="s">
        <v>22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22</v>
      </c>
      <c r="Z1084" s="2" t="s">
        <v>1523</v>
      </c>
      <c r="AA1084">
        <v>1078</v>
      </c>
    </row>
    <row r="1085" spans="1:27" x14ac:dyDescent="0.25">
      <c r="A1085" s="1" t="s">
        <v>1526</v>
      </c>
      <c r="B1085" s="51">
        <v>111.45</v>
      </c>
      <c r="C1085" s="52"/>
      <c r="D1085" s="69" t="s">
        <v>1525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22</v>
      </c>
      <c r="N1085" s="57" t="s">
        <v>22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22</v>
      </c>
      <c r="Z1085" s="2" t="s">
        <v>1525</v>
      </c>
      <c r="AA1085">
        <v>1079</v>
      </c>
    </row>
    <row r="1086" spans="1:27" x14ac:dyDescent="0.25">
      <c r="A1086" s="101" t="s">
        <v>3895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3896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1492</v>
      </c>
      <c r="B1089" s="51">
        <v>28.950000000000003</v>
      </c>
      <c r="C1089" s="52"/>
      <c r="D1089" s="2" t="s">
        <v>1491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22</v>
      </c>
      <c r="N1089" s="57" t="s">
        <v>22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1491</v>
      </c>
      <c r="AA1089">
        <v>1083</v>
      </c>
    </row>
    <row r="1090" spans="1:27" x14ac:dyDescent="0.25">
      <c r="A1090" s="1" t="s">
        <v>1495</v>
      </c>
      <c r="B1090" s="51">
        <v>18.05</v>
      </c>
      <c r="C1090" s="52"/>
      <c r="D1090" s="75" t="s">
        <v>1493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22</v>
      </c>
      <c r="N1090" s="57" t="s">
        <v>22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1493</v>
      </c>
      <c r="AA1090">
        <v>1084</v>
      </c>
    </row>
    <row r="1091" spans="1:27" x14ac:dyDescent="0.25">
      <c r="A1091" s="1" t="s">
        <v>1498</v>
      </c>
      <c r="B1091" s="51">
        <v>8.0500000000000007</v>
      </c>
      <c r="C1091" s="52"/>
      <c r="D1091" s="75" t="s">
        <v>1496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22</v>
      </c>
      <c r="N1091" s="57" t="s">
        <v>22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1496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1501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1500</v>
      </c>
      <c r="B1094" s="51">
        <v>22.400000000000002</v>
      </c>
      <c r="C1094" s="52"/>
      <c r="D1094" s="75" t="s">
        <v>1499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22</v>
      </c>
      <c r="N1094" s="57" t="s">
        <v>22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1499</v>
      </c>
      <c r="AA1094">
        <v>1088</v>
      </c>
    </row>
    <row r="1095" spans="1:27" x14ac:dyDescent="0.25">
      <c r="A1095" s="1" t="s">
        <v>1503</v>
      </c>
      <c r="B1095" s="51">
        <v>27.150000000000002</v>
      </c>
      <c r="C1095" s="52"/>
      <c r="D1095" s="75" t="s">
        <v>1502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22</v>
      </c>
      <c r="N1095" s="57" t="s">
        <v>22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1502</v>
      </c>
      <c r="AA1095">
        <v>1089</v>
      </c>
    </row>
    <row r="1096" spans="1:27" x14ac:dyDescent="0.25">
      <c r="A1096" s="24" t="s">
        <v>3897</v>
      </c>
      <c r="B1096" s="25" t="s">
        <v>3624</v>
      </c>
      <c r="C1096" s="26"/>
      <c r="D1096" s="27" t="s">
        <v>3625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1530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1529</v>
      </c>
      <c r="B1098" s="51">
        <v>32.75</v>
      </c>
      <c r="C1098" s="52"/>
      <c r="D1098" s="2" t="s">
        <v>1527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22</v>
      </c>
      <c r="N1098" s="57" t="s">
        <v>22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1527</v>
      </c>
      <c r="AA1098">
        <v>1092</v>
      </c>
    </row>
    <row r="1099" spans="1:27" x14ac:dyDescent="0.25">
      <c r="A1099" s="1" t="s">
        <v>1533</v>
      </c>
      <c r="B1099" s="51">
        <v>135.05000000000001</v>
      </c>
      <c r="C1099" s="52"/>
      <c r="D1099" s="2" t="s">
        <v>1531</v>
      </c>
      <c r="E1099" s="46"/>
      <c r="G1099" s="54"/>
      <c r="J1099" s="63"/>
      <c r="L1099" s="56"/>
      <c r="M1099" s="57" t="s">
        <v>22</v>
      </c>
      <c r="N1099" s="57" t="s">
        <v>22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1531</v>
      </c>
      <c r="AA1099">
        <v>1093</v>
      </c>
    </row>
    <row r="1100" spans="1:27" x14ac:dyDescent="0.25">
      <c r="A1100" s="1" t="s">
        <v>1535</v>
      </c>
      <c r="B1100" s="51">
        <v>68.95</v>
      </c>
      <c r="C1100" s="52"/>
      <c r="D1100" s="2" t="s">
        <v>1534</v>
      </c>
      <c r="E1100" s="46"/>
      <c r="G1100" s="54"/>
      <c r="J1100" s="63"/>
      <c r="L1100" s="56"/>
      <c r="M1100" s="57" t="s">
        <v>22</v>
      </c>
      <c r="N1100" s="57" t="s">
        <v>22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22</v>
      </c>
      <c r="Z1100" s="2" t="s">
        <v>1534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1538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1537</v>
      </c>
      <c r="B1103" s="51">
        <v>136.65</v>
      </c>
      <c r="C1103" s="52"/>
      <c r="D1103" s="2" t="s">
        <v>1536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22</v>
      </c>
      <c r="N1103" s="57" t="s">
        <v>22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1536</v>
      </c>
      <c r="AA1103">
        <v>1097</v>
      </c>
    </row>
    <row r="1104" spans="1:27" x14ac:dyDescent="0.25">
      <c r="A1104" s="1" t="s">
        <v>1541</v>
      </c>
      <c r="B1104" s="51">
        <v>33.050000000000004</v>
      </c>
      <c r="C1104" s="52"/>
      <c r="D1104" s="75" t="s">
        <v>1539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22</v>
      </c>
      <c r="N1104" s="57" t="s">
        <v>22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1539</v>
      </c>
      <c r="AA1104">
        <v>1098</v>
      </c>
    </row>
    <row r="1105" spans="1:27" x14ac:dyDescent="0.25">
      <c r="A1105" s="1" t="s">
        <v>1544</v>
      </c>
      <c r="B1105" s="51">
        <v>176.60000000000002</v>
      </c>
      <c r="C1105" s="52"/>
      <c r="D1105" s="75" t="s">
        <v>1542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22</v>
      </c>
      <c r="N1105" s="57" t="s">
        <v>22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1542</v>
      </c>
      <c r="AA1105">
        <v>1099</v>
      </c>
    </row>
    <row r="1106" spans="1:27" x14ac:dyDescent="0.25">
      <c r="A1106" s="1" t="s">
        <v>1546</v>
      </c>
      <c r="B1106" s="51">
        <v>189.25</v>
      </c>
      <c r="C1106" s="52"/>
      <c r="D1106" s="2" t="s">
        <v>1545</v>
      </c>
      <c r="E1106" s="46"/>
      <c r="G1106" s="54"/>
      <c r="J1106" s="63"/>
      <c r="L1106" s="56"/>
      <c r="M1106" s="57" t="s">
        <v>22</v>
      </c>
      <c r="N1106" s="57" t="s">
        <v>22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22</v>
      </c>
      <c r="Z1106" s="2" t="s">
        <v>1545</v>
      </c>
      <c r="AA1106">
        <v>1100</v>
      </c>
    </row>
    <row r="1107" spans="1:27" x14ac:dyDescent="0.25">
      <c r="A1107" s="1" t="s">
        <v>1549</v>
      </c>
      <c r="B1107" s="51">
        <v>226.45000000000002</v>
      </c>
      <c r="C1107" s="52"/>
      <c r="D1107" s="2" t="s">
        <v>1547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22</v>
      </c>
      <c r="N1107" s="57" t="s">
        <v>22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1547</v>
      </c>
      <c r="AA1107">
        <v>1101</v>
      </c>
    </row>
    <row r="1108" spans="1:27" x14ac:dyDescent="0.25">
      <c r="A1108" s="1" t="s">
        <v>1551</v>
      </c>
      <c r="B1108" s="51">
        <v>53.050000000000004</v>
      </c>
      <c r="C1108" s="52"/>
      <c r="D1108" s="75" t="s">
        <v>1550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22</v>
      </c>
      <c r="N1108" s="57" t="s">
        <v>22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1550</v>
      </c>
      <c r="AA1108">
        <v>1102</v>
      </c>
    </row>
    <row r="1109" spans="1:27" x14ac:dyDescent="0.25">
      <c r="A1109" s="1" t="s">
        <v>1553</v>
      </c>
      <c r="B1109" s="51">
        <v>26.5</v>
      </c>
      <c r="C1109" s="52"/>
      <c r="D1109" s="75" t="s">
        <v>1552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22</v>
      </c>
      <c r="N1109" s="57" t="s">
        <v>22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1552</v>
      </c>
      <c r="AA1109">
        <v>1103</v>
      </c>
    </row>
    <row r="1110" spans="1:27" x14ac:dyDescent="0.25">
      <c r="A1110" s="1" t="s">
        <v>1555</v>
      </c>
      <c r="B1110" s="51">
        <v>53.050000000000004</v>
      </c>
      <c r="C1110" s="52"/>
      <c r="D1110" s="75" t="s">
        <v>1554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22</v>
      </c>
      <c r="N1110" s="57" t="s">
        <v>22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1554</v>
      </c>
      <c r="AA1110">
        <v>1104</v>
      </c>
    </row>
    <row r="1111" spans="1:27" x14ac:dyDescent="0.25">
      <c r="A1111" s="1" t="s">
        <v>1557</v>
      </c>
      <c r="B1111" s="51">
        <v>28.950000000000003</v>
      </c>
      <c r="C1111" s="52"/>
      <c r="D1111" s="75" t="s">
        <v>1556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22</v>
      </c>
      <c r="N1111" s="57" t="s">
        <v>22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1556</v>
      </c>
      <c r="AA1111">
        <v>1105</v>
      </c>
    </row>
    <row r="1112" spans="1:27" x14ac:dyDescent="0.25">
      <c r="A1112" s="1" t="s">
        <v>1559</v>
      </c>
      <c r="B1112" s="51">
        <v>28.35</v>
      </c>
      <c r="C1112" s="52"/>
      <c r="D1112" s="75" t="s">
        <v>1558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22</v>
      </c>
      <c r="N1112" s="57" t="s">
        <v>22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1558</v>
      </c>
      <c r="AA1112">
        <v>1106</v>
      </c>
    </row>
    <row r="1113" spans="1:27" x14ac:dyDescent="0.25">
      <c r="A1113" s="1" t="s">
        <v>1562</v>
      </c>
      <c r="B1113" s="51">
        <v>28.35</v>
      </c>
      <c r="C1113" s="52"/>
      <c r="D1113" s="75" t="s">
        <v>1560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22</v>
      </c>
      <c r="N1113" s="57" t="s">
        <v>22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1560</v>
      </c>
      <c r="AA1113">
        <v>1107</v>
      </c>
    </row>
    <row r="1114" spans="1:27" x14ac:dyDescent="0.25">
      <c r="A1114" s="1" t="s">
        <v>1564</v>
      </c>
      <c r="B1114" s="51">
        <v>22.400000000000002</v>
      </c>
      <c r="C1114" s="52"/>
      <c r="D1114" s="75" t="s">
        <v>1563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22</v>
      </c>
      <c r="N1114" s="57" t="s">
        <v>22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1563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3898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1566</v>
      </c>
      <c r="B1117" s="51">
        <v>82</v>
      </c>
      <c r="C1117" s="52"/>
      <c r="D1117" s="2" t="s">
        <v>1565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22</v>
      </c>
      <c r="N1117" s="57" t="s">
        <v>22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1565</v>
      </c>
      <c r="AA1117">
        <v>1111</v>
      </c>
    </row>
    <row r="1118" spans="1:27" x14ac:dyDescent="0.25">
      <c r="A1118" s="1" t="s">
        <v>1570</v>
      </c>
      <c r="B1118" s="51">
        <v>73.7</v>
      </c>
      <c r="C1118" s="52"/>
      <c r="D1118" s="2" t="s">
        <v>1568</v>
      </c>
      <c r="L1118" s="56"/>
      <c r="M1118" s="57" t="s">
        <v>22</v>
      </c>
      <c r="N1118" s="57" t="s">
        <v>22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22</v>
      </c>
      <c r="Z1118" s="2" t="s">
        <v>1568</v>
      </c>
      <c r="AA1118">
        <v>1112</v>
      </c>
    </row>
    <row r="1119" spans="1:27" x14ac:dyDescent="0.25">
      <c r="B1119" s="51"/>
      <c r="C1119" s="52"/>
      <c r="E1119" s="53"/>
      <c r="G1119" s="54" t="s">
        <v>22</v>
      </c>
      <c r="H1119" s="23" t="s">
        <v>22</v>
      </c>
      <c r="J1119" s="17" t="s">
        <v>22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1574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1573</v>
      </c>
      <c r="B1121" s="51">
        <v>17.400000000000002</v>
      </c>
      <c r="C1121" s="52"/>
      <c r="D1121" s="2" t="s">
        <v>1571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22</v>
      </c>
      <c r="N1121" s="57" t="s">
        <v>22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1571</v>
      </c>
      <c r="AA1121">
        <v>1115</v>
      </c>
    </row>
    <row r="1122" spans="1:27" x14ac:dyDescent="0.25">
      <c r="A1122" s="1" t="s">
        <v>1576</v>
      </c>
      <c r="B1122" s="51">
        <v>25.35</v>
      </c>
      <c r="C1122" s="52"/>
      <c r="D1122" s="2" t="s">
        <v>1575</v>
      </c>
      <c r="E1122" s="53"/>
      <c r="G1122" s="54"/>
      <c r="J1122" s="63"/>
      <c r="L1122" s="56"/>
      <c r="M1122" s="57" t="s">
        <v>22</v>
      </c>
      <c r="N1122" s="57" t="s">
        <v>22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22</v>
      </c>
      <c r="Z1122" s="2" t="s">
        <v>1575</v>
      </c>
      <c r="AA1122">
        <v>1116</v>
      </c>
    </row>
    <row r="1123" spans="1:27" x14ac:dyDescent="0.25">
      <c r="A1123" s="1" t="s">
        <v>1578</v>
      </c>
      <c r="B1123" s="51">
        <v>41</v>
      </c>
      <c r="C1123" s="52"/>
      <c r="D1123" s="2" t="s">
        <v>1577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22</v>
      </c>
      <c r="N1123" s="57" t="s">
        <v>22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1577</v>
      </c>
      <c r="AA1123">
        <v>1117</v>
      </c>
    </row>
    <row r="1124" spans="1:27" x14ac:dyDescent="0.25">
      <c r="A1124" s="1" t="s">
        <v>1580</v>
      </c>
      <c r="B1124" s="51">
        <v>113.30000000000001</v>
      </c>
      <c r="C1124" s="52"/>
      <c r="D1124" s="2" t="s">
        <v>1579</v>
      </c>
      <c r="E1124" s="53"/>
      <c r="G1124" s="54"/>
      <c r="J1124" s="63"/>
      <c r="L1124" s="56"/>
      <c r="M1124" s="57" t="s">
        <v>22</v>
      </c>
      <c r="N1124" s="57" t="s">
        <v>22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22</v>
      </c>
      <c r="Z1124" s="2" t="s">
        <v>1579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3899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1586</v>
      </c>
      <c r="B1127" s="51">
        <v>51.650000000000006</v>
      </c>
      <c r="C1127" s="52"/>
      <c r="D1127" s="2" t="s">
        <v>1584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22</v>
      </c>
      <c r="N1127" s="57" t="s">
        <v>22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1584</v>
      </c>
      <c r="AA1127">
        <v>1121</v>
      </c>
    </row>
    <row r="1128" spans="1:27" ht="18" x14ac:dyDescent="0.25">
      <c r="A1128" s="1" t="s">
        <v>1588</v>
      </c>
      <c r="B1128" s="51">
        <v>73.45</v>
      </c>
      <c r="C1128" s="52"/>
      <c r="D1128" s="2" t="s">
        <v>1587</v>
      </c>
      <c r="E1128" s="70"/>
      <c r="G1128" s="54"/>
      <c r="J1128" s="63"/>
      <c r="L1128" s="56"/>
      <c r="M1128" s="57" t="s">
        <v>22</v>
      </c>
      <c r="N1128" s="57" t="s">
        <v>22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22</v>
      </c>
      <c r="Z1128" s="2" t="s">
        <v>1587</v>
      </c>
      <c r="AA1128">
        <v>1122</v>
      </c>
    </row>
    <row r="1129" spans="1:27" x14ac:dyDescent="0.25">
      <c r="A1129" s="1" t="s">
        <v>1591</v>
      </c>
      <c r="B1129" s="51">
        <v>64.850000000000009</v>
      </c>
      <c r="C1129" s="52"/>
      <c r="D1129" s="2" t="s">
        <v>1589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22</v>
      </c>
      <c r="N1129" s="57" t="s">
        <v>22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1589</v>
      </c>
      <c r="AA1129">
        <v>1123</v>
      </c>
    </row>
    <row r="1130" spans="1:27" x14ac:dyDescent="0.25">
      <c r="A1130" s="66" t="s">
        <v>1593</v>
      </c>
      <c r="B1130" s="51">
        <v>74.650000000000006</v>
      </c>
      <c r="C1130" s="52"/>
      <c r="D1130" s="2" t="s">
        <v>1592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22</v>
      </c>
      <c r="N1130" s="57" t="s">
        <v>22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1592</v>
      </c>
      <c r="AA1130">
        <v>1124</v>
      </c>
    </row>
    <row r="1131" spans="1:27" x14ac:dyDescent="0.25">
      <c r="A1131" s="1" t="s">
        <v>1595</v>
      </c>
      <c r="B1131" s="51">
        <v>80.900000000000006</v>
      </c>
      <c r="C1131" s="52"/>
      <c r="D1131" s="2" t="s">
        <v>1594</v>
      </c>
      <c r="E1131" s="46"/>
      <c r="G1131" s="54"/>
      <c r="J1131" s="63"/>
      <c r="L1131" s="56"/>
      <c r="M1131" s="57" t="s">
        <v>22</v>
      </c>
      <c r="N1131" s="57" t="s">
        <v>22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22</v>
      </c>
      <c r="Z1131" s="2" t="s">
        <v>1594</v>
      </c>
      <c r="AA1131">
        <v>1125</v>
      </c>
    </row>
    <row r="1132" spans="1:27" x14ac:dyDescent="0.25">
      <c r="A1132" s="1" t="s">
        <v>1598</v>
      </c>
      <c r="B1132" s="51">
        <v>125.75</v>
      </c>
      <c r="C1132" s="52"/>
      <c r="D1132" s="2" t="s">
        <v>1596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22</v>
      </c>
      <c r="N1132" s="57" t="s">
        <v>22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1596</v>
      </c>
      <c r="AA1132">
        <v>1126</v>
      </c>
    </row>
    <row r="1133" spans="1:27" x14ac:dyDescent="0.25">
      <c r="A1133" s="1" t="s">
        <v>1600</v>
      </c>
      <c r="B1133" s="51">
        <v>229.95000000000002</v>
      </c>
      <c r="C1133" s="52"/>
      <c r="D1133" s="2" t="s">
        <v>1599</v>
      </c>
      <c r="E1133" s="53"/>
      <c r="G1133" s="54"/>
      <c r="J1133" s="63"/>
      <c r="L1133" s="56"/>
      <c r="M1133" s="57" t="s">
        <v>22</v>
      </c>
      <c r="N1133" s="57" t="s">
        <v>22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22</v>
      </c>
      <c r="Z1133" s="2" t="s">
        <v>1599</v>
      </c>
      <c r="AA1133">
        <v>1127</v>
      </c>
    </row>
    <row r="1134" spans="1:27" x14ac:dyDescent="0.25">
      <c r="A1134" s="1" t="s">
        <v>1602</v>
      </c>
      <c r="B1134" s="51">
        <v>33.65</v>
      </c>
      <c r="C1134" s="52"/>
      <c r="D1134" s="2" t="s">
        <v>1601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22</v>
      </c>
      <c r="N1134" s="57" t="s">
        <v>22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1601</v>
      </c>
      <c r="AA1134">
        <v>1128</v>
      </c>
    </row>
    <row r="1135" spans="1:27" x14ac:dyDescent="0.25">
      <c r="A1135" s="1" t="s">
        <v>1604</v>
      </c>
      <c r="B1135" s="51">
        <v>33.65</v>
      </c>
      <c r="C1135" s="52"/>
      <c r="D1135" s="2" t="s">
        <v>1603</v>
      </c>
      <c r="E1135" s="53"/>
      <c r="G1135" s="54"/>
      <c r="J1135" s="63"/>
      <c r="L1135" s="56"/>
      <c r="M1135" s="57" t="s">
        <v>22</v>
      </c>
      <c r="N1135" s="57" t="s">
        <v>22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22</v>
      </c>
      <c r="Z1135" s="2" t="s">
        <v>1603</v>
      </c>
      <c r="AA1135">
        <v>1129</v>
      </c>
    </row>
    <row r="1136" spans="1:27" x14ac:dyDescent="0.25">
      <c r="A1136" s="1" t="s">
        <v>1606</v>
      </c>
      <c r="B1136" s="51">
        <v>41.1</v>
      </c>
      <c r="C1136" s="52"/>
      <c r="D1136" s="2" t="s">
        <v>1605</v>
      </c>
      <c r="E1136" s="53"/>
      <c r="G1136" s="54"/>
      <c r="J1136" s="63"/>
      <c r="L1136" s="56"/>
      <c r="M1136" s="57" t="s">
        <v>22</v>
      </c>
      <c r="N1136" s="57" t="s">
        <v>22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22</v>
      </c>
      <c r="Z1136" s="2" t="s">
        <v>1605</v>
      </c>
      <c r="AA1136">
        <v>1130</v>
      </c>
    </row>
    <row r="1137" spans="1:27" x14ac:dyDescent="0.25">
      <c r="A1137" t="s">
        <v>1608</v>
      </c>
      <c r="B1137" s="51">
        <v>41.1</v>
      </c>
      <c r="C1137" s="52"/>
      <c r="D1137" s="69" t="s">
        <v>1607</v>
      </c>
      <c r="E1137" s="53"/>
      <c r="G1137" s="54"/>
      <c r="J1137" s="63"/>
      <c r="L1137" s="56"/>
      <c r="M1137" s="57" t="s">
        <v>22</v>
      </c>
      <c r="N1137" s="57" t="s">
        <v>22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22</v>
      </c>
      <c r="Z1137" s="2" t="s">
        <v>1607</v>
      </c>
      <c r="AA1137">
        <v>1131</v>
      </c>
    </row>
    <row r="1138" spans="1:27" x14ac:dyDescent="0.25">
      <c r="A1138" s="121" t="s">
        <v>1794</v>
      </c>
      <c r="B1138" s="51">
        <v>58.150000000000006</v>
      </c>
      <c r="C1138" s="122"/>
      <c r="D1138" s="123" t="s">
        <v>1793</v>
      </c>
      <c r="E1138" s="134"/>
      <c r="F1138" s="125"/>
      <c r="G1138" s="126"/>
      <c r="H1138" s="127"/>
      <c r="I1138" s="125"/>
      <c r="J1138" s="133"/>
      <c r="K1138" s="125"/>
      <c r="L1138" s="146" t="s">
        <v>3900</v>
      </c>
      <c r="M1138" s="57" t="s">
        <v>22</v>
      </c>
      <c r="N1138" s="57" t="s">
        <v>22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1793</v>
      </c>
      <c r="AA1138">
        <v>1132</v>
      </c>
    </row>
    <row r="1139" spans="1:27" x14ac:dyDescent="0.25">
      <c r="A1139" s="121" t="s">
        <v>1796</v>
      </c>
      <c r="B1139" s="51">
        <v>70.75</v>
      </c>
      <c r="C1139" s="122"/>
      <c r="D1139" s="123" t="s">
        <v>1795</v>
      </c>
      <c r="E1139" s="134"/>
      <c r="F1139" s="125"/>
      <c r="G1139" s="126"/>
      <c r="H1139" s="127"/>
      <c r="I1139" s="125"/>
      <c r="J1139" s="133"/>
      <c r="K1139" s="125"/>
      <c r="L1139" s="146" t="s">
        <v>3901</v>
      </c>
      <c r="M1139" s="57" t="s">
        <v>22</v>
      </c>
      <c r="N1139" s="57" t="s">
        <v>22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1795</v>
      </c>
      <c r="AA1139">
        <v>1133</v>
      </c>
    </row>
    <row r="1140" spans="1:27" x14ac:dyDescent="0.25">
      <c r="A1140" s="121" t="s">
        <v>1799</v>
      </c>
      <c r="B1140" s="51">
        <v>21.55</v>
      </c>
      <c r="C1140" s="122"/>
      <c r="D1140" s="123" t="s">
        <v>1797</v>
      </c>
      <c r="E1140" s="134"/>
      <c r="F1140" s="125"/>
      <c r="G1140" s="126"/>
      <c r="H1140" s="127"/>
      <c r="I1140" s="125"/>
      <c r="J1140" s="133"/>
      <c r="K1140" s="125"/>
      <c r="L1140" s="146" t="s">
        <v>3902</v>
      </c>
      <c r="M1140" s="57" t="s">
        <v>22</v>
      </c>
      <c r="N1140" s="57" t="s">
        <v>22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1797</v>
      </c>
      <c r="AA1140">
        <v>1134</v>
      </c>
    </row>
    <row r="1141" spans="1:27" x14ac:dyDescent="0.25">
      <c r="A1141" s="1" t="s">
        <v>1610</v>
      </c>
      <c r="B1141" s="51">
        <v>22.400000000000002</v>
      </c>
      <c r="C1141" s="52"/>
      <c r="D1141" s="2" t="s">
        <v>1609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22</v>
      </c>
      <c r="N1141" s="57" t="s">
        <v>22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1609</v>
      </c>
      <c r="AA1141">
        <v>1135</v>
      </c>
    </row>
    <row r="1142" spans="1:27" x14ac:dyDescent="0.25">
      <c r="A1142" s="1" t="s">
        <v>1613</v>
      </c>
      <c r="B1142" s="51">
        <v>30.700000000000003</v>
      </c>
      <c r="C1142" s="52"/>
      <c r="D1142" s="75" t="s">
        <v>1611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22</v>
      </c>
      <c r="N1142" s="57" t="s">
        <v>22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1611</v>
      </c>
      <c r="AA1142">
        <v>1136</v>
      </c>
    </row>
    <row r="1143" spans="1:27" x14ac:dyDescent="0.25">
      <c r="A1143" s="1" t="s">
        <v>1615</v>
      </c>
      <c r="B1143" s="51">
        <v>25.35</v>
      </c>
      <c r="C1143" s="52"/>
      <c r="D1143" s="2" t="s">
        <v>1614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22</v>
      </c>
      <c r="N1143" s="57" t="s">
        <v>22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1614</v>
      </c>
      <c r="AA1143">
        <v>1137</v>
      </c>
    </row>
    <row r="1144" spans="1:27" x14ac:dyDescent="0.25">
      <c r="A1144" s="1" t="s">
        <v>1617</v>
      </c>
      <c r="B1144" s="51">
        <v>43.95</v>
      </c>
      <c r="C1144" s="52"/>
      <c r="D1144" s="2" t="s">
        <v>1616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22</v>
      </c>
      <c r="N1144" s="57" t="s">
        <v>22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1616</v>
      </c>
      <c r="AA1144">
        <v>1138</v>
      </c>
    </row>
    <row r="1145" spans="1:27" x14ac:dyDescent="0.25">
      <c r="A1145" s="1" t="s">
        <v>1620</v>
      </c>
      <c r="B1145" s="51">
        <v>46.400000000000006</v>
      </c>
      <c r="C1145" s="52"/>
      <c r="D1145" s="2" t="s">
        <v>1618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22</v>
      </c>
      <c r="N1145" s="57" t="s">
        <v>22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1618</v>
      </c>
      <c r="AA1145">
        <v>1139</v>
      </c>
    </row>
    <row r="1146" spans="1:27" x14ac:dyDescent="0.25">
      <c r="A1146" s="66" t="s">
        <v>1623</v>
      </c>
      <c r="B1146" s="51">
        <v>46.400000000000006</v>
      </c>
      <c r="C1146" s="52"/>
      <c r="D1146" s="69" t="s">
        <v>1621</v>
      </c>
      <c r="E1146" s="53"/>
      <c r="G1146" s="54"/>
      <c r="J1146" s="63"/>
      <c r="L1146" s="56"/>
      <c r="M1146" s="57" t="s">
        <v>22</v>
      </c>
      <c r="N1146" s="57" t="s">
        <v>22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22</v>
      </c>
      <c r="Z1146" s="2" t="s">
        <v>1621</v>
      </c>
      <c r="AA1146">
        <v>1140</v>
      </c>
    </row>
    <row r="1147" spans="1:27" x14ac:dyDescent="0.25">
      <c r="A1147" s="1" t="s">
        <v>1626</v>
      </c>
      <c r="B1147" s="51">
        <v>72.850000000000009</v>
      </c>
      <c r="C1147" s="52"/>
      <c r="D1147" s="75" t="s">
        <v>1624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22</v>
      </c>
      <c r="N1147" s="57" t="s">
        <v>22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1624</v>
      </c>
      <c r="AA1147">
        <v>1141</v>
      </c>
    </row>
    <row r="1148" spans="1:27" x14ac:dyDescent="0.25">
      <c r="A1148" s="1" t="s">
        <v>1628</v>
      </c>
      <c r="B1148" s="51">
        <v>69.600000000000009</v>
      </c>
      <c r="C1148" s="52"/>
      <c r="D1148" s="75" t="s">
        <v>1627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22</v>
      </c>
      <c r="N1148" s="57" t="s">
        <v>22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1627</v>
      </c>
      <c r="AA1148">
        <v>1142</v>
      </c>
    </row>
    <row r="1149" spans="1:27" x14ac:dyDescent="0.25">
      <c r="A1149" s="1" t="s">
        <v>1630</v>
      </c>
      <c r="B1149" s="51">
        <v>17.400000000000002</v>
      </c>
      <c r="C1149" s="52"/>
      <c r="D1149" s="75" t="s">
        <v>1629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22</v>
      </c>
      <c r="N1149" s="57" t="s">
        <v>22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1629</v>
      </c>
      <c r="AA1149">
        <v>1143</v>
      </c>
    </row>
    <row r="1150" spans="1:27" x14ac:dyDescent="0.25">
      <c r="A1150" s="24" t="s">
        <v>3897</v>
      </c>
      <c r="B1150" s="25" t="s">
        <v>3624</v>
      </c>
      <c r="C1150" s="26"/>
      <c r="D1150" s="27" t="s">
        <v>3625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1632</v>
      </c>
      <c r="B1151" s="51">
        <v>30.700000000000003</v>
      </c>
      <c r="C1151" s="52"/>
      <c r="D1151" s="2" t="s">
        <v>1631</v>
      </c>
      <c r="E1151" s="53"/>
      <c r="G1151" s="54"/>
      <c r="J1151" s="63"/>
      <c r="L1151" s="56"/>
      <c r="M1151" s="57" t="s">
        <v>22</v>
      </c>
      <c r="N1151" s="57" t="s">
        <v>22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22</v>
      </c>
      <c r="Z1151" s="2" t="s">
        <v>1631</v>
      </c>
      <c r="AA1151">
        <v>1145</v>
      </c>
    </row>
    <row r="1152" spans="1:27" x14ac:dyDescent="0.25">
      <c r="A1152" s="1" t="s">
        <v>1634</v>
      </c>
      <c r="B1152" s="51">
        <v>25.35</v>
      </c>
      <c r="C1152" s="52"/>
      <c r="D1152" s="2" t="s">
        <v>1633</v>
      </c>
      <c r="E1152" s="53"/>
      <c r="G1152" s="54"/>
      <c r="J1152" s="63"/>
      <c r="L1152" s="56"/>
      <c r="M1152" s="57" t="s">
        <v>22</v>
      </c>
      <c r="N1152" s="57" t="s">
        <v>22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22</v>
      </c>
      <c r="Z1152" s="2" t="s">
        <v>1633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3903</v>
      </c>
      <c r="B1154" s="51"/>
      <c r="G1154" s="54" t="s">
        <v>22</v>
      </c>
      <c r="H1154" s="23" t="s">
        <v>22</v>
      </c>
      <c r="J1154" s="63" t="s">
        <v>22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1636</v>
      </c>
      <c r="B1155" s="51">
        <v>113.5</v>
      </c>
      <c r="D1155" s="2" t="s">
        <v>1635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22</v>
      </c>
      <c r="N1155" s="57" t="s">
        <v>22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1635</v>
      </c>
      <c r="AA1155">
        <v>1149</v>
      </c>
    </row>
    <row r="1156" spans="1:27" x14ac:dyDescent="0.25">
      <c r="A1156" s="1" t="s">
        <v>1639</v>
      </c>
      <c r="B1156" s="51">
        <v>151.55000000000001</v>
      </c>
      <c r="D1156" s="2" t="s">
        <v>1638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22</v>
      </c>
      <c r="N1156" s="57" t="s">
        <v>22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1638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1645</v>
      </c>
      <c r="B1158" s="51"/>
      <c r="C1158" s="52"/>
      <c r="E1158" s="53"/>
      <c r="G1158" s="54" t="s">
        <v>22</v>
      </c>
      <c r="H1158" s="23" t="s">
        <v>22</v>
      </c>
      <c r="J1158" s="63" t="s">
        <v>22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1643</v>
      </c>
      <c r="B1159" s="51">
        <v>13.3</v>
      </c>
      <c r="C1159" s="52"/>
      <c r="D1159" s="75" t="s">
        <v>1642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22</v>
      </c>
      <c r="N1159" s="57" t="s">
        <v>22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1642</v>
      </c>
      <c r="AA1159">
        <v>1153</v>
      </c>
    </row>
    <row r="1160" spans="1:27" x14ac:dyDescent="0.25">
      <c r="A1160" s="97" t="s">
        <v>1647</v>
      </c>
      <c r="B1160" s="51">
        <v>24.450000000000003</v>
      </c>
      <c r="C1160" s="52"/>
      <c r="D1160" s="75" t="s">
        <v>1646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22</v>
      </c>
      <c r="N1160" s="57" t="s">
        <v>22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1646</v>
      </c>
      <c r="AA1160">
        <v>1154</v>
      </c>
    </row>
    <row r="1161" spans="1:27" x14ac:dyDescent="0.25">
      <c r="A1161" s="97" t="s">
        <v>1649</v>
      </c>
      <c r="B1161" s="51">
        <v>23.900000000000002</v>
      </c>
      <c r="C1161" s="52"/>
      <c r="D1161" s="75" t="s">
        <v>1648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22</v>
      </c>
      <c r="N1161" s="57" t="s">
        <v>22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1648</v>
      </c>
      <c r="AA1161">
        <v>1155</v>
      </c>
    </row>
    <row r="1162" spans="1:27" x14ac:dyDescent="0.25">
      <c r="A1162" s="97" t="s">
        <v>1651</v>
      </c>
      <c r="B1162" s="51">
        <v>23.900000000000002</v>
      </c>
      <c r="C1162" s="52"/>
      <c r="D1162" s="75" t="s">
        <v>1650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22</v>
      </c>
      <c r="N1162" s="57" t="s">
        <v>22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1650</v>
      </c>
      <c r="AA1162">
        <v>1156</v>
      </c>
    </row>
    <row r="1163" spans="1:27" x14ac:dyDescent="0.25">
      <c r="A1163" s="97" t="s">
        <v>1653</v>
      </c>
      <c r="B1163" s="51">
        <v>27.75</v>
      </c>
      <c r="C1163" s="52"/>
      <c r="D1163" s="75" t="s">
        <v>1652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22</v>
      </c>
      <c r="N1163" s="57" t="s">
        <v>22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1652</v>
      </c>
      <c r="AA1163">
        <v>1157</v>
      </c>
    </row>
    <row r="1164" spans="1:27" x14ac:dyDescent="0.25">
      <c r="A1164" s="97" t="s">
        <v>1655</v>
      </c>
      <c r="B1164" s="51">
        <v>13.3</v>
      </c>
      <c r="C1164" s="52"/>
      <c r="D1164" s="2" t="s">
        <v>1654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22</v>
      </c>
      <c r="N1164" s="57" t="s">
        <v>22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1654</v>
      </c>
      <c r="AA1164">
        <v>1158</v>
      </c>
    </row>
    <row r="1165" spans="1:27" x14ac:dyDescent="0.25">
      <c r="A1165" s="97" t="s">
        <v>1657</v>
      </c>
      <c r="B1165" s="51">
        <v>15.950000000000001</v>
      </c>
      <c r="C1165" s="52"/>
      <c r="D1165" s="2" t="s">
        <v>1656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22</v>
      </c>
      <c r="N1165" s="57" t="s">
        <v>22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1656</v>
      </c>
      <c r="AA1165">
        <v>1159</v>
      </c>
    </row>
    <row r="1166" spans="1:27" x14ac:dyDescent="0.25">
      <c r="A1166" s="1" t="s">
        <v>1641</v>
      </c>
      <c r="B1166" s="51">
        <v>53.050000000000004</v>
      </c>
      <c r="C1166" s="52"/>
      <c r="D1166" s="2" t="s">
        <v>1640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22</v>
      </c>
      <c r="N1166" s="57" t="s">
        <v>22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1640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22</v>
      </c>
      <c r="H1167" s="23" t="s">
        <v>22</v>
      </c>
      <c r="J1167" s="63" t="s">
        <v>22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22</v>
      </c>
      <c r="H1168" s="23" t="s">
        <v>22</v>
      </c>
      <c r="J1168" s="63" t="s">
        <v>22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22</v>
      </c>
      <c r="H1169" s="23" t="s">
        <v>22</v>
      </c>
      <c r="J1169" s="63" t="s">
        <v>22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3904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7</v>
      </c>
      <c r="I1" t="s">
        <v>12</v>
      </c>
      <c r="J1" s="186" t="s">
        <v>3905</v>
      </c>
      <c r="K1" t="s">
        <v>3906</v>
      </c>
      <c r="L1" t="s">
        <v>3907</v>
      </c>
      <c r="M1" t="s">
        <v>11</v>
      </c>
      <c r="N1" t="s">
        <v>3908</v>
      </c>
      <c r="O1" t="s">
        <v>3909</v>
      </c>
      <c r="P1" t="s">
        <v>13</v>
      </c>
    </row>
    <row r="2" spans="1:16" x14ac:dyDescent="0.25">
      <c r="A2" t="s">
        <v>1383</v>
      </c>
      <c r="B2" t="s">
        <v>3910</v>
      </c>
      <c r="C2" t="s">
        <v>1384</v>
      </c>
      <c r="D2">
        <v>11.1</v>
      </c>
      <c r="E2" t="s">
        <v>3156</v>
      </c>
      <c r="H2" t="b">
        <v>0</v>
      </c>
      <c r="I2" t="s">
        <v>22</v>
      </c>
      <c r="J2" s="186" t="s">
        <v>1380</v>
      </c>
      <c r="M2" t="str">
        <f>IFERROR(_xlfn.XLOOKUP(A2,Fleet!A:A,Fleet!E:E,""),"")</f>
        <v/>
      </c>
      <c r="N2" t="s">
        <v>1383</v>
      </c>
      <c r="O2" t="s">
        <v>3237</v>
      </c>
      <c r="P2" t="str">
        <f>_xlfn.XLOOKUP(A2,'Classic Net to delete'!D:D,'Classic Net to delete'!A:A,"")</f>
        <v/>
      </c>
    </row>
    <row r="3" spans="1:16" x14ac:dyDescent="0.25">
      <c r="A3" t="s">
        <v>1652</v>
      </c>
      <c r="B3" t="s">
        <v>3911</v>
      </c>
      <c r="C3" t="s">
        <v>1653</v>
      </c>
      <c r="D3">
        <v>27.75</v>
      </c>
      <c r="E3" t="s">
        <v>3156</v>
      </c>
      <c r="F3" s="186" t="s">
        <v>1645</v>
      </c>
      <c r="H3" t="b">
        <v>1</v>
      </c>
      <c r="I3">
        <v>27.75</v>
      </c>
      <c r="J3" s="186" t="s">
        <v>1380</v>
      </c>
      <c r="M3" t="str">
        <f>IFERROR(_xlfn.XLOOKUP(A3,Fleet!A:A,Fleet!E:E,""),"")</f>
        <v/>
      </c>
      <c r="N3" t="s">
        <v>1652</v>
      </c>
      <c r="O3" t="s">
        <v>3230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1650</v>
      </c>
      <c r="B4" t="s">
        <v>3911</v>
      </c>
      <c r="C4" t="s">
        <v>1651</v>
      </c>
      <c r="D4">
        <v>23.9</v>
      </c>
      <c r="E4" t="s">
        <v>3156</v>
      </c>
      <c r="F4" s="186" t="s">
        <v>1645</v>
      </c>
      <c r="H4" t="b">
        <v>1</v>
      </c>
      <c r="I4">
        <v>23.900000000000002</v>
      </c>
      <c r="J4" s="186" t="s">
        <v>1380</v>
      </c>
      <c r="M4" t="str">
        <f>IFERROR(_xlfn.XLOOKUP(A4,Fleet!A:A,Fleet!E:E,""),"")</f>
        <v/>
      </c>
      <c r="N4" t="s">
        <v>1650</v>
      </c>
      <c r="O4" t="s">
        <v>3230</v>
      </c>
      <c r="P4" t="str">
        <f>_xlfn.XLOOKUP(A4,'Classic Net to delete'!D:D,'Classic Net to delete'!A:A,"")</f>
        <v>Rubbish Chute Hopper</v>
      </c>
    </row>
    <row r="5" spans="1:16" x14ac:dyDescent="0.25">
      <c r="A5" t="s">
        <v>1381</v>
      </c>
      <c r="B5" t="s">
        <v>3911</v>
      </c>
      <c r="C5" t="s">
        <v>1382</v>
      </c>
      <c r="D5">
        <v>23.9</v>
      </c>
      <c r="E5" t="s">
        <v>3156</v>
      </c>
      <c r="H5" t="b">
        <v>0</v>
      </c>
      <c r="I5" t="s">
        <v>22</v>
      </c>
      <c r="J5" s="186" t="s">
        <v>1380</v>
      </c>
      <c r="M5" t="str">
        <f>IFERROR(_xlfn.XLOOKUP(A5,Fleet!A:A,Fleet!E:E,""),"")</f>
        <v/>
      </c>
      <c r="N5" t="s">
        <v>1381</v>
      </c>
      <c r="O5" t="s">
        <v>3230</v>
      </c>
      <c r="P5" t="str">
        <f>_xlfn.XLOOKUP(A5,'Classic Net to delete'!D:D,'Classic Net to delete'!A:A,"")</f>
        <v/>
      </c>
    </row>
    <row r="6" spans="1:16" x14ac:dyDescent="0.25">
      <c r="A6" t="s">
        <v>1648</v>
      </c>
      <c r="B6" t="s">
        <v>3911</v>
      </c>
      <c r="C6" t="s">
        <v>1649</v>
      </c>
      <c r="D6">
        <v>23.9</v>
      </c>
      <c r="E6" t="s">
        <v>3156</v>
      </c>
      <c r="F6" s="186" t="s">
        <v>1645</v>
      </c>
      <c r="H6" t="b">
        <v>1</v>
      </c>
      <c r="I6">
        <v>23.900000000000002</v>
      </c>
      <c r="J6" s="186" t="s">
        <v>1380</v>
      </c>
      <c r="M6" t="str">
        <f>IFERROR(_xlfn.XLOOKUP(A6,Fleet!A:A,Fleet!E:E,""),"")</f>
        <v/>
      </c>
      <c r="N6" t="s">
        <v>1648</v>
      </c>
      <c r="O6" t="s">
        <v>3230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1646</v>
      </c>
      <c r="B7" t="s">
        <v>3911</v>
      </c>
      <c r="C7" t="s">
        <v>1647</v>
      </c>
      <c r="D7">
        <v>24.45</v>
      </c>
      <c r="E7" t="s">
        <v>3156</v>
      </c>
      <c r="F7" s="186" t="s">
        <v>1645</v>
      </c>
      <c r="H7" t="b">
        <v>1</v>
      </c>
      <c r="I7">
        <v>24.450000000000003</v>
      </c>
      <c r="J7" s="186" t="s">
        <v>1380</v>
      </c>
      <c r="M7" t="str">
        <f>IFERROR(_xlfn.XLOOKUP(A7,Fleet!A:A,Fleet!E:E,""),"")</f>
        <v/>
      </c>
      <c r="N7" t="s">
        <v>1646</v>
      </c>
      <c r="O7" t="s">
        <v>3230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1642</v>
      </c>
      <c r="B8" t="s">
        <v>3911</v>
      </c>
      <c r="C8" t="s">
        <v>1643</v>
      </c>
      <c r="D8">
        <v>13.3</v>
      </c>
      <c r="E8" t="s">
        <v>3156</v>
      </c>
      <c r="F8" s="186" t="s">
        <v>1645</v>
      </c>
      <c r="H8" t="b">
        <v>1</v>
      </c>
      <c r="I8">
        <v>13.3</v>
      </c>
      <c r="J8" s="186" t="s">
        <v>1380</v>
      </c>
      <c r="M8" t="str">
        <f>IFERROR(_xlfn.XLOOKUP(A8,Fleet!A:A,Fleet!E:E,""),"")</f>
        <v/>
      </c>
      <c r="N8" t="s">
        <v>1642</v>
      </c>
      <c r="O8" t="s">
        <v>3230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1656</v>
      </c>
      <c r="B9" t="s">
        <v>3911</v>
      </c>
      <c r="C9" t="s">
        <v>1657</v>
      </c>
      <c r="D9">
        <v>15.95</v>
      </c>
      <c r="E9" t="s">
        <v>3156</v>
      </c>
      <c r="F9" s="186" t="s">
        <v>1645</v>
      </c>
      <c r="H9" t="b">
        <v>1</v>
      </c>
      <c r="I9">
        <v>15.950000000000001</v>
      </c>
      <c r="J9" s="186" t="s">
        <v>1380</v>
      </c>
      <c r="M9" t="str">
        <f>IFERROR(_xlfn.XLOOKUP(A9,Fleet!A:A,Fleet!E:E,""),"")</f>
        <v/>
      </c>
      <c r="N9" t="s">
        <v>1656</v>
      </c>
      <c r="O9" t="s">
        <v>3230</v>
      </c>
      <c r="P9" t="str">
        <f>_xlfn.XLOOKUP(A9,'Classic Net to delete'!D:D,'Classic Net to delete'!A:A,"")</f>
        <v>Wheelie Bin, 240L</v>
      </c>
    </row>
    <row r="10" spans="1:16" x14ac:dyDescent="0.25">
      <c r="A10" t="s">
        <v>1654</v>
      </c>
      <c r="B10" t="s">
        <v>3911</v>
      </c>
      <c r="C10" t="s">
        <v>1655</v>
      </c>
      <c r="D10">
        <v>13.3</v>
      </c>
      <c r="E10" t="s">
        <v>3156</v>
      </c>
      <c r="F10" s="186" t="s">
        <v>1645</v>
      </c>
      <c r="H10" t="b">
        <v>1</v>
      </c>
      <c r="I10">
        <v>13.3</v>
      </c>
      <c r="J10" s="186" t="s">
        <v>1380</v>
      </c>
      <c r="M10" t="str">
        <f>IFERROR(_xlfn.XLOOKUP(A10,Fleet!A:A,Fleet!E:E,""),"")</f>
        <v/>
      </c>
      <c r="N10" t="s">
        <v>1654</v>
      </c>
      <c r="O10" t="s">
        <v>3230</v>
      </c>
      <c r="P10" t="str">
        <f>_xlfn.XLOOKUP(A10,'Classic Net to delete'!D:D,'Classic Net to delete'!A:A,"")</f>
        <v>Wheelie Bin, 140L</v>
      </c>
    </row>
    <row r="11" spans="1:16" x14ac:dyDescent="0.25">
      <c r="A11" t="s">
        <v>1378</v>
      </c>
      <c r="B11" t="s">
        <v>3912</v>
      </c>
      <c r="C11" t="s">
        <v>1379</v>
      </c>
      <c r="D11">
        <v>20.65</v>
      </c>
      <c r="E11" t="s">
        <v>3156</v>
      </c>
      <c r="H11" t="b">
        <v>0</v>
      </c>
      <c r="I11" t="s">
        <v>22</v>
      </c>
      <c r="J11" s="186" t="s">
        <v>1380</v>
      </c>
      <c r="M11" t="str">
        <f>IFERROR(_xlfn.XLOOKUP(A11,Fleet!A:A,Fleet!E:E,""),"")</f>
        <v/>
      </c>
      <c r="N11" t="s">
        <v>1378</v>
      </c>
      <c r="O11" t="s">
        <v>3229</v>
      </c>
      <c r="P11" t="str">
        <f>_xlfn.XLOOKUP(A11,'Classic Net to delete'!D:D,'Classic Net to delete'!A:A,"")</f>
        <v/>
      </c>
    </row>
    <row r="12" spans="1:16" x14ac:dyDescent="0.25">
      <c r="A12" t="s">
        <v>3020</v>
      </c>
      <c r="B12" t="s">
        <v>3912</v>
      </c>
      <c r="C12" t="s">
        <v>3021</v>
      </c>
      <c r="D12">
        <v>14.45</v>
      </c>
      <c r="E12" t="s">
        <v>3156</v>
      </c>
      <c r="H12" t="b">
        <v>0</v>
      </c>
      <c r="I12" t="s">
        <v>22</v>
      </c>
      <c r="M12" t="str">
        <f>IFERROR(_xlfn.XLOOKUP(A12,Fleet!A:A,Fleet!E:E,""),"")</f>
        <v/>
      </c>
      <c r="N12" t="s">
        <v>3020</v>
      </c>
      <c r="O12" t="s">
        <v>3229</v>
      </c>
      <c r="P12" t="str">
        <f>_xlfn.XLOOKUP(A12,'Classic Net to delete'!D:D,'Classic Net to delete'!A:A,"")</f>
        <v/>
      </c>
    </row>
    <row r="13" spans="1:16" x14ac:dyDescent="0.25">
      <c r="A13" t="s">
        <v>3018</v>
      </c>
      <c r="B13" t="s">
        <v>3912</v>
      </c>
      <c r="C13" t="s">
        <v>3019</v>
      </c>
      <c r="D13">
        <v>14.45</v>
      </c>
      <c r="E13" t="s">
        <v>3156</v>
      </c>
      <c r="H13" t="b">
        <v>0</v>
      </c>
      <c r="I13" t="s">
        <v>22</v>
      </c>
      <c r="M13" t="str">
        <f>IFERROR(_xlfn.XLOOKUP(A13,Fleet!A:A,Fleet!E:E,""),"")</f>
        <v/>
      </c>
      <c r="N13" t="s">
        <v>3018</v>
      </c>
      <c r="O13" t="s">
        <v>3229</v>
      </c>
      <c r="P13" t="str">
        <f>_xlfn.XLOOKUP(A13,'Classic Net to delete'!D:D,'Classic Net to delete'!A:A,"")</f>
        <v/>
      </c>
    </row>
    <row r="14" spans="1:16" x14ac:dyDescent="0.25">
      <c r="A14" t="s">
        <v>3016</v>
      </c>
      <c r="B14" t="s">
        <v>3912</v>
      </c>
      <c r="C14" t="s">
        <v>3017</v>
      </c>
      <c r="D14">
        <v>7.4</v>
      </c>
      <c r="E14" t="s">
        <v>3156</v>
      </c>
      <c r="H14" t="b">
        <v>0</v>
      </c>
      <c r="I14" t="s">
        <v>22</v>
      </c>
      <c r="M14" t="str">
        <f>IFERROR(_xlfn.XLOOKUP(A14,Fleet!A:A,Fleet!E:E,""),"")</f>
        <v/>
      </c>
      <c r="N14" t="s">
        <v>3016</v>
      </c>
      <c r="O14" t="s">
        <v>3229</v>
      </c>
      <c r="P14" t="str">
        <f>_xlfn.XLOOKUP(A14,'Classic Net to delete'!D:D,'Classic Net to delete'!A:A,"")</f>
        <v/>
      </c>
    </row>
    <row r="15" spans="1:16" x14ac:dyDescent="0.25">
      <c r="A15" t="s">
        <v>3014</v>
      </c>
      <c r="B15" t="s">
        <v>3912</v>
      </c>
      <c r="C15" t="s">
        <v>3015</v>
      </c>
      <c r="D15">
        <v>7.4</v>
      </c>
      <c r="E15" t="s">
        <v>3156</v>
      </c>
      <c r="H15" t="b">
        <v>0</v>
      </c>
      <c r="I15" t="s">
        <v>22</v>
      </c>
      <c r="M15" t="str">
        <f>IFERROR(_xlfn.XLOOKUP(A15,Fleet!A:A,Fleet!E:E,""),"")</f>
        <v/>
      </c>
      <c r="N15" t="s">
        <v>3014</v>
      </c>
      <c r="O15" t="s">
        <v>3229</v>
      </c>
      <c r="P15" t="str">
        <f>_xlfn.XLOOKUP(A15,'Classic Net to delete'!D:D,'Classic Net to delete'!A:A,"")</f>
        <v/>
      </c>
    </row>
    <row r="16" spans="1:16" x14ac:dyDescent="0.25">
      <c r="A16" t="s">
        <v>3012</v>
      </c>
      <c r="B16" t="s">
        <v>3912</v>
      </c>
      <c r="C16" t="s">
        <v>3013</v>
      </c>
      <c r="D16">
        <v>7.4</v>
      </c>
      <c r="E16" t="s">
        <v>3156</v>
      </c>
      <c r="H16" t="b">
        <v>0</v>
      </c>
      <c r="I16" t="s">
        <v>22</v>
      </c>
      <c r="M16" t="str">
        <f>IFERROR(_xlfn.XLOOKUP(A16,Fleet!A:A,Fleet!E:E,""),"")</f>
        <v/>
      </c>
      <c r="N16" t="s">
        <v>3012</v>
      </c>
      <c r="O16" t="s">
        <v>3229</v>
      </c>
      <c r="P16" t="str">
        <f>_xlfn.XLOOKUP(A16,'Classic Net to delete'!D:D,'Classic Net to delete'!A:A,"")</f>
        <v/>
      </c>
    </row>
    <row r="17" spans="1:16" x14ac:dyDescent="0.25">
      <c r="A17" t="s">
        <v>3010</v>
      </c>
      <c r="B17" t="s">
        <v>3912</v>
      </c>
      <c r="C17" t="s">
        <v>3011</v>
      </c>
      <c r="D17">
        <v>7.4</v>
      </c>
      <c r="E17" t="s">
        <v>3156</v>
      </c>
      <c r="H17" t="b">
        <v>0</v>
      </c>
      <c r="I17" t="s">
        <v>22</v>
      </c>
      <c r="M17" t="str">
        <f>IFERROR(_xlfn.XLOOKUP(A17,Fleet!A:A,Fleet!E:E,""),"")</f>
        <v/>
      </c>
      <c r="N17" t="s">
        <v>3010</v>
      </c>
      <c r="O17" t="s">
        <v>3229</v>
      </c>
      <c r="P17" t="str">
        <f>_xlfn.XLOOKUP(A17,'Classic Net to delete'!D:D,'Classic Net to delete'!A:A,"")</f>
        <v/>
      </c>
    </row>
    <row r="18" spans="1:16" x14ac:dyDescent="0.25">
      <c r="A18" t="s">
        <v>3008</v>
      </c>
      <c r="B18" t="s">
        <v>3912</v>
      </c>
      <c r="C18" t="s">
        <v>3009</v>
      </c>
      <c r="D18">
        <v>14.45</v>
      </c>
      <c r="E18" t="s">
        <v>3156</v>
      </c>
      <c r="H18" t="b">
        <v>0</v>
      </c>
      <c r="I18" t="s">
        <v>22</v>
      </c>
      <c r="M18" t="str">
        <f>IFERROR(_xlfn.XLOOKUP(A18,Fleet!A:A,Fleet!E:E,""),"")</f>
        <v/>
      </c>
      <c r="N18" t="s">
        <v>3008</v>
      </c>
      <c r="O18" t="s">
        <v>3229</v>
      </c>
      <c r="P18" t="str">
        <f>_xlfn.XLOOKUP(A18,'Classic Net to delete'!D:D,'Classic Net to delete'!A:A,"")</f>
        <v/>
      </c>
    </row>
    <row r="19" spans="1:16" x14ac:dyDescent="0.25">
      <c r="A19" t="s">
        <v>3006</v>
      </c>
      <c r="B19" t="s">
        <v>3912</v>
      </c>
      <c r="C19" t="s">
        <v>3007</v>
      </c>
      <c r="D19">
        <v>7.4</v>
      </c>
      <c r="E19" t="s">
        <v>3156</v>
      </c>
      <c r="H19" t="b">
        <v>0</v>
      </c>
      <c r="I19" t="s">
        <v>22</v>
      </c>
      <c r="M19" t="str">
        <f>IFERROR(_xlfn.XLOOKUP(A19,Fleet!A:A,Fleet!E:E,""),"")</f>
        <v/>
      </c>
      <c r="N19" t="s">
        <v>3006</v>
      </c>
      <c r="O19" t="s">
        <v>3229</v>
      </c>
      <c r="P19" t="str">
        <f>_xlfn.XLOOKUP(A19,'Classic Net to delete'!D:D,'Classic Net to delete'!A:A,"")</f>
        <v/>
      </c>
    </row>
    <row r="20" spans="1:16" x14ac:dyDescent="0.25">
      <c r="A20" t="s">
        <v>3004</v>
      </c>
      <c r="B20" t="s">
        <v>3912</v>
      </c>
      <c r="C20" t="s">
        <v>3005</v>
      </c>
      <c r="D20">
        <v>7.4</v>
      </c>
      <c r="E20" t="s">
        <v>3156</v>
      </c>
      <c r="H20" t="b">
        <v>0</v>
      </c>
      <c r="I20" t="s">
        <v>22</v>
      </c>
      <c r="M20" t="str">
        <f>IFERROR(_xlfn.XLOOKUP(A20,Fleet!A:A,Fleet!E:E,""),"")</f>
        <v/>
      </c>
      <c r="N20" t="s">
        <v>3004</v>
      </c>
      <c r="O20" t="s">
        <v>3229</v>
      </c>
      <c r="P20" t="str">
        <f>_xlfn.XLOOKUP(A20,'Classic Net to delete'!D:D,'Classic Net to delete'!A:A,"")</f>
        <v/>
      </c>
    </row>
    <row r="21" spans="1:16" x14ac:dyDescent="0.25">
      <c r="A21" t="s">
        <v>3002</v>
      </c>
      <c r="B21" t="s">
        <v>3912</v>
      </c>
      <c r="C21" t="s">
        <v>3003</v>
      </c>
      <c r="D21">
        <v>7.4</v>
      </c>
      <c r="E21" t="s">
        <v>3156</v>
      </c>
      <c r="H21" t="b">
        <v>0</v>
      </c>
      <c r="I21" t="s">
        <v>22</v>
      </c>
      <c r="M21" t="str">
        <f>IFERROR(_xlfn.XLOOKUP(A21,Fleet!A:A,Fleet!E:E,""),"")</f>
        <v/>
      </c>
      <c r="N21" t="s">
        <v>3002</v>
      </c>
      <c r="O21" t="s">
        <v>3229</v>
      </c>
      <c r="P21" t="str">
        <f>_xlfn.XLOOKUP(A21,'Classic Net to delete'!D:D,'Classic Net to delete'!A:A,"")</f>
        <v/>
      </c>
    </row>
    <row r="22" spans="1:16" x14ac:dyDescent="0.25">
      <c r="A22" t="s">
        <v>1477</v>
      </c>
      <c r="B22" t="s">
        <v>3912</v>
      </c>
      <c r="C22" t="s">
        <v>1478</v>
      </c>
      <c r="D22">
        <v>7.4</v>
      </c>
      <c r="E22" t="s">
        <v>3156</v>
      </c>
      <c r="F22" s="186" t="s">
        <v>3893</v>
      </c>
      <c r="H22" t="b">
        <v>1</v>
      </c>
      <c r="I22">
        <v>7.4</v>
      </c>
      <c r="J22" s="186" t="s">
        <v>1380</v>
      </c>
      <c r="M22" t="str">
        <f>IFERROR(_xlfn.XLOOKUP(A22,Fleet!A:A,Fleet!E:E,""),"")</f>
        <v/>
      </c>
      <c r="N22" t="s">
        <v>1477</v>
      </c>
      <c r="O22" t="s">
        <v>3229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3000</v>
      </c>
      <c r="B23" t="s">
        <v>3913</v>
      </c>
      <c r="C23" t="s">
        <v>3001</v>
      </c>
      <c r="D23">
        <v>34.5</v>
      </c>
      <c r="E23" t="s">
        <v>3156</v>
      </c>
      <c r="H23" t="b">
        <v>0</v>
      </c>
      <c r="I23" t="s">
        <v>22</v>
      </c>
      <c r="M23" t="str">
        <f>IFERROR(_xlfn.XLOOKUP(A23,Fleet!A:A,Fleet!E:E,""),"")</f>
        <v/>
      </c>
      <c r="N23" t="s">
        <v>3000</v>
      </c>
      <c r="O23" t="s">
        <v>3228</v>
      </c>
      <c r="P23" t="str">
        <f>_xlfn.XLOOKUP(A23,'Classic Net to delete'!D:D,'Classic Net to delete'!A:A,"")</f>
        <v/>
      </c>
    </row>
    <row r="24" spans="1:16" x14ac:dyDescent="0.25">
      <c r="A24" t="s">
        <v>3000</v>
      </c>
      <c r="B24" t="s">
        <v>3001</v>
      </c>
      <c r="C24" t="s">
        <v>3001</v>
      </c>
      <c r="D24">
        <v>34.5</v>
      </c>
      <c r="E24" t="s">
        <v>3106</v>
      </c>
      <c r="H24" t="b">
        <v>0</v>
      </c>
      <c r="I24" t="s">
        <v>22</v>
      </c>
      <c r="M24" t="str">
        <f>IFERROR(_xlfn.XLOOKUP(A24,Fleet!A:A,Fleet!E:E,""),"")</f>
        <v/>
      </c>
      <c r="N24" t="s">
        <v>3000</v>
      </c>
      <c r="O24" t="s">
        <v>3119</v>
      </c>
      <c r="P24" t="str">
        <f>_xlfn.XLOOKUP(A24,'Classic Net to delete'!D:D,'Classic Net to delete'!A:A,"")</f>
        <v/>
      </c>
    </row>
    <row r="25" spans="1:16" x14ac:dyDescent="0.25">
      <c r="A25" t="s">
        <v>2998</v>
      </c>
      <c r="B25" t="s">
        <v>3913</v>
      </c>
      <c r="C25" t="s">
        <v>2999</v>
      </c>
      <c r="D25">
        <v>26.5</v>
      </c>
      <c r="E25" t="s">
        <v>3156</v>
      </c>
      <c r="H25" t="b">
        <v>0</v>
      </c>
      <c r="I25" t="s">
        <v>22</v>
      </c>
      <c r="M25" t="str">
        <f>IFERROR(_xlfn.XLOOKUP(A25,Fleet!A:A,Fleet!E:E,""),"")</f>
        <v/>
      </c>
      <c r="N25" t="s">
        <v>2998</v>
      </c>
      <c r="O25" t="s">
        <v>3228</v>
      </c>
      <c r="P25" t="str">
        <f>_xlfn.XLOOKUP(A25,'Classic Net to delete'!D:D,'Classic Net to delete'!A:A,"")</f>
        <v/>
      </c>
    </row>
    <row r="26" spans="1:16" x14ac:dyDescent="0.25">
      <c r="A26" t="s">
        <v>1517</v>
      </c>
      <c r="B26" t="s">
        <v>3913</v>
      </c>
      <c r="C26" t="s">
        <v>1518</v>
      </c>
      <c r="D26">
        <v>23.9</v>
      </c>
      <c r="E26" t="s">
        <v>3156</v>
      </c>
      <c r="F26" s="186" t="s">
        <v>1507</v>
      </c>
      <c r="H26" t="b">
        <v>1</v>
      </c>
      <c r="I26">
        <v>23.900000000000002</v>
      </c>
      <c r="J26" s="186" t="s">
        <v>1380</v>
      </c>
      <c r="M26" t="str">
        <f>IFERROR(_xlfn.XLOOKUP(A26,Fleet!A:A,Fleet!E:E,""),"")</f>
        <v/>
      </c>
      <c r="N26" t="s">
        <v>1517</v>
      </c>
      <c r="O26" t="s">
        <v>3228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1480</v>
      </c>
      <c r="B27" t="s">
        <v>3913</v>
      </c>
      <c r="C27" t="s">
        <v>1481</v>
      </c>
      <c r="D27">
        <v>15.1</v>
      </c>
      <c r="E27" t="s">
        <v>3156</v>
      </c>
      <c r="F27" s="186" t="s">
        <v>3893</v>
      </c>
      <c r="H27" t="b">
        <v>1</v>
      </c>
      <c r="I27">
        <v>15.100000000000001</v>
      </c>
      <c r="J27" s="186" t="s">
        <v>1380</v>
      </c>
      <c r="M27" t="str">
        <f>IFERROR(_xlfn.XLOOKUP(A27,Fleet!A:A,Fleet!E:E,""),"")</f>
        <v/>
      </c>
      <c r="N27" t="s">
        <v>1480</v>
      </c>
      <c r="O27" t="s">
        <v>3228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1486</v>
      </c>
      <c r="B28" t="s">
        <v>3913</v>
      </c>
      <c r="C28" t="s">
        <v>1487</v>
      </c>
      <c r="D28">
        <v>22.4</v>
      </c>
      <c r="E28" t="s">
        <v>3156</v>
      </c>
      <c r="F28" s="186" t="s">
        <v>3893</v>
      </c>
      <c r="H28" t="b">
        <v>1</v>
      </c>
      <c r="I28">
        <v>22.400000000000002</v>
      </c>
      <c r="J28" s="186" t="s">
        <v>1380</v>
      </c>
      <c r="M28" t="str">
        <f>IFERROR(_xlfn.XLOOKUP(A28,Fleet!A:A,Fleet!E:E,""),"")</f>
        <v/>
      </c>
      <c r="N28" t="s">
        <v>1486</v>
      </c>
      <c r="O28" t="s">
        <v>3228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1483</v>
      </c>
      <c r="B29" t="s">
        <v>3913</v>
      </c>
      <c r="C29" t="s">
        <v>1484</v>
      </c>
      <c r="D29">
        <v>15.95</v>
      </c>
      <c r="E29" t="s">
        <v>3156</v>
      </c>
      <c r="F29" s="186" t="s">
        <v>3893</v>
      </c>
      <c r="H29" t="b">
        <v>1</v>
      </c>
      <c r="I29">
        <v>15.950000000000001</v>
      </c>
      <c r="J29" s="186" t="s">
        <v>1380</v>
      </c>
      <c r="M29" t="str">
        <f>IFERROR(_xlfn.XLOOKUP(A29,Fleet!A:A,Fleet!E:E,""),"")</f>
        <v/>
      </c>
      <c r="N29" t="s">
        <v>1483</v>
      </c>
      <c r="O29" t="s">
        <v>3228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1629</v>
      </c>
      <c r="B30" t="s">
        <v>3913</v>
      </c>
      <c r="C30" t="s">
        <v>1630</v>
      </c>
      <c r="D30">
        <v>17.399999999999999</v>
      </c>
      <c r="E30" t="s">
        <v>3156</v>
      </c>
      <c r="F30" s="186" t="s">
        <v>3893</v>
      </c>
      <c r="H30" t="b">
        <v>1</v>
      </c>
      <c r="I30">
        <v>17.400000000000002</v>
      </c>
      <c r="J30" s="186" t="s">
        <v>1380</v>
      </c>
      <c r="M30" t="str">
        <f>IFERROR(_xlfn.XLOOKUP(A30,Fleet!A:A,Fleet!E:E,""),"")</f>
        <v/>
      </c>
      <c r="N30" t="s">
        <v>1629</v>
      </c>
      <c r="O30" t="s">
        <v>3228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1629</v>
      </c>
      <c r="B31" t="s">
        <v>1630</v>
      </c>
      <c r="C31" t="s">
        <v>1630</v>
      </c>
      <c r="D31">
        <v>17.399999999999999</v>
      </c>
      <c r="E31" t="s">
        <v>3106</v>
      </c>
      <c r="F31" s="186" t="s">
        <v>3893</v>
      </c>
      <c r="H31" t="b">
        <v>1</v>
      </c>
      <c r="I31">
        <v>17.400000000000002</v>
      </c>
      <c r="J31" s="186" t="s">
        <v>1380</v>
      </c>
      <c r="M31" t="str">
        <f>IFERROR(_xlfn.XLOOKUP(A31,Fleet!A:A,Fleet!E:E,""),"")</f>
        <v/>
      </c>
      <c r="N31" t="s">
        <v>1629</v>
      </c>
      <c r="O31" t="s">
        <v>3116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1502</v>
      </c>
      <c r="B32" t="s">
        <v>3913</v>
      </c>
      <c r="C32" t="s">
        <v>1503</v>
      </c>
      <c r="D32">
        <v>27.15</v>
      </c>
      <c r="E32" t="s">
        <v>3156</v>
      </c>
      <c r="F32" s="186" t="s">
        <v>3893</v>
      </c>
      <c r="H32" t="b">
        <v>1</v>
      </c>
      <c r="I32">
        <v>27.150000000000002</v>
      </c>
      <c r="J32" s="186" t="s">
        <v>1380</v>
      </c>
      <c r="M32" t="str">
        <f>IFERROR(_xlfn.XLOOKUP(A32,Fleet!A:A,Fleet!E:E,""),"")</f>
        <v/>
      </c>
      <c r="N32" t="s">
        <v>1502</v>
      </c>
      <c r="O32" t="s">
        <v>3228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1499</v>
      </c>
      <c r="B33" t="s">
        <v>3913</v>
      </c>
      <c r="C33" t="s">
        <v>1500</v>
      </c>
      <c r="D33">
        <v>22.4</v>
      </c>
      <c r="E33" t="s">
        <v>3156</v>
      </c>
      <c r="F33" s="186" t="s">
        <v>3893</v>
      </c>
      <c r="H33" t="b">
        <v>1</v>
      </c>
      <c r="I33">
        <v>22.400000000000002</v>
      </c>
      <c r="J33" s="186" t="s">
        <v>1380</v>
      </c>
      <c r="M33" t="str">
        <f>IFERROR(_xlfn.XLOOKUP(A33,Fleet!A:A,Fleet!E:E,""),"")</f>
        <v/>
      </c>
      <c r="N33" t="s">
        <v>1499</v>
      </c>
      <c r="O33" t="s">
        <v>3228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1496</v>
      </c>
      <c r="B34" t="s">
        <v>3913</v>
      </c>
      <c r="C34" t="s">
        <v>1497</v>
      </c>
      <c r="D34">
        <v>8.0500000000000007</v>
      </c>
      <c r="E34" t="s">
        <v>3156</v>
      </c>
      <c r="F34" s="186" t="s">
        <v>3893</v>
      </c>
      <c r="H34" t="b">
        <v>1</v>
      </c>
      <c r="I34">
        <v>8.0500000000000007</v>
      </c>
      <c r="J34" s="186" t="s">
        <v>1380</v>
      </c>
      <c r="M34" t="str">
        <f>IFERROR(_xlfn.XLOOKUP(A34,Fleet!A:A,Fleet!E:E,""),"")</f>
        <v/>
      </c>
      <c r="N34" t="s">
        <v>1496</v>
      </c>
      <c r="O34" t="s">
        <v>3228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1493</v>
      </c>
      <c r="B35" t="s">
        <v>3913</v>
      </c>
      <c r="C35" t="s">
        <v>1494</v>
      </c>
      <c r="D35">
        <v>18.05</v>
      </c>
      <c r="E35" t="s">
        <v>3156</v>
      </c>
      <c r="F35" s="186" t="s">
        <v>3893</v>
      </c>
      <c r="H35" t="b">
        <v>1</v>
      </c>
      <c r="I35">
        <v>18.05</v>
      </c>
      <c r="J35" s="186" t="s">
        <v>1380</v>
      </c>
      <c r="M35" t="str">
        <f>IFERROR(_xlfn.XLOOKUP(A35,Fleet!A:A,Fleet!E:E,""),"")</f>
        <v/>
      </c>
      <c r="N35" t="s">
        <v>1493</v>
      </c>
      <c r="O35" t="s">
        <v>3228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2996</v>
      </c>
      <c r="B36" t="s">
        <v>3913</v>
      </c>
      <c r="C36" t="s">
        <v>2997</v>
      </c>
      <c r="D36">
        <v>12.65</v>
      </c>
      <c r="E36" t="s">
        <v>3156</v>
      </c>
      <c r="H36" t="b">
        <v>0</v>
      </c>
      <c r="I36" t="s">
        <v>22</v>
      </c>
      <c r="M36" t="str">
        <f>IFERROR(_xlfn.XLOOKUP(A36,Fleet!A:A,Fleet!E:E,""),"")</f>
        <v/>
      </c>
      <c r="N36" t="s">
        <v>2996</v>
      </c>
      <c r="O36" t="s">
        <v>3228</v>
      </c>
      <c r="P36" t="str">
        <f>_xlfn.XLOOKUP(A36,'Classic Net to delete'!D:D,'Classic Net to delete'!A:A,"")</f>
        <v/>
      </c>
    </row>
    <row r="37" spans="1:16" x14ac:dyDescent="0.25">
      <c r="A37" t="s">
        <v>1563</v>
      </c>
      <c r="B37" t="s">
        <v>3914</v>
      </c>
      <c r="C37" t="s">
        <v>1564</v>
      </c>
      <c r="D37">
        <v>22.4</v>
      </c>
      <c r="E37" t="s">
        <v>3156</v>
      </c>
      <c r="F37" s="186" t="s">
        <v>1538</v>
      </c>
      <c r="H37" t="b">
        <v>1</v>
      </c>
      <c r="I37">
        <v>22.400000000000002</v>
      </c>
      <c r="J37" s="186" t="s">
        <v>1380</v>
      </c>
      <c r="M37" t="str">
        <f>IFERROR(_xlfn.XLOOKUP(A37,Fleet!A:A,Fleet!E:E,""),"")</f>
        <v/>
      </c>
      <c r="N37" t="s">
        <v>1563</v>
      </c>
      <c r="O37" t="s">
        <v>3227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1560</v>
      </c>
      <c r="B38" t="s">
        <v>3914</v>
      </c>
      <c r="C38" t="s">
        <v>1561</v>
      </c>
      <c r="D38">
        <v>28.35</v>
      </c>
      <c r="E38" t="s">
        <v>3156</v>
      </c>
      <c r="F38" s="186" t="s">
        <v>1538</v>
      </c>
      <c r="H38" t="b">
        <v>1</v>
      </c>
      <c r="I38">
        <v>28.35</v>
      </c>
      <c r="J38" s="186" t="s">
        <v>1380</v>
      </c>
      <c r="M38" t="str">
        <f>IFERROR(_xlfn.XLOOKUP(A38,Fleet!A:A,Fleet!E:E,""),"")</f>
        <v/>
      </c>
      <c r="N38" t="s">
        <v>1560</v>
      </c>
      <c r="O38" t="s">
        <v>3227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1558</v>
      </c>
      <c r="B39" t="s">
        <v>3914</v>
      </c>
      <c r="C39" t="s">
        <v>1559</v>
      </c>
      <c r="D39">
        <v>28.35</v>
      </c>
      <c r="E39" t="s">
        <v>3156</v>
      </c>
      <c r="F39" s="186" t="s">
        <v>1538</v>
      </c>
      <c r="H39" t="b">
        <v>1</v>
      </c>
      <c r="I39">
        <v>28.35</v>
      </c>
      <c r="J39" s="186" t="s">
        <v>1380</v>
      </c>
      <c r="M39" t="str">
        <f>IFERROR(_xlfn.XLOOKUP(A39,Fleet!A:A,Fleet!E:E,""),"")</f>
        <v/>
      </c>
      <c r="N39" t="s">
        <v>1558</v>
      </c>
      <c r="O39" t="s">
        <v>3227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1556</v>
      </c>
      <c r="B40" t="s">
        <v>3914</v>
      </c>
      <c r="C40" t="s">
        <v>1557</v>
      </c>
      <c r="D40">
        <v>28.95</v>
      </c>
      <c r="E40" t="s">
        <v>3156</v>
      </c>
      <c r="F40" s="186" t="s">
        <v>1538</v>
      </c>
      <c r="H40" t="b">
        <v>1</v>
      </c>
      <c r="I40">
        <v>28.950000000000003</v>
      </c>
      <c r="J40" s="186" t="s">
        <v>1380</v>
      </c>
      <c r="M40" t="str">
        <f>IFERROR(_xlfn.XLOOKUP(A40,Fleet!A:A,Fleet!E:E,""),"")</f>
        <v/>
      </c>
      <c r="N40" t="s">
        <v>1556</v>
      </c>
      <c r="O40" t="s">
        <v>3227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1554</v>
      </c>
      <c r="B41" t="s">
        <v>3914</v>
      </c>
      <c r="C41" t="s">
        <v>1555</v>
      </c>
      <c r="D41">
        <v>53.05</v>
      </c>
      <c r="E41" t="s">
        <v>3156</v>
      </c>
      <c r="F41" s="186" t="s">
        <v>1538</v>
      </c>
      <c r="H41" t="b">
        <v>1</v>
      </c>
      <c r="I41">
        <v>53.050000000000004</v>
      </c>
      <c r="J41" s="186" t="s">
        <v>1380</v>
      </c>
      <c r="M41" t="str">
        <f>IFERROR(_xlfn.XLOOKUP(A41,Fleet!A:A,Fleet!E:E,""),"")</f>
        <v/>
      </c>
      <c r="N41" t="s">
        <v>1554</v>
      </c>
      <c r="O41" t="s">
        <v>3227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1550</v>
      </c>
      <c r="B42" t="s">
        <v>3914</v>
      </c>
      <c r="C42" t="s">
        <v>1551</v>
      </c>
      <c r="D42">
        <v>53.05</v>
      </c>
      <c r="E42" t="s">
        <v>3156</v>
      </c>
      <c r="F42" s="186" t="s">
        <v>1538</v>
      </c>
      <c r="H42" t="b">
        <v>1</v>
      </c>
      <c r="I42">
        <v>53.050000000000004</v>
      </c>
      <c r="J42" s="186" t="s">
        <v>1380</v>
      </c>
      <c r="M42" t="str">
        <f>IFERROR(_xlfn.XLOOKUP(A42,Fleet!A:A,Fleet!E:E,""),"")</f>
        <v/>
      </c>
      <c r="N42" t="s">
        <v>1550</v>
      </c>
      <c r="O42" t="s">
        <v>3227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1552</v>
      </c>
      <c r="B43" t="s">
        <v>3914</v>
      </c>
      <c r="C43" t="s">
        <v>1553</v>
      </c>
      <c r="D43">
        <v>26.5</v>
      </c>
      <c r="E43" t="s">
        <v>3156</v>
      </c>
      <c r="F43" s="186" t="s">
        <v>1538</v>
      </c>
      <c r="H43" t="b">
        <v>1</v>
      </c>
      <c r="I43">
        <v>26.5</v>
      </c>
      <c r="J43" s="186" t="s">
        <v>1380</v>
      </c>
      <c r="M43" t="str">
        <f>IFERROR(_xlfn.XLOOKUP(A43,Fleet!A:A,Fleet!E:E,""),"")</f>
        <v/>
      </c>
      <c r="N43" t="s">
        <v>1552</v>
      </c>
      <c r="O43" t="s">
        <v>3227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2994</v>
      </c>
      <c r="B44" t="s">
        <v>3915</v>
      </c>
      <c r="C44" t="s">
        <v>2995</v>
      </c>
      <c r="D44">
        <v>16.2</v>
      </c>
      <c r="E44" t="s">
        <v>3156</v>
      </c>
      <c r="H44" t="b">
        <v>0</v>
      </c>
      <c r="I44" t="s">
        <v>22</v>
      </c>
      <c r="M44" t="str">
        <f>IFERROR(_xlfn.XLOOKUP(A44,Fleet!A:A,Fleet!E:E,""),"")</f>
        <v/>
      </c>
      <c r="N44" t="s">
        <v>2994</v>
      </c>
      <c r="O44" t="s">
        <v>3226</v>
      </c>
      <c r="P44" t="str">
        <f>_xlfn.XLOOKUP(A44,'Classic Net to delete'!D:D,'Classic Net to delete'!A:A,"")</f>
        <v/>
      </c>
    </row>
    <row r="45" spans="1:16" x14ac:dyDescent="0.25">
      <c r="A45" t="s">
        <v>2992</v>
      </c>
      <c r="B45" t="s">
        <v>3915</v>
      </c>
      <c r="C45" t="s">
        <v>2993</v>
      </c>
      <c r="D45">
        <v>7.65</v>
      </c>
      <c r="E45" t="s">
        <v>3156</v>
      </c>
      <c r="H45" t="b">
        <v>0</v>
      </c>
      <c r="I45" t="s">
        <v>22</v>
      </c>
      <c r="M45" t="str">
        <f>IFERROR(_xlfn.XLOOKUP(A45,Fleet!A:A,Fleet!E:E,""),"")</f>
        <v/>
      </c>
      <c r="N45" t="s">
        <v>2992</v>
      </c>
      <c r="O45" t="s">
        <v>3226</v>
      </c>
      <c r="P45" t="str">
        <f>_xlfn.XLOOKUP(A45,'Classic Net to delete'!D:D,'Classic Net to delete'!A:A,"")</f>
        <v/>
      </c>
    </row>
    <row r="46" spans="1:16" x14ac:dyDescent="0.25">
      <c r="A46" t="s">
        <v>2287</v>
      </c>
      <c r="B46" t="s">
        <v>3915</v>
      </c>
      <c r="C46" t="s">
        <v>2288</v>
      </c>
      <c r="D46">
        <v>22.4</v>
      </c>
      <c r="E46" t="s">
        <v>3156</v>
      </c>
      <c r="F46" s="186" t="s">
        <v>2284</v>
      </c>
      <c r="H46" t="b">
        <v>1</v>
      </c>
      <c r="I46">
        <v>22.400000000000002</v>
      </c>
      <c r="J46" s="186" t="s">
        <v>2220</v>
      </c>
      <c r="M46" t="str">
        <f>IFERROR(_xlfn.XLOOKUP(A46,Fleet!A:A,Fleet!E:E,""),"")</f>
        <v/>
      </c>
      <c r="N46" t="s">
        <v>2287</v>
      </c>
      <c r="O46" t="s">
        <v>3226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2285</v>
      </c>
      <c r="B47" t="s">
        <v>3915</v>
      </c>
      <c r="C47" t="s">
        <v>2286</v>
      </c>
      <c r="D47">
        <v>22.4</v>
      </c>
      <c r="E47" t="s">
        <v>3156</v>
      </c>
      <c r="F47" s="186" t="s">
        <v>2284</v>
      </c>
      <c r="H47" t="b">
        <v>1</v>
      </c>
      <c r="I47">
        <v>22.400000000000002</v>
      </c>
      <c r="J47" s="186" t="s">
        <v>2220</v>
      </c>
      <c r="M47" t="str">
        <f>IFERROR(_xlfn.XLOOKUP(A47,Fleet!A:A,Fleet!E:E,""),"")</f>
        <v/>
      </c>
      <c r="N47" t="s">
        <v>2285</v>
      </c>
      <c r="O47" t="s">
        <v>3226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2282</v>
      </c>
      <c r="B48" t="s">
        <v>3915</v>
      </c>
      <c r="C48" t="s">
        <v>2283</v>
      </c>
      <c r="D48">
        <v>15.95</v>
      </c>
      <c r="E48" t="s">
        <v>3156</v>
      </c>
      <c r="F48" s="186" t="s">
        <v>2284</v>
      </c>
      <c r="H48" t="b">
        <v>1</v>
      </c>
      <c r="I48">
        <v>15.950000000000001</v>
      </c>
      <c r="J48" s="186" t="s">
        <v>2220</v>
      </c>
      <c r="M48" t="str">
        <f>IFERROR(_xlfn.XLOOKUP(A48,Fleet!A:A,Fleet!E:E,""),"")</f>
        <v/>
      </c>
      <c r="N48" t="s">
        <v>2282</v>
      </c>
      <c r="O48" t="s">
        <v>3226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2279</v>
      </c>
      <c r="B49" t="s">
        <v>3915</v>
      </c>
      <c r="C49" t="s">
        <v>2280</v>
      </c>
      <c r="D49">
        <v>7.4</v>
      </c>
      <c r="E49" t="s">
        <v>3156</v>
      </c>
      <c r="F49" s="186" t="s">
        <v>2252</v>
      </c>
      <c r="H49" t="b">
        <v>1</v>
      </c>
      <c r="I49">
        <v>7.4</v>
      </c>
      <c r="J49" s="186" t="s">
        <v>2220</v>
      </c>
      <c r="M49" t="str">
        <f>IFERROR(_xlfn.XLOOKUP(A49,Fleet!A:A,Fleet!E:E,""),"")</f>
        <v/>
      </c>
      <c r="N49" t="s">
        <v>2279</v>
      </c>
      <c r="O49" t="s">
        <v>3226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2276</v>
      </c>
      <c r="B50" t="s">
        <v>3915</v>
      </c>
      <c r="C50" t="s">
        <v>2277</v>
      </c>
      <c r="D50">
        <v>59.6</v>
      </c>
      <c r="E50" t="s">
        <v>3156</v>
      </c>
      <c r="F50" s="186" t="s">
        <v>2252</v>
      </c>
      <c r="H50" t="b">
        <v>1</v>
      </c>
      <c r="I50">
        <v>59.6</v>
      </c>
      <c r="J50" s="186" t="s">
        <v>2220</v>
      </c>
      <c r="M50" t="str">
        <f>IFERROR(_xlfn.XLOOKUP(A50,Fleet!A:A,Fleet!E:E,""),"")</f>
        <v/>
      </c>
      <c r="N50" t="s">
        <v>2276</v>
      </c>
      <c r="O50" t="s">
        <v>3226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2267</v>
      </c>
      <c r="B51" t="s">
        <v>3915</v>
      </c>
      <c r="C51" t="s">
        <v>2268</v>
      </c>
      <c r="D51">
        <v>31.9</v>
      </c>
      <c r="E51" t="s">
        <v>3156</v>
      </c>
      <c r="F51" s="186" t="s">
        <v>2252</v>
      </c>
      <c r="H51" t="b">
        <v>1</v>
      </c>
      <c r="I51">
        <v>31.900000000000002</v>
      </c>
      <c r="J51" s="186" t="s">
        <v>2220</v>
      </c>
      <c r="M51" t="str">
        <f>IFERROR(_xlfn.XLOOKUP(A51,Fleet!A:A,Fleet!E:E,""),"")</f>
        <v/>
      </c>
      <c r="N51" t="s">
        <v>2267</v>
      </c>
      <c r="O51" t="s">
        <v>3226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2270</v>
      </c>
      <c r="B52" t="s">
        <v>3915</v>
      </c>
      <c r="C52" t="s">
        <v>2271</v>
      </c>
      <c r="D52">
        <v>26.5</v>
      </c>
      <c r="E52" t="s">
        <v>3156</v>
      </c>
      <c r="F52" s="186" t="s">
        <v>2252</v>
      </c>
      <c r="H52" t="b">
        <v>1</v>
      </c>
      <c r="I52">
        <v>26.5</v>
      </c>
      <c r="J52" s="186" t="s">
        <v>2220</v>
      </c>
      <c r="M52" t="str">
        <f>IFERROR(_xlfn.XLOOKUP(A52,Fleet!A:A,Fleet!E:E,""),"")</f>
        <v/>
      </c>
      <c r="N52" t="s">
        <v>2270</v>
      </c>
      <c r="O52" t="s">
        <v>3226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2273</v>
      </c>
      <c r="B53" t="s">
        <v>3915</v>
      </c>
      <c r="C53" t="s">
        <v>2274</v>
      </c>
      <c r="D53">
        <v>21.25</v>
      </c>
      <c r="E53" t="s">
        <v>3156</v>
      </c>
      <c r="F53" s="186" t="s">
        <v>2252</v>
      </c>
      <c r="H53" t="b">
        <v>1</v>
      </c>
      <c r="I53">
        <v>21.25</v>
      </c>
      <c r="J53" s="186" t="s">
        <v>2220</v>
      </c>
      <c r="M53" t="str">
        <f>IFERROR(_xlfn.XLOOKUP(A53,Fleet!A:A,Fleet!E:E,""),"")</f>
        <v/>
      </c>
      <c r="N53" t="s">
        <v>2273</v>
      </c>
      <c r="O53" t="s">
        <v>3226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2261</v>
      </c>
      <c r="B54" t="s">
        <v>3915</v>
      </c>
      <c r="C54" t="s">
        <v>2262</v>
      </c>
      <c r="D54">
        <v>39.799999999999997</v>
      </c>
      <c r="E54" t="s">
        <v>3156</v>
      </c>
      <c r="F54" s="186" t="s">
        <v>2252</v>
      </c>
      <c r="H54" t="b">
        <v>1</v>
      </c>
      <c r="I54">
        <v>39.800000000000004</v>
      </c>
      <c r="J54" s="186" t="s">
        <v>2220</v>
      </c>
      <c r="M54" t="str">
        <f>IFERROR(_xlfn.XLOOKUP(A54,Fleet!A:A,Fleet!E:E,""),"")</f>
        <v/>
      </c>
      <c r="N54" t="s">
        <v>2261</v>
      </c>
      <c r="O54" t="s">
        <v>3226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2264</v>
      </c>
      <c r="B55" t="s">
        <v>3915</v>
      </c>
      <c r="C55" t="s">
        <v>2265</v>
      </c>
      <c r="D55">
        <v>37.15</v>
      </c>
      <c r="E55" t="s">
        <v>3156</v>
      </c>
      <c r="F55" s="186" t="s">
        <v>2252</v>
      </c>
      <c r="H55" t="b">
        <v>1</v>
      </c>
      <c r="I55">
        <v>37.15</v>
      </c>
      <c r="J55" s="186" t="s">
        <v>2220</v>
      </c>
      <c r="M55" t="str">
        <f>IFERROR(_xlfn.XLOOKUP(A55,Fleet!A:A,Fleet!E:E,""),"")</f>
        <v/>
      </c>
      <c r="N55" t="s">
        <v>2264</v>
      </c>
      <c r="O55" t="s">
        <v>3226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2255</v>
      </c>
      <c r="B56" t="s">
        <v>3915</v>
      </c>
      <c r="C56" t="s">
        <v>2256</v>
      </c>
      <c r="D56">
        <v>18.600000000000001</v>
      </c>
      <c r="E56" t="s">
        <v>3156</v>
      </c>
      <c r="F56" s="186" t="s">
        <v>2252</v>
      </c>
      <c r="H56" t="b">
        <v>1</v>
      </c>
      <c r="I56">
        <v>18.600000000000001</v>
      </c>
      <c r="J56" s="186" t="s">
        <v>2220</v>
      </c>
      <c r="M56" t="str">
        <f>IFERROR(_xlfn.XLOOKUP(A56,Fleet!A:A,Fleet!E:E,""),"")</f>
        <v/>
      </c>
      <c r="N56" t="s">
        <v>2255</v>
      </c>
      <c r="O56" t="s">
        <v>3226</v>
      </c>
      <c r="P56" t="str">
        <f>_xlfn.XLOOKUP(A56,'Classic Net to delete'!D:D,'Classic Net to delete'!A:A,"")</f>
        <v>Meeting Table</v>
      </c>
    </row>
    <row r="57" spans="1:16" x14ac:dyDescent="0.25">
      <c r="A57" t="s">
        <v>2253</v>
      </c>
      <c r="B57" t="s">
        <v>3915</v>
      </c>
      <c r="C57" t="s">
        <v>2254</v>
      </c>
      <c r="D57">
        <v>6.5</v>
      </c>
      <c r="E57" t="s">
        <v>3156</v>
      </c>
      <c r="F57" s="186" t="s">
        <v>2252</v>
      </c>
      <c r="H57" t="b">
        <v>1</v>
      </c>
      <c r="I57">
        <v>6.5</v>
      </c>
      <c r="J57" s="186" t="s">
        <v>2220</v>
      </c>
      <c r="M57" t="str">
        <f>IFERROR(_xlfn.XLOOKUP(A57,Fleet!A:A,Fleet!E:E,""),"")</f>
        <v/>
      </c>
      <c r="N57" t="s">
        <v>2253</v>
      </c>
      <c r="O57" t="s">
        <v>3226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2249</v>
      </c>
      <c r="B58" t="s">
        <v>3915</v>
      </c>
      <c r="C58" t="s">
        <v>2250</v>
      </c>
      <c r="D58">
        <v>18.600000000000001</v>
      </c>
      <c r="E58" t="s">
        <v>3156</v>
      </c>
      <c r="F58" s="186" t="s">
        <v>2252</v>
      </c>
      <c r="H58" t="b">
        <v>1</v>
      </c>
      <c r="I58">
        <v>18.600000000000001</v>
      </c>
      <c r="J58" s="186" t="s">
        <v>2220</v>
      </c>
      <c r="M58" t="str">
        <f>IFERROR(_xlfn.XLOOKUP(A58,Fleet!A:A,Fleet!E:E,""),"")</f>
        <v/>
      </c>
      <c r="N58" t="s">
        <v>2249</v>
      </c>
      <c r="O58" t="s">
        <v>3226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2258</v>
      </c>
      <c r="B59" t="s">
        <v>3915</v>
      </c>
      <c r="C59" t="s">
        <v>2259</v>
      </c>
      <c r="D59">
        <v>22.4</v>
      </c>
      <c r="E59" t="s">
        <v>3156</v>
      </c>
      <c r="F59" s="186" t="s">
        <v>2252</v>
      </c>
      <c r="H59" t="b">
        <v>1</v>
      </c>
      <c r="I59">
        <v>22.400000000000002</v>
      </c>
      <c r="J59" s="186" t="s">
        <v>2220</v>
      </c>
      <c r="M59" t="str">
        <f>IFERROR(_xlfn.XLOOKUP(A59,Fleet!A:A,Fleet!E:E,""),"")</f>
        <v/>
      </c>
      <c r="N59" t="s">
        <v>2258</v>
      </c>
      <c r="O59" t="s">
        <v>3226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2990</v>
      </c>
      <c r="B60" t="s">
        <v>3916</v>
      </c>
      <c r="C60" t="s">
        <v>2991</v>
      </c>
      <c r="D60">
        <v>10</v>
      </c>
      <c r="E60" t="s">
        <v>3156</v>
      </c>
      <c r="H60" t="s">
        <v>22</v>
      </c>
      <c r="I60" t="s">
        <v>22</v>
      </c>
      <c r="M60" t="str">
        <f>IFERROR(_xlfn.XLOOKUP(A60,Fleet!A:A,Fleet!E:E,""),"")</f>
        <v/>
      </c>
      <c r="N60" t="s">
        <v>2990</v>
      </c>
      <c r="O60" t="s">
        <v>3225</v>
      </c>
      <c r="P60" t="str">
        <f>_xlfn.XLOOKUP(A60,'Classic Net to delete'!D:D,'Classic Net to delete'!A:A,"")</f>
        <v/>
      </c>
    </row>
    <row r="61" spans="1:16" x14ac:dyDescent="0.25">
      <c r="A61" t="s">
        <v>2246</v>
      </c>
      <c r="B61" t="s">
        <v>3916</v>
      </c>
      <c r="C61" t="s">
        <v>2247</v>
      </c>
      <c r="D61">
        <v>126.25</v>
      </c>
      <c r="E61" t="s">
        <v>3156</v>
      </c>
      <c r="F61" s="186" t="s">
        <v>2225</v>
      </c>
      <c r="H61" t="b">
        <v>1</v>
      </c>
      <c r="I61">
        <v>126.25</v>
      </c>
      <c r="J61" s="186" t="s">
        <v>2220</v>
      </c>
      <c r="M61" t="str">
        <f>IFERROR(_xlfn.XLOOKUP(A61,Fleet!A:A,Fleet!E:E,""),"")</f>
        <v/>
      </c>
      <c r="N61" t="s">
        <v>2246</v>
      </c>
      <c r="O61" t="s">
        <v>3225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2243</v>
      </c>
      <c r="B62" t="s">
        <v>3916</v>
      </c>
      <c r="C62" t="s">
        <v>2244</v>
      </c>
      <c r="D62">
        <v>189.25</v>
      </c>
      <c r="E62" t="s">
        <v>3156</v>
      </c>
      <c r="F62" s="186" t="s">
        <v>2225</v>
      </c>
      <c r="H62" t="b">
        <v>1</v>
      </c>
      <c r="I62">
        <v>189.25</v>
      </c>
      <c r="J62" s="186" t="s">
        <v>2220</v>
      </c>
      <c r="M62" t="str">
        <f>IFERROR(_xlfn.XLOOKUP(A62,Fleet!A:A,Fleet!E:E,""),"")</f>
        <v/>
      </c>
      <c r="N62" t="s">
        <v>2243</v>
      </c>
      <c r="O62" t="s">
        <v>3225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2236</v>
      </c>
      <c r="B63" t="s">
        <v>3916</v>
      </c>
      <c r="C63" t="s">
        <v>2237</v>
      </c>
      <c r="D63">
        <v>12.1</v>
      </c>
      <c r="E63" t="s">
        <v>3156</v>
      </c>
      <c r="F63" s="186" t="s">
        <v>2225</v>
      </c>
      <c r="H63" t="b">
        <v>1</v>
      </c>
      <c r="I63">
        <v>12.100000000000001</v>
      </c>
      <c r="J63" s="186" t="s">
        <v>2220</v>
      </c>
      <c r="M63" t="str">
        <f>IFERROR(_xlfn.XLOOKUP(A63,Fleet!A:A,Fleet!E:E,""),"")</f>
        <v/>
      </c>
      <c r="N63" t="s">
        <v>2236</v>
      </c>
      <c r="O63" t="s">
        <v>3225</v>
      </c>
      <c r="P63" t="str">
        <f>_xlfn.XLOOKUP(A63,'Classic Net to delete'!D:D,'Classic Net to delete'!A:A,"")</f>
        <v>Microwave</v>
      </c>
    </row>
    <row r="64" spans="1:16" x14ac:dyDescent="0.25">
      <c r="A64" t="s">
        <v>2238</v>
      </c>
      <c r="B64" t="s">
        <v>3916</v>
      </c>
      <c r="C64" t="s">
        <v>2239</v>
      </c>
      <c r="D64">
        <v>26.5</v>
      </c>
      <c r="E64" t="s">
        <v>3156</v>
      </c>
      <c r="F64" s="186" t="s">
        <v>2225</v>
      </c>
      <c r="H64" t="b">
        <v>1</v>
      </c>
      <c r="I64">
        <v>26.5</v>
      </c>
      <c r="J64" s="186" t="s">
        <v>2220</v>
      </c>
      <c r="M64" t="str">
        <f>IFERROR(_xlfn.XLOOKUP(A64,Fleet!A:A,Fleet!E:E,""),"")</f>
        <v/>
      </c>
      <c r="N64" t="s">
        <v>2238</v>
      </c>
      <c r="O64" t="s">
        <v>3225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2988</v>
      </c>
      <c r="B65" t="s">
        <v>3916</v>
      </c>
      <c r="C65" t="s">
        <v>2989</v>
      </c>
      <c r="D65">
        <v>59.6</v>
      </c>
      <c r="E65" t="s">
        <v>3156</v>
      </c>
      <c r="H65" t="s">
        <v>22</v>
      </c>
      <c r="I65" t="s">
        <v>22</v>
      </c>
      <c r="M65" t="str">
        <f>IFERROR(_xlfn.XLOOKUP(A65,Fleet!A:A,Fleet!E:E,""),"")</f>
        <v/>
      </c>
      <c r="N65" t="s">
        <v>2988</v>
      </c>
      <c r="O65" t="s">
        <v>3225</v>
      </c>
      <c r="P65" t="str">
        <f>_xlfn.XLOOKUP(A65,'Classic Net to delete'!D:D,'Classic Net to delete'!A:A,"")</f>
        <v/>
      </c>
    </row>
    <row r="66" spans="1:16" x14ac:dyDescent="0.25">
      <c r="A66" t="s">
        <v>2986</v>
      </c>
      <c r="B66" t="s">
        <v>3916</v>
      </c>
      <c r="C66" t="s">
        <v>2987</v>
      </c>
      <c r="D66">
        <v>13.3</v>
      </c>
      <c r="E66" t="s">
        <v>3156</v>
      </c>
      <c r="H66" t="s">
        <v>22</v>
      </c>
      <c r="I66" t="s">
        <v>22</v>
      </c>
      <c r="M66" t="str">
        <f>IFERROR(_xlfn.XLOOKUP(A66,Fleet!A:A,Fleet!E:E,""),"")</f>
        <v/>
      </c>
      <c r="N66" t="s">
        <v>2986</v>
      </c>
      <c r="O66" t="s">
        <v>3225</v>
      </c>
      <c r="P66" t="str">
        <f>_xlfn.XLOOKUP(A66,'Classic Net to delete'!D:D,'Classic Net to delete'!A:A,"")</f>
        <v/>
      </c>
    </row>
    <row r="67" spans="1:16" x14ac:dyDescent="0.25">
      <c r="A67" t="s">
        <v>2226</v>
      </c>
      <c r="B67" t="s">
        <v>3916</v>
      </c>
      <c r="C67" t="s">
        <v>2227</v>
      </c>
      <c r="D67">
        <v>13.3</v>
      </c>
      <c r="E67" t="s">
        <v>3156</v>
      </c>
      <c r="F67" s="186" t="s">
        <v>2225</v>
      </c>
      <c r="H67" t="b">
        <v>1</v>
      </c>
      <c r="I67">
        <v>13.3</v>
      </c>
      <c r="J67" s="186" t="s">
        <v>2220</v>
      </c>
      <c r="M67" t="str">
        <f>IFERROR(_xlfn.XLOOKUP(A67,Fleet!A:A,Fleet!E:E,""),"")</f>
        <v/>
      </c>
      <c r="N67" t="s">
        <v>2226</v>
      </c>
      <c r="O67" t="s">
        <v>3225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2229</v>
      </c>
      <c r="B68" t="s">
        <v>3916</v>
      </c>
      <c r="C68" t="s">
        <v>2230</v>
      </c>
      <c r="D68">
        <v>5.85</v>
      </c>
      <c r="E68" t="s">
        <v>3156</v>
      </c>
      <c r="F68" s="186" t="s">
        <v>2225</v>
      </c>
      <c r="H68" t="b">
        <v>1</v>
      </c>
      <c r="I68">
        <v>5.8500000000000005</v>
      </c>
      <c r="J68" s="186" t="s">
        <v>2220</v>
      </c>
      <c r="M68" t="str">
        <f>IFERROR(_xlfn.XLOOKUP(A68,Fleet!A:A,Fleet!E:E,""),"")</f>
        <v/>
      </c>
      <c r="N68" t="s">
        <v>2229</v>
      </c>
      <c r="O68" t="s">
        <v>3225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2222</v>
      </c>
      <c r="B69" t="s">
        <v>3916</v>
      </c>
      <c r="C69" t="s">
        <v>2223</v>
      </c>
      <c r="D69">
        <v>3.55</v>
      </c>
      <c r="E69" t="s">
        <v>3156</v>
      </c>
      <c r="F69" s="186" t="s">
        <v>2225</v>
      </c>
      <c r="H69" t="b">
        <v>1</v>
      </c>
      <c r="I69">
        <v>3.5500000000000003</v>
      </c>
      <c r="J69" s="186" t="s">
        <v>2220</v>
      </c>
      <c r="M69" t="str">
        <f>IFERROR(_xlfn.XLOOKUP(A69,Fleet!A:A,Fleet!E:E,""),"")</f>
        <v/>
      </c>
      <c r="N69" t="s">
        <v>2222</v>
      </c>
      <c r="O69" t="s">
        <v>3225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2984</v>
      </c>
      <c r="B70" t="s">
        <v>3917</v>
      </c>
      <c r="C70" t="s">
        <v>2985</v>
      </c>
      <c r="D70">
        <v>3.55</v>
      </c>
      <c r="E70" t="s">
        <v>3156</v>
      </c>
      <c r="I70" t="s">
        <v>22</v>
      </c>
      <c r="M70" t="str">
        <f>IFERROR(_xlfn.XLOOKUP(A70,Fleet!A:A,Fleet!E:E,""),"")</f>
        <v/>
      </c>
      <c r="N70" t="s">
        <v>2984</v>
      </c>
      <c r="O70" t="s">
        <v>3048</v>
      </c>
      <c r="P70" t="str">
        <f>_xlfn.XLOOKUP(A70,'Classic Net to delete'!D:D,'Classic Net to delete'!A:A,"")</f>
        <v/>
      </c>
    </row>
    <row r="71" spans="1:16" x14ac:dyDescent="0.25">
      <c r="A71" t="s">
        <v>2982</v>
      </c>
      <c r="B71" t="s">
        <v>3917</v>
      </c>
      <c r="C71" t="s">
        <v>2983</v>
      </c>
      <c r="D71">
        <v>10</v>
      </c>
      <c r="E71" t="s">
        <v>3156</v>
      </c>
      <c r="H71" t="s">
        <v>22</v>
      </c>
      <c r="I71" t="s">
        <v>22</v>
      </c>
      <c r="M71" t="str">
        <f>IFERROR(_xlfn.XLOOKUP(A71,Fleet!A:A,Fleet!E:E,""),"")</f>
        <v/>
      </c>
      <c r="N71" t="s">
        <v>2982</v>
      </c>
      <c r="O71" t="s">
        <v>3048</v>
      </c>
      <c r="P71" t="str">
        <f>_xlfn.XLOOKUP(A71,'Classic Net to delete'!D:D,'Classic Net to delete'!A:A,"")</f>
        <v/>
      </c>
    </row>
    <row r="72" spans="1:16" x14ac:dyDescent="0.25">
      <c r="A72" t="s">
        <v>2183</v>
      </c>
      <c r="B72" t="s">
        <v>3917</v>
      </c>
      <c r="C72" t="s">
        <v>2184</v>
      </c>
      <c r="D72">
        <v>9.6999999999999993</v>
      </c>
      <c r="E72" t="s">
        <v>3156</v>
      </c>
      <c r="F72" s="186" t="s">
        <v>2175</v>
      </c>
      <c r="H72" t="b">
        <v>1</v>
      </c>
      <c r="I72">
        <v>9.7000000000000011</v>
      </c>
      <c r="J72" s="186" t="s">
        <v>2064</v>
      </c>
      <c r="M72" t="str">
        <f>IFERROR(_xlfn.XLOOKUP(A72,Fleet!A:A,Fleet!E:E,""),"")</f>
        <v/>
      </c>
      <c r="N72" t="s">
        <v>2183</v>
      </c>
      <c r="O72" t="s">
        <v>3048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2181</v>
      </c>
      <c r="B73" t="s">
        <v>3917</v>
      </c>
      <c r="C73" t="s">
        <v>2182</v>
      </c>
      <c r="D73">
        <v>9.15</v>
      </c>
      <c r="E73" t="s">
        <v>3156</v>
      </c>
      <c r="F73" s="186" t="s">
        <v>2175</v>
      </c>
      <c r="H73" t="b">
        <v>1</v>
      </c>
      <c r="I73">
        <v>9.15</v>
      </c>
      <c r="J73" s="186" t="s">
        <v>2064</v>
      </c>
      <c r="M73" t="str">
        <f>IFERROR(_xlfn.XLOOKUP(A73,Fleet!A:A,Fleet!E:E,""),"")</f>
        <v/>
      </c>
      <c r="N73" t="s">
        <v>2181</v>
      </c>
      <c r="O73" t="s">
        <v>3048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2178</v>
      </c>
      <c r="B74" t="s">
        <v>3917</v>
      </c>
      <c r="C74" t="s">
        <v>2179</v>
      </c>
      <c r="D74">
        <v>3.75</v>
      </c>
      <c r="E74" t="s">
        <v>3156</v>
      </c>
      <c r="F74" s="186" t="s">
        <v>2175</v>
      </c>
      <c r="H74" t="b">
        <v>1</v>
      </c>
      <c r="I74">
        <v>3.75</v>
      </c>
      <c r="J74" s="186" t="s">
        <v>2064</v>
      </c>
      <c r="M74" t="str">
        <f>IFERROR(_xlfn.XLOOKUP(A74,Fleet!A:A,Fleet!E:E,""),"")</f>
        <v/>
      </c>
      <c r="N74" t="s">
        <v>2178</v>
      </c>
      <c r="O74" t="s">
        <v>3048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2186</v>
      </c>
      <c r="B75" t="s">
        <v>3917</v>
      </c>
      <c r="C75" t="s">
        <v>2187</v>
      </c>
      <c r="D75">
        <v>15.95</v>
      </c>
      <c r="E75" t="s">
        <v>3156</v>
      </c>
      <c r="F75" s="186" t="s">
        <v>2175</v>
      </c>
      <c r="H75" t="b">
        <v>1</v>
      </c>
      <c r="I75">
        <v>15.950000000000001</v>
      </c>
      <c r="J75" s="186" t="s">
        <v>2064</v>
      </c>
      <c r="M75" t="str">
        <f>IFERROR(_xlfn.XLOOKUP(A75,Fleet!A:A,Fleet!E:E,""),"")</f>
        <v/>
      </c>
      <c r="N75" t="s">
        <v>2186</v>
      </c>
      <c r="O75" t="s">
        <v>3048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2176</v>
      </c>
      <c r="B76" t="s">
        <v>3917</v>
      </c>
      <c r="C76" t="s">
        <v>2177</v>
      </c>
      <c r="D76">
        <v>5.6</v>
      </c>
      <c r="E76" t="s">
        <v>3156</v>
      </c>
      <c r="F76" s="186" t="s">
        <v>2175</v>
      </c>
      <c r="H76" t="b">
        <v>1</v>
      </c>
      <c r="I76">
        <v>5.6000000000000005</v>
      </c>
      <c r="J76" s="186" t="s">
        <v>2064</v>
      </c>
      <c r="M76" t="str">
        <f>IFERROR(_xlfn.XLOOKUP(A76,Fleet!A:A,Fleet!E:E,""),"")</f>
        <v/>
      </c>
      <c r="N76" t="s">
        <v>2176</v>
      </c>
      <c r="O76" t="s">
        <v>3048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2980</v>
      </c>
      <c r="B77" t="s">
        <v>3917</v>
      </c>
      <c r="C77" t="s">
        <v>2981</v>
      </c>
      <c r="D77">
        <v>0.9</v>
      </c>
      <c r="E77" t="s">
        <v>3156</v>
      </c>
      <c r="H77" t="s">
        <v>22</v>
      </c>
      <c r="I77" t="s">
        <v>22</v>
      </c>
      <c r="M77" t="str">
        <f>IFERROR(_xlfn.XLOOKUP(A77,Fleet!A:A,Fleet!E:E,""),"")</f>
        <v/>
      </c>
      <c r="N77" t="s">
        <v>2980</v>
      </c>
      <c r="O77" t="s">
        <v>3048</v>
      </c>
      <c r="P77" t="str">
        <f>_xlfn.XLOOKUP(A77,'Classic Net to delete'!D:D,'Classic Net to delete'!A:A,"")</f>
        <v/>
      </c>
    </row>
    <row r="78" spans="1:16" x14ac:dyDescent="0.25">
      <c r="A78" t="s">
        <v>2978</v>
      </c>
      <c r="B78" t="s">
        <v>3917</v>
      </c>
      <c r="C78" t="s">
        <v>2979</v>
      </c>
      <c r="D78">
        <v>15.95</v>
      </c>
      <c r="E78" t="s">
        <v>3156</v>
      </c>
      <c r="H78" t="s">
        <v>22</v>
      </c>
      <c r="I78" t="s">
        <v>22</v>
      </c>
      <c r="M78" t="str">
        <f>IFERROR(_xlfn.XLOOKUP(A78,Fleet!A:A,Fleet!E:E,""),"")</f>
        <v/>
      </c>
      <c r="N78" t="s">
        <v>2978</v>
      </c>
      <c r="O78" t="s">
        <v>3048</v>
      </c>
      <c r="P78" t="str">
        <f>_xlfn.XLOOKUP(A78,'Classic Net to delete'!D:D,'Classic Net to delete'!A:A,"")</f>
        <v/>
      </c>
    </row>
    <row r="79" spans="1:16" x14ac:dyDescent="0.25">
      <c r="A79" t="s">
        <v>2155</v>
      </c>
      <c r="B79" t="s">
        <v>3917</v>
      </c>
      <c r="C79" t="s">
        <v>2156</v>
      </c>
      <c r="D79">
        <v>40.450000000000003</v>
      </c>
      <c r="E79" t="s">
        <v>3156</v>
      </c>
      <c r="F79" s="186" t="s">
        <v>2144</v>
      </c>
      <c r="H79" t="b">
        <v>1</v>
      </c>
      <c r="I79">
        <v>40.450000000000003</v>
      </c>
      <c r="J79" s="186" t="s">
        <v>2064</v>
      </c>
      <c r="M79" t="str">
        <f>IFERROR(_xlfn.XLOOKUP(A79,Fleet!A:A,Fleet!E:E,""),"")</f>
        <v/>
      </c>
      <c r="N79" t="s">
        <v>2155</v>
      </c>
      <c r="O79" t="s">
        <v>3048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2976</v>
      </c>
      <c r="B80" t="s">
        <v>3917</v>
      </c>
      <c r="C80" t="s">
        <v>2977</v>
      </c>
      <c r="D80">
        <v>15.95</v>
      </c>
      <c r="E80" t="s">
        <v>3156</v>
      </c>
      <c r="H80" t="s">
        <v>22</v>
      </c>
      <c r="I80" t="s">
        <v>22</v>
      </c>
      <c r="M80" t="str">
        <f>IFERROR(_xlfn.XLOOKUP(A80,Fleet!A:A,Fleet!E:E,""),"")</f>
        <v/>
      </c>
      <c r="N80" t="s">
        <v>2976</v>
      </c>
      <c r="O80" t="s">
        <v>3048</v>
      </c>
      <c r="P80" t="str">
        <f>_xlfn.XLOOKUP(A80,'Classic Net to delete'!D:D,'Classic Net to delete'!A:A,"")</f>
        <v/>
      </c>
    </row>
    <row r="81" spans="1:16" x14ac:dyDescent="0.25">
      <c r="A81" t="s">
        <v>2148</v>
      </c>
      <c r="B81" t="s">
        <v>3917</v>
      </c>
      <c r="C81" t="s">
        <v>2149</v>
      </c>
      <c r="D81">
        <v>15.95</v>
      </c>
      <c r="E81" t="s">
        <v>3156</v>
      </c>
      <c r="F81" s="186" t="s">
        <v>2144</v>
      </c>
      <c r="H81" t="b">
        <v>1</v>
      </c>
      <c r="I81">
        <v>15.950000000000001</v>
      </c>
      <c r="J81" s="186" t="s">
        <v>2064</v>
      </c>
      <c r="M81" t="str">
        <f>IFERROR(_xlfn.XLOOKUP(A81,Fleet!A:A,Fleet!E:E,""),"")</f>
        <v/>
      </c>
      <c r="N81" t="s">
        <v>2148</v>
      </c>
      <c r="O81" t="s">
        <v>3048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2153</v>
      </c>
      <c r="B82" t="s">
        <v>3917</v>
      </c>
      <c r="C82" t="s">
        <v>2154</v>
      </c>
      <c r="D82">
        <v>19.8</v>
      </c>
      <c r="E82" t="s">
        <v>3156</v>
      </c>
      <c r="F82" s="186" t="s">
        <v>2144</v>
      </c>
      <c r="H82" t="b">
        <v>1</v>
      </c>
      <c r="I82">
        <v>19.8</v>
      </c>
      <c r="J82" s="186" t="s">
        <v>2064</v>
      </c>
      <c r="M82" t="str">
        <f>IFERROR(_xlfn.XLOOKUP(A82,Fleet!A:A,Fleet!E:E,""),"")</f>
        <v/>
      </c>
      <c r="N82" t="s">
        <v>2153</v>
      </c>
      <c r="O82" t="s">
        <v>3048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2151</v>
      </c>
      <c r="B83" t="s">
        <v>3917</v>
      </c>
      <c r="C83" t="s">
        <v>2152</v>
      </c>
      <c r="D83">
        <v>15.95</v>
      </c>
      <c r="E83" t="s">
        <v>3156</v>
      </c>
      <c r="F83" s="186" t="s">
        <v>2144</v>
      </c>
      <c r="H83" t="b">
        <v>1</v>
      </c>
      <c r="I83">
        <v>15.950000000000001</v>
      </c>
      <c r="J83" s="186" t="s">
        <v>2064</v>
      </c>
      <c r="M83" t="str">
        <f>IFERROR(_xlfn.XLOOKUP(A83,Fleet!A:A,Fleet!E:E,""),"")</f>
        <v/>
      </c>
      <c r="N83" t="s">
        <v>2151</v>
      </c>
      <c r="O83" t="s">
        <v>3048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2974</v>
      </c>
      <c r="B84" t="s">
        <v>3917</v>
      </c>
      <c r="C84" t="s">
        <v>2975</v>
      </c>
      <c r="D84">
        <v>15.95</v>
      </c>
      <c r="E84" t="s">
        <v>3156</v>
      </c>
      <c r="H84" t="s">
        <v>22</v>
      </c>
      <c r="I84" t="s">
        <v>22</v>
      </c>
      <c r="M84" t="str">
        <f>IFERROR(_xlfn.XLOOKUP(A84,Fleet!A:A,Fleet!E:E,""),"")</f>
        <v/>
      </c>
      <c r="N84" t="s">
        <v>2974</v>
      </c>
      <c r="O84" t="s">
        <v>3048</v>
      </c>
      <c r="P84" t="str">
        <f>_xlfn.XLOOKUP(A84,'Classic Net to delete'!D:D,'Classic Net to delete'!A:A,"")</f>
        <v/>
      </c>
    </row>
    <row r="85" spans="1:16" x14ac:dyDescent="0.25">
      <c r="A85" t="s">
        <v>2145</v>
      </c>
      <c r="B85" t="s">
        <v>3917</v>
      </c>
      <c r="C85" t="s">
        <v>2146</v>
      </c>
      <c r="D85">
        <v>15.95</v>
      </c>
      <c r="E85" t="s">
        <v>3156</v>
      </c>
      <c r="F85" s="186" t="s">
        <v>2144</v>
      </c>
      <c r="H85" t="b">
        <v>1</v>
      </c>
      <c r="I85">
        <v>15.950000000000001</v>
      </c>
      <c r="J85" s="186" t="s">
        <v>2064</v>
      </c>
      <c r="M85" t="str">
        <f>IFERROR(_xlfn.XLOOKUP(A85,Fleet!A:A,Fleet!E:E,""),"")</f>
        <v/>
      </c>
      <c r="N85" t="s">
        <v>2145</v>
      </c>
      <c r="O85" t="s">
        <v>3048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2142</v>
      </c>
      <c r="B86" t="s">
        <v>3917</v>
      </c>
      <c r="C86" t="s">
        <v>2143</v>
      </c>
      <c r="D86">
        <v>15.95</v>
      </c>
      <c r="E86" t="s">
        <v>3156</v>
      </c>
      <c r="F86" s="186" t="s">
        <v>2144</v>
      </c>
      <c r="H86" t="b">
        <v>1</v>
      </c>
      <c r="I86">
        <v>15.950000000000001</v>
      </c>
      <c r="J86" s="186" t="s">
        <v>2064</v>
      </c>
      <c r="M86" t="str">
        <f>IFERROR(_xlfn.XLOOKUP(A86,Fleet!A:A,Fleet!E:E,""),"")</f>
        <v/>
      </c>
      <c r="N86" t="s">
        <v>2142</v>
      </c>
      <c r="O86" t="s">
        <v>3048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2972</v>
      </c>
      <c r="B87" t="s">
        <v>3917</v>
      </c>
      <c r="C87" t="s">
        <v>2973</v>
      </c>
      <c r="D87">
        <v>25.35</v>
      </c>
      <c r="E87" t="s">
        <v>3156</v>
      </c>
      <c r="H87" t="s">
        <v>22</v>
      </c>
      <c r="I87" t="s">
        <v>22</v>
      </c>
      <c r="M87" t="str">
        <f>IFERROR(_xlfn.XLOOKUP(A87,Fleet!A:A,Fleet!E:E,""),"")</f>
        <v/>
      </c>
      <c r="N87" t="s">
        <v>2972</v>
      </c>
      <c r="O87" t="s">
        <v>3048</v>
      </c>
      <c r="P87" t="str">
        <f>_xlfn.XLOOKUP(A87,'Classic Net to delete'!D:D,'Classic Net to delete'!A:A,"")</f>
        <v/>
      </c>
    </row>
    <row r="88" spans="1:16" x14ac:dyDescent="0.25">
      <c r="A88" t="s">
        <v>2102</v>
      </c>
      <c r="B88" t="s">
        <v>3917</v>
      </c>
      <c r="C88" t="s">
        <v>2103</v>
      </c>
      <c r="D88">
        <v>36.049999999999997</v>
      </c>
      <c r="E88" t="s">
        <v>3156</v>
      </c>
      <c r="F88" s="186" t="s">
        <v>2080</v>
      </c>
      <c r="H88" t="b">
        <v>1</v>
      </c>
      <c r="I88">
        <v>36.050000000000004</v>
      </c>
      <c r="J88" s="186" t="s">
        <v>2064</v>
      </c>
      <c r="M88" t="str">
        <f>IFERROR(_xlfn.XLOOKUP(A88,Fleet!A:A,Fleet!E:E,""),"")</f>
        <v/>
      </c>
      <c r="N88" t="s">
        <v>2102</v>
      </c>
      <c r="O88" t="s">
        <v>3048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2099</v>
      </c>
      <c r="B89" t="s">
        <v>3917</v>
      </c>
      <c r="C89" t="s">
        <v>2100</v>
      </c>
      <c r="D89">
        <v>19.05</v>
      </c>
      <c r="E89" t="s">
        <v>3156</v>
      </c>
      <c r="F89" s="186" t="s">
        <v>2080</v>
      </c>
      <c r="H89" t="b">
        <v>1</v>
      </c>
      <c r="I89">
        <v>19.05</v>
      </c>
      <c r="J89" s="186" t="s">
        <v>2064</v>
      </c>
      <c r="M89" t="str">
        <f>IFERROR(_xlfn.XLOOKUP(A89,Fleet!A:A,Fleet!E:E,""),"")</f>
        <v/>
      </c>
      <c r="N89" t="s">
        <v>2099</v>
      </c>
      <c r="O89" t="s">
        <v>3048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2970</v>
      </c>
      <c r="B90" t="s">
        <v>3917</v>
      </c>
      <c r="C90" t="s">
        <v>2971</v>
      </c>
      <c r="D90">
        <v>10.6</v>
      </c>
      <c r="E90" t="s">
        <v>3156</v>
      </c>
      <c r="H90" t="s">
        <v>22</v>
      </c>
      <c r="I90" t="s">
        <v>22</v>
      </c>
      <c r="M90" t="str">
        <f>IFERROR(_xlfn.XLOOKUP(A90,Fleet!A:A,Fleet!E:E,""),"")</f>
        <v/>
      </c>
      <c r="N90" t="s">
        <v>2970</v>
      </c>
      <c r="O90" t="s">
        <v>3048</v>
      </c>
      <c r="P90" t="str">
        <f>_xlfn.XLOOKUP(A90,'Classic Net to delete'!D:D,'Classic Net to delete'!A:A,"")</f>
        <v/>
      </c>
    </row>
    <row r="91" spans="1:16" x14ac:dyDescent="0.25">
      <c r="A91" t="s">
        <v>2113</v>
      </c>
      <c r="B91" t="s">
        <v>3917</v>
      </c>
      <c r="C91" t="s">
        <v>2114</v>
      </c>
      <c r="D91">
        <v>4.75</v>
      </c>
      <c r="E91" t="s">
        <v>3156</v>
      </c>
      <c r="F91" s="186" t="s">
        <v>2080</v>
      </c>
      <c r="H91" t="b">
        <v>1</v>
      </c>
      <c r="I91">
        <v>4.75</v>
      </c>
      <c r="J91" s="186" t="s">
        <v>2064</v>
      </c>
      <c r="M91" t="str">
        <f>IFERROR(_xlfn.XLOOKUP(A91,Fleet!A:A,Fleet!E:E,""),"")</f>
        <v/>
      </c>
      <c r="N91" t="s">
        <v>2113</v>
      </c>
      <c r="O91" t="s">
        <v>3048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2110</v>
      </c>
      <c r="B92" t="s">
        <v>3917</v>
      </c>
      <c r="C92" t="s">
        <v>2111</v>
      </c>
      <c r="D92">
        <v>4.75</v>
      </c>
      <c r="E92" t="s">
        <v>3156</v>
      </c>
      <c r="F92" s="186" t="s">
        <v>2080</v>
      </c>
      <c r="H92" t="b">
        <v>1</v>
      </c>
      <c r="I92">
        <v>4.75</v>
      </c>
      <c r="J92" s="186" t="s">
        <v>2064</v>
      </c>
      <c r="M92" t="str">
        <f>IFERROR(_xlfn.XLOOKUP(A92,Fleet!A:A,Fleet!E:E,""),"")</f>
        <v/>
      </c>
      <c r="N92" t="s">
        <v>2110</v>
      </c>
      <c r="O92" t="s">
        <v>3048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2107</v>
      </c>
      <c r="B93" t="s">
        <v>3917</v>
      </c>
      <c r="C93" t="s">
        <v>2108</v>
      </c>
      <c r="D93">
        <v>4.75</v>
      </c>
      <c r="E93" t="s">
        <v>3156</v>
      </c>
      <c r="F93" s="186" t="s">
        <v>2080</v>
      </c>
      <c r="H93" t="b">
        <v>1</v>
      </c>
      <c r="I93">
        <v>4.75</v>
      </c>
      <c r="J93" s="186" t="s">
        <v>2064</v>
      </c>
      <c r="M93" t="str">
        <f>IFERROR(_xlfn.XLOOKUP(A93,Fleet!A:A,Fleet!E:E,""),"")</f>
        <v/>
      </c>
      <c r="N93" t="s">
        <v>2107</v>
      </c>
      <c r="O93" t="s">
        <v>3048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2104</v>
      </c>
      <c r="B94" t="s">
        <v>3917</v>
      </c>
      <c r="C94" t="s">
        <v>2105</v>
      </c>
      <c r="D94">
        <v>4.75</v>
      </c>
      <c r="E94" t="s">
        <v>3156</v>
      </c>
      <c r="F94" s="186" t="s">
        <v>2080</v>
      </c>
      <c r="H94" t="b">
        <v>1</v>
      </c>
      <c r="I94">
        <v>4.75</v>
      </c>
      <c r="J94" s="186" t="s">
        <v>2064</v>
      </c>
      <c r="M94" t="str">
        <f>IFERROR(_xlfn.XLOOKUP(A94,Fleet!A:A,Fleet!E:E,""),"")</f>
        <v/>
      </c>
      <c r="N94" t="s">
        <v>2104</v>
      </c>
      <c r="O94" t="s">
        <v>3048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2096</v>
      </c>
      <c r="B95" t="s">
        <v>3917</v>
      </c>
      <c r="C95" t="s">
        <v>2097</v>
      </c>
      <c r="D95">
        <v>14.45</v>
      </c>
      <c r="E95" t="s">
        <v>3156</v>
      </c>
      <c r="F95" s="186" t="s">
        <v>2080</v>
      </c>
      <c r="H95" t="b">
        <v>1</v>
      </c>
      <c r="I95">
        <v>14.450000000000001</v>
      </c>
      <c r="J95" s="186" t="s">
        <v>2064</v>
      </c>
      <c r="M95" t="str">
        <f>IFERROR(_xlfn.XLOOKUP(A95,Fleet!A:A,Fleet!E:E,""),"")</f>
        <v/>
      </c>
      <c r="N95" t="s">
        <v>2096</v>
      </c>
      <c r="O95" t="s">
        <v>3048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2093</v>
      </c>
      <c r="B96" t="s">
        <v>3917</v>
      </c>
      <c r="C96" t="s">
        <v>2094</v>
      </c>
      <c r="D96">
        <v>6.5</v>
      </c>
      <c r="E96" t="s">
        <v>3156</v>
      </c>
      <c r="F96" s="186" t="s">
        <v>2080</v>
      </c>
      <c r="H96" t="b">
        <v>1</v>
      </c>
      <c r="I96">
        <v>6.5</v>
      </c>
      <c r="J96" s="186" t="s">
        <v>2064</v>
      </c>
      <c r="M96" t="str">
        <f>IFERROR(_xlfn.XLOOKUP(A96,Fleet!A:A,Fleet!E:E,""),"")</f>
        <v/>
      </c>
      <c r="N96" t="s">
        <v>2093</v>
      </c>
      <c r="O96" t="s">
        <v>3048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2090</v>
      </c>
      <c r="B97" t="s">
        <v>3917</v>
      </c>
      <c r="C97" t="s">
        <v>2091</v>
      </c>
      <c r="D97">
        <v>5.6</v>
      </c>
      <c r="E97" t="s">
        <v>3156</v>
      </c>
      <c r="F97" s="186" t="s">
        <v>2080</v>
      </c>
      <c r="H97" t="b">
        <v>1</v>
      </c>
      <c r="I97">
        <v>5.6000000000000005</v>
      </c>
      <c r="J97" s="186" t="s">
        <v>2064</v>
      </c>
      <c r="M97" t="str">
        <f>IFERROR(_xlfn.XLOOKUP(A97,Fleet!A:A,Fleet!E:E,""),"")</f>
        <v/>
      </c>
      <c r="N97" t="s">
        <v>2090</v>
      </c>
      <c r="O97" t="s">
        <v>3048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2087</v>
      </c>
      <c r="B98" t="s">
        <v>3917</v>
      </c>
      <c r="C98" t="s">
        <v>2088</v>
      </c>
      <c r="D98">
        <v>5.6</v>
      </c>
      <c r="E98" t="s">
        <v>3156</v>
      </c>
      <c r="F98" s="186" t="s">
        <v>2080</v>
      </c>
      <c r="H98" t="b">
        <v>1</v>
      </c>
      <c r="I98">
        <v>5.6000000000000005</v>
      </c>
      <c r="J98" s="186" t="s">
        <v>2064</v>
      </c>
      <c r="M98" t="str">
        <f>IFERROR(_xlfn.XLOOKUP(A98,Fleet!A:A,Fleet!E:E,""),"")</f>
        <v/>
      </c>
      <c r="N98" t="s">
        <v>2087</v>
      </c>
      <c r="O98" t="s">
        <v>3048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2084</v>
      </c>
      <c r="B99" t="s">
        <v>3917</v>
      </c>
      <c r="C99" t="s">
        <v>2085</v>
      </c>
      <c r="D99">
        <v>5.6</v>
      </c>
      <c r="E99" t="s">
        <v>3156</v>
      </c>
      <c r="F99" s="186" t="s">
        <v>2080</v>
      </c>
      <c r="H99" t="b">
        <v>1</v>
      </c>
      <c r="I99">
        <v>5.6000000000000005</v>
      </c>
      <c r="J99" s="186" t="s">
        <v>2064</v>
      </c>
      <c r="M99" t="str">
        <f>IFERROR(_xlfn.XLOOKUP(A99,Fleet!A:A,Fleet!E:E,""),"")</f>
        <v/>
      </c>
      <c r="N99" t="s">
        <v>2084</v>
      </c>
      <c r="O99" t="s">
        <v>3048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2081</v>
      </c>
      <c r="B100" t="s">
        <v>3917</v>
      </c>
      <c r="C100" t="s">
        <v>2082</v>
      </c>
      <c r="D100">
        <v>5.6</v>
      </c>
      <c r="E100" t="s">
        <v>3156</v>
      </c>
      <c r="F100" s="186" t="s">
        <v>2080</v>
      </c>
      <c r="H100" t="b">
        <v>1</v>
      </c>
      <c r="I100">
        <v>5.6000000000000005</v>
      </c>
      <c r="J100" s="186" t="s">
        <v>2064</v>
      </c>
      <c r="M100" t="str">
        <f>IFERROR(_xlfn.XLOOKUP(A100,Fleet!A:A,Fleet!E:E,""),"")</f>
        <v/>
      </c>
      <c r="N100" t="s">
        <v>2081</v>
      </c>
      <c r="O100" t="s">
        <v>3048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2077</v>
      </c>
      <c r="B101" t="s">
        <v>3917</v>
      </c>
      <c r="C101" t="s">
        <v>2078</v>
      </c>
      <c r="D101">
        <v>5.6</v>
      </c>
      <c r="E101" t="s">
        <v>3156</v>
      </c>
      <c r="F101" s="186" t="s">
        <v>2080</v>
      </c>
      <c r="H101" t="b">
        <v>1</v>
      </c>
      <c r="I101">
        <v>5.6000000000000005</v>
      </c>
      <c r="J101" s="186" t="s">
        <v>2064</v>
      </c>
      <c r="M101" t="str">
        <f>IFERROR(_xlfn.XLOOKUP(A101,Fleet!A:A,Fleet!E:E,""),"")</f>
        <v/>
      </c>
      <c r="N101" t="s">
        <v>2077</v>
      </c>
      <c r="O101" t="s">
        <v>3048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2171</v>
      </c>
      <c r="B102" t="s">
        <v>3918</v>
      </c>
      <c r="C102" t="s">
        <v>2172</v>
      </c>
      <c r="D102">
        <v>10.050000000000001</v>
      </c>
      <c r="E102" t="s">
        <v>3156</v>
      </c>
      <c r="F102" s="186" t="s">
        <v>2164</v>
      </c>
      <c r="H102" t="b">
        <v>1</v>
      </c>
      <c r="I102">
        <v>10.050000000000001</v>
      </c>
      <c r="J102" s="186" t="s">
        <v>2064</v>
      </c>
      <c r="M102" t="str">
        <f>IFERROR(_xlfn.XLOOKUP(A102,Fleet!A:A,Fleet!E:E,""),"")</f>
        <v/>
      </c>
      <c r="N102" t="s">
        <v>2171</v>
      </c>
      <c r="O102" t="s">
        <v>3189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2167</v>
      </c>
      <c r="B103" t="s">
        <v>3917</v>
      </c>
      <c r="C103" t="s">
        <v>2168</v>
      </c>
      <c r="D103">
        <v>25.35</v>
      </c>
      <c r="E103" t="s">
        <v>3156</v>
      </c>
      <c r="F103" s="186" t="s">
        <v>2164</v>
      </c>
      <c r="H103" t="b">
        <v>1</v>
      </c>
      <c r="I103">
        <v>25.35</v>
      </c>
      <c r="J103" s="186" t="s">
        <v>2064</v>
      </c>
      <c r="M103" t="str">
        <f>IFERROR(_xlfn.XLOOKUP(A103,Fleet!A:A,Fleet!E:E,""),"")</f>
        <v/>
      </c>
      <c r="N103" t="s">
        <v>2167</v>
      </c>
      <c r="O103" t="s">
        <v>3048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2968</v>
      </c>
      <c r="B104" t="s">
        <v>3917</v>
      </c>
      <c r="C104" t="s">
        <v>2969</v>
      </c>
      <c r="D104">
        <v>19.8</v>
      </c>
      <c r="E104" t="s">
        <v>3156</v>
      </c>
      <c r="H104" t="s">
        <v>22</v>
      </c>
      <c r="I104" t="s">
        <v>22</v>
      </c>
      <c r="M104" t="str">
        <f>IFERROR(_xlfn.XLOOKUP(A104,Fleet!A:A,Fleet!E:E,""),"")</f>
        <v/>
      </c>
      <c r="N104" t="s">
        <v>2968</v>
      </c>
      <c r="O104" t="s">
        <v>3048</v>
      </c>
      <c r="P104" t="str">
        <f>_xlfn.XLOOKUP(A104,'Classic Net to delete'!D:D,'Classic Net to delete'!A:A,"")</f>
        <v/>
      </c>
    </row>
    <row r="105" spans="1:16" x14ac:dyDescent="0.25">
      <c r="A105" t="s">
        <v>2966</v>
      </c>
      <c r="B105" t="s">
        <v>3917</v>
      </c>
      <c r="C105" t="s">
        <v>2967</v>
      </c>
      <c r="D105">
        <v>18.649999999999999</v>
      </c>
      <c r="E105" t="s">
        <v>3156</v>
      </c>
      <c r="H105" t="s">
        <v>22</v>
      </c>
      <c r="I105" t="s">
        <v>22</v>
      </c>
      <c r="M105" t="str">
        <f>IFERROR(_xlfn.XLOOKUP(A105,Fleet!A:A,Fleet!E:E,""),"")</f>
        <v/>
      </c>
      <c r="N105" t="s">
        <v>2966</v>
      </c>
      <c r="O105" t="s">
        <v>3048</v>
      </c>
      <c r="P105" t="str">
        <f>_xlfn.XLOOKUP(A105,'Classic Net to delete'!D:D,'Classic Net to delete'!A:A,"")</f>
        <v/>
      </c>
    </row>
    <row r="106" spans="1:16" x14ac:dyDescent="0.25">
      <c r="A106" t="s">
        <v>2165</v>
      </c>
      <c r="B106" t="s">
        <v>3917</v>
      </c>
      <c r="C106" t="s">
        <v>2166</v>
      </c>
      <c r="D106">
        <v>18.649999999999999</v>
      </c>
      <c r="E106" t="s">
        <v>3156</v>
      </c>
      <c r="F106" s="186" t="s">
        <v>2164</v>
      </c>
      <c r="H106" t="b">
        <v>1</v>
      </c>
      <c r="I106">
        <v>18.650000000000002</v>
      </c>
      <c r="J106" s="186" t="s">
        <v>2064</v>
      </c>
      <c r="M106" t="str">
        <f>IFERROR(_xlfn.XLOOKUP(A106,Fleet!A:A,Fleet!E:E,""),"")</f>
        <v/>
      </c>
      <c r="N106" t="s">
        <v>2165</v>
      </c>
      <c r="O106" t="s">
        <v>3048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2964</v>
      </c>
      <c r="B107" t="s">
        <v>3917</v>
      </c>
      <c r="C107" t="s">
        <v>2965</v>
      </c>
      <c r="D107">
        <v>18.649999999999999</v>
      </c>
      <c r="E107" t="s">
        <v>3156</v>
      </c>
      <c r="H107" t="s">
        <v>22</v>
      </c>
      <c r="I107" t="s">
        <v>22</v>
      </c>
      <c r="M107" t="str">
        <f>IFERROR(_xlfn.XLOOKUP(A107,Fleet!A:A,Fleet!E:E,""),"")</f>
        <v/>
      </c>
      <c r="N107" t="s">
        <v>2964</v>
      </c>
      <c r="O107" t="s">
        <v>3048</v>
      </c>
      <c r="P107" t="str">
        <f>_xlfn.XLOOKUP(A107,'Classic Net to delete'!D:D,'Classic Net to delete'!A:A,"")</f>
        <v/>
      </c>
    </row>
    <row r="108" spans="1:16" x14ac:dyDescent="0.25">
      <c r="A108" t="s">
        <v>2962</v>
      </c>
      <c r="B108" t="s">
        <v>3919</v>
      </c>
      <c r="C108" t="s">
        <v>2963</v>
      </c>
      <c r="D108">
        <v>5.55</v>
      </c>
      <c r="E108" t="s">
        <v>3156</v>
      </c>
      <c r="H108" t="s">
        <v>22</v>
      </c>
      <c r="I108" t="s">
        <v>22</v>
      </c>
      <c r="M108" t="str">
        <f>IFERROR(_xlfn.XLOOKUP(A108,Fleet!A:A,Fleet!E:E,""),"")</f>
        <v/>
      </c>
      <c r="N108" t="s">
        <v>2962</v>
      </c>
      <c r="O108" t="s">
        <v>3224</v>
      </c>
      <c r="P108" t="str">
        <f>_xlfn.XLOOKUP(A108,'Classic Net to delete'!D:D,'Classic Net to delete'!A:A,"")</f>
        <v/>
      </c>
    </row>
    <row r="109" spans="1:16" x14ac:dyDescent="0.25">
      <c r="A109" t="s">
        <v>2960</v>
      </c>
      <c r="B109" t="s">
        <v>3919</v>
      </c>
      <c r="C109" t="s">
        <v>2961</v>
      </c>
      <c r="D109">
        <v>14.15</v>
      </c>
      <c r="E109" t="s">
        <v>3156</v>
      </c>
      <c r="H109" t="s">
        <v>22</v>
      </c>
      <c r="I109" t="s">
        <v>22</v>
      </c>
      <c r="M109" t="str">
        <f>IFERROR(_xlfn.XLOOKUP(A109,Fleet!A:A,Fleet!E:E,""),"")</f>
        <v/>
      </c>
      <c r="N109" t="s">
        <v>2960</v>
      </c>
      <c r="O109" t="s">
        <v>3224</v>
      </c>
      <c r="P109" t="str">
        <f>_xlfn.XLOOKUP(A109,'Classic Net to delete'!D:D,'Classic Net to delete'!A:A,"")</f>
        <v/>
      </c>
    </row>
    <row r="110" spans="1:16" x14ac:dyDescent="0.25">
      <c r="A110" t="s">
        <v>2215</v>
      </c>
      <c r="B110" t="s">
        <v>3919</v>
      </c>
      <c r="C110" t="s">
        <v>2216</v>
      </c>
      <c r="D110">
        <v>41.6</v>
      </c>
      <c r="E110" t="s">
        <v>3156</v>
      </c>
      <c r="F110" s="186" t="s">
        <v>722</v>
      </c>
      <c r="H110" t="b">
        <v>1</v>
      </c>
      <c r="I110">
        <v>41.6</v>
      </c>
      <c r="J110" s="186" t="s">
        <v>2064</v>
      </c>
      <c r="M110" t="str">
        <f>IFERROR(_xlfn.XLOOKUP(A110,Fleet!A:A,Fleet!E:E,""),"")</f>
        <v/>
      </c>
      <c r="N110" t="s">
        <v>2215</v>
      </c>
      <c r="O110" t="s">
        <v>3224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2958</v>
      </c>
      <c r="B111" t="s">
        <v>3920</v>
      </c>
      <c r="C111" t="s">
        <v>2959</v>
      </c>
      <c r="D111">
        <v>5.15</v>
      </c>
      <c r="E111" t="s">
        <v>3156</v>
      </c>
      <c r="H111" t="s">
        <v>22</v>
      </c>
      <c r="I111" t="s">
        <v>22</v>
      </c>
      <c r="M111" t="str">
        <f>IFERROR(_xlfn.XLOOKUP(A111,Fleet!A:A,Fleet!E:E,""),"")</f>
        <v/>
      </c>
      <c r="N111" t="s">
        <v>2958</v>
      </c>
      <c r="O111" t="s">
        <v>3028</v>
      </c>
      <c r="P111" t="str">
        <f>_xlfn.XLOOKUP(A111,'Classic Net to delete'!D:D,'Classic Net to delete'!A:A,"")</f>
        <v/>
      </c>
    </row>
    <row r="112" spans="1:16" x14ac:dyDescent="0.25">
      <c r="A112" t="s">
        <v>2956</v>
      </c>
      <c r="B112" t="s">
        <v>3920</v>
      </c>
      <c r="C112" t="s">
        <v>2957</v>
      </c>
      <c r="D112">
        <v>7.75</v>
      </c>
      <c r="E112" t="s">
        <v>3156</v>
      </c>
      <c r="H112" t="s">
        <v>22</v>
      </c>
      <c r="I112" t="s">
        <v>22</v>
      </c>
      <c r="M112" t="str">
        <f>IFERROR(_xlfn.XLOOKUP(A112,Fleet!A:A,Fleet!E:E,""),"")</f>
        <v/>
      </c>
      <c r="N112" t="s">
        <v>2956</v>
      </c>
      <c r="O112" t="s">
        <v>3028</v>
      </c>
      <c r="P112" t="str">
        <f>_xlfn.XLOOKUP(A112,'Classic Net to delete'!D:D,'Classic Net to delete'!A:A,"")</f>
        <v/>
      </c>
    </row>
    <row r="113" spans="1:16" x14ac:dyDescent="0.25">
      <c r="A113" t="s">
        <v>2954</v>
      </c>
      <c r="B113" t="s">
        <v>3920</v>
      </c>
      <c r="C113" t="s">
        <v>2955</v>
      </c>
      <c r="D113">
        <v>18.850000000000001</v>
      </c>
      <c r="E113" t="s">
        <v>3156</v>
      </c>
      <c r="H113" t="s">
        <v>22</v>
      </c>
      <c r="I113" t="s">
        <v>22</v>
      </c>
      <c r="M113" t="str">
        <f>IFERROR(_xlfn.XLOOKUP(A113,Fleet!A:A,Fleet!E:E,""),"")</f>
        <v/>
      </c>
      <c r="N113" t="s">
        <v>2954</v>
      </c>
      <c r="O113" t="s">
        <v>3028</v>
      </c>
      <c r="P113" t="str">
        <f>_xlfn.XLOOKUP(A113,'Classic Net to delete'!D:D,'Classic Net to delete'!A:A,"")</f>
        <v/>
      </c>
    </row>
    <row r="114" spans="1:16" x14ac:dyDescent="0.25">
      <c r="A114" t="s">
        <v>2038</v>
      </c>
      <c r="B114" t="s">
        <v>3920</v>
      </c>
      <c r="C114" t="s">
        <v>2039</v>
      </c>
      <c r="D114">
        <v>28.35</v>
      </c>
      <c r="E114" t="s">
        <v>3156</v>
      </c>
      <c r="F114" s="186" t="s">
        <v>3921</v>
      </c>
      <c r="H114" t="b">
        <v>1</v>
      </c>
      <c r="I114">
        <v>28.35</v>
      </c>
      <c r="J114" s="186" t="s">
        <v>2007</v>
      </c>
      <c r="M114" t="str">
        <f>IFERROR(_xlfn.XLOOKUP(A114,Fleet!A:A,Fleet!E:E,""),"")</f>
        <v/>
      </c>
      <c r="N114" t="s">
        <v>2038</v>
      </c>
      <c r="O114" t="s">
        <v>3028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2952</v>
      </c>
      <c r="B115" t="s">
        <v>3920</v>
      </c>
      <c r="C115" t="s">
        <v>2953</v>
      </c>
      <c r="D115">
        <v>13.3</v>
      </c>
      <c r="E115" t="s">
        <v>3156</v>
      </c>
      <c r="H115" t="s">
        <v>22</v>
      </c>
      <c r="I115" t="s">
        <v>22</v>
      </c>
      <c r="M115" t="str">
        <f>IFERROR(_xlfn.XLOOKUP(A115,Fleet!A:A,Fleet!E:E,""),"")</f>
        <v/>
      </c>
      <c r="N115" t="s">
        <v>2952</v>
      </c>
      <c r="O115" t="s">
        <v>3028</v>
      </c>
      <c r="P115" t="str">
        <f>_xlfn.XLOOKUP(A115,'Classic Net to delete'!D:D,'Classic Net to delete'!A:A,"")</f>
        <v/>
      </c>
    </row>
    <row r="116" spans="1:16" x14ac:dyDescent="0.25">
      <c r="A116" t="s">
        <v>2060</v>
      </c>
      <c r="B116" t="s">
        <v>3920</v>
      </c>
      <c r="C116" t="s">
        <v>2061</v>
      </c>
      <c r="D116">
        <v>20.65</v>
      </c>
      <c r="E116" t="s">
        <v>3156</v>
      </c>
      <c r="F116" s="186" t="s">
        <v>722</v>
      </c>
      <c r="H116" t="b">
        <v>1</v>
      </c>
      <c r="I116">
        <v>20.650000000000002</v>
      </c>
      <c r="J116" s="186" t="s">
        <v>2007</v>
      </c>
      <c r="M116" t="str">
        <f>IFERROR(_xlfn.XLOOKUP(A116,Fleet!A:A,Fleet!E:E,""),"")</f>
        <v/>
      </c>
      <c r="N116" t="s">
        <v>2060</v>
      </c>
      <c r="O116" t="s">
        <v>3028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2050</v>
      </c>
      <c r="B117" t="s">
        <v>3920</v>
      </c>
      <c r="C117" t="s">
        <v>2051</v>
      </c>
      <c r="D117">
        <v>14.45</v>
      </c>
      <c r="E117" t="s">
        <v>3156</v>
      </c>
      <c r="F117" s="186" t="s">
        <v>3921</v>
      </c>
      <c r="H117" t="b">
        <v>1</v>
      </c>
      <c r="I117">
        <v>14.450000000000001</v>
      </c>
      <c r="J117" s="186" t="s">
        <v>2007</v>
      </c>
      <c r="M117" t="str">
        <f>IFERROR(_xlfn.XLOOKUP(A117,Fleet!A:A,Fleet!E:E,""),"")</f>
        <v/>
      </c>
      <c r="N117" t="s">
        <v>2050</v>
      </c>
      <c r="O117" t="s">
        <v>3028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2047</v>
      </c>
      <c r="B118" t="s">
        <v>3920</v>
      </c>
      <c r="C118" t="s">
        <v>2048</v>
      </c>
      <c r="D118">
        <v>14.45</v>
      </c>
      <c r="E118" t="s">
        <v>3156</v>
      </c>
      <c r="F118" s="186" t="s">
        <v>3921</v>
      </c>
      <c r="H118" t="b">
        <v>1</v>
      </c>
      <c r="I118">
        <v>14.450000000000001</v>
      </c>
      <c r="J118" s="186" t="s">
        <v>2007</v>
      </c>
      <c r="M118" t="str">
        <f>IFERROR(_xlfn.XLOOKUP(A118,Fleet!A:A,Fleet!E:E,""),"")</f>
        <v/>
      </c>
      <c r="N118" t="s">
        <v>2047</v>
      </c>
      <c r="O118" t="s">
        <v>3028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2173</v>
      </c>
      <c r="B119" t="s">
        <v>3920</v>
      </c>
      <c r="C119" t="s">
        <v>2174</v>
      </c>
      <c r="D119">
        <v>1.5</v>
      </c>
      <c r="E119" t="s">
        <v>3156</v>
      </c>
      <c r="F119" s="186" t="s">
        <v>2175</v>
      </c>
      <c r="H119" t="b">
        <v>1</v>
      </c>
      <c r="I119">
        <v>1.5</v>
      </c>
      <c r="J119" s="186" t="s">
        <v>2064</v>
      </c>
      <c r="M119" t="str">
        <f>IFERROR(_xlfn.XLOOKUP(A119,Fleet!A:A,Fleet!E:E,""),"")</f>
        <v/>
      </c>
      <c r="N119" t="s">
        <v>2173</v>
      </c>
      <c r="O119" t="s">
        <v>3028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2043</v>
      </c>
      <c r="B120" t="s">
        <v>3920</v>
      </c>
      <c r="C120" t="s">
        <v>2044</v>
      </c>
      <c r="D120">
        <v>2.7</v>
      </c>
      <c r="E120" t="s">
        <v>3156</v>
      </c>
      <c r="F120" s="186" t="s">
        <v>3921</v>
      </c>
      <c r="H120" t="b">
        <v>1</v>
      </c>
      <c r="I120">
        <v>2.7</v>
      </c>
      <c r="J120" s="186" t="s">
        <v>2007</v>
      </c>
      <c r="M120" t="str">
        <f>IFERROR(_xlfn.XLOOKUP(A120,Fleet!A:A,Fleet!E:E,""),"")</f>
        <v/>
      </c>
      <c r="N120" t="s">
        <v>2043</v>
      </c>
      <c r="O120" t="s">
        <v>3028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2045</v>
      </c>
      <c r="B121" t="s">
        <v>3920</v>
      </c>
      <c r="C121" t="s">
        <v>2046</v>
      </c>
      <c r="D121">
        <v>2.7</v>
      </c>
      <c r="E121" t="s">
        <v>3156</v>
      </c>
      <c r="F121" s="186" t="s">
        <v>3921</v>
      </c>
      <c r="H121" t="b">
        <v>1</v>
      </c>
      <c r="I121">
        <v>2.7</v>
      </c>
      <c r="J121" s="186" t="s">
        <v>2007</v>
      </c>
      <c r="M121" t="str">
        <f>IFERROR(_xlfn.XLOOKUP(A121,Fleet!A:A,Fleet!E:E,""),"")</f>
        <v/>
      </c>
      <c r="N121" t="s">
        <v>2045</v>
      </c>
      <c r="O121" t="s">
        <v>3028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2040</v>
      </c>
      <c r="B122" t="s">
        <v>3920</v>
      </c>
      <c r="C122" t="s">
        <v>2041</v>
      </c>
      <c r="D122">
        <v>10.050000000000001</v>
      </c>
      <c r="E122" t="s">
        <v>3156</v>
      </c>
      <c r="F122" s="186" t="s">
        <v>3921</v>
      </c>
      <c r="H122" t="b">
        <v>1</v>
      </c>
      <c r="I122">
        <v>10.050000000000001</v>
      </c>
      <c r="J122" s="186" t="s">
        <v>2007</v>
      </c>
      <c r="M122" t="str">
        <f>IFERROR(_xlfn.XLOOKUP(A122,Fleet!A:A,Fleet!E:E,""),"")</f>
        <v/>
      </c>
      <c r="N122" t="s">
        <v>2040</v>
      </c>
      <c r="O122" t="s">
        <v>3028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2950</v>
      </c>
      <c r="B123" t="s">
        <v>3920</v>
      </c>
      <c r="C123" t="s">
        <v>2951</v>
      </c>
      <c r="D123">
        <v>7.5</v>
      </c>
      <c r="E123" t="s">
        <v>3156</v>
      </c>
      <c r="H123" t="s">
        <v>22</v>
      </c>
      <c r="I123" t="s">
        <v>22</v>
      </c>
      <c r="M123" t="str">
        <f>IFERROR(_xlfn.XLOOKUP(A123,Fleet!A:A,Fleet!E:E,""),"")</f>
        <v/>
      </c>
      <c r="N123" t="s">
        <v>2950</v>
      </c>
      <c r="O123" t="s">
        <v>3028</v>
      </c>
      <c r="P123" t="str">
        <f>_xlfn.XLOOKUP(A123,'Classic Net to delete'!D:D,'Classic Net to delete'!A:A,"")</f>
        <v/>
      </c>
    </row>
    <row r="124" spans="1:16" x14ac:dyDescent="0.25">
      <c r="A124" t="s">
        <v>2948</v>
      </c>
      <c r="B124" t="s">
        <v>3920</v>
      </c>
      <c r="C124" t="s">
        <v>2949</v>
      </c>
      <c r="D124">
        <v>10.050000000000001</v>
      </c>
      <c r="E124" t="s">
        <v>3156</v>
      </c>
      <c r="H124" t="s">
        <v>22</v>
      </c>
      <c r="I124" t="s">
        <v>22</v>
      </c>
      <c r="M124" t="str">
        <f>IFERROR(_xlfn.XLOOKUP(A124,Fleet!A:A,Fleet!E:E,""),"")</f>
        <v/>
      </c>
      <c r="N124" t="s">
        <v>2948</v>
      </c>
      <c r="O124" t="s">
        <v>3028</v>
      </c>
      <c r="P124" t="str">
        <f>_xlfn.XLOOKUP(A124,'Classic Net to delete'!D:D,'Classic Net to delete'!A:A,"")</f>
        <v/>
      </c>
    </row>
    <row r="125" spans="1:16" x14ac:dyDescent="0.25">
      <c r="A125" t="s">
        <v>2034</v>
      </c>
      <c r="B125" t="s">
        <v>3920</v>
      </c>
      <c r="C125" t="s">
        <v>2035</v>
      </c>
      <c r="D125">
        <v>13.3</v>
      </c>
      <c r="E125" t="s">
        <v>3156</v>
      </c>
      <c r="F125" s="186" t="s">
        <v>3921</v>
      </c>
      <c r="H125" t="b">
        <v>1</v>
      </c>
      <c r="I125">
        <v>13.3</v>
      </c>
      <c r="J125" s="186" t="s">
        <v>2007</v>
      </c>
      <c r="M125" t="str">
        <f>IFERROR(_xlfn.XLOOKUP(A125,Fleet!A:A,Fleet!E:E,""),"")</f>
        <v/>
      </c>
      <c r="N125" t="s">
        <v>2034</v>
      </c>
      <c r="O125" t="s">
        <v>3028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2946</v>
      </c>
      <c r="B126" t="s">
        <v>3920</v>
      </c>
      <c r="C126" t="s">
        <v>2947</v>
      </c>
      <c r="D126">
        <v>13.3</v>
      </c>
      <c r="E126" t="s">
        <v>3156</v>
      </c>
      <c r="H126" t="s">
        <v>22</v>
      </c>
      <c r="I126" t="s">
        <v>22</v>
      </c>
      <c r="M126" t="str">
        <f>IFERROR(_xlfn.XLOOKUP(A126,Fleet!A:A,Fleet!E:E,""),"")</f>
        <v/>
      </c>
      <c r="N126" t="s">
        <v>2946</v>
      </c>
      <c r="O126" t="s">
        <v>3028</v>
      </c>
      <c r="P126" t="str">
        <f>_xlfn.XLOOKUP(A126,'Classic Net to delete'!D:D,'Classic Net to delete'!A:A,"")</f>
        <v/>
      </c>
    </row>
    <row r="127" spans="1:16" x14ac:dyDescent="0.25">
      <c r="A127" t="s">
        <v>2031</v>
      </c>
      <c r="B127" t="s">
        <v>3920</v>
      </c>
      <c r="C127" t="s">
        <v>2032</v>
      </c>
      <c r="D127">
        <v>13.3</v>
      </c>
      <c r="E127" t="s">
        <v>3156</v>
      </c>
      <c r="F127" s="186" t="s">
        <v>2008</v>
      </c>
      <c r="H127" t="b">
        <v>1</v>
      </c>
      <c r="I127">
        <v>13.3</v>
      </c>
      <c r="J127" s="186" t="s">
        <v>2007</v>
      </c>
      <c r="M127" t="str">
        <f>IFERROR(_xlfn.XLOOKUP(A127,Fleet!A:A,Fleet!E:E,""),"")</f>
        <v/>
      </c>
      <c r="N127" t="s">
        <v>2031</v>
      </c>
      <c r="O127" t="s">
        <v>3028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2028</v>
      </c>
      <c r="B128" t="s">
        <v>3920</v>
      </c>
      <c r="C128" t="s">
        <v>2029</v>
      </c>
      <c r="D128">
        <v>13.3</v>
      </c>
      <c r="E128" t="s">
        <v>3156</v>
      </c>
      <c r="F128" s="186" t="s">
        <v>2008</v>
      </c>
      <c r="H128" t="b">
        <v>1</v>
      </c>
      <c r="I128">
        <v>13.3</v>
      </c>
      <c r="J128" s="186" t="s">
        <v>2007</v>
      </c>
      <c r="M128" t="str">
        <f>IFERROR(_xlfn.XLOOKUP(A128,Fleet!A:A,Fleet!E:E,""),"")</f>
        <v/>
      </c>
      <c r="N128" t="s">
        <v>2028</v>
      </c>
      <c r="O128" t="s">
        <v>3028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2025</v>
      </c>
      <c r="B129" t="s">
        <v>3920</v>
      </c>
      <c r="C129" t="s">
        <v>2026</v>
      </c>
      <c r="D129">
        <v>8.0500000000000007</v>
      </c>
      <c r="E129" t="s">
        <v>3156</v>
      </c>
      <c r="F129" s="186" t="s">
        <v>2008</v>
      </c>
      <c r="H129" t="b">
        <v>1</v>
      </c>
      <c r="I129">
        <v>8.0500000000000007</v>
      </c>
      <c r="J129" s="186" t="s">
        <v>2007</v>
      </c>
      <c r="M129" t="str">
        <f>IFERROR(_xlfn.XLOOKUP(A129,Fleet!A:A,Fleet!E:E,""),"")</f>
        <v/>
      </c>
      <c r="N129" t="s">
        <v>2025</v>
      </c>
      <c r="O129" t="s">
        <v>3028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2022</v>
      </c>
      <c r="B130" t="s">
        <v>3920</v>
      </c>
      <c r="C130" t="s">
        <v>2023</v>
      </c>
      <c r="D130">
        <v>6.5</v>
      </c>
      <c r="E130" t="s">
        <v>3156</v>
      </c>
      <c r="F130" s="186" t="s">
        <v>2008</v>
      </c>
      <c r="H130" t="b">
        <v>1</v>
      </c>
      <c r="I130">
        <v>6.5</v>
      </c>
      <c r="J130" s="186" t="s">
        <v>2007</v>
      </c>
      <c r="M130" t="str">
        <f>IFERROR(_xlfn.XLOOKUP(A130,Fleet!A:A,Fleet!E:E,""),"")</f>
        <v/>
      </c>
      <c r="N130" t="s">
        <v>2022</v>
      </c>
      <c r="O130" t="s">
        <v>3028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2019</v>
      </c>
      <c r="B131" t="s">
        <v>3920</v>
      </c>
      <c r="C131" t="s">
        <v>2020</v>
      </c>
      <c r="D131">
        <v>5.35</v>
      </c>
      <c r="E131" t="s">
        <v>3156</v>
      </c>
      <c r="F131" s="186" t="s">
        <v>2008</v>
      </c>
      <c r="H131" t="b">
        <v>1</v>
      </c>
      <c r="I131">
        <v>5.3500000000000005</v>
      </c>
      <c r="J131" s="186" t="s">
        <v>2007</v>
      </c>
      <c r="M131" t="str">
        <f>IFERROR(_xlfn.XLOOKUP(A131,Fleet!A:A,Fleet!E:E,""),"")</f>
        <v/>
      </c>
      <c r="N131" t="s">
        <v>2019</v>
      </c>
      <c r="O131" t="s">
        <v>3028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2013</v>
      </c>
      <c r="B132" t="s">
        <v>3920</v>
      </c>
      <c r="C132" t="s">
        <v>2014</v>
      </c>
      <c r="D132">
        <v>4.1500000000000004</v>
      </c>
      <c r="E132" t="s">
        <v>3156</v>
      </c>
      <c r="F132" s="186" t="s">
        <v>2008</v>
      </c>
      <c r="H132" t="b">
        <v>1</v>
      </c>
      <c r="I132">
        <v>4.1500000000000004</v>
      </c>
      <c r="J132" s="186" t="s">
        <v>2007</v>
      </c>
      <c r="M132" t="str">
        <f>IFERROR(_xlfn.XLOOKUP(A132,Fleet!A:A,Fleet!E:E,""),"")</f>
        <v/>
      </c>
      <c r="N132" t="s">
        <v>2013</v>
      </c>
      <c r="O132" t="s">
        <v>3028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2015</v>
      </c>
      <c r="B133" t="s">
        <v>3920</v>
      </c>
      <c r="C133" t="s">
        <v>2016</v>
      </c>
      <c r="D133">
        <v>8.0500000000000007</v>
      </c>
      <c r="E133" t="s">
        <v>3156</v>
      </c>
      <c r="F133" s="186" t="s">
        <v>2008</v>
      </c>
      <c r="H133" t="b">
        <v>1</v>
      </c>
      <c r="I133">
        <v>8.0500000000000007</v>
      </c>
      <c r="J133" s="186" t="s">
        <v>2007</v>
      </c>
      <c r="M133" t="str">
        <f>IFERROR(_xlfn.XLOOKUP(A133,Fleet!A:A,Fleet!E:E,""),"")</f>
        <v/>
      </c>
      <c r="N133" t="s">
        <v>2015</v>
      </c>
      <c r="O133" t="s">
        <v>3028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2017</v>
      </c>
      <c r="B134" t="s">
        <v>3920</v>
      </c>
      <c r="C134" t="s">
        <v>2018</v>
      </c>
      <c r="D134">
        <v>2.7</v>
      </c>
      <c r="E134" t="s">
        <v>3156</v>
      </c>
      <c r="F134" s="186" t="s">
        <v>2008</v>
      </c>
      <c r="H134" t="b">
        <v>1</v>
      </c>
      <c r="I134">
        <v>2.7</v>
      </c>
      <c r="J134" s="186" t="s">
        <v>2007</v>
      </c>
      <c r="M134" t="str">
        <f>IFERROR(_xlfn.XLOOKUP(A134,Fleet!A:A,Fleet!E:E,""),"")</f>
        <v/>
      </c>
      <c r="N134" t="s">
        <v>2017</v>
      </c>
      <c r="O134" t="s">
        <v>3028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2011</v>
      </c>
      <c r="B135" t="s">
        <v>3920</v>
      </c>
      <c r="C135" t="s">
        <v>2012</v>
      </c>
      <c r="D135">
        <v>4.1500000000000004</v>
      </c>
      <c r="E135" t="s">
        <v>3156</v>
      </c>
      <c r="F135" s="186" t="s">
        <v>2008</v>
      </c>
      <c r="H135" t="b">
        <v>1</v>
      </c>
      <c r="I135">
        <v>4.1500000000000004</v>
      </c>
      <c r="J135" s="186" t="s">
        <v>2007</v>
      </c>
      <c r="M135" t="str">
        <f>IFERROR(_xlfn.XLOOKUP(A135,Fleet!A:A,Fleet!E:E,""),"")</f>
        <v/>
      </c>
      <c r="N135" t="s">
        <v>2011</v>
      </c>
      <c r="O135" t="s">
        <v>3028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2009</v>
      </c>
      <c r="B136" t="s">
        <v>3920</v>
      </c>
      <c r="C136" t="s">
        <v>2010</v>
      </c>
      <c r="D136">
        <v>3.55</v>
      </c>
      <c r="E136" t="s">
        <v>3156</v>
      </c>
      <c r="F136" s="186" t="s">
        <v>2008</v>
      </c>
      <c r="H136" t="b">
        <v>1</v>
      </c>
      <c r="I136">
        <v>3.5500000000000003</v>
      </c>
      <c r="J136" s="186" t="s">
        <v>2007</v>
      </c>
      <c r="M136" t="str">
        <f>IFERROR(_xlfn.XLOOKUP(A136,Fleet!A:A,Fleet!E:E,""),"")</f>
        <v/>
      </c>
      <c r="N136" t="s">
        <v>2009</v>
      </c>
      <c r="O136" t="s">
        <v>3028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2944</v>
      </c>
      <c r="B137" t="s">
        <v>3920</v>
      </c>
      <c r="C137" t="s">
        <v>2945</v>
      </c>
      <c r="D137">
        <v>8.0500000000000007</v>
      </c>
      <c r="E137" t="s">
        <v>3156</v>
      </c>
      <c r="H137" t="s">
        <v>22</v>
      </c>
      <c r="I137" t="s">
        <v>22</v>
      </c>
      <c r="M137" t="str">
        <f>IFERROR(_xlfn.XLOOKUP(A137,Fleet!A:A,Fleet!E:E,""),"")</f>
        <v/>
      </c>
      <c r="N137" t="s">
        <v>2944</v>
      </c>
      <c r="O137" t="s">
        <v>3028</v>
      </c>
      <c r="P137" t="str">
        <f>_xlfn.XLOOKUP(A137,'Classic Net to delete'!D:D,'Classic Net to delete'!A:A,"")</f>
        <v/>
      </c>
    </row>
    <row r="138" spans="1:16" x14ac:dyDescent="0.25">
      <c r="A138" t="s">
        <v>2005</v>
      </c>
      <c r="B138" t="s">
        <v>3920</v>
      </c>
      <c r="C138" t="s">
        <v>2006</v>
      </c>
      <c r="D138">
        <v>8.0500000000000007</v>
      </c>
      <c r="E138" t="s">
        <v>3156</v>
      </c>
      <c r="F138" s="186" t="s">
        <v>2008</v>
      </c>
      <c r="H138" t="b">
        <v>1</v>
      </c>
      <c r="I138">
        <v>8.0500000000000007</v>
      </c>
      <c r="J138" s="186" t="s">
        <v>2007</v>
      </c>
      <c r="M138" t="str">
        <f>IFERROR(_xlfn.XLOOKUP(A138,Fleet!A:A,Fleet!E:E,""),"")</f>
        <v/>
      </c>
      <c r="N138" t="s">
        <v>2005</v>
      </c>
      <c r="O138" t="s">
        <v>3028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2942</v>
      </c>
      <c r="B139" t="s">
        <v>3918</v>
      </c>
      <c r="C139" t="s">
        <v>2943</v>
      </c>
      <c r="D139">
        <v>12.1</v>
      </c>
      <c r="E139" t="s">
        <v>3156</v>
      </c>
      <c r="H139" t="s">
        <v>22</v>
      </c>
      <c r="I139" t="s">
        <v>22</v>
      </c>
      <c r="M139" t="str">
        <f>IFERROR(_xlfn.XLOOKUP(A139,Fleet!A:A,Fleet!E:E,""),"")</f>
        <v/>
      </c>
      <c r="N139" t="s">
        <v>2942</v>
      </c>
      <c r="O139" t="s">
        <v>3189</v>
      </c>
      <c r="P139" t="str">
        <f>_xlfn.XLOOKUP(A139,'Classic Net to delete'!D:D,'Classic Net to delete'!A:A,"")</f>
        <v/>
      </c>
    </row>
    <row r="140" spans="1:16" x14ac:dyDescent="0.25">
      <c r="A140" t="s">
        <v>2053</v>
      </c>
      <c r="B140" t="s">
        <v>3918</v>
      </c>
      <c r="C140" t="s">
        <v>2054</v>
      </c>
      <c r="D140">
        <v>12.1</v>
      </c>
      <c r="E140" t="s">
        <v>3156</v>
      </c>
      <c r="F140" s="186" t="s">
        <v>722</v>
      </c>
      <c r="H140" t="b">
        <v>1</v>
      </c>
      <c r="I140">
        <v>12.100000000000001</v>
      </c>
      <c r="J140" s="186" t="s">
        <v>2007</v>
      </c>
      <c r="M140" t="str">
        <f>IFERROR(_xlfn.XLOOKUP(A140,Fleet!A:A,Fleet!E:E,""),"")</f>
        <v/>
      </c>
      <c r="N140" t="s">
        <v>2053</v>
      </c>
      <c r="O140" t="s">
        <v>3189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2940</v>
      </c>
      <c r="B141" t="s">
        <v>3918</v>
      </c>
      <c r="C141" t="s">
        <v>2941</v>
      </c>
      <c r="D141">
        <v>55.45</v>
      </c>
      <c r="E141" t="s">
        <v>3156</v>
      </c>
      <c r="H141" t="s">
        <v>22</v>
      </c>
      <c r="I141" t="s">
        <v>22</v>
      </c>
      <c r="M141" t="str">
        <f>IFERROR(_xlfn.XLOOKUP(A141,Fleet!A:A,Fleet!E:E,""),"")</f>
        <v/>
      </c>
      <c r="N141" t="s">
        <v>2940</v>
      </c>
      <c r="O141" t="s">
        <v>3189</v>
      </c>
      <c r="P141" t="str">
        <f>_xlfn.XLOOKUP(A141,'Classic Net to delete'!D:D,'Classic Net to delete'!A:A,"")</f>
        <v/>
      </c>
    </row>
    <row r="142" spans="1:16" x14ac:dyDescent="0.25">
      <c r="A142" t="s">
        <v>2940</v>
      </c>
      <c r="B142" t="s">
        <v>2941</v>
      </c>
      <c r="C142" t="s">
        <v>2941</v>
      </c>
      <c r="D142">
        <v>55.45</v>
      </c>
      <c r="E142" t="s">
        <v>3146</v>
      </c>
      <c r="H142" t="s">
        <v>22</v>
      </c>
      <c r="I142" t="s">
        <v>22</v>
      </c>
      <c r="M142" t="str">
        <f>IFERROR(_xlfn.XLOOKUP(A142,Fleet!A:A,Fleet!E:E,""),"")</f>
        <v/>
      </c>
      <c r="N142" t="s">
        <v>2940</v>
      </c>
      <c r="O142" t="s">
        <v>3145</v>
      </c>
      <c r="P142" t="str">
        <f>_xlfn.XLOOKUP(A142,'Classic Net to delete'!D:D,'Classic Net to delete'!A:A,"")</f>
        <v/>
      </c>
    </row>
    <row r="143" spans="1:16" x14ac:dyDescent="0.25">
      <c r="A143" t="s">
        <v>2938</v>
      </c>
      <c r="B143" t="s">
        <v>3918</v>
      </c>
      <c r="C143" t="s">
        <v>2939</v>
      </c>
      <c r="D143">
        <v>48.95</v>
      </c>
      <c r="E143" t="s">
        <v>3156</v>
      </c>
      <c r="H143" t="s">
        <v>22</v>
      </c>
      <c r="I143" t="s">
        <v>22</v>
      </c>
      <c r="M143" t="str">
        <f>IFERROR(_xlfn.XLOOKUP(A143,Fleet!A:A,Fleet!E:E,""),"")</f>
        <v/>
      </c>
      <c r="N143" t="s">
        <v>2938</v>
      </c>
      <c r="O143" t="s">
        <v>3189</v>
      </c>
      <c r="P143" t="str">
        <f>_xlfn.XLOOKUP(A143,'Classic Net to delete'!D:D,'Classic Net to delete'!A:A,"")</f>
        <v/>
      </c>
    </row>
    <row r="144" spans="1:16" x14ac:dyDescent="0.25">
      <c r="A144" t="s">
        <v>2936</v>
      </c>
      <c r="B144" t="s">
        <v>3918</v>
      </c>
      <c r="C144" t="s">
        <v>2937</v>
      </c>
      <c r="D144">
        <v>10.050000000000001</v>
      </c>
      <c r="E144" t="s">
        <v>3156</v>
      </c>
      <c r="H144" t="s">
        <v>22</v>
      </c>
      <c r="I144" t="s">
        <v>22</v>
      </c>
      <c r="M144" t="str">
        <f>IFERROR(_xlfn.XLOOKUP(A144,Fleet!A:A,Fleet!E:E,""),"")</f>
        <v/>
      </c>
      <c r="N144" t="s">
        <v>2936</v>
      </c>
      <c r="O144" t="s">
        <v>3189</v>
      </c>
      <c r="P144" t="str">
        <f>_xlfn.XLOOKUP(A144,'Classic Net to delete'!D:D,'Classic Net to delete'!A:A,"")</f>
        <v/>
      </c>
    </row>
    <row r="145" spans="1:16" x14ac:dyDescent="0.25">
      <c r="A145" t="s">
        <v>2934</v>
      </c>
      <c r="B145" t="s">
        <v>3918</v>
      </c>
      <c r="C145" t="s">
        <v>2935</v>
      </c>
      <c r="D145">
        <v>10.050000000000001</v>
      </c>
      <c r="E145" t="s">
        <v>3156</v>
      </c>
      <c r="H145" t="s">
        <v>22</v>
      </c>
      <c r="I145" t="s">
        <v>22</v>
      </c>
      <c r="M145" t="str">
        <f>IFERROR(_xlfn.XLOOKUP(A145,Fleet!A:A,Fleet!E:E,""),"")</f>
        <v/>
      </c>
      <c r="N145" t="s">
        <v>2934</v>
      </c>
      <c r="O145" t="s">
        <v>3189</v>
      </c>
      <c r="P145" t="str">
        <f>_xlfn.XLOOKUP(A145,'Classic Net to delete'!D:D,'Classic Net to delete'!A:A,"")</f>
        <v/>
      </c>
    </row>
    <row r="146" spans="1:16" x14ac:dyDescent="0.25">
      <c r="A146" t="s">
        <v>2932</v>
      </c>
      <c r="B146" t="s">
        <v>3918</v>
      </c>
      <c r="C146" t="s">
        <v>2933</v>
      </c>
      <c r="D146">
        <v>10.050000000000001</v>
      </c>
      <c r="E146" t="s">
        <v>3156</v>
      </c>
      <c r="H146" t="s">
        <v>22</v>
      </c>
      <c r="I146" t="s">
        <v>22</v>
      </c>
      <c r="M146" t="str">
        <f>IFERROR(_xlfn.XLOOKUP(A146,Fleet!A:A,Fleet!E:E,""),"")</f>
        <v/>
      </c>
      <c r="N146" t="s">
        <v>2932</v>
      </c>
      <c r="O146" t="s">
        <v>3189</v>
      </c>
      <c r="P146" t="str">
        <f>_xlfn.XLOOKUP(A146,'Classic Net to delete'!D:D,'Classic Net to delete'!A:A,"")</f>
        <v/>
      </c>
    </row>
    <row r="147" spans="1:16" x14ac:dyDescent="0.25">
      <c r="A147" t="s">
        <v>2930</v>
      </c>
      <c r="B147" t="s">
        <v>3918</v>
      </c>
      <c r="C147" t="s">
        <v>2931</v>
      </c>
      <c r="D147">
        <v>10.050000000000001</v>
      </c>
      <c r="E147" t="s">
        <v>3156</v>
      </c>
      <c r="H147" t="s">
        <v>22</v>
      </c>
      <c r="I147" t="s">
        <v>22</v>
      </c>
      <c r="M147" t="str">
        <f>IFERROR(_xlfn.XLOOKUP(A147,Fleet!A:A,Fleet!E:E,""),"")</f>
        <v/>
      </c>
      <c r="N147" t="s">
        <v>2930</v>
      </c>
      <c r="O147" t="s">
        <v>3189</v>
      </c>
      <c r="P147" t="str">
        <f>_xlfn.XLOOKUP(A147,'Classic Net to delete'!D:D,'Classic Net to delete'!A:A,"")</f>
        <v/>
      </c>
    </row>
    <row r="148" spans="1:16" x14ac:dyDescent="0.25">
      <c r="A148" t="s">
        <v>2928</v>
      </c>
      <c r="B148" t="s">
        <v>3918</v>
      </c>
      <c r="C148" t="s">
        <v>2929</v>
      </c>
      <c r="D148">
        <v>10.050000000000001</v>
      </c>
      <c r="E148" t="s">
        <v>3156</v>
      </c>
      <c r="H148" t="s">
        <v>22</v>
      </c>
      <c r="I148" t="s">
        <v>22</v>
      </c>
      <c r="M148" t="str">
        <f>IFERROR(_xlfn.XLOOKUP(A148,Fleet!A:A,Fleet!E:E,""),"")</f>
        <v/>
      </c>
      <c r="N148" t="s">
        <v>2928</v>
      </c>
      <c r="O148" t="s">
        <v>3189</v>
      </c>
      <c r="P148" t="str">
        <f>_xlfn.XLOOKUP(A148,'Classic Net to delete'!D:D,'Classic Net to delete'!A:A,"")</f>
        <v/>
      </c>
    </row>
    <row r="149" spans="1:16" x14ac:dyDescent="0.25">
      <c r="A149" t="s">
        <v>2926</v>
      </c>
      <c r="B149" t="s">
        <v>3918</v>
      </c>
      <c r="C149" t="s">
        <v>2927</v>
      </c>
      <c r="D149">
        <v>10.050000000000001</v>
      </c>
      <c r="E149" t="s">
        <v>3156</v>
      </c>
      <c r="H149" t="s">
        <v>22</v>
      </c>
      <c r="I149" t="s">
        <v>22</v>
      </c>
      <c r="M149" t="str">
        <f>IFERROR(_xlfn.XLOOKUP(A149,Fleet!A:A,Fleet!E:E,""),"")</f>
        <v/>
      </c>
      <c r="N149" t="s">
        <v>2926</v>
      </c>
      <c r="O149" t="s">
        <v>3189</v>
      </c>
      <c r="P149" t="str">
        <f>_xlfn.XLOOKUP(A149,'Classic Net to delete'!D:D,'Classic Net to delete'!A:A,"")</f>
        <v/>
      </c>
    </row>
    <row r="150" spans="1:16" x14ac:dyDescent="0.25">
      <c r="A150" t="s">
        <v>2057</v>
      </c>
      <c r="B150" t="s">
        <v>3918</v>
      </c>
      <c r="C150" t="s">
        <v>2058</v>
      </c>
      <c r="D150">
        <v>10.050000000000001</v>
      </c>
      <c r="E150" t="s">
        <v>3156</v>
      </c>
      <c r="F150" s="186" t="s">
        <v>722</v>
      </c>
      <c r="H150" t="b">
        <v>1</v>
      </c>
      <c r="I150">
        <v>10.050000000000001</v>
      </c>
      <c r="J150" s="186" t="s">
        <v>2007</v>
      </c>
      <c r="M150" t="str">
        <f>IFERROR(_xlfn.XLOOKUP(A150,Fleet!A:A,Fleet!E:E,""),"")</f>
        <v/>
      </c>
      <c r="N150" t="s">
        <v>2057</v>
      </c>
      <c r="O150" t="s">
        <v>3189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1824</v>
      </c>
      <c r="B151" t="s">
        <v>3848</v>
      </c>
      <c r="C151" t="s">
        <v>1825</v>
      </c>
      <c r="D151">
        <v>35.700000000000003</v>
      </c>
      <c r="E151" t="s">
        <v>3156</v>
      </c>
      <c r="F151" s="186" t="s">
        <v>3922</v>
      </c>
      <c r="H151" t="b">
        <v>1</v>
      </c>
      <c r="I151">
        <v>35.700000000000003</v>
      </c>
      <c r="J151" s="186" t="s">
        <v>1772</v>
      </c>
      <c r="M151" t="str">
        <f>IFERROR(_xlfn.XLOOKUP(A151,Fleet!A:A,Fleet!E:E,""),"")</f>
        <v/>
      </c>
      <c r="N151" t="s">
        <v>1824</v>
      </c>
      <c r="O151" t="s">
        <v>3188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1822</v>
      </c>
      <c r="B152" t="s">
        <v>3848</v>
      </c>
      <c r="C152" t="s">
        <v>1823</v>
      </c>
      <c r="D152">
        <v>27.15</v>
      </c>
      <c r="E152" t="s">
        <v>3156</v>
      </c>
      <c r="F152" s="186" t="s">
        <v>3922</v>
      </c>
      <c r="H152" t="b">
        <v>1</v>
      </c>
      <c r="I152">
        <v>27.150000000000002</v>
      </c>
      <c r="J152" s="186" t="s">
        <v>1772</v>
      </c>
      <c r="M152" t="str">
        <f>IFERROR(_xlfn.XLOOKUP(A152,Fleet!A:A,Fleet!E:E,""),"")</f>
        <v/>
      </c>
      <c r="N152" t="s">
        <v>1822</v>
      </c>
      <c r="O152" t="s">
        <v>3188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1820</v>
      </c>
      <c r="B153" t="s">
        <v>3848</v>
      </c>
      <c r="C153" t="s">
        <v>1821</v>
      </c>
      <c r="D153">
        <v>22.4</v>
      </c>
      <c r="E153" t="s">
        <v>3156</v>
      </c>
      <c r="F153" s="186" t="s">
        <v>3922</v>
      </c>
      <c r="H153" t="b">
        <v>1</v>
      </c>
      <c r="I153">
        <v>22.400000000000002</v>
      </c>
      <c r="J153" s="186" t="s">
        <v>1772</v>
      </c>
      <c r="M153" t="str">
        <f>IFERROR(_xlfn.XLOOKUP(A153,Fleet!A:A,Fleet!E:E,""),"")</f>
        <v/>
      </c>
      <c r="N153" t="s">
        <v>1820</v>
      </c>
      <c r="O153" t="s">
        <v>3188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2924</v>
      </c>
      <c r="B154" t="s">
        <v>3848</v>
      </c>
      <c r="C154" t="s">
        <v>2925</v>
      </c>
      <c r="D154">
        <v>47.8</v>
      </c>
      <c r="E154" t="s">
        <v>3156</v>
      </c>
      <c r="H154" t="s">
        <v>22</v>
      </c>
      <c r="I154" t="s">
        <v>22</v>
      </c>
      <c r="M154" t="str">
        <f>IFERROR(_xlfn.XLOOKUP(A154,Fleet!A:A,Fleet!E:E,""),"")</f>
        <v/>
      </c>
      <c r="N154" t="s">
        <v>2924</v>
      </c>
      <c r="O154" t="s">
        <v>3188</v>
      </c>
      <c r="P154" t="str">
        <f>_xlfn.XLOOKUP(A154,'Classic Net to delete'!D:D,'Classic Net to delete'!A:A,"")</f>
        <v/>
      </c>
    </row>
    <row r="155" spans="1:16" x14ac:dyDescent="0.25">
      <c r="A155" t="s">
        <v>1925</v>
      </c>
      <c r="B155" t="s">
        <v>1901</v>
      </c>
      <c r="C155" t="s">
        <v>1926</v>
      </c>
      <c r="D155">
        <v>31.55</v>
      </c>
      <c r="E155" t="s">
        <v>3156</v>
      </c>
      <c r="F155" s="186" t="s">
        <v>722</v>
      </c>
      <c r="H155" t="b">
        <v>1</v>
      </c>
      <c r="I155">
        <v>31.55</v>
      </c>
      <c r="J155" s="186" t="s">
        <v>1872</v>
      </c>
      <c r="M155" t="str">
        <f>IFERROR(_xlfn.XLOOKUP(A155,Fleet!A:A,Fleet!E:E,""),"")</f>
        <v/>
      </c>
      <c r="N155" t="s">
        <v>1925</v>
      </c>
      <c r="O155" t="s">
        <v>3187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1928</v>
      </c>
      <c r="B156" t="s">
        <v>1901</v>
      </c>
      <c r="C156" t="s">
        <v>1929</v>
      </c>
      <c r="D156">
        <v>43.95</v>
      </c>
      <c r="E156" t="s">
        <v>3156</v>
      </c>
      <c r="F156" s="186" t="s">
        <v>722</v>
      </c>
      <c r="H156" t="b">
        <v>1</v>
      </c>
      <c r="I156">
        <v>43.95</v>
      </c>
      <c r="J156" s="186" t="s">
        <v>1872</v>
      </c>
      <c r="M156" t="str">
        <f>IFERROR(_xlfn.XLOOKUP(A156,Fleet!A:A,Fleet!E:E,""),"")</f>
        <v/>
      </c>
      <c r="N156" t="s">
        <v>1928</v>
      </c>
      <c r="O156" t="s">
        <v>3187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2922</v>
      </c>
      <c r="B157" t="s">
        <v>3923</v>
      </c>
      <c r="C157" t="s">
        <v>2923</v>
      </c>
      <c r="D157">
        <v>7.65</v>
      </c>
      <c r="E157" t="s">
        <v>3156</v>
      </c>
      <c r="H157" t="s">
        <v>22</v>
      </c>
      <c r="I157" t="s">
        <v>22</v>
      </c>
      <c r="M157" t="str">
        <f>IFERROR(_xlfn.XLOOKUP(A157,Fleet!A:A,Fleet!E:E,""),"")</f>
        <v/>
      </c>
      <c r="N157" t="s">
        <v>2922</v>
      </c>
      <c r="O157" t="s">
        <v>3186</v>
      </c>
      <c r="P157" t="str">
        <f>_xlfn.XLOOKUP(A157,'Classic Net to delete'!D:D,'Classic Net to delete'!A:A,"")</f>
        <v/>
      </c>
    </row>
    <row r="158" spans="1:16" x14ac:dyDescent="0.25">
      <c r="A158" t="s">
        <v>2920</v>
      </c>
      <c r="B158" t="s">
        <v>3923</v>
      </c>
      <c r="C158" t="s">
        <v>2921</v>
      </c>
      <c r="D158">
        <v>7.65</v>
      </c>
      <c r="E158" t="s">
        <v>3156</v>
      </c>
      <c r="H158" t="s">
        <v>22</v>
      </c>
      <c r="I158" t="s">
        <v>22</v>
      </c>
      <c r="M158" t="str">
        <f>IFERROR(_xlfn.XLOOKUP(A158,Fleet!A:A,Fleet!E:E,""),"")</f>
        <v/>
      </c>
      <c r="N158" t="s">
        <v>2920</v>
      </c>
      <c r="O158" t="s">
        <v>3186</v>
      </c>
      <c r="P158" t="str">
        <f>_xlfn.XLOOKUP(A158,'Classic Net to delete'!D:D,'Classic Net to delete'!A:A,"")</f>
        <v/>
      </c>
    </row>
    <row r="159" spans="1:16" x14ac:dyDescent="0.25">
      <c r="A159" t="s">
        <v>2918</v>
      </c>
      <c r="B159" t="s">
        <v>3923</v>
      </c>
      <c r="C159" t="s">
        <v>2919</v>
      </c>
      <c r="D159">
        <v>7.65</v>
      </c>
      <c r="E159" t="s">
        <v>3156</v>
      </c>
      <c r="H159" t="s">
        <v>22</v>
      </c>
      <c r="I159" t="s">
        <v>22</v>
      </c>
      <c r="M159" t="str">
        <f>IFERROR(_xlfn.XLOOKUP(A159,Fleet!A:A,Fleet!E:E,""),"")</f>
        <v/>
      </c>
      <c r="N159" t="s">
        <v>2918</v>
      </c>
      <c r="O159" t="s">
        <v>3186</v>
      </c>
      <c r="P159" t="str">
        <f>_xlfn.XLOOKUP(A159,'Classic Net to delete'!D:D,'Classic Net to delete'!A:A,"")</f>
        <v/>
      </c>
    </row>
    <row r="160" spans="1:16" x14ac:dyDescent="0.25">
      <c r="A160" t="s">
        <v>2916</v>
      </c>
      <c r="B160" t="s">
        <v>3923</v>
      </c>
      <c r="C160" t="s">
        <v>2917</v>
      </c>
      <c r="D160">
        <v>7.65</v>
      </c>
      <c r="E160" t="s">
        <v>3156</v>
      </c>
      <c r="H160" t="s">
        <v>22</v>
      </c>
      <c r="I160" t="s">
        <v>22</v>
      </c>
      <c r="M160" t="str">
        <f>IFERROR(_xlfn.XLOOKUP(A160,Fleet!A:A,Fleet!E:E,""),"")</f>
        <v/>
      </c>
      <c r="N160" t="s">
        <v>2916</v>
      </c>
      <c r="O160" t="s">
        <v>3186</v>
      </c>
      <c r="P160" t="str">
        <f>_xlfn.XLOOKUP(A160,'Classic Net to delete'!D:D,'Classic Net to delete'!A:A,"")</f>
        <v/>
      </c>
    </row>
    <row r="161" spans="1:16" x14ac:dyDescent="0.25">
      <c r="A161" t="s">
        <v>2914</v>
      </c>
      <c r="B161" t="s">
        <v>3923</v>
      </c>
      <c r="C161" t="s">
        <v>2915</v>
      </c>
      <c r="D161">
        <v>7.65</v>
      </c>
      <c r="E161" t="s">
        <v>3156</v>
      </c>
      <c r="H161" t="s">
        <v>22</v>
      </c>
      <c r="I161" t="s">
        <v>22</v>
      </c>
      <c r="M161" t="str">
        <f>IFERROR(_xlfn.XLOOKUP(A161,Fleet!A:A,Fleet!E:E,""),"")</f>
        <v/>
      </c>
      <c r="N161" t="s">
        <v>2914</v>
      </c>
      <c r="O161" t="s">
        <v>3186</v>
      </c>
      <c r="P161" t="str">
        <f>_xlfn.XLOOKUP(A161,'Classic Net to delete'!D:D,'Classic Net to delete'!A:A,"")</f>
        <v/>
      </c>
    </row>
    <row r="162" spans="1:16" x14ac:dyDescent="0.25">
      <c r="A162" t="s">
        <v>2912</v>
      </c>
      <c r="B162" t="s">
        <v>3923</v>
      </c>
      <c r="C162" t="s">
        <v>2913</v>
      </c>
      <c r="D162">
        <v>7.65</v>
      </c>
      <c r="E162" t="s">
        <v>3156</v>
      </c>
      <c r="H162" t="s">
        <v>22</v>
      </c>
      <c r="I162" t="s">
        <v>22</v>
      </c>
      <c r="M162" t="str">
        <f>IFERROR(_xlfn.XLOOKUP(A162,Fleet!A:A,Fleet!E:E,""),"")</f>
        <v/>
      </c>
      <c r="N162" t="s">
        <v>2912</v>
      </c>
      <c r="O162" t="s">
        <v>3186</v>
      </c>
      <c r="P162" t="str">
        <f>_xlfn.XLOOKUP(A162,'Classic Net to delete'!D:D,'Classic Net to delete'!A:A,"")</f>
        <v/>
      </c>
    </row>
    <row r="163" spans="1:16" x14ac:dyDescent="0.25">
      <c r="A163" t="s">
        <v>2910</v>
      </c>
      <c r="B163" t="s">
        <v>3923</v>
      </c>
      <c r="C163" t="s">
        <v>2911</v>
      </c>
      <c r="D163">
        <v>7.65</v>
      </c>
      <c r="E163" t="s">
        <v>3156</v>
      </c>
      <c r="H163" t="s">
        <v>22</v>
      </c>
      <c r="I163" t="s">
        <v>22</v>
      </c>
      <c r="M163" t="str">
        <f>IFERROR(_xlfn.XLOOKUP(A163,Fleet!A:A,Fleet!E:E,""),"")</f>
        <v/>
      </c>
      <c r="N163" t="s">
        <v>2910</v>
      </c>
      <c r="O163" t="s">
        <v>3186</v>
      </c>
      <c r="P163" t="str">
        <f>_xlfn.XLOOKUP(A163,'Classic Net to delete'!D:D,'Classic Net to delete'!A:A,"")</f>
        <v/>
      </c>
    </row>
    <row r="164" spans="1:16" x14ac:dyDescent="0.25">
      <c r="A164" t="s">
        <v>2908</v>
      </c>
      <c r="B164" t="s">
        <v>3923</v>
      </c>
      <c r="C164" t="s">
        <v>2909</v>
      </c>
      <c r="D164">
        <v>7.65</v>
      </c>
      <c r="E164" t="s">
        <v>3156</v>
      </c>
      <c r="H164" t="s">
        <v>22</v>
      </c>
      <c r="I164" t="s">
        <v>22</v>
      </c>
      <c r="M164" t="str">
        <f>IFERROR(_xlfn.XLOOKUP(A164,Fleet!A:A,Fleet!E:E,""),"")</f>
        <v/>
      </c>
      <c r="N164" t="s">
        <v>2908</v>
      </c>
      <c r="O164" t="s">
        <v>3186</v>
      </c>
      <c r="P164" t="str">
        <f>_xlfn.XLOOKUP(A164,'Classic Net to delete'!D:D,'Classic Net to delete'!A:A,"")</f>
        <v/>
      </c>
    </row>
    <row r="165" spans="1:16" x14ac:dyDescent="0.25">
      <c r="A165" t="s">
        <v>2906</v>
      </c>
      <c r="B165" t="s">
        <v>3923</v>
      </c>
      <c r="C165" t="s">
        <v>2907</v>
      </c>
      <c r="D165">
        <v>7.65</v>
      </c>
      <c r="E165" t="s">
        <v>3156</v>
      </c>
      <c r="H165" t="s">
        <v>22</v>
      </c>
      <c r="I165" t="s">
        <v>22</v>
      </c>
      <c r="M165" t="str">
        <f>IFERROR(_xlfn.XLOOKUP(A165,Fleet!A:A,Fleet!E:E,""),"")</f>
        <v/>
      </c>
      <c r="N165" t="s">
        <v>2906</v>
      </c>
      <c r="O165" t="s">
        <v>3186</v>
      </c>
      <c r="P165" t="str">
        <f>_xlfn.XLOOKUP(A165,'Classic Net to delete'!D:D,'Classic Net to delete'!A:A,"")</f>
        <v/>
      </c>
    </row>
    <row r="166" spans="1:16" x14ac:dyDescent="0.25">
      <c r="A166" t="s">
        <v>2904</v>
      </c>
      <c r="B166" t="s">
        <v>3923</v>
      </c>
      <c r="C166" t="s">
        <v>2905</v>
      </c>
      <c r="D166">
        <v>7.65</v>
      </c>
      <c r="E166" t="s">
        <v>3156</v>
      </c>
      <c r="H166" t="s">
        <v>22</v>
      </c>
      <c r="I166" t="s">
        <v>22</v>
      </c>
      <c r="M166" t="str">
        <f>IFERROR(_xlfn.XLOOKUP(A166,Fleet!A:A,Fleet!E:E,""),"")</f>
        <v/>
      </c>
      <c r="N166" t="s">
        <v>2904</v>
      </c>
      <c r="O166" t="s">
        <v>3186</v>
      </c>
      <c r="P166" t="str">
        <f>_xlfn.XLOOKUP(A166,'Classic Net to delete'!D:D,'Classic Net to delete'!A:A,"")</f>
        <v/>
      </c>
    </row>
    <row r="167" spans="1:16" x14ac:dyDescent="0.25">
      <c r="A167" t="s">
        <v>2902</v>
      </c>
      <c r="B167" t="s">
        <v>3923</v>
      </c>
      <c r="C167" t="s">
        <v>2903</v>
      </c>
      <c r="D167">
        <v>7.65</v>
      </c>
      <c r="E167" t="s">
        <v>3156</v>
      </c>
      <c r="H167" t="s">
        <v>22</v>
      </c>
      <c r="I167" t="s">
        <v>22</v>
      </c>
      <c r="M167" t="str">
        <f>IFERROR(_xlfn.XLOOKUP(A167,Fleet!A:A,Fleet!E:E,""),"")</f>
        <v/>
      </c>
      <c r="N167" t="s">
        <v>2902</v>
      </c>
      <c r="O167" t="s">
        <v>3186</v>
      </c>
      <c r="P167" t="str">
        <f>_xlfn.XLOOKUP(A167,'Classic Net to delete'!D:D,'Classic Net to delete'!A:A,"")</f>
        <v/>
      </c>
    </row>
    <row r="168" spans="1:16" x14ac:dyDescent="0.25">
      <c r="A168" t="s">
        <v>2900</v>
      </c>
      <c r="B168" t="s">
        <v>3923</v>
      </c>
      <c r="C168" t="s">
        <v>2901</v>
      </c>
      <c r="D168">
        <v>7.65</v>
      </c>
      <c r="E168" t="s">
        <v>3156</v>
      </c>
      <c r="H168" t="s">
        <v>22</v>
      </c>
      <c r="I168" t="s">
        <v>22</v>
      </c>
      <c r="M168" t="str">
        <f>IFERROR(_xlfn.XLOOKUP(A168,Fleet!A:A,Fleet!E:E,""),"")</f>
        <v/>
      </c>
      <c r="N168" t="s">
        <v>2900</v>
      </c>
      <c r="O168" t="s">
        <v>3186</v>
      </c>
      <c r="P168" t="str">
        <f>_xlfn.XLOOKUP(A168,'Classic Net to delete'!D:D,'Classic Net to delete'!A:A,"")</f>
        <v/>
      </c>
    </row>
    <row r="169" spans="1:16" x14ac:dyDescent="0.25">
      <c r="A169" t="s">
        <v>2898</v>
      </c>
      <c r="B169" t="s">
        <v>3923</v>
      </c>
      <c r="C169" t="s">
        <v>2899</v>
      </c>
      <c r="D169">
        <v>7.65</v>
      </c>
      <c r="E169" t="s">
        <v>3156</v>
      </c>
      <c r="H169" t="s">
        <v>22</v>
      </c>
      <c r="I169" t="s">
        <v>22</v>
      </c>
      <c r="M169" t="str">
        <f>IFERROR(_xlfn.XLOOKUP(A169,Fleet!A:A,Fleet!E:E,""),"")</f>
        <v/>
      </c>
      <c r="N169" t="s">
        <v>2898</v>
      </c>
      <c r="O169" t="s">
        <v>3186</v>
      </c>
      <c r="P169" t="str">
        <f>_xlfn.XLOOKUP(A169,'Classic Net to delete'!D:D,'Classic Net to delete'!A:A,"")</f>
        <v/>
      </c>
    </row>
    <row r="170" spans="1:16" x14ac:dyDescent="0.25">
      <c r="A170" t="s">
        <v>2896</v>
      </c>
      <c r="B170" t="s">
        <v>3923</v>
      </c>
      <c r="C170" t="s">
        <v>2897</v>
      </c>
      <c r="D170">
        <v>15.1</v>
      </c>
      <c r="E170" t="s">
        <v>3156</v>
      </c>
      <c r="H170" t="s">
        <v>22</v>
      </c>
      <c r="I170" t="s">
        <v>22</v>
      </c>
      <c r="M170" t="str">
        <f>IFERROR(_xlfn.XLOOKUP(A170,Fleet!A:A,Fleet!E:E,""),"")</f>
        <v/>
      </c>
      <c r="N170" t="s">
        <v>2896</v>
      </c>
      <c r="O170" t="s">
        <v>3186</v>
      </c>
      <c r="P170" t="str">
        <f>_xlfn.XLOOKUP(A170,'Classic Net to delete'!D:D,'Classic Net to delete'!A:A,"")</f>
        <v/>
      </c>
    </row>
    <row r="171" spans="1:16" x14ac:dyDescent="0.25">
      <c r="A171" t="s">
        <v>2894</v>
      </c>
      <c r="B171" t="s">
        <v>3923</v>
      </c>
      <c r="C171" t="s">
        <v>2895</v>
      </c>
      <c r="D171">
        <v>10.050000000000001</v>
      </c>
      <c r="E171" t="s">
        <v>3156</v>
      </c>
      <c r="H171" t="s">
        <v>22</v>
      </c>
      <c r="I171" t="s">
        <v>22</v>
      </c>
      <c r="M171" t="str">
        <f>IFERROR(_xlfn.XLOOKUP(A171,Fleet!A:A,Fleet!E:E,""),"")</f>
        <v/>
      </c>
      <c r="N171" t="s">
        <v>2894</v>
      </c>
      <c r="O171" t="s">
        <v>3186</v>
      </c>
      <c r="P171" t="str">
        <f>_xlfn.XLOOKUP(A171,'Classic Net to delete'!D:D,'Classic Net to delete'!A:A,"")</f>
        <v/>
      </c>
    </row>
    <row r="172" spans="1:16" x14ac:dyDescent="0.25">
      <c r="A172" t="s">
        <v>2892</v>
      </c>
      <c r="B172" t="s">
        <v>3923</v>
      </c>
      <c r="C172" t="s">
        <v>2893</v>
      </c>
      <c r="D172">
        <v>10.050000000000001</v>
      </c>
      <c r="E172" t="s">
        <v>3156</v>
      </c>
      <c r="H172" t="s">
        <v>22</v>
      </c>
      <c r="I172" t="s">
        <v>22</v>
      </c>
      <c r="M172" t="str">
        <f>IFERROR(_xlfn.XLOOKUP(A172,Fleet!A:A,Fleet!E:E,""),"")</f>
        <v/>
      </c>
      <c r="N172" t="s">
        <v>2892</v>
      </c>
      <c r="O172" t="s">
        <v>3186</v>
      </c>
      <c r="P172" t="str">
        <f>_xlfn.XLOOKUP(A172,'Classic Net to delete'!D:D,'Classic Net to delete'!A:A,"")</f>
        <v/>
      </c>
    </row>
    <row r="173" spans="1:16" x14ac:dyDescent="0.25">
      <c r="A173" t="s">
        <v>2890</v>
      </c>
      <c r="B173" t="s">
        <v>3923</v>
      </c>
      <c r="C173" t="s">
        <v>2891</v>
      </c>
      <c r="D173">
        <v>10.050000000000001</v>
      </c>
      <c r="E173" t="s">
        <v>3156</v>
      </c>
      <c r="H173" t="s">
        <v>22</v>
      </c>
      <c r="I173" t="s">
        <v>22</v>
      </c>
      <c r="M173" t="str">
        <f>IFERROR(_xlfn.XLOOKUP(A173,Fleet!A:A,Fleet!E:E,""),"")</f>
        <v/>
      </c>
      <c r="N173" t="s">
        <v>2890</v>
      </c>
      <c r="O173" t="s">
        <v>3186</v>
      </c>
      <c r="P173" t="str">
        <f>_xlfn.XLOOKUP(A173,'Classic Net to delete'!D:D,'Classic Net to delete'!A:A,"")</f>
        <v/>
      </c>
    </row>
    <row r="174" spans="1:16" x14ac:dyDescent="0.25">
      <c r="A174" t="s">
        <v>2888</v>
      </c>
      <c r="B174" t="s">
        <v>3923</v>
      </c>
      <c r="C174" t="s">
        <v>2889</v>
      </c>
      <c r="D174">
        <v>10.050000000000001</v>
      </c>
      <c r="E174" t="s">
        <v>3156</v>
      </c>
      <c r="H174" t="s">
        <v>22</v>
      </c>
      <c r="I174" t="s">
        <v>22</v>
      </c>
      <c r="M174" t="str">
        <f>IFERROR(_xlfn.XLOOKUP(A174,Fleet!A:A,Fleet!E:E,""),"")</f>
        <v/>
      </c>
      <c r="N174" t="s">
        <v>2888</v>
      </c>
      <c r="O174" t="s">
        <v>3186</v>
      </c>
      <c r="P174" t="str">
        <f>_xlfn.XLOOKUP(A174,'Classic Net to delete'!D:D,'Classic Net to delete'!A:A,"")</f>
        <v/>
      </c>
    </row>
    <row r="175" spans="1:16" x14ac:dyDescent="0.25">
      <c r="A175" t="s">
        <v>2886</v>
      </c>
      <c r="B175" t="s">
        <v>3923</v>
      </c>
      <c r="C175" t="s">
        <v>2887</v>
      </c>
      <c r="D175">
        <v>49.3</v>
      </c>
      <c r="E175" t="s">
        <v>3156</v>
      </c>
      <c r="H175" t="s">
        <v>22</v>
      </c>
      <c r="I175" t="s">
        <v>22</v>
      </c>
      <c r="M175" t="str">
        <f>IFERROR(_xlfn.XLOOKUP(A175,Fleet!A:A,Fleet!E:E,""),"")</f>
        <v/>
      </c>
      <c r="N175" t="s">
        <v>2886</v>
      </c>
      <c r="O175" t="s">
        <v>3186</v>
      </c>
      <c r="P175" t="str">
        <f>_xlfn.XLOOKUP(A175,'Classic Net to delete'!D:D,'Classic Net to delete'!A:A,"")</f>
        <v/>
      </c>
    </row>
    <row r="176" spans="1:16" x14ac:dyDescent="0.25">
      <c r="A176" t="s">
        <v>1789</v>
      </c>
      <c r="B176" t="s">
        <v>3923</v>
      </c>
      <c r="C176" t="s">
        <v>1790</v>
      </c>
      <c r="D176">
        <v>31.9</v>
      </c>
      <c r="E176" t="s">
        <v>3156</v>
      </c>
      <c r="F176" s="186" t="s">
        <v>3924</v>
      </c>
      <c r="H176" t="b">
        <v>1</v>
      </c>
      <c r="I176">
        <v>31.900000000000002</v>
      </c>
      <c r="J176" s="186" t="s">
        <v>1772</v>
      </c>
      <c r="M176" t="str">
        <f>IFERROR(_xlfn.XLOOKUP(A176,Fleet!A:A,Fleet!E:E,""),"")</f>
        <v/>
      </c>
      <c r="N176" t="s">
        <v>1789</v>
      </c>
      <c r="O176" t="s">
        <v>3186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1845</v>
      </c>
      <c r="B177" t="s">
        <v>3925</v>
      </c>
      <c r="C177" t="s">
        <v>1846</v>
      </c>
      <c r="D177">
        <v>13.9</v>
      </c>
      <c r="E177" t="s">
        <v>3156</v>
      </c>
      <c r="F177" s="186" t="s">
        <v>3924</v>
      </c>
      <c r="H177" t="b">
        <v>1</v>
      </c>
      <c r="I177">
        <v>13.9</v>
      </c>
      <c r="J177" s="186" t="s">
        <v>1772</v>
      </c>
      <c r="M177" t="str">
        <f>IFERROR(_xlfn.XLOOKUP(A177,Fleet!A:A,Fleet!E:E,""),"")</f>
        <v/>
      </c>
      <c r="N177" t="s">
        <v>1845</v>
      </c>
      <c r="O177" t="s">
        <v>3185</v>
      </c>
      <c r="P177" t="str">
        <f>_xlfn.XLOOKUP(A177,'Classic Net to delete'!D:D,'Classic Net to delete'!A:A,"")</f>
        <v>Gully Scoop</v>
      </c>
    </row>
    <row r="178" spans="1:16" x14ac:dyDescent="0.25">
      <c r="A178" t="s">
        <v>1860</v>
      </c>
      <c r="B178" t="s">
        <v>3925</v>
      </c>
      <c r="C178" t="s">
        <v>1861</v>
      </c>
      <c r="D178">
        <v>18.600000000000001</v>
      </c>
      <c r="E178" t="s">
        <v>3156</v>
      </c>
      <c r="F178" s="186" t="s">
        <v>3924</v>
      </c>
      <c r="H178" t="b">
        <v>1</v>
      </c>
      <c r="I178">
        <v>18.600000000000001</v>
      </c>
      <c r="J178" s="186" t="s">
        <v>1772</v>
      </c>
      <c r="M178" t="str">
        <f>IFERROR(_xlfn.XLOOKUP(A178,Fleet!A:A,Fleet!E:E,""),"")</f>
        <v/>
      </c>
      <c r="N178" t="s">
        <v>1860</v>
      </c>
      <c r="O178" t="s">
        <v>3185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2884</v>
      </c>
      <c r="B179" t="s">
        <v>3925</v>
      </c>
      <c r="C179" t="s">
        <v>2885</v>
      </c>
      <c r="D179">
        <v>13.9</v>
      </c>
      <c r="E179" t="s">
        <v>3156</v>
      </c>
      <c r="H179" t="s">
        <v>22</v>
      </c>
      <c r="I179" t="s">
        <v>22</v>
      </c>
      <c r="M179" t="str">
        <f>IFERROR(_xlfn.XLOOKUP(A179,Fleet!A:A,Fleet!E:E,""),"")</f>
        <v/>
      </c>
      <c r="N179" t="s">
        <v>2884</v>
      </c>
      <c r="O179" t="s">
        <v>3185</v>
      </c>
      <c r="P179" t="str">
        <f>_xlfn.XLOOKUP(A179,'Classic Net to delete'!D:D,'Classic Net to delete'!A:A,"")</f>
        <v/>
      </c>
    </row>
    <row r="180" spans="1:16" x14ac:dyDescent="0.25">
      <c r="A180" t="s">
        <v>1857</v>
      </c>
      <c r="B180" t="s">
        <v>3925</v>
      </c>
      <c r="C180" t="s">
        <v>1858</v>
      </c>
      <c r="D180">
        <v>13.9</v>
      </c>
      <c r="E180" t="s">
        <v>3156</v>
      </c>
      <c r="F180" s="186" t="s">
        <v>3924</v>
      </c>
      <c r="H180" t="b">
        <v>1</v>
      </c>
      <c r="I180">
        <v>13.9</v>
      </c>
      <c r="J180" s="186" t="s">
        <v>1772</v>
      </c>
      <c r="M180" t="str">
        <f>IFERROR(_xlfn.XLOOKUP(A180,Fleet!A:A,Fleet!E:E,""),"")</f>
        <v/>
      </c>
      <c r="N180" t="s">
        <v>1857</v>
      </c>
      <c r="O180" t="s">
        <v>3185</v>
      </c>
      <c r="P180" t="str">
        <f>_xlfn.XLOOKUP(A180,'Classic Net to delete'!D:D,'Classic Net to delete'!A:A,"")</f>
        <v>Man Hole Keys</v>
      </c>
    </row>
    <row r="181" spans="1:16" x14ac:dyDescent="0.25">
      <c r="A181" t="s">
        <v>1842</v>
      </c>
      <c r="B181" t="s">
        <v>3925</v>
      </c>
      <c r="C181" t="s">
        <v>1843</v>
      </c>
      <c r="D181">
        <v>14.45</v>
      </c>
      <c r="E181" t="s">
        <v>3156</v>
      </c>
      <c r="F181" s="186" t="s">
        <v>3924</v>
      </c>
      <c r="H181" t="b">
        <v>1</v>
      </c>
      <c r="I181">
        <v>14.450000000000001</v>
      </c>
      <c r="J181" s="186" t="s">
        <v>1772</v>
      </c>
      <c r="M181" t="str">
        <f>IFERROR(_xlfn.XLOOKUP(A181,Fleet!A:A,Fleet!E:E,""),"")</f>
        <v/>
      </c>
      <c r="N181" t="s">
        <v>1842</v>
      </c>
      <c r="O181" t="s">
        <v>3185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2882</v>
      </c>
      <c r="B182" t="s">
        <v>3925</v>
      </c>
      <c r="C182" t="s">
        <v>2883</v>
      </c>
      <c r="D182">
        <v>4.1500000000000004</v>
      </c>
      <c r="E182" t="s">
        <v>3156</v>
      </c>
      <c r="H182" t="s">
        <v>22</v>
      </c>
      <c r="I182" t="s">
        <v>22</v>
      </c>
      <c r="M182" t="str">
        <f>IFERROR(_xlfn.XLOOKUP(A182,Fleet!A:A,Fleet!E:E,""),"")</f>
        <v/>
      </c>
      <c r="N182" t="s">
        <v>2882</v>
      </c>
      <c r="O182" t="s">
        <v>3185</v>
      </c>
      <c r="P182" t="str">
        <f>_xlfn.XLOOKUP(A182,'Classic Net to delete'!D:D,'Classic Net to delete'!A:A,"")</f>
        <v/>
      </c>
    </row>
    <row r="183" spans="1:16" x14ac:dyDescent="0.25">
      <c r="A183" t="s">
        <v>2880</v>
      </c>
      <c r="B183" t="s">
        <v>3925</v>
      </c>
      <c r="C183" t="s">
        <v>2881</v>
      </c>
      <c r="D183">
        <v>4.1500000000000004</v>
      </c>
      <c r="E183" t="s">
        <v>3156</v>
      </c>
      <c r="H183" t="s">
        <v>22</v>
      </c>
      <c r="I183" t="s">
        <v>22</v>
      </c>
      <c r="M183" t="str">
        <f>IFERROR(_xlfn.XLOOKUP(A183,Fleet!A:A,Fleet!E:E,""),"")</f>
        <v/>
      </c>
      <c r="N183" t="s">
        <v>2880</v>
      </c>
      <c r="O183" t="s">
        <v>3185</v>
      </c>
      <c r="P183" t="str">
        <f>_xlfn.XLOOKUP(A183,'Classic Net to delete'!D:D,'Classic Net to delete'!A:A,"")</f>
        <v/>
      </c>
    </row>
    <row r="184" spans="1:16" x14ac:dyDescent="0.25">
      <c r="A184" t="s">
        <v>2878</v>
      </c>
      <c r="B184" t="s">
        <v>3925</v>
      </c>
      <c r="C184" t="s">
        <v>2879</v>
      </c>
      <c r="D184">
        <v>4.1500000000000004</v>
      </c>
      <c r="E184" t="s">
        <v>3156</v>
      </c>
      <c r="H184" t="s">
        <v>22</v>
      </c>
      <c r="I184" t="s">
        <v>22</v>
      </c>
      <c r="M184" t="str">
        <f>IFERROR(_xlfn.XLOOKUP(A184,Fleet!A:A,Fleet!E:E,""),"")</f>
        <v/>
      </c>
      <c r="N184" t="s">
        <v>2878</v>
      </c>
      <c r="O184" t="s">
        <v>3185</v>
      </c>
      <c r="P184" t="str">
        <f>_xlfn.XLOOKUP(A184,'Classic Net to delete'!D:D,'Classic Net to delete'!A:A,"")</f>
        <v/>
      </c>
    </row>
    <row r="185" spans="1:16" x14ac:dyDescent="0.25">
      <c r="A185" t="s">
        <v>1854</v>
      </c>
      <c r="B185" t="s">
        <v>3925</v>
      </c>
      <c r="C185" t="s">
        <v>1855</v>
      </c>
      <c r="D185">
        <v>4.1500000000000004</v>
      </c>
      <c r="E185" t="s">
        <v>3156</v>
      </c>
      <c r="F185" s="186" t="s">
        <v>3924</v>
      </c>
      <c r="H185" t="b">
        <v>1</v>
      </c>
      <c r="I185">
        <v>4.1500000000000004</v>
      </c>
      <c r="J185" s="186" t="s">
        <v>1772</v>
      </c>
      <c r="M185" t="str">
        <f>IFERROR(_xlfn.XLOOKUP(A185,Fleet!A:A,Fleet!E:E,""),"")</f>
        <v/>
      </c>
      <c r="N185" t="s">
        <v>1854</v>
      </c>
      <c r="O185" t="s">
        <v>3185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2876</v>
      </c>
      <c r="B186" t="s">
        <v>3925</v>
      </c>
      <c r="C186" t="s">
        <v>2877</v>
      </c>
      <c r="D186">
        <v>6.5</v>
      </c>
      <c r="E186" t="s">
        <v>3156</v>
      </c>
      <c r="H186" t="s">
        <v>22</v>
      </c>
      <c r="I186" t="s">
        <v>22</v>
      </c>
      <c r="M186" t="str">
        <f>IFERROR(_xlfn.XLOOKUP(A186,Fleet!A:A,Fleet!E:E,""),"")</f>
        <v/>
      </c>
      <c r="N186" t="s">
        <v>2876</v>
      </c>
      <c r="O186" t="s">
        <v>3185</v>
      </c>
      <c r="P186" t="str">
        <f>_xlfn.XLOOKUP(A186,'Classic Net to delete'!D:D,'Classic Net to delete'!A:A,"")</f>
        <v/>
      </c>
    </row>
    <row r="187" spans="1:16" x14ac:dyDescent="0.25">
      <c r="A187" t="s">
        <v>1852</v>
      </c>
      <c r="B187" t="s">
        <v>3925</v>
      </c>
      <c r="C187" t="s">
        <v>1853</v>
      </c>
      <c r="D187">
        <v>6.5</v>
      </c>
      <c r="E187" t="s">
        <v>3156</v>
      </c>
      <c r="F187" s="186" t="s">
        <v>3924</v>
      </c>
      <c r="H187" t="b">
        <v>1</v>
      </c>
      <c r="I187">
        <v>6.5</v>
      </c>
      <c r="J187" s="186" t="s">
        <v>1772</v>
      </c>
      <c r="M187" t="str">
        <f>IFERROR(_xlfn.XLOOKUP(A187,Fleet!A:A,Fleet!E:E,""),"")</f>
        <v/>
      </c>
      <c r="N187" t="s">
        <v>1852</v>
      </c>
      <c r="O187" t="s">
        <v>3185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2874</v>
      </c>
      <c r="B188" t="s">
        <v>3925</v>
      </c>
      <c r="C188" t="s">
        <v>2875</v>
      </c>
      <c r="D188">
        <v>12.65</v>
      </c>
      <c r="E188" t="s">
        <v>3156</v>
      </c>
      <c r="H188" t="s">
        <v>22</v>
      </c>
      <c r="I188" t="s">
        <v>22</v>
      </c>
      <c r="M188" t="str">
        <f>IFERROR(_xlfn.XLOOKUP(A188,Fleet!A:A,Fleet!E:E,""),"")</f>
        <v/>
      </c>
      <c r="N188" t="s">
        <v>2874</v>
      </c>
      <c r="O188" t="s">
        <v>3185</v>
      </c>
      <c r="P188" t="str">
        <f>_xlfn.XLOOKUP(A188,'Classic Net to delete'!D:D,'Classic Net to delete'!A:A,"")</f>
        <v/>
      </c>
    </row>
    <row r="189" spans="1:16" x14ac:dyDescent="0.25">
      <c r="A189" t="s">
        <v>2872</v>
      </c>
      <c r="B189" t="s">
        <v>3925</v>
      </c>
      <c r="C189" t="s">
        <v>2873</v>
      </c>
      <c r="D189">
        <v>12.65</v>
      </c>
      <c r="E189" t="s">
        <v>3156</v>
      </c>
      <c r="H189" t="s">
        <v>22</v>
      </c>
      <c r="I189" t="s">
        <v>22</v>
      </c>
      <c r="M189" t="str">
        <f>IFERROR(_xlfn.XLOOKUP(A189,Fleet!A:A,Fleet!E:E,""),"")</f>
        <v/>
      </c>
      <c r="N189" t="s">
        <v>2872</v>
      </c>
      <c r="O189" t="s">
        <v>3185</v>
      </c>
      <c r="P189" t="str">
        <f>_xlfn.XLOOKUP(A189,'Classic Net to delete'!D:D,'Classic Net to delete'!A:A,"")</f>
        <v/>
      </c>
    </row>
    <row r="190" spans="1:16" x14ac:dyDescent="0.25">
      <c r="A190" t="s">
        <v>1847</v>
      </c>
      <c r="B190" t="s">
        <v>3925</v>
      </c>
      <c r="C190" t="s">
        <v>1848</v>
      </c>
      <c r="D190">
        <v>12.65</v>
      </c>
      <c r="E190" t="s">
        <v>3156</v>
      </c>
      <c r="F190" s="186" t="s">
        <v>3924</v>
      </c>
      <c r="H190" t="b">
        <v>1</v>
      </c>
      <c r="I190">
        <v>12.65</v>
      </c>
      <c r="J190" s="186" t="s">
        <v>1772</v>
      </c>
      <c r="M190" t="str">
        <f>IFERROR(_xlfn.XLOOKUP(A190,Fleet!A:A,Fleet!E:E,""),"")</f>
        <v/>
      </c>
      <c r="N190" t="s">
        <v>1847</v>
      </c>
      <c r="O190" t="s">
        <v>3185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1850</v>
      </c>
      <c r="B191" t="s">
        <v>3925</v>
      </c>
      <c r="C191" t="s">
        <v>1851</v>
      </c>
      <c r="D191">
        <v>12.65</v>
      </c>
      <c r="E191" t="s">
        <v>3156</v>
      </c>
      <c r="F191" s="186" t="s">
        <v>3924</v>
      </c>
      <c r="H191" t="b">
        <v>1</v>
      </c>
      <c r="I191">
        <v>12.65</v>
      </c>
      <c r="J191" s="186" t="s">
        <v>1772</v>
      </c>
      <c r="M191" t="str">
        <f>IFERROR(_xlfn.XLOOKUP(A191,Fleet!A:A,Fleet!E:E,""),"")</f>
        <v/>
      </c>
      <c r="N191" t="s">
        <v>1850</v>
      </c>
      <c r="O191" t="s">
        <v>3185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2417</v>
      </c>
      <c r="B192" t="s">
        <v>3926</v>
      </c>
      <c r="C192" t="s">
        <v>2418</v>
      </c>
      <c r="D192">
        <v>2.7</v>
      </c>
      <c r="E192" t="s">
        <v>3156</v>
      </c>
      <c r="F192" s="186" t="s">
        <v>722</v>
      </c>
      <c r="H192" t="b">
        <v>1</v>
      </c>
      <c r="I192">
        <v>2.7</v>
      </c>
      <c r="J192" s="186" t="s">
        <v>3927</v>
      </c>
      <c r="M192" t="str">
        <f>IFERROR(_xlfn.XLOOKUP(A192,Fleet!A:A,Fleet!E:E,""),"")</f>
        <v/>
      </c>
      <c r="N192" t="s">
        <v>2417</v>
      </c>
      <c r="O192" t="s">
        <v>3184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2870</v>
      </c>
      <c r="B193" t="s">
        <v>3926</v>
      </c>
      <c r="C193" t="s">
        <v>2871</v>
      </c>
      <c r="D193">
        <v>12.65</v>
      </c>
      <c r="E193" t="s">
        <v>3156</v>
      </c>
      <c r="H193" t="s">
        <v>22</v>
      </c>
      <c r="I193" t="s">
        <v>22</v>
      </c>
      <c r="M193" t="str">
        <f>IFERROR(_xlfn.XLOOKUP(A193,Fleet!A:A,Fleet!E:E,""),"")</f>
        <v/>
      </c>
      <c r="N193" t="s">
        <v>2870</v>
      </c>
      <c r="O193" t="s">
        <v>3184</v>
      </c>
      <c r="P193" t="str">
        <f>_xlfn.XLOOKUP(A193,'Classic Net to delete'!D:D,'Classic Net to delete'!A:A,"")</f>
        <v/>
      </c>
    </row>
    <row r="194" spans="1:16" x14ac:dyDescent="0.25">
      <c r="A194" t="s">
        <v>2868</v>
      </c>
      <c r="B194" t="s">
        <v>3926</v>
      </c>
      <c r="C194" t="s">
        <v>2869</v>
      </c>
      <c r="D194">
        <v>12.65</v>
      </c>
      <c r="E194" t="s">
        <v>3156</v>
      </c>
      <c r="H194" t="s">
        <v>22</v>
      </c>
      <c r="I194" t="s">
        <v>22</v>
      </c>
      <c r="M194" t="str">
        <f>IFERROR(_xlfn.XLOOKUP(A194,Fleet!A:A,Fleet!E:E,""),"")</f>
        <v/>
      </c>
      <c r="N194" t="s">
        <v>2868</v>
      </c>
      <c r="O194" t="s">
        <v>3184</v>
      </c>
      <c r="P194" t="str">
        <f>_xlfn.XLOOKUP(A194,'Classic Net to delete'!D:D,'Classic Net to delete'!A:A,"")</f>
        <v/>
      </c>
    </row>
    <row r="195" spans="1:16" x14ac:dyDescent="0.25">
      <c r="A195" t="s">
        <v>2866</v>
      </c>
      <c r="B195" t="s">
        <v>3926</v>
      </c>
      <c r="C195" t="s">
        <v>2867</v>
      </c>
      <c r="D195">
        <v>12.65</v>
      </c>
      <c r="E195" t="s">
        <v>3156</v>
      </c>
      <c r="H195" t="s">
        <v>22</v>
      </c>
      <c r="I195" t="s">
        <v>22</v>
      </c>
      <c r="M195" t="str">
        <f>IFERROR(_xlfn.XLOOKUP(A195,Fleet!A:A,Fleet!E:E,""),"")</f>
        <v/>
      </c>
      <c r="N195" t="s">
        <v>2866</v>
      </c>
      <c r="O195" t="s">
        <v>3184</v>
      </c>
      <c r="P195" t="str">
        <f>_xlfn.XLOOKUP(A195,'Classic Net to delete'!D:D,'Classic Net to delete'!A:A,"")</f>
        <v/>
      </c>
    </row>
    <row r="196" spans="1:16" x14ac:dyDescent="0.25">
      <c r="A196" t="s">
        <v>2864</v>
      </c>
      <c r="B196" t="s">
        <v>3926</v>
      </c>
      <c r="C196" t="s">
        <v>2865</v>
      </c>
      <c r="D196">
        <v>12.65</v>
      </c>
      <c r="E196" t="s">
        <v>3156</v>
      </c>
      <c r="H196" t="s">
        <v>22</v>
      </c>
      <c r="I196" t="s">
        <v>22</v>
      </c>
      <c r="M196" t="str">
        <f>IFERROR(_xlfn.XLOOKUP(A196,Fleet!A:A,Fleet!E:E,""),"")</f>
        <v/>
      </c>
      <c r="N196" t="s">
        <v>2864</v>
      </c>
      <c r="O196" t="s">
        <v>3184</v>
      </c>
      <c r="P196" t="str">
        <f>_xlfn.XLOOKUP(A196,'Classic Net to delete'!D:D,'Classic Net to delete'!A:A,"")</f>
        <v/>
      </c>
    </row>
    <row r="197" spans="1:16" x14ac:dyDescent="0.25">
      <c r="A197" t="s">
        <v>2414</v>
      </c>
      <c r="B197" t="s">
        <v>3926</v>
      </c>
      <c r="C197" t="s">
        <v>2415</v>
      </c>
      <c r="D197">
        <v>12.65</v>
      </c>
      <c r="E197" t="s">
        <v>3156</v>
      </c>
      <c r="F197" s="186" t="s">
        <v>722</v>
      </c>
      <c r="H197" t="b">
        <v>1</v>
      </c>
      <c r="I197">
        <v>12.65</v>
      </c>
      <c r="J197" s="186" t="s">
        <v>3927</v>
      </c>
      <c r="M197" t="str">
        <f>IFERROR(_xlfn.XLOOKUP(A197,Fleet!A:A,Fleet!E:E,""),"")</f>
        <v/>
      </c>
      <c r="N197" t="s">
        <v>2414</v>
      </c>
      <c r="O197" t="s">
        <v>3184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2862</v>
      </c>
      <c r="B198" t="s">
        <v>3926</v>
      </c>
      <c r="C198" t="s">
        <v>2863</v>
      </c>
      <c r="D198">
        <v>7.4</v>
      </c>
      <c r="E198" t="s">
        <v>3156</v>
      </c>
      <c r="H198" t="s">
        <v>22</v>
      </c>
      <c r="I198" t="s">
        <v>22</v>
      </c>
      <c r="M198" t="str">
        <f>IFERROR(_xlfn.XLOOKUP(A198,Fleet!A:A,Fleet!E:E,""),"")</f>
        <v/>
      </c>
      <c r="N198" t="s">
        <v>2862</v>
      </c>
      <c r="O198" t="s">
        <v>3184</v>
      </c>
      <c r="P198" t="str">
        <f>_xlfn.XLOOKUP(A198,'Classic Net to delete'!D:D,'Classic Net to delete'!A:A,"")</f>
        <v/>
      </c>
    </row>
    <row r="199" spans="1:16" x14ac:dyDescent="0.25">
      <c r="A199" t="s">
        <v>2860</v>
      </c>
      <c r="B199" t="s">
        <v>3926</v>
      </c>
      <c r="C199" t="s">
        <v>2861</v>
      </c>
      <c r="D199">
        <v>7.4</v>
      </c>
      <c r="E199" t="s">
        <v>3156</v>
      </c>
      <c r="H199" t="s">
        <v>22</v>
      </c>
      <c r="I199" t="s">
        <v>22</v>
      </c>
      <c r="M199" t="str">
        <f>IFERROR(_xlfn.XLOOKUP(A199,Fleet!A:A,Fleet!E:E,""),"")</f>
        <v/>
      </c>
      <c r="N199" t="s">
        <v>2860</v>
      </c>
      <c r="O199" t="s">
        <v>3184</v>
      </c>
      <c r="P199" t="str">
        <f>_xlfn.XLOOKUP(A199,'Classic Net to delete'!D:D,'Classic Net to delete'!A:A,"")</f>
        <v/>
      </c>
    </row>
    <row r="200" spans="1:16" x14ac:dyDescent="0.25">
      <c r="A200" t="s">
        <v>2858</v>
      </c>
      <c r="B200" t="s">
        <v>3926</v>
      </c>
      <c r="C200" t="s">
        <v>2859</v>
      </c>
      <c r="D200">
        <v>7.4</v>
      </c>
      <c r="E200" t="s">
        <v>3156</v>
      </c>
      <c r="H200" t="s">
        <v>22</v>
      </c>
      <c r="I200" t="s">
        <v>22</v>
      </c>
      <c r="M200" t="str">
        <f>IFERROR(_xlfn.XLOOKUP(A200,Fleet!A:A,Fleet!E:E,""),"")</f>
        <v/>
      </c>
      <c r="N200" t="s">
        <v>2858</v>
      </c>
      <c r="O200" t="s">
        <v>3184</v>
      </c>
      <c r="P200" t="str">
        <f>_xlfn.XLOOKUP(A200,'Classic Net to delete'!D:D,'Classic Net to delete'!A:A,"")</f>
        <v/>
      </c>
    </row>
    <row r="201" spans="1:16" x14ac:dyDescent="0.25">
      <c r="A201" t="s">
        <v>2856</v>
      </c>
      <c r="B201" t="s">
        <v>3926</v>
      </c>
      <c r="C201" t="s">
        <v>2857</v>
      </c>
      <c r="D201">
        <v>7.4</v>
      </c>
      <c r="E201" t="s">
        <v>3156</v>
      </c>
      <c r="H201" t="s">
        <v>22</v>
      </c>
      <c r="I201" t="s">
        <v>22</v>
      </c>
      <c r="M201" t="str">
        <f>IFERROR(_xlfn.XLOOKUP(A201,Fleet!A:A,Fleet!E:E,""),"")</f>
        <v/>
      </c>
      <c r="N201" t="s">
        <v>2856</v>
      </c>
      <c r="O201" t="s">
        <v>3184</v>
      </c>
      <c r="P201" t="str">
        <f>_xlfn.XLOOKUP(A201,'Classic Net to delete'!D:D,'Classic Net to delete'!A:A,"")</f>
        <v/>
      </c>
    </row>
    <row r="202" spans="1:16" x14ac:dyDescent="0.25">
      <c r="A202" t="s">
        <v>2411</v>
      </c>
      <c r="B202" t="s">
        <v>3926</v>
      </c>
      <c r="C202" t="s">
        <v>2412</v>
      </c>
      <c r="D202">
        <v>7.4</v>
      </c>
      <c r="E202" t="s">
        <v>3156</v>
      </c>
      <c r="F202" s="186" t="s">
        <v>722</v>
      </c>
      <c r="H202" t="b">
        <v>1</v>
      </c>
      <c r="I202">
        <v>7.4</v>
      </c>
      <c r="J202" s="186" t="s">
        <v>3927</v>
      </c>
      <c r="M202" t="str">
        <f>IFERROR(_xlfn.XLOOKUP(A202,Fleet!A:A,Fleet!E:E,""),"")</f>
        <v/>
      </c>
      <c r="N202" t="s">
        <v>2411</v>
      </c>
      <c r="O202" t="s">
        <v>3184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2409</v>
      </c>
      <c r="B203" t="s">
        <v>3926</v>
      </c>
      <c r="C203" t="s">
        <v>2410</v>
      </c>
      <c r="D203">
        <v>15.95</v>
      </c>
      <c r="E203" t="s">
        <v>3156</v>
      </c>
      <c r="F203" s="186" t="s">
        <v>722</v>
      </c>
      <c r="H203" t="b">
        <v>1</v>
      </c>
      <c r="I203">
        <v>15.950000000000001</v>
      </c>
      <c r="J203" s="186" t="s">
        <v>3927</v>
      </c>
      <c r="M203" t="str">
        <f>IFERROR(_xlfn.XLOOKUP(A203,Fleet!A:A,Fleet!E:E,""),"")</f>
        <v/>
      </c>
      <c r="N203" t="s">
        <v>2409</v>
      </c>
      <c r="O203" t="s">
        <v>3184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2854</v>
      </c>
      <c r="B204" t="s">
        <v>3928</v>
      </c>
      <c r="C204" t="s">
        <v>2855</v>
      </c>
      <c r="D204">
        <v>23</v>
      </c>
      <c r="E204" t="s">
        <v>3156</v>
      </c>
      <c r="H204" t="s">
        <v>22</v>
      </c>
      <c r="I204" t="s">
        <v>22</v>
      </c>
      <c r="M204" t="str">
        <f>IFERROR(_xlfn.XLOOKUP(A204,Fleet!A:A,Fleet!E:E,""),"")</f>
        <v/>
      </c>
      <c r="N204" t="s">
        <v>2854</v>
      </c>
      <c r="O204" t="s">
        <v>3183</v>
      </c>
      <c r="P204" t="str">
        <f>_xlfn.XLOOKUP(A204,'Classic Net to delete'!D:D,'Classic Net to delete'!A:A,"")</f>
        <v/>
      </c>
    </row>
    <row r="205" spans="1:16" x14ac:dyDescent="0.25">
      <c r="A205" t="s">
        <v>2852</v>
      </c>
      <c r="B205" t="s">
        <v>3928</v>
      </c>
      <c r="C205" t="s">
        <v>2853</v>
      </c>
      <c r="D205">
        <v>22.75</v>
      </c>
      <c r="E205" t="s">
        <v>3156</v>
      </c>
      <c r="H205" t="s">
        <v>22</v>
      </c>
      <c r="I205" t="s">
        <v>22</v>
      </c>
      <c r="M205" t="str">
        <f>IFERROR(_xlfn.XLOOKUP(A205,Fleet!A:A,Fleet!E:E,""),"")</f>
        <v/>
      </c>
      <c r="N205" t="s">
        <v>2852</v>
      </c>
      <c r="O205" t="s">
        <v>3183</v>
      </c>
      <c r="P205" t="str">
        <f>_xlfn.XLOOKUP(A205,'Classic Net to delete'!D:D,'Classic Net to delete'!A:A,"")</f>
        <v/>
      </c>
    </row>
    <row r="206" spans="1:16" x14ac:dyDescent="0.25">
      <c r="A206" t="s">
        <v>2850</v>
      </c>
      <c r="B206" t="s">
        <v>3928</v>
      </c>
      <c r="C206" t="s">
        <v>2851</v>
      </c>
      <c r="D206">
        <v>10.050000000000001</v>
      </c>
      <c r="E206" t="s">
        <v>3156</v>
      </c>
      <c r="H206" t="s">
        <v>22</v>
      </c>
      <c r="I206" t="s">
        <v>22</v>
      </c>
      <c r="M206" t="str">
        <f>IFERROR(_xlfn.XLOOKUP(A206,Fleet!A:A,Fleet!E:E,""),"")</f>
        <v/>
      </c>
      <c r="N206" t="s">
        <v>2850</v>
      </c>
      <c r="O206" t="s">
        <v>3183</v>
      </c>
      <c r="P206" t="str">
        <f>_xlfn.XLOOKUP(A206,'Classic Net to delete'!D:D,'Classic Net to delete'!A:A,"")</f>
        <v/>
      </c>
    </row>
    <row r="207" spans="1:16" x14ac:dyDescent="0.25">
      <c r="A207" t="s">
        <v>2848</v>
      </c>
      <c r="B207" t="s">
        <v>3928</v>
      </c>
      <c r="C207" t="s">
        <v>2849</v>
      </c>
      <c r="D207">
        <v>6.5</v>
      </c>
      <c r="E207" t="s">
        <v>3156</v>
      </c>
      <c r="H207" t="s">
        <v>22</v>
      </c>
      <c r="I207" t="s">
        <v>22</v>
      </c>
      <c r="M207" t="str">
        <f>IFERROR(_xlfn.XLOOKUP(A207,Fleet!A:A,Fleet!E:E,""),"")</f>
        <v/>
      </c>
      <c r="N207" t="s">
        <v>2848</v>
      </c>
      <c r="O207" t="s">
        <v>3183</v>
      </c>
      <c r="P207" t="str">
        <f>_xlfn.XLOOKUP(A207,'Classic Net to delete'!D:D,'Classic Net to delete'!A:A,"")</f>
        <v/>
      </c>
    </row>
    <row r="208" spans="1:16" x14ac:dyDescent="0.25">
      <c r="A208" t="s">
        <v>2405</v>
      </c>
      <c r="B208" t="s">
        <v>3928</v>
      </c>
      <c r="C208" t="s">
        <v>2406</v>
      </c>
      <c r="D208">
        <v>18.600000000000001</v>
      </c>
      <c r="E208" t="s">
        <v>3156</v>
      </c>
      <c r="F208" s="186" t="s">
        <v>722</v>
      </c>
      <c r="H208" t="b">
        <v>1</v>
      </c>
      <c r="I208">
        <v>18.600000000000001</v>
      </c>
      <c r="J208" s="186" t="s">
        <v>3927</v>
      </c>
      <c r="M208" t="str">
        <f>IFERROR(_xlfn.XLOOKUP(A208,Fleet!A:A,Fleet!E:E,""),"")</f>
        <v/>
      </c>
      <c r="N208" t="s">
        <v>2405</v>
      </c>
      <c r="O208" t="s">
        <v>3183</v>
      </c>
      <c r="P208" t="str">
        <f>_xlfn.XLOOKUP(A208,'Classic Net to delete'!D:D,'Classic Net to delete'!A:A,"")</f>
        <v>Rolling Table</v>
      </c>
    </row>
    <row r="209" spans="1:16" x14ac:dyDescent="0.25">
      <c r="A209" t="s">
        <v>2845</v>
      </c>
      <c r="B209" t="s">
        <v>3928</v>
      </c>
      <c r="C209" t="s">
        <v>2846</v>
      </c>
      <c r="D209">
        <v>41</v>
      </c>
      <c r="E209" t="s">
        <v>3156</v>
      </c>
      <c r="H209" t="s">
        <v>22</v>
      </c>
      <c r="I209">
        <v>41</v>
      </c>
      <c r="M209" t="str">
        <f>IFERROR(_xlfn.XLOOKUP(A209,Fleet!A:A,Fleet!E:E,""),"")</f>
        <v/>
      </c>
      <c r="N209" t="s">
        <v>2845</v>
      </c>
      <c r="O209" t="s">
        <v>3183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2843</v>
      </c>
      <c r="B210" t="s">
        <v>3929</v>
      </c>
      <c r="C210" t="s">
        <v>2844</v>
      </c>
      <c r="D210">
        <v>33.049999999999997</v>
      </c>
      <c r="E210" t="s">
        <v>3156</v>
      </c>
      <c r="H210" t="s">
        <v>22</v>
      </c>
      <c r="I210" t="s">
        <v>22</v>
      </c>
      <c r="M210" t="str">
        <f>IFERROR(_xlfn.XLOOKUP(A210,Fleet!A:A,Fleet!E:E,""),"")</f>
        <v/>
      </c>
      <c r="N210" t="s">
        <v>2843</v>
      </c>
      <c r="O210" t="s">
        <v>3182</v>
      </c>
      <c r="P210" t="str">
        <f>_xlfn.XLOOKUP(A210,'Classic Net to delete'!D:D,'Classic Net to delete'!A:A,"")</f>
        <v/>
      </c>
    </row>
    <row r="211" spans="1:16" x14ac:dyDescent="0.25">
      <c r="A211" t="s">
        <v>2841</v>
      </c>
      <c r="B211" t="s">
        <v>3929</v>
      </c>
      <c r="C211" t="s">
        <v>2842</v>
      </c>
      <c r="D211">
        <v>6.25</v>
      </c>
      <c r="E211" t="s">
        <v>3156</v>
      </c>
      <c r="H211" t="s">
        <v>22</v>
      </c>
      <c r="I211" t="s">
        <v>22</v>
      </c>
      <c r="M211" t="str">
        <f>IFERROR(_xlfn.XLOOKUP(A211,Fleet!A:A,Fleet!E:E,""),"")</f>
        <v/>
      </c>
      <c r="N211" t="s">
        <v>2841</v>
      </c>
      <c r="O211" t="s">
        <v>3182</v>
      </c>
      <c r="P211" t="str">
        <f>_xlfn.XLOOKUP(A211,'Classic Net to delete'!D:D,'Classic Net to delete'!A:A,"")</f>
        <v/>
      </c>
    </row>
    <row r="212" spans="1:16" x14ac:dyDescent="0.25">
      <c r="A212" t="s">
        <v>2839</v>
      </c>
      <c r="B212" t="s">
        <v>3929</v>
      </c>
      <c r="C212" t="s">
        <v>2840</v>
      </c>
      <c r="D212">
        <v>6.25</v>
      </c>
      <c r="E212" t="s">
        <v>3156</v>
      </c>
      <c r="H212" t="s">
        <v>22</v>
      </c>
      <c r="I212" t="s">
        <v>22</v>
      </c>
      <c r="M212" t="str">
        <f>IFERROR(_xlfn.XLOOKUP(A212,Fleet!A:A,Fleet!E:E,""),"")</f>
        <v/>
      </c>
      <c r="N212" t="s">
        <v>2839</v>
      </c>
      <c r="O212" t="s">
        <v>3182</v>
      </c>
      <c r="P212" t="str">
        <f>_xlfn.XLOOKUP(A212,'Classic Net to delete'!D:D,'Classic Net to delete'!A:A,"")</f>
        <v/>
      </c>
    </row>
    <row r="213" spans="1:16" x14ac:dyDescent="0.25">
      <c r="A213" t="s">
        <v>2837</v>
      </c>
      <c r="B213" t="s">
        <v>3929</v>
      </c>
      <c r="C213" t="s">
        <v>2838</v>
      </c>
      <c r="D213">
        <v>6.25</v>
      </c>
      <c r="E213" t="s">
        <v>3156</v>
      </c>
      <c r="H213" t="s">
        <v>22</v>
      </c>
      <c r="I213" t="s">
        <v>22</v>
      </c>
      <c r="M213" t="str">
        <f>IFERROR(_xlfn.XLOOKUP(A213,Fleet!A:A,Fleet!E:E,""),"")</f>
        <v/>
      </c>
      <c r="N213" t="s">
        <v>2837</v>
      </c>
      <c r="O213" t="s">
        <v>3182</v>
      </c>
      <c r="P213" t="str">
        <f>_xlfn.XLOOKUP(A213,'Classic Net to delete'!D:D,'Classic Net to delete'!A:A,"")</f>
        <v/>
      </c>
    </row>
    <row r="214" spans="1:16" x14ac:dyDescent="0.25">
      <c r="A214" t="s">
        <v>2302</v>
      </c>
      <c r="B214" t="s">
        <v>3929</v>
      </c>
      <c r="C214" t="s">
        <v>2303</v>
      </c>
      <c r="D214">
        <v>11.55</v>
      </c>
      <c r="E214" t="s">
        <v>3156</v>
      </c>
      <c r="F214" s="186" t="s">
        <v>2295</v>
      </c>
      <c r="H214" t="b">
        <v>1</v>
      </c>
      <c r="I214">
        <v>11.55</v>
      </c>
      <c r="J214" s="186" t="s">
        <v>2291</v>
      </c>
      <c r="M214" t="str">
        <f>IFERROR(_xlfn.XLOOKUP(A214,Fleet!A:A,Fleet!E:E,""),"")</f>
        <v/>
      </c>
      <c r="N214" t="s">
        <v>2302</v>
      </c>
      <c r="O214" t="s">
        <v>3182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2835</v>
      </c>
      <c r="B215" t="s">
        <v>3929</v>
      </c>
      <c r="C215" t="s">
        <v>2836</v>
      </c>
      <c r="D215">
        <v>33.049999999999997</v>
      </c>
      <c r="E215" t="s">
        <v>3156</v>
      </c>
      <c r="H215" t="s">
        <v>22</v>
      </c>
      <c r="I215" t="s">
        <v>22</v>
      </c>
      <c r="M215" t="str">
        <f>IFERROR(_xlfn.XLOOKUP(A215,Fleet!A:A,Fleet!E:E,""),"")</f>
        <v/>
      </c>
      <c r="N215" t="s">
        <v>2835</v>
      </c>
      <c r="O215" t="s">
        <v>3182</v>
      </c>
      <c r="P215" t="str">
        <f>_xlfn.XLOOKUP(A215,'Classic Net to delete'!D:D,'Classic Net to delete'!A:A,"")</f>
        <v/>
      </c>
    </row>
    <row r="216" spans="1:16" x14ac:dyDescent="0.25">
      <c r="A216" t="s">
        <v>2833</v>
      </c>
      <c r="B216" t="s">
        <v>3929</v>
      </c>
      <c r="C216" t="s">
        <v>2834</v>
      </c>
      <c r="D216">
        <v>73.7</v>
      </c>
      <c r="E216" t="s">
        <v>3156</v>
      </c>
      <c r="H216" t="s">
        <v>22</v>
      </c>
      <c r="I216" t="s">
        <v>22</v>
      </c>
      <c r="M216" t="str">
        <f>IFERROR(_xlfn.XLOOKUP(A216,Fleet!A:A,Fleet!E:E,""),"")</f>
        <v/>
      </c>
      <c r="N216" t="s">
        <v>2833</v>
      </c>
      <c r="O216" t="s">
        <v>3182</v>
      </c>
      <c r="P216" t="str">
        <f>_xlfn.XLOOKUP(A216,'Classic Net to delete'!D:D,'Classic Net to delete'!A:A,"")</f>
        <v/>
      </c>
    </row>
    <row r="217" spans="1:16" x14ac:dyDescent="0.25">
      <c r="A217" t="s">
        <v>2831</v>
      </c>
      <c r="B217" t="s">
        <v>3929</v>
      </c>
      <c r="C217" t="s">
        <v>2832</v>
      </c>
      <c r="D217">
        <v>67.849999999999994</v>
      </c>
      <c r="E217" t="s">
        <v>3156</v>
      </c>
      <c r="H217" t="s">
        <v>22</v>
      </c>
      <c r="I217" t="s">
        <v>22</v>
      </c>
      <c r="M217" t="str">
        <f>IFERROR(_xlfn.XLOOKUP(A217,Fleet!A:A,Fleet!E:E,""),"")</f>
        <v/>
      </c>
      <c r="N217" t="s">
        <v>2831</v>
      </c>
      <c r="O217" t="s">
        <v>3182</v>
      </c>
      <c r="P217" t="str">
        <f>_xlfn.XLOOKUP(A217,'Classic Net to delete'!D:D,'Classic Net to delete'!A:A,"")</f>
        <v/>
      </c>
    </row>
    <row r="218" spans="1:16" x14ac:dyDescent="0.25">
      <c r="A218" t="s">
        <v>2829</v>
      </c>
      <c r="B218" t="s">
        <v>3929</v>
      </c>
      <c r="C218" t="s">
        <v>2830</v>
      </c>
      <c r="D218">
        <v>47.8</v>
      </c>
      <c r="E218" t="s">
        <v>3156</v>
      </c>
      <c r="H218" t="s">
        <v>22</v>
      </c>
      <c r="I218" t="s">
        <v>22</v>
      </c>
      <c r="M218" t="str">
        <f>IFERROR(_xlfn.XLOOKUP(A218,Fleet!A:A,Fleet!E:E,""),"")</f>
        <v/>
      </c>
      <c r="N218" t="s">
        <v>2829</v>
      </c>
      <c r="O218" t="s">
        <v>3182</v>
      </c>
      <c r="P218" t="str">
        <f>_xlfn.XLOOKUP(A218,'Classic Net to delete'!D:D,'Classic Net to delete'!A:A,"")</f>
        <v/>
      </c>
    </row>
    <row r="219" spans="1:16" x14ac:dyDescent="0.25">
      <c r="A219" t="s">
        <v>2827</v>
      </c>
      <c r="B219" t="s">
        <v>3929</v>
      </c>
      <c r="C219" t="s">
        <v>2828</v>
      </c>
      <c r="D219">
        <v>19.8</v>
      </c>
      <c r="E219" t="s">
        <v>3156</v>
      </c>
      <c r="H219" t="s">
        <v>22</v>
      </c>
      <c r="I219" t="s">
        <v>22</v>
      </c>
      <c r="M219" t="str">
        <f>IFERROR(_xlfn.XLOOKUP(A219,Fleet!A:A,Fleet!E:E,""),"")</f>
        <v/>
      </c>
      <c r="N219" t="s">
        <v>2827</v>
      </c>
      <c r="O219" t="s">
        <v>3182</v>
      </c>
      <c r="P219" t="str">
        <f>_xlfn.XLOOKUP(A219,'Classic Net to delete'!D:D,'Classic Net to delete'!A:A,"")</f>
        <v/>
      </c>
    </row>
    <row r="220" spans="1:16" x14ac:dyDescent="0.25">
      <c r="A220" t="s">
        <v>2825</v>
      </c>
      <c r="B220" t="s">
        <v>3929</v>
      </c>
      <c r="C220" t="s">
        <v>2826</v>
      </c>
      <c r="D220">
        <v>153.25</v>
      </c>
      <c r="E220" t="s">
        <v>3156</v>
      </c>
      <c r="H220" t="s">
        <v>22</v>
      </c>
      <c r="I220" t="s">
        <v>22</v>
      </c>
      <c r="M220" t="str">
        <f>IFERROR(_xlfn.XLOOKUP(A220,Fleet!A:A,Fleet!E:E,""),"")</f>
        <v/>
      </c>
      <c r="N220" t="s">
        <v>2825</v>
      </c>
      <c r="O220" t="s">
        <v>3182</v>
      </c>
      <c r="P220" t="str">
        <f>_xlfn.XLOOKUP(A220,'Classic Net to delete'!D:D,'Classic Net to delete'!A:A,"")</f>
        <v/>
      </c>
    </row>
    <row r="221" spans="1:16" x14ac:dyDescent="0.25">
      <c r="A221" t="s">
        <v>2823</v>
      </c>
      <c r="B221" t="s">
        <v>3929</v>
      </c>
      <c r="C221" t="s">
        <v>2824</v>
      </c>
      <c r="D221">
        <v>47.8</v>
      </c>
      <c r="E221" t="s">
        <v>3156</v>
      </c>
      <c r="H221" t="s">
        <v>22</v>
      </c>
      <c r="I221" t="s">
        <v>22</v>
      </c>
      <c r="M221" t="str">
        <f>IFERROR(_xlfn.XLOOKUP(A221,Fleet!A:A,Fleet!E:E,""),"")</f>
        <v/>
      </c>
      <c r="N221" t="s">
        <v>2823</v>
      </c>
      <c r="O221" t="s">
        <v>3182</v>
      </c>
      <c r="P221" t="str">
        <f>_xlfn.XLOOKUP(A221,'Classic Net to delete'!D:D,'Classic Net to delete'!A:A,"")</f>
        <v/>
      </c>
    </row>
    <row r="222" spans="1:16" x14ac:dyDescent="0.25">
      <c r="A222" t="s">
        <v>2821</v>
      </c>
      <c r="B222" t="s">
        <v>3929</v>
      </c>
      <c r="C222" t="s">
        <v>2822</v>
      </c>
      <c r="D222">
        <v>3.55</v>
      </c>
      <c r="E222" t="s">
        <v>3156</v>
      </c>
      <c r="H222" t="s">
        <v>22</v>
      </c>
      <c r="I222" t="s">
        <v>22</v>
      </c>
      <c r="M222" t="str">
        <f>IFERROR(_xlfn.XLOOKUP(A222,Fleet!A:A,Fleet!E:E,""),"")</f>
        <v/>
      </c>
      <c r="N222" t="s">
        <v>2821</v>
      </c>
      <c r="O222" t="s">
        <v>3182</v>
      </c>
      <c r="P222" t="str">
        <f>_xlfn.XLOOKUP(A222,'Classic Net to delete'!D:D,'Classic Net to delete'!A:A,"")</f>
        <v/>
      </c>
    </row>
    <row r="223" spans="1:16" x14ac:dyDescent="0.25">
      <c r="A223" t="s">
        <v>1953</v>
      </c>
      <c r="B223" t="s">
        <v>3930</v>
      </c>
      <c r="C223" t="s">
        <v>1954</v>
      </c>
      <c r="D223">
        <v>23.9</v>
      </c>
      <c r="E223" t="s">
        <v>3156</v>
      </c>
      <c r="F223" s="186" t="s">
        <v>1873</v>
      </c>
      <c r="H223" t="b">
        <v>1</v>
      </c>
      <c r="I223">
        <v>23.900000000000002</v>
      </c>
      <c r="J223" s="186" t="s">
        <v>1872</v>
      </c>
      <c r="M223" t="str">
        <f>IFERROR(_xlfn.XLOOKUP(A223,Fleet!A:A,Fleet!E:E,""),"")</f>
        <v/>
      </c>
      <c r="N223" t="s">
        <v>1953</v>
      </c>
      <c r="O223" t="s">
        <v>3026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2819</v>
      </c>
      <c r="B224" t="s">
        <v>3930</v>
      </c>
      <c r="C224" t="s">
        <v>2820</v>
      </c>
      <c r="D224">
        <v>9.0500000000000007</v>
      </c>
      <c r="E224" t="s">
        <v>3156</v>
      </c>
      <c r="H224" t="s">
        <v>22</v>
      </c>
      <c r="I224" t="s">
        <v>22</v>
      </c>
      <c r="M224" t="str">
        <f>IFERROR(_xlfn.XLOOKUP(A224,Fleet!A:A,Fleet!E:E,""),"")</f>
        <v/>
      </c>
      <c r="N224" t="s">
        <v>2819</v>
      </c>
      <c r="O224" t="s">
        <v>3026</v>
      </c>
      <c r="P224" t="str">
        <f>_xlfn.XLOOKUP(A224,'Classic Net to delete'!D:D,'Classic Net to delete'!A:A,"")</f>
        <v/>
      </c>
    </row>
    <row r="225" spans="1:16" x14ac:dyDescent="0.25">
      <c r="A225" t="s">
        <v>2817</v>
      </c>
      <c r="B225" t="s">
        <v>3930</v>
      </c>
      <c r="C225" t="s">
        <v>2818</v>
      </c>
      <c r="D225">
        <v>4.1500000000000004</v>
      </c>
      <c r="E225" t="s">
        <v>3156</v>
      </c>
      <c r="H225" t="s">
        <v>22</v>
      </c>
      <c r="I225" t="s">
        <v>22</v>
      </c>
      <c r="M225" t="str">
        <f>IFERROR(_xlfn.XLOOKUP(A225,Fleet!A:A,Fleet!E:E,""),"")</f>
        <v/>
      </c>
      <c r="N225" t="s">
        <v>2817</v>
      </c>
      <c r="O225" t="s">
        <v>3026</v>
      </c>
      <c r="P225" t="str">
        <f>_xlfn.XLOOKUP(A225,'Classic Net to delete'!D:D,'Classic Net to delete'!A:A,"")</f>
        <v/>
      </c>
    </row>
    <row r="226" spans="1:16" x14ac:dyDescent="0.25">
      <c r="A226" t="s">
        <v>2815</v>
      </c>
      <c r="B226" t="s">
        <v>3930</v>
      </c>
      <c r="C226" t="s">
        <v>2816</v>
      </c>
      <c r="D226">
        <v>14</v>
      </c>
      <c r="E226" t="s">
        <v>3156</v>
      </c>
      <c r="H226" t="s">
        <v>22</v>
      </c>
      <c r="I226" t="s">
        <v>22</v>
      </c>
      <c r="M226" t="str">
        <f>IFERROR(_xlfn.XLOOKUP(A226,Fleet!A:A,Fleet!E:E,""),"")</f>
        <v/>
      </c>
      <c r="N226" t="s">
        <v>2815</v>
      </c>
      <c r="O226" t="s">
        <v>3026</v>
      </c>
      <c r="P226" t="str">
        <f>_xlfn.XLOOKUP(A226,'Classic Net to delete'!D:D,'Classic Net to delete'!A:A,"")</f>
        <v/>
      </c>
    </row>
    <row r="227" spans="1:16" x14ac:dyDescent="0.25">
      <c r="A227" t="s">
        <v>1948</v>
      </c>
      <c r="B227" t="s">
        <v>3930</v>
      </c>
      <c r="C227" t="s">
        <v>1949</v>
      </c>
      <c r="D227">
        <v>14</v>
      </c>
      <c r="E227" t="s">
        <v>3156</v>
      </c>
      <c r="F227" s="186" t="s">
        <v>1873</v>
      </c>
      <c r="H227" t="b">
        <v>1</v>
      </c>
      <c r="I227">
        <v>14</v>
      </c>
      <c r="J227" s="186" t="s">
        <v>1872</v>
      </c>
      <c r="M227" t="str">
        <f>IFERROR(_xlfn.XLOOKUP(A227,Fleet!A:A,Fleet!E:E,""),"")</f>
        <v/>
      </c>
      <c r="N227" t="s">
        <v>1948</v>
      </c>
      <c r="O227" t="s">
        <v>3026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2813</v>
      </c>
      <c r="B228" t="s">
        <v>3930</v>
      </c>
      <c r="C228" t="s">
        <v>2814</v>
      </c>
      <c r="D228">
        <v>5.35</v>
      </c>
      <c r="E228" t="s">
        <v>3156</v>
      </c>
      <c r="H228" t="s">
        <v>22</v>
      </c>
      <c r="I228" t="s">
        <v>22</v>
      </c>
      <c r="M228" t="str">
        <f>IFERROR(_xlfn.XLOOKUP(A228,Fleet!A:A,Fleet!E:E,""),"")</f>
        <v/>
      </c>
      <c r="N228" t="s">
        <v>2813</v>
      </c>
      <c r="O228" t="s">
        <v>3026</v>
      </c>
      <c r="P228" t="str">
        <f>_xlfn.XLOOKUP(A228,'Classic Net to delete'!D:D,'Classic Net to delete'!A:A,"")</f>
        <v/>
      </c>
    </row>
    <row r="229" spans="1:16" x14ac:dyDescent="0.25">
      <c r="A229" t="s">
        <v>1945</v>
      </c>
      <c r="B229" t="s">
        <v>3930</v>
      </c>
      <c r="C229" t="s">
        <v>1946</v>
      </c>
      <c r="D229">
        <v>5.6</v>
      </c>
      <c r="E229" t="s">
        <v>3156</v>
      </c>
      <c r="F229" s="186" t="s">
        <v>1873</v>
      </c>
      <c r="H229" t="b">
        <v>1</v>
      </c>
      <c r="I229">
        <v>5.6000000000000005</v>
      </c>
      <c r="J229" s="186" t="s">
        <v>1872</v>
      </c>
      <c r="M229" t="str">
        <f>IFERROR(_xlfn.XLOOKUP(A229,Fleet!A:A,Fleet!E:E,""),"")</f>
        <v/>
      </c>
      <c r="N229" t="s">
        <v>1945</v>
      </c>
      <c r="O229" t="s">
        <v>3026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1951</v>
      </c>
      <c r="B230" t="s">
        <v>3930</v>
      </c>
      <c r="C230" t="s">
        <v>1952</v>
      </c>
      <c r="D230">
        <v>5.35</v>
      </c>
      <c r="E230" t="s">
        <v>3156</v>
      </c>
      <c r="F230" s="186" t="s">
        <v>1873</v>
      </c>
      <c r="H230" t="b">
        <v>1</v>
      </c>
      <c r="I230">
        <v>5.3500000000000005</v>
      </c>
      <c r="J230" s="186" t="s">
        <v>1872</v>
      </c>
      <c r="M230" t="str">
        <f>IFERROR(_xlfn.XLOOKUP(A230,Fleet!A:A,Fleet!E:E,""),"")</f>
        <v/>
      </c>
      <c r="N230" t="s">
        <v>1951</v>
      </c>
      <c r="O230" t="s">
        <v>3026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2811</v>
      </c>
      <c r="B231" t="s">
        <v>3931</v>
      </c>
      <c r="C231" t="s">
        <v>2812</v>
      </c>
      <c r="D231">
        <v>29.45</v>
      </c>
      <c r="E231" t="s">
        <v>3156</v>
      </c>
      <c r="H231" t="s">
        <v>22</v>
      </c>
      <c r="I231" t="s">
        <v>22</v>
      </c>
      <c r="M231" t="str">
        <f>IFERROR(_xlfn.XLOOKUP(A231,Fleet!A:A,Fleet!E:E,""),"")</f>
        <v/>
      </c>
      <c r="N231" t="s">
        <v>2811</v>
      </c>
      <c r="O231" t="s">
        <v>3172</v>
      </c>
      <c r="P231" t="str">
        <f>_xlfn.XLOOKUP(A231,'Classic Net to delete'!D:D,'Classic Net to delete'!A:A,"")</f>
        <v/>
      </c>
    </row>
    <row r="232" spans="1:16" x14ac:dyDescent="0.25">
      <c r="A232" t="s">
        <v>2809</v>
      </c>
      <c r="B232" t="s">
        <v>3931</v>
      </c>
      <c r="C232" t="s">
        <v>2810</v>
      </c>
      <c r="D232">
        <v>10.6</v>
      </c>
      <c r="E232" t="s">
        <v>3156</v>
      </c>
      <c r="H232" t="s">
        <v>22</v>
      </c>
      <c r="I232" t="s">
        <v>22</v>
      </c>
      <c r="M232" t="str">
        <f>IFERROR(_xlfn.XLOOKUP(A232,Fleet!A:A,Fleet!E:E,""),"")</f>
        <v/>
      </c>
      <c r="N232" t="s">
        <v>2809</v>
      </c>
      <c r="O232" t="s">
        <v>3172</v>
      </c>
      <c r="P232" t="str">
        <f>_xlfn.XLOOKUP(A232,'Classic Net to delete'!D:D,'Classic Net to delete'!A:A,"")</f>
        <v/>
      </c>
    </row>
    <row r="233" spans="1:16" x14ac:dyDescent="0.25">
      <c r="A233" t="s">
        <v>2807</v>
      </c>
      <c r="B233" t="s">
        <v>3931</v>
      </c>
      <c r="C233" t="s">
        <v>2808</v>
      </c>
      <c r="D233">
        <v>10.6</v>
      </c>
      <c r="E233" t="s">
        <v>3156</v>
      </c>
      <c r="H233" t="s">
        <v>22</v>
      </c>
      <c r="I233" t="s">
        <v>22</v>
      </c>
      <c r="M233" t="str">
        <f>IFERROR(_xlfn.XLOOKUP(A233,Fleet!A:A,Fleet!E:E,""),"")</f>
        <v/>
      </c>
      <c r="N233" t="s">
        <v>2807</v>
      </c>
      <c r="O233" t="s">
        <v>3172</v>
      </c>
      <c r="P233" t="str">
        <f>_xlfn.XLOOKUP(A233,'Classic Net to delete'!D:D,'Classic Net to delete'!A:A,"")</f>
        <v/>
      </c>
    </row>
    <row r="234" spans="1:16" x14ac:dyDescent="0.25">
      <c r="A234" t="s">
        <v>2805</v>
      </c>
      <c r="B234" t="s">
        <v>3931</v>
      </c>
      <c r="C234" t="s">
        <v>2806</v>
      </c>
      <c r="D234">
        <v>10.6</v>
      </c>
      <c r="E234" t="s">
        <v>3156</v>
      </c>
      <c r="H234" t="s">
        <v>22</v>
      </c>
      <c r="I234" t="s">
        <v>22</v>
      </c>
      <c r="M234" t="str">
        <f>IFERROR(_xlfn.XLOOKUP(A234,Fleet!A:A,Fleet!E:E,""),"")</f>
        <v/>
      </c>
      <c r="N234" t="s">
        <v>2805</v>
      </c>
      <c r="O234" t="s">
        <v>3172</v>
      </c>
      <c r="P234" t="str">
        <f>_xlfn.XLOOKUP(A234,'Classic Net to delete'!D:D,'Classic Net to delete'!A:A,"")</f>
        <v/>
      </c>
    </row>
    <row r="235" spans="1:16" x14ac:dyDescent="0.25">
      <c r="A235" t="s">
        <v>2803</v>
      </c>
      <c r="B235" t="s">
        <v>3931</v>
      </c>
      <c r="C235" t="s">
        <v>2804</v>
      </c>
      <c r="D235">
        <v>10.6</v>
      </c>
      <c r="E235" t="s">
        <v>3156</v>
      </c>
      <c r="H235" t="s">
        <v>22</v>
      </c>
      <c r="I235" t="s">
        <v>22</v>
      </c>
      <c r="M235" t="str">
        <f>IFERROR(_xlfn.XLOOKUP(A235,Fleet!A:A,Fleet!E:E,""),"")</f>
        <v/>
      </c>
      <c r="N235" t="s">
        <v>2803</v>
      </c>
      <c r="O235" t="s">
        <v>3172</v>
      </c>
      <c r="P235" t="str">
        <f>_xlfn.XLOOKUP(A235,'Classic Net to delete'!D:D,'Classic Net to delete'!A:A,"")</f>
        <v/>
      </c>
    </row>
    <row r="236" spans="1:16" x14ac:dyDescent="0.25">
      <c r="A236" t="s">
        <v>2801</v>
      </c>
      <c r="B236" t="s">
        <v>3932</v>
      </c>
      <c r="C236" t="s">
        <v>2802</v>
      </c>
      <c r="D236">
        <v>17.399999999999999</v>
      </c>
      <c r="E236" t="s">
        <v>3156</v>
      </c>
      <c r="H236" t="s">
        <v>22</v>
      </c>
      <c r="I236" t="s">
        <v>22</v>
      </c>
      <c r="M236" t="str">
        <f>IFERROR(_xlfn.XLOOKUP(A236,Fleet!A:A,Fleet!E:E,""),"")</f>
        <v/>
      </c>
      <c r="N236" t="s">
        <v>2801</v>
      </c>
      <c r="O236" t="s">
        <v>3181</v>
      </c>
      <c r="P236" t="str">
        <f>_xlfn.XLOOKUP(A236,'Classic Net to delete'!D:D,'Classic Net to delete'!A:A,"")</f>
        <v/>
      </c>
    </row>
    <row r="237" spans="1:16" x14ac:dyDescent="0.25">
      <c r="A237" t="s">
        <v>2799</v>
      </c>
      <c r="B237" t="s">
        <v>3932</v>
      </c>
      <c r="C237" t="s">
        <v>2800</v>
      </c>
      <c r="D237">
        <v>17.399999999999999</v>
      </c>
      <c r="E237" t="s">
        <v>3156</v>
      </c>
      <c r="H237" t="s">
        <v>22</v>
      </c>
      <c r="I237" t="s">
        <v>22</v>
      </c>
      <c r="M237" t="str">
        <f>IFERROR(_xlfn.XLOOKUP(A237,Fleet!A:A,Fleet!E:E,""),"")</f>
        <v/>
      </c>
      <c r="N237" t="s">
        <v>2799</v>
      </c>
      <c r="O237" t="s">
        <v>3181</v>
      </c>
      <c r="P237" t="str">
        <f>_xlfn.XLOOKUP(A237,'Classic Net to delete'!D:D,'Classic Net to delete'!A:A,"")</f>
        <v/>
      </c>
    </row>
    <row r="238" spans="1:16" x14ac:dyDescent="0.25">
      <c r="A238" t="s">
        <v>2002</v>
      </c>
      <c r="B238" t="s">
        <v>3932</v>
      </c>
      <c r="C238" t="s">
        <v>2003</v>
      </c>
      <c r="D238">
        <v>17.399999999999999</v>
      </c>
      <c r="E238" t="s">
        <v>3156</v>
      </c>
      <c r="F238" s="186" t="s">
        <v>3630</v>
      </c>
      <c r="H238" t="b">
        <v>1</v>
      </c>
      <c r="I238">
        <v>17.400000000000002</v>
      </c>
      <c r="J238" s="186" t="s">
        <v>1978</v>
      </c>
      <c r="M238" t="str">
        <f>IFERROR(_xlfn.XLOOKUP(A238,Fleet!A:A,Fleet!E:E,""),"")</f>
        <v/>
      </c>
      <c r="N238" t="s">
        <v>2002</v>
      </c>
      <c r="O238" t="s">
        <v>3181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2797</v>
      </c>
      <c r="B239" t="s">
        <v>3933</v>
      </c>
      <c r="C239" t="s">
        <v>2798</v>
      </c>
      <c r="D239">
        <v>20.6</v>
      </c>
      <c r="E239" t="s">
        <v>3156</v>
      </c>
      <c r="H239" t="s">
        <v>22</v>
      </c>
      <c r="I239" t="s">
        <v>22</v>
      </c>
      <c r="M239" t="str">
        <f>IFERROR(_xlfn.XLOOKUP(A239,Fleet!A:A,Fleet!E:E,""),"")</f>
        <v/>
      </c>
      <c r="N239" t="s">
        <v>2797</v>
      </c>
      <c r="O239" t="s">
        <v>3024</v>
      </c>
      <c r="P239" t="str">
        <f>_xlfn.XLOOKUP(A239,'Classic Net to delete'!D:D,'Classic Net to delete'!A:A,"")</f>
        <v/>
      </c>
    </row>
    <row r="240" spans="1:16" x14ac:dyDescent="0.25">
      <c r="A240" t="s">
        <v>2795</v>
      </c>
      <c r="B240" t="s">
        <v>3933</v>
      </c>
      <c r="C240" t="s">
        <v>2796</v>
      </c>
      <c r="D240">
        <v>20.6</v>
      </c>
      <c r="E240" t="s">
        <v>3156</v>
      </c>
      <c r="H240" t="s">
        <v>22</v>
      </c>
      <c r="I240" t="s">
        <v>22</v>
      </c>
      <c r="M240" t="str">
        <f>IFERROR(_xlfn.XLOOKUP(A240,Fleet!A:A,Fleet!E:E,""),"")</f>
        <v/>
      </c>
      <c r="N240" t="s">
        <v>2795</v>
      </c>
      <c r="O240" t="s">
        <v>3024</v>
      </c>
      <c r="P240" t="str">
        <f>_xlfn.XLOOKUP(A240,'Classic Net to delete'!D:D,'Classic Net to delete'!A:A,"")</f>
        <v/>
      </c>
    </row>
    <row r="241" spans="1:16" x14ac:dyDescent="0.25">
      <c r="A241" t="s">
        <v>2793</v>
      </c>
      <c r="B241" t="s">
        <v>3933</v>
      </c>
      <c r="C241" t="s">
        <v>2794</v>
      </c>
      <c r="D241">
        <v>10.3</v>
      </c>
      <c r="E241" t="s">
        <v>3156</v>
      </c>
      <c r="H241" t="s">
        <v>22</v>
      </c>
      <c r="I241" t="s">
        <v>22</v>
      </c>
      <c r="M241" t="str">
        <f>IFERROR(_xlfn.XLOOKUP(A241,Fleet!A:A,Fleet!E:E,""),"")</f>
        <v/>
      </c>
      <c r="N241" t="s">
        <v>2793</v>
      </c>
      <c r="O241" t="s">
        <v>3024</v>
      </c>
      <c r="P241" t="str">
        <f>_xlfn.XLOOKUP(A241,'Classic Net to delete'!D:D,'Classic Net to delete'!A:A,"")</f>
        <v/>
      </c>
    </row>
    <row r="242" spans="1:16" x14ac:dyDescent="0.25">
      <c r="A242" t="s">
        <v>2791</v>
      </c>
      <c r="B242" t="s">
        <v>3933</v>
      </c>
      <c r="C242" t="s">
        <v>2792</v>
      </c>
      <c r="D242">
        <v>9.5</v>
      </c>
      <c r="E242" t="s">
        <v>3156</v>
      </c>
      <c r="H242" t="s">
        <v>22</v>
      </c>
      <c r="I242" t="s">
        <v>22</v>
      </c>
      <c r="M242" t="str">
        <f>IFERROR(_xlfn.XLOOKUP(A242,Fleet!A:A,Fleet!E:E,""),"")</f>
        <v/>
      </c>
      <c r="N242" t="s">
        <v>2791</v>
      </c>
      <c r="O242" t="s">
        <v>3024</v>
      </c>
      <c r="P242" t="str">
        <f>_xlfn.XLOOKUP(A242,'Classic Net to delete'!D:D,'Classic Net to delete'!A:A,"")</f>
        <v/>
      </c>
    </row>
    <row r="243" spans="1:16" x14ac:dyDescent="0.25">
      <c r="A243" t="s">
        <v>2789</v>
      </c>
      <c r="B243" t="s">
        <v>3933</v>
      </c>
      <c r="C243" t="s">
        <v>2790</v>
      </c>
      <c r="D243">
        <v>9.5</v>
      </c>
      <c r="E243" t="s">
        <v>3156</v>
      </c>
      <c r="H243" t="s">
        <v>22</v>
      </c>
      <c r="I243" t="s">
        <v>22</v>
      </c>
      <c r="M243" t="str">
        <f>IFERROR(_xlfn.XLOOKUP(A243,Fleet!A:A,Fleet!E:E,""),"")</f>
        <v/>
      </c>
      <c r="N243" t="s">
        <v>2789</v>
      </c>
      <c r="O243" t="s">
        <v>3024</v>
      </c>
      <c r="P243" t="str">
        <f>_xlfn.XLOOKUP(A243,'Classic Net to delete'!D:D,'Classic Net to delete'!A:A,"")</f>
        <v/>
      </c>
    </row>
    <row r="244" spans="1:16" x14ac:dyDescent="0.25">
      <c r="A244" t="s">
        <v>2787</v>
      </c>
      <c r="B244" t="s">
        <v>3933</v>
      </c>
      <c r="C244" t="s">
        <v>2788</v>
      </c>
      <c r="D244">
        <v>9.5</v>
      </c>
      <c r="E244" t="s">
        <v>3156</v>
      </c>
      <c r="H244" t="s">
        <v>22</v>
      </c>
      <c r="I244" t="s">
        <v>22</v>
      </c>
      <c r="M244" t="str">
        <f>IFERROR(_xlfn.XLOOKUP(A244,Fleet!A:A,Fleet!E:E,""),"")</f>
        <v/>
      </c>
      <c r="N244" t="s">
        <v>2787</v>
      </c>
      <c r="O244" t="s">
        <v>3024</v>
      </c>
      <c r="P244" t="str">
        <f>_xlfn.XLOOKUP(A244,'Classic Net to delete'!D:D,'Classic Net to delete'!A:A,"")</f>
        <v/>
      </c>
    </row>
    <row r="245" spans="1:16" x14ac:dyDescent="0.25">
      <c r="A245" t="s">
        <v>2785</v>
      </c>
      <c r="B245" t="s">
        <v>3933</v>
      </c>
      <c r="C245" t="s">
        <v>2786</v>
      </c>
      <c r="D245">
        <v>10.050000000000001</v>
      </c>
      <c r="E245" t="s">
        <v>3156</v>
      </c>
      <c r="H245" t="s">
        <v>22</v>
      </c>
      <c r="I245" t="s">
        <v>22</v>
      </c>
      <c r="M245" t="str">
        <f>IFERROR(_xlfn.XLOOKUP(A245,Fleet!A:A,Fleet!E:E,""),"")</f>
        <v/>
      </c>
      <c r="N245" t="s">
        <v>2785</v>
      </c>
      <c r="O245" t="s">
        <v>3024</v>
      </c>
      <c r="P245" t="str">
        <f>_xlfn.XLOOKUP(A245,'Classic Net to delete'!D:D,'Classic Net to delete'!A:A,"")</f>
        <v/>
      </c>
    </row>
    <row r="246" spans="1:16" x14ac:dyDescent="0.25">
      <c r="A246" t="s">
        <v>2783</v>
      </c>
      <c r="B246" t="s">
        <v>3933</v>
      </c>
      <c r="C246" t="s">
        <v>2784</v>
      </c>
      <c r="D246">
        <v>14.45</v>
      </c>
      <c r="E246" t="s">
        <v>3156</v>
      </c>
      <c r="H246" t="s">
        <v>22</v>
      </c>
      <c r="I246" t="s">
        <v>22</v>
      </c>
      <c r="M246" t="str">
        <f>IFERROR(_xlfn.XLOOKUP(A246,Fleet!A:A,Fleet!E:E,""),"")</f>
        <v/>
      </c>
      <c r="N246" t="s">
        <v>2783</v>
      </c>
      <c r="O246" t="s">
        <v>3024</v>
      </c>
      <c r="P246" t="str">
        <f>_xlfn.XLOOKUP(A246,'Classic Net to delete'!D:D,'Classic Net to delete'!A:A,"")</f>
        <v/>
      </c>
    </row>
    <row r="247" spans="1:16" x14ac:dyDescent="0.25">
      <c r="A247" t="s">
        <v>2781</v>
      </c>
      <c r="B247" t="s">
        <v>3933</v>
      </c>
      <c r="C247" t="s">
        <v>2782</v>
      </c>
      <c r="D247">
        <v>9.5</v>
      </c>
      <c r="E247" t="s">
        <v>3156</v>
      </c>
      <c r="H247" t="s">
        <v>22</v>
      </c>
      <c r="I247" t="s">
        <v>22</v>
      </c>
      <c r="M247" t="str">
        <f>IFERROR(_xlfn.XLOOKUP(A247,Fleet!A:A,Fleet!E:E,""),"")</f>
        <v/>
      </c>
      <c r="N247" t="s">
        <v>2781</v>
      </c>
      <c r="O247" t="s">
        <v>3024</v>
      </c>
      <c r="P247" t="str">
        <f>_xlfn.XLOOKUP(A247,'Classic Net to delete'!D:D,'Classic Net to delete'!A:A,"")</f>
        <v/>
      </c>
    </row>
    <row r="248" spans="1:16" x14ac:dyDescent="0.25">
      <c r="A248" t="s">
        <v>2779</v>
      </c>
      <c r="B248" t="s">
        <v>3933</v>
      </c>
      <c r="C248" t="s">
        <v>2780</v>
      </c>
      <c r="D248">
        <v>9.5</v>
      </c>
      <c r="E248" t="s">
        <v>3156</v>
      </c>
      <c r="H248" t="s">
        <v>22</v>
      </c>
      <c r="I248" t="s">
        <v>22</v>
      </c>
      <c r="M248" t="str">
        <f>IFERROR(_xlfn.XLOOKUP(A248,Fleet!A:A,Fleet!E:E,""),"")</f>
        <v/>
      </c>
      <c r="N248" t="s">
        <v>2779</v>
      </c>
      <c r="O248" t="s">
        <v>3024</v>
      </c>
      <c r="P248" t="str">
        <f>_xlfn.XLOOKUP(A248,'Classic Net to delete'!D:D,'Classic Net to delete'!A:A,"")</f>
        <v/>
      </c>
    </row>
    <row r="249" spans="1:16" x14ac:dyDescent="0.25">
      <c r="A249" t="s">
        <v>2777</v>
      </c>
      <c r="B249" t="s">
        <v>3933</v>
      </c>
      <c r="C249" t="s">
        <v>2778</v>
      </c>
      <c r="D249">
        <v>9.5</v>
      </c>
      <c r="E249" t="s">
        <v>3156</v>
      </c>
      <c r="H249" t="s">
        <v>22</v>
      </c>
      <c r="I249" t="s">
        <v>22</v>
      </c>
      <c r="M249" t="str">
        <f>IFERROR(_xlfn.XLOOKUP(A249,Fleet!A:A,Fleet!E:E,""),"")</f>
        <v/>
      </c>
      <c r="N249" t="s">
        <v>2777</v>
      </c>
      <c r="O249" t="s">
        <v>3024</v>
      </c>
      <c r="P249" t="str">
        <f>_xlfn.XLOOKUP(A249,'Classic Net to delete'!D:D,'Classic Net to delete'!A:A,"")</f>
        <v/>
      </c>
    </row>
    <row r="250" spans="1:16" x14ac:dyDescent="0.25">
      <c r="A250" t="s">
        <v>1375</v>
      </c>
      <c r="B250" t="s">
        <v>3933</v>
      </c>
      <c r="C250" t="s">
        <v>1376</v>
      </c>
      <c r="D250">
        <v>14.45</v>
      </c>
      <c r="E250" t="s">
        <v>3156</v>
      </c>
      <c r="F250" s="186" t="s">
        <v>722</v>
      </c>
      <c r="H250" t="b">
        <v>1</v>
      </c>
      <c r="I250">
        <v>14.450000000000001</v>
      </c>
      <c r="J250" s="186" t="s">
        <v>1328</v>
      </c>
      <c r="M250" t="str">
        <f>IFERROR(_xlfn.XLOOKUP(A250,Fleet!A:A,Fleet!E:E,""),"")</f>
        <v/>
      </c>
      <c r="N250" t="s">
        <v>1375</v>
      </c>
      <c r="O250" t="s">
        <v>3024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2775</v>
      </c>
      <c r="B251" t="s">
        <v>3933</v>
      </c>
      <c r="C251" t="s">
        <v>2776</v>
      </c>
      <c r="D251">
        <v>8.5500000000000007</v>
      </c>
      <c r="E251" t="s">
        <v>3156</v>
      </c>
      <c r="H251" t="s">
        <v>22</v>
      </c>
      <c r="I251" t="s">
        <v>22</v>
      </c>
      <c r="M251" t="str">
        <f>IFERROR(_xlfn.XLOOKUP(A251,Fleet!A:A,Fleet!E:E,""),"")</f>
        <v/>
      </c>
      <c r="N251" t="s">
        <v>2775</v>
      </c>
      <c r="O251" t="s">
        <v>3024</v>
      </c>
      <c r="P251" t="str">
        <f>_xlfn.XLOOKUP(A251,'Classic Net to delete'!D:D,'Classic Net to delete'!A:A,"")</f>
        <v/>
      </c>
    </row>
    <row r="252" spans="1:16" x14ac:dyDescent="0.25">
      <c r="A252" t="s">
        <v>2773</v>
      </c>
      <c r="B252" t="s">
        <v>3933</v>
      </c>
      <c r="C252" t="s">
        <v>2774</v>
      </c>
      <c r="D252">
        <v>8.5500000000000007</v>
      </c>
      <c r="E252" t="s">
        <v>3156</v>
      </c>
      <c r="H252" t="s">
        <v>22</v>
      </c>
      <c r="I252" t="s">
        <v>22</v>
      </c>
      <c r="M252" t="str">
        <f>IFERROR(_xlfn.XLOOKUP(A252,Fleet!A:A,Fleet!E:E,""),"")</f>
        <v/>
      </c>
      <c r="N252" t="s">
        <v>2773</v>
      </c>
      <c r="O252" t="s">
        <v>3024</v>
      </c>
      <c r="P252" t="str">
        <f>_xlfn.XLOOKUP(A252,'Classic Net to delete'!D:D,'Classic Net to delete'!A:A,"")</f>
        <v/>
      </c>
    </row>
    <row r="253" spans="1:16" x14ac:dyDescent="0.25">
      <c r="A253" t="s">
        <v>2771</v>
      </c>
      <c r="B253" t="s">
        <v>3933</v>
      </c>
      <c r="C253" t="s">
        <v>2772</v>
      </c>
      <c r="D253">
        <v>8.5500000000000007</v>
      </c>
      <c r="E253" t="s">
        <v>3156</v>
      </c>
      <c r="H253" t="s">
        <v>22</v>
      </c>
      <c r="I253" t="s">
        <v>22</v>
      </c>
      <c r="M253" t="str">
        <f>IFERROR(_xlfn.XLOOKUP(A253,Fleet!A:A,Fleet!E:E,""),"")</f>
        <v/>
      </c>
      <c r="N253" t="s">
        <v>2771</v>
      </c>
      <c r="O253" t="s">
        <v>3024</v>
      </c>
      <c r="P253" t="str">
        <f>_xlfn.XLOOKUP(A253,'Classic Net to delete'!D:D,'Classic Net to delete'!A:A,"")</f>
        <v/>
      </c>
    </row>
    <row r="254" spans="1:16" x14ac:dyDescent="0.25">
      <c r="A254" t="s">
        <v>2769</v>
      </c>
      <c r="B254" t="s">
        <v>3933</v>
      </c>
      <c r="C254" t="s">
        <v>2770</v>
      </c>
      <c r="D254">
        <v>8.5500000000000007</v>
      </c>
      <c r="E254" t="s">
        <v>3156</v>
      </c>
      <c r="H254" t="s">
        <v>22</v>
      </c>
      <c r="I254" t="s">
        <v>22</v>
      </c>
      <c r="M254" t="str">
        <f>IFERROR(_xlfn.XLOOKUP(A254,Fleet!A:A,Fleet!E:E,""),"")</f>
        <v/>
      </c>
      <c r="N254" t="s">
        <v>2769</v>
      </c>
      <c r="O254" t="s">
        <v>3024</v>
      </c>
      <c r="P254" t="str">
        <f>_xlfn.XLOOKUP(A254,'Classic Net to delete'!D:D,'Classic Net to delete'!A:A,"")</f>
        <v/>
      </c>
    </row>
    <row r="255" spans="1:16" x14ac:dyDescent="0.25">
      <c r="A255" t="s">
        <v>2767</v>
      </c>
      <c r="B255" t="s">
        <v>3933</v>
      </c>
      <c r="C255" t="s">
        <v>2768</v>
      </c>
      <c r="D255">
        <v>8.5500000000000007</v>
      </c>
      <c r="E255" t="s">
        <v>3156</v>
      </c>
      <c r="H255" t="s">
        <v>22</v>
      </c>
      <c r="I255" t="s">
        <v>22</v>
      </c>
      <c r="M255" t="str">
        <f>IFERROR(_xlfn.XLOOKUP(A255,Fleet!A:A,Fleet!E:E,""),"")</f>
        <v/>
      </c>
      <c r="N255" t="s">
        <v>2767</v>
      </c>
      <c r="O255" t="s">
        <v>3024</v>
      </c>
      <c r="P255" t="str">
        <f>_xlfn.XLOOKUP(A255,'Classic Net to delete'!D:D,'Classic Net to delete'!A:A,"")</f>
        <v/>
      </c>
    </row>
    <row r="256" spans="1:16" x14ac:dyDescent="0.25">
      <c r="A256" t="s">
        <v>2765</v>
      </c>
      <c r="B256" t="s">
        <v>3933</v>
      </c>
      <c r="C256" t="s">
        <v>2766</v>
      </c>
      <c r="D256">
        <v>8.5500000000000007</v>
      </c>
      <c r="E256" t="s">
        <v>3156</v>
      </c>
      <c r="H256" t="s">
        <v>22</v>
      </c>
      <c r="I256" t="s">
        <v>22</v>
      </c>
      <c r="M256" t="str">
        <f>IFERROR(_xlfn.XLOOKUP(A256,Fleet!A:A,Fleet!E:E,""),"")</f>
        <v/>
      </c>
      <c r="N256" t="s">
        <v>2765</v>
      </c>
      <c r="O256" t="s">
        <v>3024</v>
      </c>
      <c r="P256" t="str">
        <f>_xlfn.XLOOKUP(A256,'Classic Net to delete'!D:D,'Classic Net to delete'!A:A,"")</f>
        <v/>
      </c>
    </row>
    <row r="257" spans="1:16" x14ac:dyDescent="0.25">
      <c r="A257" t="s">
        <v>1365</v>
      </c>
      <c r="B257" t="s">
        <v>3933</v>
      </c>
      <c r="C257" t="s">
        <v>1366</v>
      </c>
      <c r="D257">
        <v>8.5500000000000007</v>
      </c>
      <c r="E257" t="s">
        <v>3156</v>
      </c>
      <c r="F257" s="186" t="s">
        <v>722</v>
      </c>
      <c r="H257" t="b">
        <v>1</v>
      </c>
      <c r="I257">
        <v>8.5500000000000007</v>
      </c>
      <c r="J257" s="186" t="s">
        <v>1328</v>
      </c>
      <c r="M257" t="str">
        <f>IFERROR(_xlfn.XLOOKUP(A257,Fleet!A:A,Fleet!E:E,""),"")</f>
        <v/>
      </c>
      <c r="N257" t="s">
        <v>1365</v>
      </c>
      <c r="O257" t="s">
        <v>3024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1369</v>
      </c>
      <c r="B258" t="s">
        <v>3933</v>
      </c>
      <c r="C258" t="s">
        <v>1370</v>
      </c>
      <c r="D258">
        <v>10.050000000000001</v>
      </c>
      <c r="E258" t="s">
        <v>3156</v>
      </c>
      <c r="F258" s="186" t="s">
        <v>722</v>
      </c>
      <c r="H258" t="b">
        <v>1</v>
      </c>
      <c r="I258">
        <v>10.050000000000001</v>
      </c>
      <c r="J258" s="186" t="s">
        <v>1328</v>
      </c>
      <c r="M258" t="str">
        <f>IFERROR(_xlfn.XLOOKUP(A258,Fleet!A:A,Fleet!E:E,""),"")</f>
        <v/>
      </c>
      <c r="N258" t="s">
        <v>1369</v>
      </c>
      <c r="O258" t="s">
        <v>3024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2763</v>
      </c>
      <c r="B259" t="s">
        <v>3257</v>
      </c>
      <c r="C259" t="s">
        <v>2764</v>
      </c>
      <c r="D259">
        <v>9.85</v>
      </c>
      <c r="E259" t="s">
        <v>3156</v>
      </c>
      <c r="H259" t="s">
        <v>22</v>
      </c>
      <c r="I259" t="s">
        <v>22</v>
      </c>
      <c r="M259" t="str">
        <f>IFERROR(_xlfn.XLOOKUP(A259,Fleet!A:A,Fleet!E:E,""),"")</f>
        <v/>
      </c>
      <c r="N259" t="s">
        <v>2763</v>
      </c>
      <c r="O259" t="s">
        <v>720</v>
      </c>
      <c r="P259" t="str">
        <f>_xlfn.XLOOKUP(A259,'Classic Net to delete'!D:D,'Classic Net to delete'!A:A,"")</f>
        <v/>
      </c>
    </row>
    <row r="260" spans="1:16" x14ac:dyDescent="0.25">
      <c r="A260" t="s">
        <v>2761</v>
      </c>
      <c r="B260" t="s">
        <v>3257</v>
      </c>
      <c r="C260" t="s">
        <v>2762</v>
      </c>
      <c r="D260">
        <v>9.85</v>
      </c>
      <c r="E260" t="s">
        <v>3156</v>
      </c>
      <c r="H260" t="s">
        <v>22</v>
      </c>
      <c r="I260" t="s">
        <v>22</v>
      </c>
      <c r="M260" t="str">
        <f>IFERROR(_xlfn.XLOOKUP(A260,Fleet!A:A,Fleet!E:E,""),"")</f>
        <v/>
      </c>
      <c r="N260" t="s">
        <v>2761</v>
      </c>
      <c r="O260" t="s">
        <v>720</v>
      </c>
      <c r="P260" t="str">
        <f>_xlfn.XLOOKUP(A260,'Classic Net to delete'!D:D,'Classic Net to delete'!A:A,"")</f>
        <v/>
      </c>
    </row>
    <row r="261" spans="1:16" x14ac:dyDescent="0.25">
      <c r="A261" t="s">
        <v>2759</v>
      </c>
      <c r="B261" t="s">
        <v>3257</v>
      </c>
      <c r="C261" t="s">
        <v>2760</v>
      </c>
      <c r="D261">
        <v>9.85</v>
      </c>
      <c r="E261" t="s">
        <v>3156</v>
      </c>
      <c r="H261" t="s">
        <v>22</v>
      </c>
      <c r="I261" t="s">
        <v>22</v>
      </c>
      <c r="M261" t="str">
        <f>IFERROR(_xlfn.XLOOKUP(A261,Fleet!A:A,Fleet!E:E,""),"")</f>
        <v/>
      </c>
      <c r="N261" t="s">
        <v>2759</v>
      </c>
      <c r="O261" t="s">
        <v>720</v>
      </c>
      <c r="P261" t="str">
        <f>_xlfn.XLOOKUP(A261,'Classic Net to delete'!D:D,'Classic Net to delete'!A:A,"")</f>
        <v/>
      </c>
    </row>
    <row r="262" spans="1:16" x14ac:dyDescent="0.25">
      <c r="A262" t="s">
        <v>2757</v>
      </c>
      <c r="B262" t="s">
        <v>3257</v>
      </c>
      <c r="C262" t="s">
        <v>2758</v>
      </c>
      <c r="D262">
        <v>9.85</v>
      </c>
      <c r="E262" t="s">
        <v>3156</v>
      </c>
      <c r="H262" t="s">
        <v>22</v>
      </c>
      <c r="I262" t="s">
        <v>22</v>
      </c>
      <c r="M262" t="str">
        <f>IFERROR(_xlfn.XLOOKUP(A262,Fleet!A:A,Fleet!E:E,""),"")</f>
        <v/>
      </c>
      <c r="N262" t="s">
        <v>2757</v>
      </c>
      <c r="O262" t="s">
        <v>720</v>
      </c>
      <c r="P262" t="str">
        <f>_xlfn.XLOOKUP(A262,'Classic Net to delete'!D:D,'Classic Net to delete'!A:A,"")</f>
        <v/>
      </c>
    </row>
    <row r="263" spans="1:16" x14ac:dyDescent="0.25">
      <c r="A263" t="s">
        <v>2755</v>
      </c>
      <c r="B263" t="s">
        <v>3934</v>
      </c>
      <c r="C263" t="s">
        <v>2756</v>
      </c>
      <c r="D263">
        <v>14.75</v>
      </c>
      <c r="E263" t="s">
        <v>3156</v>
      </c>
      <c r="H263" t="s">
        <v>22</v>
      </c>
      <c r="I263" t="s">
        <v>22</v>
      </c>
      <c r="M263" t="str">
        <f>IFERROR(_xlfn.XLOOKUP(A263,Fleet!A:A,Fleet!E:E,""),"")</f>
        <v/>
      </c>
      <c r="N263" t="s">
        <v>2755</v>
      </c>
      <c r="O263" t="s">
        <v>3178</v>
      </c>
      <c r="P263" t="str">
        <f>_xlfn.XLOOKUP(A263,'Classic Net to delete'!D:D,'Classic Net to delete'!A:A,"")</f>
        <v/>
      </c>
    </row>
    <row r="264" spans="1:16" x14ac:dyDescent="0.25">
      <c r="A264" t="s">
        <v>2753</v>
      </c>
      <c r="B264" t="s">
        <v>3257</v>
      </c>
      <c r="C264" t="s">
        <v>2754</v>
      </c>
      <c r="D264">
        <v>21.85</v>
      </c>
      <c r="E264" t="s">
        <v>3156</v>
      </c>
      <c r="H264" t="s">
        <v>22</v>
      </c>
      <c r="I264" t="s">
        <v>22</v>
      </c>
      <c r="M264" t="str">
        <f>IFERROR(_xlfn.XLOOKUP(A264,Fleet!A:A,Fleet!E:E,""),"")</f>
        <v/>
      </c>
      <c r="N264" t="s">
        <v>2753</v>
      </c>
      <c r="O264" t="s">
        <v>720</v>
      </c>
      <c r="P264" t="str">
        <f>_xlfn.XLOOKUP(A264,'Classic Net to delete'!D:D,'Classic Net to delete'!A:A,"")</f>
        <v/>
      </c>
    </row>
    <row r="265" spans="1:16" x14ac:dyDescent="0.25">
      <c r="A265" t="s">
        <v>2751</v>
      </c>
      <c r="B265" t="s">
        <v>3257</v>
      </c>
      <c r="C265" t="s">
        <v>2752</v>
      </c>
      <c r="D265">
        <v>9.85</v>
      </c>
      <c r="E265" t="s">
        <v>3156</v>
      </c>
      <c r="H265" t="s">
        <v>22</v>
      </c>
      <c r="I265" t="s">
        <v>22</v>
      </c>
      <c r="M265" t="str">
        <f>IFERROR(_xlfn.XLOOKUP(A265,Fleet!A:A,Fleet!E:E,""),"")</f>
        <v/>
      </c>
      <c r="N265" t="s">
        <v>2751</v>
      </c>
      <c r="O265" t="s">
        <v>720</v>
      </c>
      <c r="P265" t="str">
        <f>_xlfn.XLOOKUP(A265,'Classic Net to delete'!D:D,'Classic Net to delete'!A:A,"")</f>
        <v/>
      </c>
    </row>
    <row r="266" spans="1:16" x14ac:dyDescent="0.25">
      <c r="A266" t="s">
        <v>2749</v>
      </c>
      <c r="B266" t="s">
        <v>3257</v>
      </c>
      <c r="C266" t="s">
        <v>2750</v>
      </c>
      <c r="D266">
        <v>9.85</v>
      </c>
      <c r="E266" t="s">
        <v>3156</v>
      </c>
      <c r="H266" t="s">
        <v>22</v>
      </c>
      <c r="I266" t="s">
        <v>22</v>
      </c>
      <c r="M266" t="str">
        <f>IFERROR(_xlfn.XLOOKUP(A266,Fleet!A:A,Fleet!E:E,""),"")</f>
        <v/>
      </c>
      <c r="N266" t="s">
        <v>2749</v>
      </c>
      <c r="O266" t="s">
        <v>720</v>
      </c>
      <c r="P266" t="str">
        <f>_xlfn.XLOOKUP(A266,'Classic Net to delete'!D:D,'Classic Net to delete'!A:A,"")</f>
        <v/>
      </c>
    </row>
    <row r="267" spans="1:16" x14ac:dyDescent="0.25">
      <c r="A267" t="s">
        <v>1202</v>
      </c>
      <c r="B267" t="s">
        <v>3934</v>
      </c>
      <c r="C267" t="s">
        <v>1203</v>
      </c>
      <c r="D267">
        <v>20.65</v>
      </c>
      <c r="E267" t="s">
        <v>3156</v>
      </c>
      <c r="F267" s="186" t="s">
        <v>722</v>
      </c>
      <c r="H267" t="b">
        <v>1</v>
      </c>
      <c r="I267">
        <v>20.650000000000002</v>
      </c>
      <c r="J267" s="186" t="s">
        <v>1180</v>
      </c>
      <c r="M267" t="str">
        <f>IFERROR(_xlfn.XLOOKUP(A267,Fleet!A:A,Fleet!E:E,""),"")</f>
        <v/>
      </c>
      <c r="N267" t="s">
        <v>1202</v>
      </c>
      <c r="O267" t="s">
        <v>3178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1213</v>
      </c>
      <c r="B268" t="s">
        <v>3257</v>
      </c>
      <c r="C268" t="s">
        <v>1214</v>
      </c>
      <c r="D268">
        <v>9.85</v>
      </c>
      <c r="E268" t="s">
        <v>3156</v>
      </c>
      <c r="F268" s="186" t="s">
        <v>722</v>
      </c>
      <c r="H268" t="b">
        <v>1</v>
      </c>
      <c r="I268">
        <v>9.8500000000000014</v>
      </c>
      <c r="J268" s="186" t="s">
        <v>1180</v>
      </c>
      <c r="M268" t="str">
        <f>IFERROR(_xlfn.XLOOKUP(A268,Fleet!A:A,Fleet!E:E,""),"")</f>
        <v/>
      </c>
      <c r="N268" t="s">
        <v>1213</v>
      </c>
      <c r="O268" t="s">
        <v>720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1734</v>
      </c>
      <c r="B269" t="s">
        <v>3935</v>
      </c>
      <c r="C269" t="s">
        <v>1735</v>
      </c>
      <c r="D269">
        <v>3.55</v>
      </c>
      <c r="E269" t="s">
        <v>3156</v>
      </c>
      <c r="F269" s="186" t="s">
        <v>3936</v>
      </c>
      <c r="H269" t="b">
        <v>1</v>
      </c>
      <c r="I269">
        <v>3.5500000000000003</v>
      </c>
      <c r="J269" s="186" t="s">
        <v>1724</v>
      </c>
      <c r="M269" t="str">
        <f>IFERROR(_xlfn.XLOOKUP(A269,Fleet!A:A,Fleet!E:E,""),"")</f>
        <v/>
      </c>
      <c r="N269" t="s">
        <v>1734</v>
      </c>
      <c r="O269" t="s">
        <v>3177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1740</v>
      </c>
      <c r="B270" t="s">
        <v>3935</v>
      </c>
      <c r="C270" t="s">
        <v>1741</v>
      </c>
      <c r="D270">
        <v>10.050000000000001</v>
      </c>
      <c r="E270" t="s">
        <v>3156</v>
      </c>
      <c r="F270" s="186" t="s">
        <v>3936</v>
      </c>
      <c r="H270" t="b">
        <v>1</v>
      </c>
      <c r="I270">
        <v>10.050000000000001</v>
      </c>
      <c r="J270" s="186" t="s">
        <v>1724</v>
      </c>
      <c r="M270" t="str">
        <f>IFERROR(_xlfn.XLOOKUP(A270,Fleet!A:A,Fleet!E:E,""),"")</f>
        <v/>
      </c>
      <c r="N270" t="s">
        <v>1740</v>
      </c>
      <c r="O270" t="s">
        <v>3177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1731</v>
      </c>
      <c r="B271" t="s">
        <v>3935</v>
      </c>
      <c r="C271" t="s">
        <v>1732</v>
      </c>
      <c r="D271">
        <v>19.8</v>
      </c>
      <c r="E271" t="s">
        <v>3156</v>
      </c>
      <c r="F271" s="186" t="s">
        <v>3936</v>
      </c>
      <c r="H271" t="b">
        <v>1</v>
      </c>
      <c r="I271">
        <v>19.8</v>
      </c>
      <c r="J271" s="186" t="s">
        <v>1724</v>
      </c>
      <c r="M271" t="str">
        <f>IFERROR(_xlfn.XLOOKUP(A271,Fleet!A:A,Fleet!E:E,""),"")</f>
        <v/>
      </c>
      <c r="N271" t="s">
        <v>1731</v>
      </c>
      <c r="O271" t="s">
        <v>3177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2747</v>
      </c>
      <c r="B272" t="s">
        <v>3937</v>
      </c>
      <c r="C272" t="s">
        <v>2748</v>
      </c>
      <c r="D272">
        <v>3.55</v>
      </c>
      <c r="E272" t="s">
        <v>3156</v>
      </c>
      <c r="H272" t="s">
        <v>22</v>
      </c>
      <c r="I272" t="s">
        <v>22</v>
      </c>
      <c r="M272" t="str">
        <f>IFERROR(_xlfn.XLOOKUP(A272,Fleet!A:A,Fleet!E:E,""),"")</f>
        <v/>
      </c>
      <c r="N272" t="s">
        <v>2747</v>
      </c>
      <c r="O272" t="s">
        <v>3022</v>
      </c>
      <c r="P272" t="str">
        <f>_xlfn.XLOOKUP(A272,'Classic Net to delete'!D:D,'Classic Net to delete'!A:A,"")</f>
        <v/>
      </c>
    </row>
    <row r="273" spans="1:16" x14ac:dyDescent="0.25">
      <c r="A273" t="s">
        <v>2745</v>
      </c>
      <c r="B273" t="s">
        <v>3937</v>
      </c>
      <c r="C273" t="s">
        <v>2746</v>
      </c>
      <c r="D273">
        <v>3.55</v>
      </c>
      <c r="E273" t="s">
        <v>3156</v>
      </c>
      <c r="H273" t="s">
        <v>22</v>
      </c>
      <c r="I273" t="s">
        <v>22</v>
      </c>
      <c r="M273" t="str">
        <f>IFERROR(_xlfn.XLOOKUP(A273,Fleet!A:A,Fleet!E:E,""),"")</f>
        <v/>
      </c>
      <c r="N273" t="s">
        <v>2745</v>
      </c>
      <c r="O273" t="s">
        <v>3022</v>
      </c>
      <c r="P273" t="str">
        <f>_xlfn.XLOOKUP(A273,'Classic Net to delete'!D:D,'Classic Net to delete'!A:A,"")</f>
        <v/>
      </c>
    </row>
    <row r="274" spans="1:16" x14ac:dyDescent="0.25">
      <c r="A274" t="s">
        <v>2743</v>
      </c>
      <c r="B274" t="s">
        <v>3937</v>
      </c>
      <c r="C274" t="s">
        <v>2744</v>
      </c>
      <c r="D274">
        <v>3.55</v>
      </c>
      <c r="E274" t="s">
        <v>3156</v>
      </c>
      <c r="H274" t="s">
        <v>22</v>
      </c>
      <c r="I274" t="s">
        <v>22</v>
      </c>
      <c r="M274" t="str">
        <f>IFERROR(_xlfn.XLOOKUP(A274,Fleet!A:A,Fleet!E:E,""),"")</f>
        <v/>
      </c>
      <c r="N274" t="s">
        <v>2743</v>
      </c>
      <c r="O274" t="s">
        <v>3022</v>
      </c>
      <c r="P274" t="str">
        <f>_xlfn.XLOOKUP(A274,'Classic Net to delete'!D:D,'Classic Net to delete'!A:A,"")</f>
        <v/>
      </c>
    </row>
    <row r="275" spans="1:16" x14ac:dyDescent="0.25">
      <c r="A275" t="s">
        <v>2741</v>
      </c>
      <c r="B275" t="s">
        <v>3937</v>
      </c>
      <c r="C275" t="s">
        <v>2742</v>
      </c>
      <c r="D275">
        <v>3.55</v>
      </c>
      <c r="E275" t="s">
        <v>3156</v>
      </c>
      <c r="H275" t="s">
        <v>22</v>
      </c>
      <c r="I275" t="s">
        <v>22</v>
      </c>
      <c r="M275" t="str">
        <f>IFERROR(_xlfn.XLOOKUP(A275,Fleet!A:A,Fleet!E:E,""),"")</f>
        <v/>
      </c>
      <c r="N275" t="s">
        <v>2741</v>
      </c>
      <c r="O275" t="s">
        <v>3022</v>
      </c>
      <c r="P275" t="str">
        <f>_xlfn.XLOOKUP(A275,'Classic Net to delete'!D:D,'Classic Net to delete'!A:A,"")</f>
        <v/>
      </c>
    </row>
    <row r="276" spans="1:16" x14ac:dyDescent="0.25">
      <c r="A276" t="s">
        <v>2739</v>
      </c>
      <c r="B276" t="s">
        <v>3937</v>
      </c>
      <c r="C276" t="s">
        <v>2740</v>
      </c>
      <c r="D276">
        <v>3.55</v>
      </c>
      <c r="E276" t="s">
        <v>3156</v>
      </c>
      <c r="H276" t="s">
        <v>22</v>
      </c>
      <c r="I276" t="s">
        <v>22</v>
      </c>
      <c r="M276" t="str">
        <f>IFERROR(_xlfn.XLOOKUP(A276,Fleet!A:A,Fleet!E:E,""),"")</f>
        <v/>
      </c>
      <c r="N276" t="s">
        <v>2739</v>
      </c>
      <c r="O276" t="s">
        <v>3022</v>
      </c>
      <c r="P276" t="str">
        <f>_xlfn.XLOOKUP(A276,'Classic Net to delete'!D:D,'Classic Net to delete'!A:A,"")</f>
        <v/>
      </c>
    </row>
    <row r="277" spans="1:16" x14ac:dyDescent="0.25">
      <c r="A277" t="s">
        <v>2737</v>
      </c>
      <c r="B277" t="s">
        <v>3937</v>
      </c>
      <c r="C277" t="s">
        <v>2738</v>
      </c>
      <c r="D277">
        <v>3.55</v>
      </c>
      <c r="E277" t="s">
        <v>3156</v>
      </c>
      <c r="H277" t="s">
        <v>22</v>
      </c>
      <c r="I277" t="s">
        <v>22</v>
      </c>
      <c r="M277" t="str">
        <f>IFERROR(_xlfn.XLOOKUP(A277,Fleet!A:A,Fleet!E:E,""),"")</f>
        <v/>
      </c>
      <c r="N277" t="s">
        <v>2737</v>
      </c>
      <c r="O277" t="s">
        <v>3022</v>
      </c>
      <c r="P277" t="str">
        <f>_xlfn.XLOOKUP(A277,'Classic Net to delete'!D:D,'Classic Net to delete'!A:A,"")</f>
        <v/>
      </c>
    </row>
    <row r="278" spans="1:16" x14ac:dyDescent="0.25">
      <c r="A278" t="s">
        <v>2735</v>
      </c>
      <c r="B278" t="s">
        <v>3937</v>
      </c>
      <c r="C278" t="s">
        <v>2736</v>
      </c>
      <c r="D278">
        <v>3.55</v>
      </c>
      <c r="E278" t="s">
        <v>3156</v>
      </c>
      <c r="H278" t="s">
        <v>22</v>
      </c>
      <c r="I278" t="s">
        <v>22</v>
      </c>
      <c r="M278" t="str">
        <f>IFERROR(_xlfn.XLOOKUP(A278,Fleet!A:A,Fleet!E:E,""),"")</f>
        <v/>
      </c>
      <c r="N278" t="s">
        <v>2735</v>
      </c>
      <c r="O278" t="s">
        <v>3022</v>
      </c>
      <c r="P278" t="str">
        <f>_xlfn.XLOOKUP(A278,'Classic Net to delete'!D:D,'Classic Net to delete'!A:A,"")</f>
        <v/>
      </c>
    </row>
    <row r="279" spans="1:16" x14ac:dyDescent="0.25">
      <c r="A279" t="s">
        <v>2733</v>
      </c>
      <c r="B279" t="s">
        <v>3937</v>
      </c>
      <c r="C279" t="s">
        <v>2734</v>
      </c>
      <c r="D279">
        <v>3.55</v>
      </c>
      <c r="E279" t="s">
        <v>3156</v>
      </c>
      <c r="H279" t="s">
        <v>22</v>
      </c>
      <c r="I279" t="s">
        <v>22</v>
      </c>
      <c r="M279" t="str">
        <f>IFERROR(_xlfn.XLOOKUP(A279,Fleet!A:A,Fleet!E:E,""),"")</f>
        <v/>
      </c>
      <c r="N279" t="s">
        <v>2733</v>
      </c>
      <c r="O279" t="s">
        <v>3022</v>
      </c>
      <c r="P279" t="str">
        <f>_xlfn.XLOOKUP(A279,'Classic Net to delete'!D:D,'Classic Net to delete'!A:A,"")</f>
        <v/>
      </c>
    </row>
    <row r="280" spans="1:16" x14ac:dyDescent="0.25">
      <c r="A280" t="s">
        <v>2731</v>
      </c>
      <c r="B280" t="s">
        <v>3937</v>
      </c>
      <c r="C280" t="s">
        <v>2732</v>
      </c>
      <c r="D280">
        <v>3.55</v>
      </c>
      <c r="E280" t="s">
        <v>3156</v>
      </c>
      <c r="H280" t="s">
        <v>22</v>
      </c>
      <c r="I280" t="s">
        <v>22</v>
      </c>
      <c r="M280" t="str">
        <f>IFERROR(_xlfn.XLOOKUP(A280,Fleet!A:A,Fleet!E:E,""),"")</f>
        <v/>
      </c>
      <c r="N280" t="s">
        <v>2731</v>
      </c>
      <c r="O280" t="s">
        <v>3022</v>
      </c>
      <c r="P280" t="str">
        <f>_xlfn.XLOOKUP(A280,'Classic Net to delete'!D:D,'Classic Net to delete'!A:A,"")</f>
        <v/>
      </c>
    </row>
    <row r="281" spans="1:16" x14ac:dyDescent="0.25">
      <c r="A281" t="s">
        <v>2729</v>
      </c>
      <c r="B281" t="s">
        <v>3937</v>
      </c>
      <c r="C281" t="s">
        <v>2730</v>
      </c>
      <c r="D281">
        <v>3.55</v>
      </c>
      <c r="E281" t="s">
        <v>3156</v>
      </c>
      <c r="H281" t="s">
        <v>22</v>
      </c>
      <c r="I281" t="s">
        <v>22</v>
      </c>
      <c r="M281" t="str">
        <f>IFERROR(_xlfn.XLOOKUP(A281,Fleet!A:A,Fleet!E:E,""),"")</f>
        <v/>
      </c>
      <c r="N281" t="s">
        <v>2729</v>
      </c>
      <c r="O281" t="s">
        <v>3022</v>
      </c>
      <c r="P281" t="str">
        <f>_xlfn.XLOOKUP(A281,'Classic Net to delete'!D:D,'Classic Net to delete'!A:A,"")</f>
        <v/>
      </c>
    </row>
    <row r="282" spans="1:16" x14ac:dyDescent="0.25">
      <c r="A282" t="s">
        <v>2727</v>
      </c>
      <c r="B282" t="s">
        <v>3937</v>
      </c>
      <c r="C282" t="s">
        <v>2728</v>
      </c>
      <c r="D282">
        <v>3.55</v>
      </c>
      <c r="E282" t="s">
        <v>3156</v>
      </c>
      <c r="H282" t="s">
        <v>22</v>
      </c>
      <c r="I282" t="s">
        <v>22</v>
      </c>
      <c r="M282" t="str">
        <f>IFERROR(_xlfn.XLOOKUP(A282,Fleet!A:A,Fleet!E:E,""),"")</f>
        <v/>
      </c>
      <c r="N282" t="s">
        <v>2727</v>
      </c>
      <c r="O282" t="s">
        <v>3022</v>
      </c>
      <c r="P282" t="str">
        <f>_xlfn.XLOOKUP(A282,'Classic Net to delete'!D:D,'Classic Net to delete'!A:A,"")</f>
        <v/>
      </c>
    </row>
    <row r="283" spans="1:16" x14ac:dyDescent="0.25">
      <c r="A283" t="s">
        <v>2725</v>
      </c>
      <c r="B283" t="s">
        <v>3937</v>
      </c>
      <c r="C283" t="s">
        <v>2726</v>
      </c>
      <c r="D283">
        <v>3.55</v>
      </c>
      <c r="E283" t="s">
        <v>3156</v>
      </c>
      <c r="H283" t="s">
        <v>22</v>
      </c>
      <c r="I283" t="s">
        <v>22</v>
      </c>
      <c r="M283" t="str">
        <f>IFERROR(_xlfn.XLOOKUP(A283,Fleet!A:A,Fleet!E:E,""),"")</f>
        <v/>
      </c>
      <c r="N283" t="s">
        <v>2725</v>
      </c>
      <c r="O283" t="s">
        <v>3022</v>
      </c>
      <c r="P283" t="str">
        <f>_xlfn.XLOOKUP(A283,'Classic Net to delete'!D:D,'Classic Net to delete'!A:A,"")</f>
        <v/>
      </c>
    </row>
    <row r="284" spans="1:16" x14ac:dyDescent="0.25">
      <c r="A284" t="s">
        <v>2723</v>
      </c>
      <c r="B284" t="s">
        <v>3937</v>
      </c>
      <c r="C284" t="s">
        <v>2724</v>
      </c>
      <c r="D284">
        <v>3.55</v>
      </c>
      <c r="E284" t="s">
        <v>3156</v>
      </c>
      <c r="H284" t="s">
        <v>22</v>
      </c>
      <c r="I284" t="s">
        <v>22</v>
      </c>
      <c r="M284" t="str">
        <f>IFERROR(_xlfn.XLOOKUP(A284,Fleet!A:A,Fleet!E:E,""),"")</f>
        <v/>
      </c>
      <c r="N284" t="s">
        <v>2723</v>
      </c>
      <c r="O284" t="s">
        <v>3022</v>
      </c>
      <c r="P284" t="str">
        <f>_xlfn.XLOOKUP(A284,'Classic Net to delete'!D:D,'Classic Net to delete'!A:A,"")</f>
        <v/>
      </c>
    </row>
    <row r="285" spans="1:16" x14ac:dyDescent="0.25">
      <c r="A285" t="s">
        <v>2721</v>
      </c>
      <c r="B285" t="s">
        <v>3937</v>
      </c>
      <c r="C285" t="s">
        <v>2722</v>
      </c>
      <c r="D285">
        <v>3.55</v>
      </c>
      <c r="E285" t="s">
        <v>3156</v>
      </c>
      <c r="H285" t="s">
        <v>22</v>
      </c>
      <c r="I285" t="s">
        <v>22</v>
      </c>
      <c r="M285" t="str">
        <f>IFERROR(_xlfn.XLOOKUP(A285,Fleet!A:A,Fleet!E:E,""),"")</f>
        <v/>
      </c>
      <c r="N285" t="s">
        <v>2721</v>
      </c>
      <c r="O285" t="s">
        <v>3022</v>
      </c>
      <c r="P285" t="str">
        <f>_xlfn.XLOOKUP(A285,'Classic Net to delete'!D:D,'Classic Net to delete'!A:A,"")</f>
        <v/>
      </c>
    </row>
    <row r="286" spans="1:16" x14ac:dyDescent="0.25">
      <c r="A286" t="s">
        <v>2719</v>
      </c>
      <c r="B286" t="s">
        <v>3937</v>
      </c>
      <c r="C286" t="s">
        <v>2720</v>
      </c>
      <c r="D286">
        <v>3.55</v>
      </c>
      <c r="E286" t="s">
        <v>3156</v>
      </c>
      <c r="H286" t="s">
        <v>22</v>
      </c>
      <c r="I286" t="s">
        <v>22</v>
      </c>
      <c r="M286" t="str">
        <f>IFERROR(_xlfn.XLOOKUP(A286,Fleet!A:A,Fleet!E:E,""),"")</f>
        <v/>
      </c>
      <c r="N286" t="s">
        <v>2719</v>
      </c>
      <c r="O286" t="s">
        <v>3022</v>
      </c>
      <c r="P286" t="str">
        <f>_xlfn.XLOOKUP(A286,'Classic Net to delete'!D:D,'Classic Net to delete'!A:A,"")</f>
        <v/>
      </c>
    </row>
    <row r="287" spans="1:16" x14ac:dyDescent="0.25">
      <c r="A287" t="s">
        <v>2717</v>
      </c>
      <c r="B287" t="s">
        <v>3937</v>
      </c>
      <c r="C287" t="s">
        <v>2718</v>
      </c>
      <c r="D287">
        <v>3.55</v>
      </c>
      <c r="E287" t="s">
        <v>3156</v>
      </c>
      <c r="H287" t="s">
        <v>22</v>
      </c>
      <c r="I287" t="s">
        <v>22</v>
      </c>
      <c r="M287" t="str">
        <f>IFERROR(_xlfn.XLOOKUP(A287,Fleet!A:A,Fleet!E:E,""),"")</f>
        <v/>
      </c>
      <c r="N287" t="s">
        <v>2717</v>
      </c>
      <c r="O287" t="s">
        <v>3022</v>
      </c>
      <c r="P287" t="str">
        <f>_xlfn.XLOOKUP(A287,'Classic Net to delete'!D:D,'Classic Net to delete'!A:A,"")</f>
        <v/>
      </c>
    </row>
    <row r="288" spans="1:16" x14ac:dyDescent="0.25">
      <c r="A288" t="s">
        <v>2715</v>
      </c>
      <c r="B288" t="s">
        <v>3937</v>
      </c>
      <c r="C288" t="s">
        <v>2716</v>
      </c>
      <c r="D288">
        <v>3.55</v>
      </c>
      <c r="E288" t="s">
        <v>3156</v>
      </c>
      <c r="H288" t="s">
        <v>22</v>
      </c>
      <c r="I288" t="s">
        <v>22</v>
      </c>
      <c r="M288" t="str">
        <f>IFERROR(_xlfn.XLOOKUP(A288,Fleet!A:A,Fleet!E:E,""),"")</f>
        <v/>
      </c>
      <c r="N288" t="s">
        <v>2715</v>
      </c>
      <c r="O288" t="s">
        <v>3022</v>
      </c>
      <c r="P288" t="str">
        <f>_xlfn.XLOOKUP(A288,'Classic Net to delete'!D:D,'Classic Net to delete'!A:A,"")</f>
        <v/>
      </c>
    </row>
    <row r="289" spans="1:16" x14ac:dyDescent="0.25">
      <c r="A289" t="s">
        <v>2713</v>
      </c>
      <c r="B289" t="s">
        <v>3937</v>
      </c>
      <c r="C289" t="s">
        <v>2714</v>
      </c>
      <c r="D289">
        <v>3.55</v>
      </c>
      <c r="E289" t="s">
        <v>3156</v>
      </c>
      <c r="H289" t="s">
        <v>22</v>
      </c>
      <c r="I289" t="s">
        <v>22</v>
      </c>
      <c r="M289" t="str">
        <f>IFERROR(_xlfn.XLOOKUP(A289,Fleet!A:A,Fleet!E:E,""),"")</f>
        <v/>
      </c>
      <c r="N289" t="s">
        <v>2713</v>
      </c>
      <c r="O289" t="s">
        <v>3022</v>
      </c>
      <c r="P289" t="str">
        <f>_xlfn.XLOOKUP(A289,'Classic Net to delete'!D:D,'Classic Net to delete'!A:A,"")</f>
        <v/>
      </c>
    </row>
    <row r="290" spans="1:16" x14ac:dyDescent="0.25">
      <c r="A290" t="s">
        <v>2711</v>
      </c>
      <c r="B290" t="s">
        <v>3937</v>
      </c>
      <c r="C290" t="s">
        <v>2712</v>
      </c>
      <c r="D290">
        <v>3.55</v>
      </c>
      <c r="E290" t="s">
        <v>3156</v>
      </c>
      <c r="H290" t="s">
        <v>22</v>
      </c>
      <c r="I290" t="s">
        <v>22</v>
      </c>
      <c r="M290" t="str">
        <f>IFERROR(_xlfn.XLOOKUP(A290,Fleet!A:A,Fleet!E:E,""),"")</f>
        <v/>
      </c>
      <c r="N290" t="s">
        <v>2711</v>
      </c>
      <c r="O290" t="s">
        <v>3022</v>
      </c>
      <c r="P290" t="str">
        <f>_xlfn.XLOOKUP(A290,'Classic Net to delete'!D:D,'Classic Net to delete'!A:A,"")</f>
        <v/>
      </c>
    </row>
    <row r="291" spans="1:16" x14ac:dyDescent="0.25">
      <c r="A291" t="s">
        <v>2709</v>
      </c>
      <c r="B291" t="s">
        <v>3937</v>
      </c>
      <c r="C291" t="s">
        <v>2710</v>
      </c>
      <c r="D291">
        <v>3.55</v>
      </c>
      <c r="E291" t="s">
        <v>3156</v>
      </c>
      <c r="H291" t="s">
        <v>22</v>
      </c>
      <c r="I291" t="s">
        <v>22</v>
      </c>
      <c r="M291" t="str">
        <f>IFERROR(_xlfn.XLOOKUP(A291,Fleet!A:A,Fleet!E:E,""),"")</f>
        <v/>
      </c>
      <c r="N291" t="s">
        <v>2709</v>
      </c>
      <c r="O291" t="s">
        <v>3022</v>
      </c>
      <c r="P291" t="str">
        <f>_xlfn.XLOOKUP(A291,'Classic Net to delete'!D:D,'Classic Net to delete'!A:A,"")</f>
        <v/>
      </c>
    </row>
    <row r="292" spans="1:16" x14ac:dyDescent="0.25">
      <c r="A292" t="s">
        <v>2707</v>
      </c>
      <c r="B292" t="s">
        <v>3937</v>
      </c>
      <c r="C292" t="s">
        <v>2708</v>
      </c>
      <c r="D292">
        <v>3.55</v>
      </c>
      <c r="E292" t="s">
        <v>3156</v>
      </c>
      <c r="H292" t="s">
        <v>22</v>
      </c>
      <c r="I292" t="s">
        <v>22</v>
      </c>
      <c r="M292" t="str">
        <f>IFERROR(_xlfn.XLOOKUP(A292,Fleet!A:A,Fleet!E:E,""),"")</f>
        <v/>
      </c>
      <c r="N292" t="s">
        <v>2707</v>
      </c>
      <c r="O292" t="s">
        <v>3022</v>
      </c>
      <c r="P292" t="str">
        <f>_xlfn.XLOOKUP(A292,'Classic Net to delete'!D:D,'Classic Net to delete'!A:A,"")</f>
        <v/>
      </c>
    </row>
    <row r="293" spans="1:16" x14ac:dyDescent="0.25">
      <c r="A293" t="s">
        <v>2705</v>
      </c>
      <c r="B293" t="s">
        <v>3937</v>
      </c>
      <c r="C293" t="s">
        <v>2706</v>
      </c>
      <c r="D293">
        <v>3.55</v>
      </c>
      <c r="E293" t="s">
        <v>3156</v>
      </c>
      <c r="H293" t="s">
        <v>22</v>
      </c>
      <c r="I293" t="s">
        <v>22</v>
      </c>
      <c r="M293" t="str">
        <f>IFERROR(_xlfn.XLOOKUP(A293,Fleet!A:A,Fleet!E:E,""),"")</f>
        <v/>
      </c>
      <c r="N293" t="s">
        <v>2705</v>
      </c>
      <c r="O293" t="s">
        <v>3022</v>
      </c>
      <c r="P293" t="str">
        <f>_xlfn.XLOOKUP(A293,'Classic Net to delete'!D:D,'Classic Net to delete'!A:A,"")</f>
        <v/>
      </c>
    </row>
    <row r="294" spans="1:16" x14ac:dyDescent="0.25">
      <c r="A294" t="s">
        <v>2703</v>
      </c>
      <c r="B294" t="s">
        <v>3938</v>
      </c>
      <c r="C294" t="s">
        <v>2704</v>
      </c>
      <c r="D294">
        <v>2.2000000000000002</v>
      </c>
      <c r="E294" t="s">
        <v>3156</v>
      </c>
      <c r="H294" t="s">
        <v>22</v>
      </c>
      <c r="I294" t="s">
        <v>22</v>
      </c>
      <c r="M294" t="str">
        <f>IFERROR(_xlfn.XLOOKUP(A294,Fleet!A:A,Fleet!E:E,""),"")</f>
        <v/>
      </c>
      <c r="N294" t="s">
        <v>2703</v>
      </c>
      <c r="O294" t="s">
        <v>3174</v>
      </c>
      <c r="P294" t="str">
        <f>_xlfn.XLOOKUP(A294,'Classic Net to delete'!D:D,'Classic Net to delete'!A:A,"")</f>
        <v/>
      </c>
    </row>
    <row r="295" spans="1:16" x14ac:dyDescent="0.25">
      <c r="A295" t="s">
        <v>2701</v>
      </c>
      <c r="B295" t="s">
        <v>3938</v>
      </c>
      <c r="C295" t="s">
        <v>2702</v>
      </c>
      <c r="D295">
        <v>1.65</v>
      </c>
      <c r="E295" t="s">
        <v>3156</v>
      </c>
      <c r="H295" t="s">
        <v>22</v>
      </c>
      <c r="I295" t="s">
        <v>22</v>
      </c>
      <c r="M295" t="str">
        <f>IFERROR(_xlfn.XLOOKUP(A295,Fleet!A:A,Fleet!E:E,""),"")</f>
        <v/>
      </c>
      <c r="N295" t="s">
        <v>2701</v>
      </c>
      <c r="O295" t="s">
        <v>3174</v>
      </c>
      <c r="P295" t="str">
        <f>_xlfn.XLOOKUP(A295,'Classic Net to delete'!D:D,'Classic Net to delete'!A:A,"")</f>
        <v/>
      </c>
    </row>
    <row r="296" spans="1:16" x14ac:dyDescent="0.25">
      <c r="A296" t="s">
        <v>2699</v>
      </c>
      <c r="B296" t="s">
        <v>3938</v>
      </c>
      <c r="C296" t="s">
        <v>2700</v>
      </c>
      <c r="D296">
        <v>17.649999999999999</v>
      </c>
      <c r="E296" t="s">
        <v>3156</v>
      </c>
      <c r="H296" t="s">
        <v>22</v>
      </c>
      <c r="I296" t="s">
        <v>22</v>
      </c>
      <c r="M296" t="str">
        <f>IFERROR(_xlfn.XLOOKUP(A296,Fleet!A:A,Fleet!E:E,""),"")</f>
        <v/>
      </c>
      <c r="N296" t="s">
        <v>2699</v>
      </c>
      <c r="O296" t="s">
        <v>3174</v>
      </c>
      <c r="P296" t="str">
        <f>_xlfn.XLOOKUP(A296,'Classic Net to delete'!D:D,'Classic Net to delete'!A:A,"")</f>
        <v/>
      </c>
    </row>
    <row r="297" spans="1:16" x14ac:dyDescent="0.25">
      <c r="A297" t="s">
        <v>2697</v>
      </c>
      <c r="B297" t="s">
        <v>3938</v>
      </c>
      <c r="C297" t="s">
        <v>2698</v>
      </c>
      <c r="D297">
        <v>17.649999999999999</v>
      </c>
      <c r="E297" t="s">
        <v>3156</v>
      </c>
      <c r="H297" t="s">
        <v>22</v>
      </c>
      <c r="I297" t="s">
        <v>22</v>
      </c>
      <c r="M297" t="str">
        <f>IFERROR(_xlfn.XLOOKUP(A297,Fleet!A:A,Fleet!E:E,""),"")</f>
        <v/>
      </c>
      <c r="N297" t="s">
        <v>2697</v>
      </c>
      <c r="O297" t="s">
        <v>3174</v>
      </c>
      <c r="P297" t="str">
        <f>_xlfn.XLOOKUP(A297,'Classic Net to delete'!D:D,'Classic Net to delete'!A:A,"")</f>
        <v/>
      </c>
    </row>
    <row r="298" spans="1:16" x14ac:dyDescent="0.25">
      <c r="A298" t="s">
        <v>2695</v>
      </c>
      <c r="B298" t="s">
        <v>3938</v>
      </c>
      <c r="C298" t="s">
        <v>2696</v>
      </c>
      <c r="D298">
        <v>35.4</v>
      </c>
      <c r="E298" t="s">
        <v>3156</v>
      </c>
      <c r="H298" t="s">
        <v>22</v>
      </c>
      <c r="I298" t="s">
        <v>22</v>
      </c>
      <c r="M298" t="str">
        <f>IFERROR(_xlfn.XLOOKUP(A298,Fleet!A:A,Fleet!E:E,""),"")</f>
        <v/>
      </c>
      <c r="N298" t="s">
        <v>2695</v>
      </c>
      <c r="O298" t="s">
        <v>3174</v>
      </c>
      <c r="P298" t="str">
        <f>_xlfn.XLOOKUP(A298,'Classic Net to delete'!D:D,'Classic Net to delete'!A:A,"")</f>
        <v/>
      </c>
    </row>
    <row r="299" spans="1:16" x14ac:dyDescent="0.25">
      <c r="A299" t="s">
        <v>2693</v>
      </c>
      <c r="B299" t="s">
        <v>3938</v>
      </c>
      <c r="C299" t="s">
        <v>2694</v>
      </c>
      <c r="D299">
        <v>30.4</v>
      </c>
      <c r="E299" t="s">
        <v>3156</v>
      </c>
      <c r="H299" t="s">
        <v>22</v>
      </c>
      <c r="I299" t="s">
        <v>22</v>
      </c>
      <c r="M299" t="str">
        <f>IFERROR(_xlfn.XLOOKUP(A299,Fleet!A:A,Fleet!E:E,""),"")</f>
        <v/>
      </c>
      <c r="N299" t="s">
        <v>2693</v>
      </c>
      <c r="O299" t="s">
        <v>3174</v>
      </c>
      <c r="P299" t="str">
        <f>_xlfn.XLOOKUP(A299,'Classic Net to delete'!D:D,'Classic Net to delete'!A:A,"")</f>
        <v/>
      </c>
    </row>
    <row r="300" spans="1:16" x14ac:dyDescent="0.25">
      <c r="A300" t="s">
        <v>2691</v>
      </c>
      <c r="B300" t="s">
        <v>3938</v>
      </c>
      <c r="C300" t="s">
        <v>2692</v>
      </c>
      <c r="D300">
        <v>25.35</v>
      </c>
      <c r="E300" t="s">
        <v>3156</v>
      </c>
      <c r="H300" t="s">
        <v>22</v>
      </c>
      <c r="I300" t="s">
        <v>22</v>
      </c>
      <c r="M300" t="str">
        <f>IFERROR(_xlfn.XLOOKUP(A300,Fleet!A:A,Fleet!E:E,""),"")</f>
        <v/>
      </c>
      <c r="N300" t="s">
        <v>2691</v>
      </c>
      <c r="O300" t="s">
        <v>3174</v>
      </c>
      <c r="P300" t="str">
        <f>_xlfn.XLOOKUP(A300,'Classic Net to delete'!D:D,'Classic Net to delete'!A:A,"")</f>
        <v/>
      </c>
    </row>
    <row r="301" spans="1:16" x14ac:dyDescent="0.25">
      <c r="A301" t="s">
        <v>2689</v>
      </c>
      <c r="B301" t="s">
        <v>3938</v>
      </c>
      <c r="C301" t="s">
        <v>2690</v>
      </c>
      <c r="D301">
        <v>20.100000000000001</v>
      </c>
      <c r="E301" t="s">
        <v>3156</v>
      </c>
      <c r="H301" t="s">
        <v>22</v>
      </c>
      <c r="I301" t="s">
        <v>22</v>
      </c>
      <c r="M301" t="str">
        <f>IFERROR(_xlfn.XLOOKUP(A301,Fleet!A:A,Fleet!E:E,""),"")</f>
        <v/>
      </c>
      <c r="N301" t="s">
        <v>2689</v>
      </c>
      <c r="O301" t="s">
        <v>3174</v>
      </c>
      <c r="P301" t="str">
        <f>_xlfn.XLOOKUP(A301,'Classic Net to delete'!D:D,'Classic Net to delete'!A:A,"")</f>
        <v/>
      </c>
    </row>
    <row r="302" spans="1:16" x14ac:dyDescent="0.25">
      <c r="A302" t="s">
        <v>2687</v>
      </c>
      <c r="B302" t="s">
        <v>3938</v>
      </c>
      <c r="C302" t="s">
        <v>2688</v>
      </c>
      <c r="D302">
        <v>15.1</v>
      </c>
      <c r="E302" t="s">
        <v>3156</v>
      </c>
      <c r="H302" t="s">
        <v>22</v>
      </c>
      <c r="I302" t="s">
        <v>22</v>
      </c>
      <c r="M302" t="str">
        <f>IFERROR(_xlfn.XLOOKUP(A302,Fleet!A:A,Fleet!E:E,""),"")</f>
        <v/>
      </c>
      <c r="N302" t="s">
        <v>2687</v>
      </c>
      <c r="O302" t="s">
        <v>3174</v>
      </c>
      <c r="P302" t="str">
        <f>_xlfn.XLOOKUP(A302,'Classic Net to delete'!D:D,'Classic Net to delete'!A:A,"")</f>
        <v/>
      </c>
    </row>
    <row r="303" spans="1:16" x14ac:dyDescent="0.25">
      <c r="A303" t="s">
        <v>1058</v>
      </c>
      <c r="B303" t="s">
        <v>3938</v>
      </c>
      <c r="C303" t="s">
        <v>1059</v>
      </c>
      <c r="D303">
        <v>9.5</v>
      </c>
      <c r="E303" t="s">
        <v>3156</v>
      </c>
      <c r="F303" s="186" t="s">
        <v>722</v>
      </c>
      <c r="H303" t="b">
        <v>1</v>
      </c>
      <c r="I303">
        <v>9.5</v>
      </c>
      <c r="J303" s="186" t="s">
        <v>835</v>
      </c>
      <c r="M303" t="str">
        <f>IFERROR(_xlfn.XLOOKUP(A303,Fleet!A:A,Fleet!E:E,""),"")</f>
        <v/>
      </c>
      <c r="N303" t="s">
        <v>1058</v>
      </c>
      <c r="O303" t="s">
        <v>3174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922</v>
      </c>
      <c r="B304" t="s">
        <v>3938</v>
      </c>
      <c r="C304" t="s">
        <v>923</v>
      </c>
      <c r="D304">
        <v>53.05</v>
      </c>
      <c r="E304" t="s">
        <v>3156</v>
      </c>
      <c r="F304" s="186" t="s">
        <v>722</v>
      </c>
      <c r="H304" t="b">
        <v>1</v>
      </c>
      <c r="I304">
        <v>53.050000000000004</v>
      </c>
      <c r="J304" s="186" t="s">
        <v>835</v>
      </c>
      <c r="M304" t="str">
        <f>IFERROR(_xlfn.XLOOKUP(A304,Fleet!A:A,Fleet!E:E,""),"")</f>
        <v/>
      </c>
      <c r="N304" t="s">
        <v>922</v>
      </c>
      <c r="O304" t="s">
        <v>3174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930</v>
      </c>
      <c r="B305" t="s">
        <v>3938</v>
      </c>
      <c r="C305" t="s">
        <v>931</v>
      </c>
      <c r="D305">
        <v>18.600000000000001</v>
      </c>
      <c r="E305" t="s">
        <v>3156</v>
      </c>
      <c r="F305" s="186" t="s">
        <v>3939</v>
      </c>
      <c r="H305" t="b">
        <v>1</v>
      </c>
      <c r="I305">
        <v>18.600000000000001</v>
      </c>
      <c r="J305" s="186" t="s">
        <v>835</v>
      </c>
      <c r="M305" t="str">
        <f>IFERROR(_xlfn.XLOOKUP(A305,Fleet!A:A,Fleet!E:E,""),"")</f>
        <v/>
      </c>
      <c r="N305" t="s">
        <v>930</v>
      </c>
      <c r="O305" t="s">
        <v>3174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917</v>
      </c>
      <c r="B306" t="s">
        <v>3938</v>
      </c>
      <c r="C306" t="s">
        <v>918</v>
      </c>
      <c r="D306">
        <v>11.55</v>
      </c>
      <c r="E306" t="s">
        <v>3156</v>
      </c>
      <c r="F306" s="186" t="s">
        <v>722</v>
      </c>
      <c r="H306" t="b">
        <v>1</v>
      </c>
      <c r="I306">
        <v>11.55</v>
      </c>
      <c r="J306" s="186" t="s">
        <v>835</v>
      </c>
      <c r="M306" t="str">
        <f>IFERROR(_xlfn.XLOOKUP(A306,Fleet!A:A,Fleet!E:E,""),"")</f>
        <v/>
      </c>
      <c r="N306" t="s">
        <v>917</v>
      </c>
      <c r="O306" t="s">
        <v>3174</v>
      </c>
      <c r="P306" t="str">
        <f>_xlfn.XLOOKUP(A306,'Classic Net to delete'!D:D,'Classic Net to delete'!A:A,"")</f>
        <v>Slump Cone</v>
      </c>
    </row>
    <row r="307" spans="1:16" x14ac:dyDescent="0.25">
      <c r="A307" t="s">
        <v>2685</v>
      </c>
      <c r="B307" t="s">
        <v>3938</v>
      </c>
      <c r="C307" t="s">
        <v>2686</v>
      </c>
      <c r="D307">
        <v>13.3</v>
      </c>
      <c r="E307" t="s">
        <v>3156</v>
      </c>
      <c r="H307" t="s">
        <v>22</v>
      </c>
      <c r="I307" t="s">
        <v>22</v>
      </c>
      <c r="M307" t="str">
        <f>IFERROR(_xlfn.XLOOKUP(A307,Fleet!A:A,Fleet!E:E,""),"")</f>
        <v/>
      </c>
      <c r="N307" t="s">
        <v>2685</v>
      </c>
      <c r="O307" t="s">
        <v>3174</v>
      </c>
      <c r="P307" t="str">
        <f>_xlfn.XLOOKUP(A307,'Classic Net to delete'!D:D,'Classic Net to delete'!A:A,"")</f>
        <v/>
      </c>
    </row>
    <row r="308" spans="1:16" x14ac:dyDescent="0.25">
      <c r="A308" t="s">
        <v>914</v>
      </c>
      <c r="B308" t="s">
        <v>3938</v>
      </c>
      <c r="C308" t="s">
        <v>915</v>
      </c>
      <c r="D308">
        <v>13.3</v>
      </c>
      <c r="E308" t="s">
        <v>3156</v>
      </c>
      <c r="F308" s="186" t="s">
        <v>722</v>
      </c>
      <c r="H308" t="b">
        <v>1</v>
      </c>
      <c r="I308">
        <v>13.3</v>
      </c>
      <c r="J308" s="186" t="s">
        <v>835</v>
      </c>
      <c r="M308" t="str">
        <f>IFERROR(_xlfn.XLOOKUP(A308,Fleet!A:A,Fleet!E:E,""),"")</f>
        <v/>
      </c>
      <c r="N308" t="s">
        <v>914</v>
      </c>
      <c r="O308" t="s">
        <v>3174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904</v>
      </c>
      <c r="B309" t="s">
        <v>3938</v>
      </c>
      <c r="C309" t="s">
        <v>905</v>
      </c>
      <c r="D309">
        <v>15.95</v>
      </c>
      <c r="E309" t="s">
        <v>3156</v>
      </c>
      <c r="F309" s="186" t="s">
        <v>3940</v>
      </c>
      <c r="H309" t="b">
        <v>1</v>
      </c>
      <c r="I309">
        <v>15.950000000000001</v>
      </c>
      <c r="J309" s="186" t="s">
        <v>835</v>
      </c>
      <c r="M309" t="str">
        <f>IFERROR(_xlfn.XLOOKUP(A309,Fleet!A:A,Fleet!E:E,""),"")</f>
        <v/>
      </c>
      <c r="N309" t="s">
        <v>904</v>
      </c>
      <c r="O309" t="s">
        <v>3174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2683</v>
      </c>
      <c r="B310" t="s">
        <v>3941</v>
      </c>
      <c r="C310" t="s">
        <v>2684</v>
      </c>
      <c r="D310">
        <v>15.95</v>
      </c>
      <c r="E310" t="s">
        <v>3156</v>
      </c>
      <c r="H310" t="s">
        <v>22</v>
      </c>
      <c r="I310" t="s">
        <v>22</v>
      </c>
      <c r="M310" t="str">
        <f>IFERROR(_xlfn.XLOOKUP(A310,Fleet!A:A,Fleet!E:E,""),"")</f>
        <v/>
      </c>
      <c r="N310" t="s">
        <v>2683</v>
      </c>
      <c r="O310" t="s">
        <v>3171</v>
      </c>
      <c r="P310" t="str">
        <f>_xlfn.XLOOKUP(A310,'Classic Net to delete'!D:D,'Classic Net to delete'!A:A,"")</f>
        <v/>
      </c>
    </row>
    <row r="311" spans="1:16" x14ac:dyDescent="0.25">
      <c r="A311" t="s">
        <v>2681</v>
      </c>
      <c r="B311" t="s">
        <v>3941</v>
      </c>
      <c r="C311" t="s">
        <v>2682</v>
      </c>
      <c r="D311">
        <v>9.25</v>
      </c>
      <c r="E311" t="s">
        <v>3156</v>
      </c>
      <c r="H311" t="s">
        <v>22</v>
      </c>
      <c r="I311" t="s">
        <v>22</v>
      </c>
      <c r="M311" t="str">
        <f>IFERROR(_xlfn.XLOOKUP(A311,Fleet!A:A,Fleet!E:E,""),"")</f>
        <v/>
      </c>
      <c r="N311" t="s">
        <v>2681</v>
      </c>
      <c r="O311" t="s">
        <v>3171</v>
      </c>
      <c r="P311" t="str">
        <f>_xlfn.XLOOKUP(A311,'Classic Net to delete'!D:D,'Classic Net to delete'!A:A,"")</f>
        <v/>
      </c>
    </row>
    <row r="312" spans="1:16" x14ac:dyDescent="0.25">
      <c r="A312" t="s">
        <v>2679</v>
      </c>
      <c r="B312" t="s">
        <v>3941</v>
      </c>
      <c r="C312" t="s">
        <v>2680</v>
      </c>
      <c r="D312">
        <v>17.5</v>
      </c>
      <c r="E312" t="s">
        <v>3156</v>
      </c>
      <c r="H312" t="s">
        <v>22</v>
      </c>
      <c r="I312" t="s">
        <v>22</v>
      </c>
      <c r="M312" t="str">
        <f>IFERROR(_xlfn.XLOOKUP(A312,Fleet!A:A,Fleet!E:E,""),"")</f>
        <v/>
      </c>
      <c r="N312" t="s">
        <v>2679</v>
      </c>
      <c r="O312" t="s">
        <v>3171</v>
      </c>
      <c r="P312" t="str">
        <f>_xlfn.XLOOKUP(A312,'Classic Net to delete'!D:D,'Classic Net to delete'!A:A,"")</f>
        <v/>
      </c>
    </row>
    <row r="313" spans="1:16" x14ac:dyDescent="0.25">
      <c r="A313" t="s">
        <v>2677</v>
      </c>
      <c r="B313" t="s">
        <v>3942</v>
      </c>
      <c r="C313" t="s">
        <v>2678</v>
      </c>
      <c r="D313">
        <v>1.8</v>
      </c>
      <c r="E313" t="s">
        <v>3156</v>
      </c>
      <c r="H313" t="s">
        <v>22</v>
      </c>
      <c r="I313" t="s">
        <v>22</v>
      </c>
      <c r="M313" t="str">
        <f>IFERROR(_xlfn.XLOOKUP(A313,Fleet!A:A,Fleet!E:E,""),"")</f>
        <v/>
      </c>
      <c r="N313" t="s">
        <v>2677</v>
      </c>
      <c r="O313" t="s">
        <v>3173</v>
      </c>
      <c r="P313" t="str">
        <f>_xlfn.XLOOKUP(A313,'Classic Net to delete'!D:D,'Classic Net to delete'!A:A,"")</f>
        <v/>
      </c>
    </row>
    <row r="314" spans="1:16" x14ac:dyDescent="0.25">
      <c r="A314" t="s">
        <v>2675</v>
      </c>
      <c r="B314" t="s">
        <v>3942</v>
      </c>
      <c r="C314" t="s">
        <v>2676</v>
      </c>
      <c r="D314">
        <v>1.8</v>
      </c>
      <c r="E314" t="s">
        <v>3156</v>
      </c>
      <c r="H314" t="s">
        <v>22</v>
      </c>
      <c r="I314" t="s">
        <v>22</v>
      </c>
      <c r="M314" t="str">
        <f>IFERROR(_xlfn.XLOOKUP(A314,Fleet!A:A,Fleet!E:E,""),"")</f>
        <v/>
      </c>
      <c r="N314" t="s">
        <v>2675</v>
      </c>
      <c r="O314" t="s">
        <v>3173</v>
      </c>
      <c r="P314" t="str">
        <f>_xlfn.XLOOKUP(A314,'Classic Net to delete'!D:D,'Classic Net to delete'!A:A,"")</f>
        <v/>
      </c>
    </row>
    <row r="315" spans="1:16" x14ac:dyDescent="0.25">
      <c r="A315" t="s">
        <v>2673</v>
      </c>
      <c r="B315" t="s">
        <v>3942</v>
      </c>
      <c r="C315" t="s">
        <v>2674</v>
      </c>
      <c r="D315">
        <v>1.8</v>
      </c>
      <c r="E315" t="s">
        <v>3156</v>
      </c>
      <c r="H315" t="s">
        <v>22</v>
      </c>
      <c r="I315" t="s">
        <v>22</v>
      </c>
      <c r="M315" t="str">
        <f>IFERROR(_xlfn.XLOOKUP(A315,Fleet!A:A,Fleet!E:E,""),"")</f>
        <v/>
      </c>
      <c r="N315" t="s">
        <v>2673</v>
      </c>
      <c r="O315" t="s">
        <v>3173</v>
      </c>
      <c r="P315" t="str">
        <f>_xlfn.XLOOKUP(A315,'Classic Net to delete'!D:D,'Classic Net to delete'!A:A,"")</f>
        <v/>
      </c>
    </row>
    <row r="316" spans="1:16" x14ac:dyDescent="0.25">
      <c r="A316" t="s">
        <v>2671</v>
      </c>
      <c r="B316" t="s">
        <v>3942</v>
      </c>
      <c r="C316" t="s">
        <v>2672</v>
      </c>
      <c r="D316">
        <v>1.8</v>
      </c>
      <c r="E316" t="s">
        <v>3156</v>
      </c>
      <c r="H316" t="s">
        <v>22</v>
      </c>
      <c r="I316" t="s">
        <v>22</v>
      </c>
      <c r="M316" t="str">
        <f>IFERROR(_xlfn.XLOOKUP(A316,Fleet!A:A,Fleet!E:E,""),"")</f>
        <v/>
      </c>
      <c r="N316" t="s">
        <v>2671</v>
      </c>
      <c r="O316" t="s">
        <v>3173</v>
      </c>
      <c r="P316" t="str">
        <f>_xlfn.XLOOKUP(A316,'Classic Net to delete'!D:D,'Classic Net to delete'!A:A,"")</f>
        <v/>
      </c>
    </row>
    <row r="317" spans="1:16" x14ac:dyDescent="0.25">
      <c r="A317" t="s">
        <v>2669</v>
      </c>
      <c r="B317" t="s">
        <v>3942</v>
      </c>
      <c r="C317" t="s">
        <v>2670</v>
      </c>
      <c r="D317">
        <v>1.8</v>
      </c>
      <c r="E317" t="s">
        <v>3156</v>
      </c>
      <c r="H317" t="s">
        <v>22</v>
      </c>
      <c r="I317" t="s">
        <v>22</v>
      </c>
      <c r="M317" t="str">
        <f>IFERROR(_xlfn.XLOOKUP(A317,Fleet!A:A,Fleet!E:E,""),"")</f>
        <v/>
      </c>
      <c r="N317" t="s">
        <v>2669</v>
      </c>
      <c r="O317" t="s">
        <v>3173</v>
      </c>
      <c r="P317" t="str">
        <f>_xlfn.XLOOKUP(A317,'Classic Net to delete'!D:D,'Classic Net to delete'!A:A,"")</f>
        <v/>
      </c>
    </row>
    <row r="318" spans="1:16" x14ac:dyDescent="0.25">
      <c r="A318" t="s">
        <v>2667</v>
      </c>
      <c r="B318" t="s">
        <v>3942</v>
      </c>
      <c r="C318" t="s">
        <v>2668</v>
      </c>
      <c r="D318">
        <v>1.8</v>
      </c>
      <c r="E318" t="s">
        <v>3156</v>
      </c>
      <c r="H318" t="s">
        <v>22</v>
      </c>
      <c r="I318" t="s">
        <v>22</v>
      </c>
      <c r="M318" t="str">
        <f>IFERROR(_xlfn.XLOOKUP(A318,Fleet!A:A,Fleet!E:E,""),"")</f>
        <v/>
      </c>
      <c r="N318" t="s">
        <v>2667</v>
      </c>
      <c r="O318" t="s">
        <v>3173</v>
      </c>
      <c r="P318" t="str">
        <f>_xlfn.XLOOKUP(A318,'Classic Net to delete'!D:D,'Classic Net to delete'!A:A,"")</f>
        <v/>
      </c>
    </row>
    <row r="319" spans="1:16" x14ac:dyDescent="0.25">
      <c r="A319" t="s">
        <v>2665</v>
      </c>
      <c r="B319" t="s">
        <v>3942</v>
      </c>
      <c r="C319" t="s">
        <v>2666</v>
      </c>
      <c r="D319">
        <v>1.8</v>
      </c>
      <c r="E319" t="s">
        <v>3156</v>
      </c>
      <c r="H319" t="s">
        <v>22</v>
      </c>
      <c r="I319" t="s">
        <v>22</v>
      </c>
      <c r="M319" t="str">
        <f>IFERROR(_xlfn.XLOOKUP(A319,Fleet!A:A,Fleet!E:E,""),"")</f>
        <v/>
      </c>
      <c r="N319" t="s">
        <v>2665</v>
      </c>
      <c r="O319" t="s">
        <v>3173</v>
      </c>
      <c r="P319" t="str">
        <f>_xlfn.XLOOKUP(A319,'Classic Net to delete'!D:D,'Classic Net to delete'!A:A,"")</f>
        <v/>
      </c>
    </row>
    <row r="320" spans="1:16" x14ac:dyDescent="0.25">
      <c r="A320" t="s">
        <v>2663</v>
      </c>
      <c r="B320" t="s">
        <v>3942</v>
      </c>
      <c r="C320" t="s">
        <v>2664</v>
      </c>
      <c r="D320">
        <v>1.8</v>
      </c>
      <c r="E320" t="s">
        <v>3156</v>
      </c>
      <c r="H320" t="s">
        <v>22</v>
      </c>
      <c r="I320" t="s">
        <v>22</v>
      </c>
      <c r="M320" t="str">
        <f>IFERROR(_xlfn.XLOOKUP(A320,Fleet!A:A,Fleet!E:E,""),"")</f>
        <v/>
      </c>
      <c r="N320" t="s">
        <v>2663</v>
      </c>
      <c r="O320" t="s">
        <v>3173</v>
      </c>
      <c r="P320" t="str">
        <f>_xlfn.XLOOKUP(A320,'Classic Net to delete'!D:D,'Classic Net to delete'!A:A,"")</f>
        <v/>
      </c>
    </row>
    <row r="321" spans="1:16" x14ac:dyDescent="0.25">
      <c r="A321" t="s">
        <v>2661</v>
      </c>
      <c r="B321" t="s">
        <v>3942</v>
      </c>
      <c r="C321" t="s">
        <v>2662</v>
      </c>
      <c r="D321">
        <v>1.8</v>
      </c>
      <c r="E321" t="s">
        <v>3156</v>
      </c>
      <c r="H321" t="s">
        <v>22</v>
      </c>
      <c r="I321" t="s">
        <v>22</v>
      </c>
      <c r="M321" t="str">
        <f>IFERROR(_xlfn.XLOOKUP(A321,Fleet!A:A,Fleet!E:E,""),"")</f>
        <v/>
      </c>
      <c r="N321" t="s">
        <v>2661</v>
      </c>
      <c r="O321" t="s">
        <v>3173</v>
      </c>
      <c r="P321" t="str">
        <f>_xlfn.XLOOKUP(A321,'Classic Net to delete'!D:D,'Classic Net to delete'!A:A,"")</f>
        <v/>
      </c>
    </row>
    <row r="322" spans="1:16" x14ac:dyDescent="0.25">
      <c r="A322" t="s">
        <v>2659</v>
      </c>
      <c r="B322" t="s">
        <v>3942</v>
      </c>
      <c r="C322" t="s">
        <v>2660</v>
      </c>
      <c r="D322">
        <v>1.8</v>
      </c>
      <c r="E322" t="s">
        <v>3156</v>
      </c>
      <c r="H322" t="s">
        <v>22</v>
      </c>
      <c r="I322" t="s">
        <v>22</v>
      </c>
      <c r="M322" t="str">
        <f>IFERROR(_xlfn.XLOOKUP(A322,Fleet!A:A,Fleet!E:E,""),"")</f>
        <v/>
      </c>
      <c r="N322" t="s">
        <v>2659</v>
      </c>
      <c r="O322" t="s">
        <v>3173</v>
      </c>
      <c r="P322" t="str">
        <f>_xlfn.XLOOKUP(A322,'Classic Net to delete'!D:D,'Classic Net to delete'!A:A,"")</f>
        <v/>
      </c>
    </row>
    <row r="323" spans="1:16" x14ac:dyDescent="0.25">
      <c r="A323" t="s">
        <v>2657</v>
      </c>
      <c r="B323" t="s">
        <v>3942</v>
      </c>
      <c r="C323" t="s">
        <v>2658</v>
      </c>
      <c r="D323">
        <v>1.8</v>
      </c>
      <c r="E323" t="s">
        <v>3156</v>
      </c>
      <c r="H323" t="s">
        <v>22</v>
      </c>
      <c r="I323" t="s">
        <v>22</v>
      </c>
      <c r="M323" t="str">
        <f>IFERROR(_xlfn.XLOOKUP(A323,Fleet!A:A,Fleet!E:E,""),"")</f>
        <v/>
      </c>
      <c r="N323" t="s">
        <v>2657</v>
      </c>
      <c r="O323" t="s">
        <v>3173</v>
      </c>
      <c r="P323" t="str">
        <f>_xlfn.XLOOKUP(A323,'Classic Net to delete'!D:D,'Classic Net to delete'!A:A,"")</f>
        <v/>
      </c>
    </row>
    <row r="324" spans="1:16" x14ac:dyDescent="0.25">
      <c r="A324" t="s">
        <v>2655</v>
      </c>
      <c r="B324" t="s">
        <v>3931</v>
      </c>
      <c r="C324" t="s">
        <v>2656</v>
      </c>
      <c r="D324">
        <v>4.75</v>
      </c>
      <c r="E324" t="s">
        <v>3156</v>
      </c>
      <c r="H324" t="s">
        <v>22</v>
      </c>
      <c r="I324" t="s">
        <v>22</v>
      </c>
      <c r="M324" t="str">
        <f>IFERROR(_xlfn.XLOOKUP(A324,Fleet!A:A,Fleet!E:E,""),"")</f>
        <v/>
      </c>
      <c r="N324" t="s">
        <v>2655</v>
      </c>
      <c r="O324" t="s">
        <v>3172</v>
      </c>
      <c r="P324" t="str">
        <f>_xlfn.XLOOKUP(A324,'Classic Net to delete'!D:D,'Classic Net to delete'!A:A,"")</f>
        <v/>
      </c>
    </row>
    <row r="325" spans="1:16" x14ac:dyDescent="0.25">
      <c r="A325" t="s">
        <v>2653</v>
      </c>
      <c r="B325" t="s">
        <v>3931</v>
      </c>
      <c r="C325" t="s">
        <v>2654</v>
      </c>
      <c r="D325">
        <v>15.95</v>
      </c>
      <c r="E325" t="s">
        <v>3156</v>
      </c>
      <c r="H325" t="s">
        <v>22</v>
      </c>
      <c r="I325" t="s">
        <v>22</v>
      </c>
      <c r="M325" t="str">
        <f>IFERROR(_xlfn.XLOOKUP(A325,Fleet!A:A,Fleet!E:E,""),"")</f>
        <v/>
      </c>
      <c r="N325" t="s">
        <v>2653</v>
      </c>
      <c r="O325" t="s">
        <v>3172</v>
      </c>
      <c r="P325" t="str">
        <f>_xlfn.XLOOKUP(A325,'Classic Net to delete'!D:D,'Classic Net to delete'!A:A,"")</f>
        <v/>
      </c>
    </row>
    <row r="326" spans="1:16" x14ac:dyDescent="0.25">
      <c r="A326" t="s">
        <v>2651</v>
      </c>
      <c r="B326" t="s">
        <v>3941</v>
      </c>
      <c r="C326" t="s">
        <v>2652</v>
      </c>
      <c r="D326">
        <v>62.5</v>
      </c>
      <c r="E326" t="s">
        <v>3156</v>
      </c>
      <c r="H326" t="s">
        <v>22</v>
      </c>
      <c r="I326" t="s">
        <v>22</v>
      </c>
      <c r="M326" t="str">
        <f>IFERROR(_xlfn.XLOOKUP(A326,Fleet!A:A,Fleet!E:E,""),"")</f>
        <v/>
      </c>
      <c r="N326" t="s">
        <v>2651</v>
      </c>
      <c r="O326" t="s">
        <v>3171</v>
      </c>
      <c r="P326" t="str">
        <f>_xlfn.XLOOKUP(A326,'Classic Net to delete'!D:D,'Classic Net to delete'!A:A,"")</f>
        <v/>
      </c>
    </row>
    <row r="327" spans="1:16" x14ac:dyDescent="0.25">
      <c r="A327" t="s">
        <v>2649</v>
      </c>
      <c r="B327" t="s">
        <v>3941</v>
      </c>
      <c r="C327" t="s">
        <v>2650</v>
      </c>
      <c r="D327">
        <v>11.8</v>
      </c>
      <c r="E327" t="s">
        <v>3156</v>
      </c>
      <c r="H327" t="s">
        <v>22</v>
      </c>
      <c r="I327" t="s">
        <v>22</v>
      </c>
      <c r="M327" t="str">
        <f>IFERROR(_xlfn.XLOOKUP(A327,Fleet!A:A,Fleet!E:E,""),"")</f>
        <v/>
      </c>
      <c r="N327" t="s">
        <v>2649</v>
      </c>
      <c r="O327" t="s">
        <v>3171</v>
      </c>
      <c r="P327" t="str">
        <f>_xlfn.XLOOKUP(A327,'Classic Net to delete'!D:D,'Classic Net to delete'!A:A,"")</f>
        <v/>
      </c>
    </row>
    <row r="328" spans="1:16" x14ac:dyDescent="0.25">
      <c r="A328" t="s">
        <v>2647</v>
      </c>
      <c r="B328" t="s">
        <v>3941</v>
      </c>
      <c r="C328" t="s">
        <v>2648</v>
      </c>
      <c r="D328">
        <v>14.75</v>
      </c>
      <c r="E328" t="s">
        <v>3156</v>
      </c>
      <c r="H328" t="s">
        <v>22</v>
      </c>
      <c r="I328" t="s">
        <v>22</v>
      </c>
      <c r="M328" t="str">
        <f>IFERROR(_xlfn.XLOOKUP(A328,Fleet!A:A,Fleet!E:E,""),"")</f>
        <v/>
      </c>
      <c r="N328" t="s">
        <v>2647</v>
      </c>
      <c r="O328" t="s">
        <v>3171</v>
      </c>
      <c r="P328" t="str">
        <f>_xlfn.XLOOKUP(A328,'Classic Net to delete'!D:D,'Classic Net to delete'!A:A,"")</f>
        <v/>
      </c>
    </row>
    <row r="329" spans="1:16" x14ac:dyDescent="0.25">
      <c r="A329" t="s">
        <v>2645</v>
      </c>
      <c r="B329" t="s">
        <v>3941</v>
      </c>
      <c r="C329" t="s">
        <v>2646</v>
      </c>
      <c r="D329">
        <v>23.35</v>
      </c>
      <c r="E329" t="s">
        <v>3156</v>
      </c>
      <c r="H329" t="s">
        <v>22</v>
      </c>
      <c r="I329" t="s">
        <v>22</v>
      </c>
      <c r="M329" t="str">
        <f>IFERROR(_xlfn.XLOOKUP(A329,Fleet!A:A,Fleet!E:E,""),"")</f>
        <v/>
      </c>
      <c r="N329" t="s">
        <v>2645</v>
      </c>
      <c r="O329" t="s">
        <v>3171</v>
      </c>
      <c r="P329" t="str">
        <f>_xlfn.XLOOKUP(A329,'Classic Net to delete'!D:D,'Classic Net to delete'!A:A,"")</f>
        <v/>
      </c>
    </row>
    <row r="330" spans="1:16" x14ac:dyDescent="0.25">
      <c r="A330" t="s">
        <v>802</v>
      </c>
      <c r="B330" t="s">
        <v>3941</v>
      </c>
      <c r="C330" t="s">
        <v>803</v>
      </c>
      <c r="D330">
        <v>12.1</v>
      </c>
      <c r="E330" t="s">
        <v>3156</v>
      </c>
      <c r="F330" s="186" t="s">
        <v>777</v>
      </c>
      <c r="H330" t="b">
        <v>1</v>
      </c>
      <c r="I330">
        <v>12.100000000000001</v>
      </c>
      <c r="J330" s="186" t="s">
        <v>738</v>
      </c>
      <c r="M330" t="str">
        <f>IFERROR(_xlfn.XLOOKUP(A330,Fleet!A:A,Fleet!E:E,""),"")</f>
        <v/>
      </c>
      <c r="N330" t="s">
        <v>802</v>
      </c>
      <c r="O330" t="s">
        <v>3171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2643</v>
      </c>
      <c r="B331" t="s">
        <v>3941</v>
      </c>
      <c r="C331" t="s">
        <v>2644</v>
      </c>
      <c r="D331">
        <v>14.45</v>
      </c>
      <c r="E331" t="s">
        <v>3156</v>
      </c>
      <c r="H331" t="s">
        <v>22</v>
      </c>
      <c r="I331" t="s">
        <v>22</v>
      </c>
      <c r="M331" t="str">
        <f>IFERROR(_xlfn.XLOOKUP(A331,Fleet!A:A,Fleet!E:E,""),"")</f>
        <v/>
      </c>
      <c r="N331" t="s">
        <v>2643</v>
      </c>
      <c r="O331" t="s">
        <v>3171</v>
      </c>
      <c r="P331" t="str">
        <f>_xlfn.XLOOKUP(A331,'Classic Net to delete'!D:D,'Classic Net to delete'!A:A,"")</f>
        <v/>
      </c>
    </row>
    <row r="332" spans="1:16" x14ac:dyDescent="0.25">
      <c r="A332" t="s">
        <v>771</v>
      </c>
      <c r="B332" t="s">
        <v>3941</v>
      </c>
      <c r="C332" t="s">
        <v>772</v>
      </c>
      <c r="D332">
        <v>15.95</v>
      </c>
      <c r="E332" t="s">
        <v>3156</v>
      </c>
      <c r="F332" s="186" t="s">
        <v>3943</v>
      </c>
      <c r="H332" t="b">
        <v>1</v>
      </c>
      <c r="I332">
        <v>15.950000000000001</v>
      </c>
      <c r="J332" s="186" t="s">
        <v>738</v>
      </c>
      <c r="M332" t="str">
        <f>IFERROR(_xlfn.XLOOKUP(A332,Fleet!A:A,Fleet!E:E,""),"")</f>
        <v/>
      </c>
      <c r="N332" t="s">
        <v>771</v>
      </c>
      <c r="O332" t="s">
        <v>3171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2641</v>
      </c>
      <c r="B333" t="s">
        <v>3944</v>
      </c>
      <c r="C333" t="s">
        <v>2642</v>
      </c>
      <c r="D333">
        <v>6.5</v>
      </c>
      <c r="E333" t="s">
        <v>3156</v>
      </c>
      <c r="H333" t="s">
        <v>22</v>
      </c>
      <c r="I333" t="s">
        <v>22</v>
      </c>
      <c r="M333" t="str">
        <f>IFERROR(_xlfn.XLOOKUP(A333,Fleet!A:A,Fleet!E:E,""),"")</f>
        <v/>
      </c>
      <c r="N333" t="s">
        <v>2641</v>
      </c>
      <c r="O333" t="s">
        <v>3170</v>
      </c>
      <c r="P333" t="str">
        <f>_xlfn.XLOOKUP(A333,'Classic Net to delete'!D:D,'Classic Net to delete'!A:A,"")</f>
        <v/>
      </c>
    </row>
    <row r="334" spans="1:16" x14ac:dyDescent="0.25">
      <c r="A334" t="s">
        <v>2639</v>
      </c>
      <c r="B334" t="s">
        <v>3944</v>
      </c>
      <c r="C334" t="s">
        <v>2640</v>
      </c>
      <c r="D334">
        <v>6.5</v>
      </c>
      <c r="E334" t="s">
        <v>3156</v>
      </c>
      <c r="H334" t="s">
        <v>22</v>
      </c>
      <c r="I334" t="s">
        <v>22</v>
      </c>
      <c r="M334" t="str">
        <f>IFERROR(_xlfn.XLOOKUP(A334,Fleet!A:A,Fleet!E:E,""),"")</f>
        <v/>
      </c>
      <c r="N334" t="s">
        <v>2639</v>
      </c>
      <c r="O334" t="s">
        <v>3170</v>
      </c>
      <c r="P334" t="str">
        <f>_xlfn.XLOOKUP(A334,'Classic Net to delete'!D:D,'Classic Net to delete'!A:A,"")</f>
        <v/>
      </c>
    </row>
    <row r="335" spans="1:16" x14ac:dyDescent="0.25">
      <c r="A335" t="s">
        <v>2637</v>
      </c>
      <c r="B335" t="s">
        <v>3944</v>
      </c>
      <c r="C335" t="s">
        <v>2638</v>
      </c>
      <c r="D335">
        <v>6.5</v>
      </c>
      <c r="E335" t="s">
        <v>3156</v>
      </c>
      <c r="H335" t="s">
        <v>22</v>
      </c>
      <c r="I335" t="s">
        <v>22</v>
      </c>
      <c r="M335" t="str">
        <f>IFERROR(_xlfn.XLOOKUP(A335,Fleet!A:A,Fleet!E:E,""),"")</f>
        <v/>
      </c>
      <c r="N335" t="s">
        <v>2637</v>
      </c>
      <c r="O335" t="s">
        <v>3170</v>
      </c>
      <c r="P335" t="str">
        <f>_xlfn.XLOOKUP(A335,'Classic Net to delete'!D:D,'Classic Net to delete'!A:A,"")</f>
        <v/>
      </c>
    </row>
    <row r="336" spans="1:16" x14ac:dyDescent="0.25">
      <c r="A336" t="s">
        <v>2635</v>
      </c>
      <c r="B336" t="s">
        <v>3944</v>
      </c>
      <c r="C336" t="s">
        <v>2636</v>
      </c>
      <c r="D336">
        <v>6.5</v>
      </c>
      <c r="E336" t="s">
        <v>3156</v>
      </c>
      <c r="H336" t="s">
        <v>22</v>
      </c>
      <c r="I336" t="s">
        <v>22</v>
      </c>
      <c r="M336" t="str">
        <f>IFERROR(_xlfn.XLOOKUP(A336,Fleet!A:A,Fleet!E:E,""),"")</f>
        <v/>
      </c>
      <c r="N336" t="s">
        <v>2635</v>
      </c>
      <c r="O336" t="s">
        <v>3170</v>
      </c>
      <c r="P336" t="str">
        <f>_xlfn.XLOOKUP(A336,'Classic Net to delete'!D:D,'Classic Net to delete'!A:A,"")</f>
        <v/>
      </c>
    </row>
    <row r="337" spans="1:16" x14ac:dyDescent="0.25">
      <c r="A337" t="s">
        <v>2633</v>
      </c>
      <c r="B337" t="s">
        <v>3944</v>
      </c>
      <c r="C337" t="s">
        <v>2634</v>
      </c>
      <c r="D337">
        <v>3.55</v>
      </c>
      <c r="E337" t="s">
        <v>3156</v>
      </c>
      <c r="H337" t="s">
        <v>22</v>
      </c>
      <c r="I337" t="s">
        <v>22</v>
      </c>
      <c r="M337" t="str">
        <f>IFERROR(_xlfn.XLOOKUP(A337,Fleet!A:A,Fleet!E:E,""),"")</f>
        <v/>
      </c>
      <c r="N337" t="s">
        <v>2633</v>
      </c>
      <c r="O337" t="s">
        <v>3170</v>
      </c>
      <c r="P337" t="str">
        <f>_xlfn.XLOOKUP(A337,'Classic Net to delete'!D:D,'Classic Net to delete'!A:A,"")</f>
        <v/>
      </c>
    </row>
    <row r="338" spans="1:16" x14ac:dyDescent="0.25">
      <c r="A338" t="s">
        <v>2631</v>
      </c>
      <c r="B338" t="s">
        <v>3944</v>
      </c>
      <c r="C338" t="s">
        <v>2632</v>
      </c>
      <c r="D338">
        <v>3.55</v>
      </c>
      <c r="E338" t="s">
        <v>3156</v>
      </c>
      <c r="H338" t="s">
        <v>22</v>
      </c>
      <c r="I338" t="s">
        <v>22</v>
      </c>
      <c r="M338" t="str">
        <f>IFERROR(_xlfn.XLOOKUP(A338,Fleet!A:A,Fleet!E:E,""),"")</f>
        <v/>
      </c>
      <c r="N338" t="s">
        <v>2631</v>
      </c>
      <c r="O338" t="s">
        <v>3170</v>
      </c>
      <c r="P338" t="str">
        <f>_xlfn.XLOOKUP(A338,'Classic Net to delete'!D:D,'Classic Net to delete'!A:A,"")</f>
        <v/>
      </c>
    </row>
    <row r="339" spans="1:16" x14ac:dyDescent="0.25">
      <c r="A339" t="s">
        <v>2629</v>
      </c>
      <c r="B339" t="s">
        <v>3944</v>
      </c>
      <c r="C339" t="s">
        <v>2630</v>
      </c>
      <c r="D339">
        <v>3.55</v>
      </c>
      <c r="E339" t="s">
        <v>3156</v>
      </c>
      <c r="H339" t="s">
        <v>22</v>
      </c>
      <c r="I339" t="s">
        <v>22</v>
      </c>
      <c r="M339" t="str">
        <f>IFERROR(_xlfn.XLOOKUP(A339,Fleet!A:A,Fleet!E:E,""),"")</f>
        <v/>
      </c>
      <c r="N339" t="s">
        <v>2629</v>
      </c>
      <c r="O339" t="s">
        <v>3170</v>
      </c>
      <c r="P339" t="str">
        <f>_xlfn.XLOOKUP(A339,'Classic Net to delete'!D:D,'Classic Net to delete'!A:A,"")</f>
        <v/>
      </c>
    </row>
    <row r="340" spans="1:16" x14ac:dyDescent="0.25">
      <c r="A340" t="s">
        <v>2627</v>
      </c>
      <c r="B340" t="s">
        <v>3944</v>
      </c>
      <c r="C340" t="s">
        <v>2628</v>
      </c>
      <c r="D340">
        <v>3.55</v>
      </c>
      <c r="E340" t="s">
        <v>3156</v>
      </c>
      <c r="H340" t="s">
        <v>22</v>
      </c>
      <c r="I340" t="s">
        <v>22</v>
      </c>
      <c r="M340" t="str">
        <f>IFERROR(_xlfn.XLOOKUP(A340,Fleet!A:A,Fleet!E:E,""),"")</f>
        <v/>
      </c>
      <c r="N340" t="s">
        <v>2627</v>
      </c>
      <c r="O340" t="s">
        <v>3170</v>
      </c>
      <c r="P340" t="str">
        <f>_xlfn.XLOOKUP(A340,'Classic Net to delete'!D:D,'Classic Net to delete'!A:A,"")</f>
        <v/>
      </c>
    </row>
    <row r="341" spans="1:16" x14ac:dyDescent="0.25">
      <c r="A341" t="s">
        <v>2625</v>
      </c>
      <c r="B341" t="s">
        <v>3944</v>
      </c>
      <c r="C341" t="s">
        <v>2626</v>
      </c>
      <c r="D341">
        <v>3.55</v>
      </c>
      <c r="E341" t="s">
        <v>3156</v>
      </c>
      <c r="H341" t="s">
        <v>22</v>
      </c>
      <c r="I341" t="s">
        <v>22</v>
      </c>
      <c r="M341" t="str">
        <f>IFERROR(_xlfn.XLOOKUP(A341,Fleet!A:A,Fleet!E:E,""),"")</f>
        <v/>
      </c>
      <c r="N341" t="s">
        <v>2625</v>
      </c>
      <c r="O341" t="s">
        <v>3170</v>
      </c>
      <c r="P341" t="str">
        <f>_xlfn.XLOOKUP(A341,'Classic Net to delete'!D:D,'Classic Net to delete'!A:A,"")</f>
        <v/>
      </c>
    </row>
    <row r="342" spans="1:16" x14ac:dyDescent="0.25">
      <c r="A342" t="s">
        <v>2623</v>
      </c>
      <c r="B342" t="s">
        <v>3944</v>
      </c>
      <c r="C342" t="s">
        <v>2624</v>
      </c>
      <c r="D342">
        <v>3.55</v>
      </c>
      <c r="E342" t="s">
        <v>3156</v>
      </c>
      <c r="H342" t="s">
        <v>22</v>
      </c>
      <c r="I342" t="s">
        <v>22</v>
      </c>
      <c r="M342" t="str">
        <f>IFERROR(_xlfn.XLOOKUP(A342,Fleet!A:A,Fleet!E:E,""),"")</f>
        <v/>
      </c>
      <c r="N342" t="s">
        <v>2623</v>
      </c>
      <c r="O342" t="s">
        <v>3170</v>
      </c>
      <c r="P342" t="str">
        <f>_xlfn.XLOOKUP(A342,'Classic Net to delete'!D:D,'Classic Net to delete'!A:A,"")</f>
        <v/>
      </c>
    </row>
    <row r="343" spans="1:16" x14ac:dyDescent="0.25">
      <c r="A343" t="s">
        <v>2621</v>
      </c>
      <c r="B343" t="s">
        <v>3944</v>
      </c>
      <c r="C343" t="s">
        <v>2622</v>
      </c>
      <c r="D343">
        <v>3.55</v>
      </c>
      <c r="E343" t="s">
        <v>3156</v>
      </c>
      <c r="H343" t="s">
        <v>22</v>
      </c>
      <c r="I343" t="s">
        <v>22</v>
      </c>
      <c r="M343" t="str">
        <f>IFERROR(_xlfn.XLOOKUP(A343,Fleet!A:A,Fleet!E:E,""),"")</f>
        <v/>
      </c>
      <c r="N343" t="s">
        <v>2621</v>
      </c>
      <c r="O343" t="s">
        <v>3170</v>
      </c>
      <c r="P343" t="str">
        <f>_xlfn.XLOOKUP(A343,'Classic Net to delete'!D:D,'Classic Net to delete'!A:A,"")</f>
        <v/>
      </c>
    </row>
    <row r="344" spans="1:16" x14ac:dyDescent="0.25">
      <c r="A344" t="s">
        <v>2619</v>
      </c>
      <c r="B344" t="s">
        <v>3944</v>
      </c>
      <c r="C344" t="s">
        <v>2620</v>
      </c>
      <c r="D344">
        <v>3.55</v>
      </c>
      <c r="E344" t="s">
        <v>3156</v>
      </c>
      <c r="H344" t="s">
        <v>22</v>
      </c>
      <c r="I344" t="s">
        <v>22</v>
      </c>
      <c r="M344" t="str">
        <f>IFERROR(_xlfn.XLOOKUP(A344,Fleet!A:A,Fleet!E:E,""),"")</f>
        <v/>
      </c>
      <c r="N344" t="s">
        <v>2619</v>
      </c>
      <c r="O344" t="s">
        <v>3170</v>
      </c>
      <c r="P344" t="str">
        <f>_xlfn.XLOOKUP(A344,'Classic Net to delete'!D:D,'Classic Net to delete'!A:A,"")</f>
        <v/>
      </c>
    </row>
    <row r="345" spans="1:16" x14ac:dyDescent="0.25">
      <c r="A345" t="s">
        <v>2617</v>
      </c>
      <c r="B345" t="s">
        <v>3944</v>
      </c>
      <c r="C345" t="s">
        <v>2618</v>
      </c>
      <c r="D345">
        <v>3.55</v>
      </c>
      <c r="E345" t="s">
        <v>3156</v>
      </c>
      <c r="H345" t="s">
        <v>22</v>
      </c>
      <c r="I345" t="s">
        <v>22</v>
      </c>
      <c r="M345" t="str">
        <f>IFERROR(_xlfn.XLOOKUP(A345,Fleet!A:A,Fleet!E:E,""),"")</f>
        <v/>
      </c>
      <c r="N345" t="s">
        <v>2617</v>
      </c>
      <c r="O345" t="s">
        <v>3170</v>
      </c>
      <c r="P345" t="str">
        <f>_xlfn.XLOOKUP(A345,'Classic Net to delete'!D:D,'Classic Net to delete'!A:A,"")</f>
        <v/>
      </c>
    </row>
    <row r="346" spans="1:16" x14ac:dyDescent="0.25">
      <c r="A346" t="s">
        <v>2615</v>
      </c>
      <c r="B346" t="s">
        <v>3944</v>
      </c>
      <c r="C346" t="s">
        <v>2616</v>
      </c>
      <c r="D346">
        <v>3.55</v>
      </c>
      <c r="E346" t="s">
        <v>3156</v>
      </c>
      <c r="H346" t="s">
        <v>22</v>
      </c>
      <c r="I346" t="s">
        <v>22</v>
      </c>
      <c r="M346" t="str">
        <f>IFERROR(_xlfn.XLOOKUP(A346,Fleet!A:A,Fleet!E:E,""),"")</f>
        <v/>
      </c>
      <c r="N346" t="s">
        <v>2615</v>
      </c>
      <c r="O346" t="s">
        <v>3170</v>
      </c>
      <c r="P346" t="str">
        <f>_xlfn.XLOOKUP(A346,'Classic Net to delete'!D:D,'Classic Net to delete'!A:A,"")</f>
        <v/>
      </c>
    </row>
    <row r="347" spans="1:16" x14ac:dyDescent="0.25">
      <c r="A347" t="s">
        <v>2613</v>
      </c>
      <c r="B347" t="s">
        <v>3944</v>
      </c>
      <c r="C347" t="s">
        <v>2614</v>
      </c>
      <c r="D347">
        <v>3.55</v>
      </c>
      <c r="E347" t="s">
        <v>3156</v>
      </c>
      <c r="H347" t="s">
        <v>22</v>
      </c>
      <c r="I347" t="s">
        <v>22</v>
      </c>
      <c r="M347" t="str">
        <f>IFERROR(_xlfn.XLOOKUP(A347,Fleet!A:A,Fleet!E:E,""),"")</f>
        <v/>
      </c>
      <c r="N347" t="s">
        <v>2613</v>
      </c>
      <c r="O347" t="s">
        <v>3170</v>
      </c>
      <c r="P347" t="str">
        <f>_xlfn.XLOOKUP(A347,'Classic Net to delete'!D:D,'Classic Net to delete'!A:A,"")</f>
        <v/>
      </c>
    </row>
    <row r="348" spans="1:16" x14ac:dyDescent="0.25">
      <c r="A348" t="s">
        <v>2611</v>
      </c>
      <c r="B348" t="s">
        <v>3944</v>
      </c>
      <c r="C348" t="s">
        <v>2612</v>
      </c>
      <c r="D348">
        <v>3.55</v>
      </c>
      <c r="E348" t="s">
        <v>3156</v>
      </c>
      <c r="H348" t="s">
        <v>22</v>
      </c>
      <c r="I348" t="s">
        <v>22</v>
      </c>
      <c r="M348" t="str">
        <f>IFERROR(_xlfn.XLOOKUP(A348,Fleet!A:A,Fleet!E:E,""),"")</f>
        <v/>
      </c>
      <c r="N348" t="s">
        <v>2611</v>
      </c>
      <c r="O348" t="s">
        <v>3170</v>
      </c>
      <c r="P348" t="str">
        <f>_xlfn.XLOOKUP(A348,'Classic Net to delete'!D:D,'Classic Net to delete'!A:A,"")</f>
        <v/>
      </c>
    </row>
    <row r="349" spans="1:16" x14ac:dyDescent="0.25">
      <c r="A349" t="s">
        <v>2609</v>
      </c>
      <c r="B349" t="s">
        <v>3944</v>
      </c>
      <c r="C349" t="s">
        <v>2610</v>
      </c>
      <c r="D349">
        <v>3.55</v>
      </c>
      <c r="E349" t="s">
        <v>3156</v>
      </c>
      <c r="H349" t="s">
        <v>22</v>
      </c>
      <c r="I349" t="s">
        <v>22</v>
      </c>
      <c r="M349" t="str">
        <f>IFERROR(_xlfn.XLOOKUP(A349,Fleet!A:A,Fleet!E:E,""),"")</f>
        <v/>
      </c>
      <c r="N349" t="s">
        <v>2609</v>
      </c>
      <c r="O349" t="s">
        <v>3170</v>
      </c>
      <c r="P349" t="str">
        <f>_xlfn.XLOOKUP(A349,'Classic Net to delete'!D:D,'Classic Net to delete'!A:A,"")</f>
        <v/>
      </c>
    </row>
    <row r="350" spans="1:16" x14ac:dyDescent="0.25">
      <c r="A350" t="s">
        <v>2607</v>
      </c>
      <c r="B350" t="s">
        <v>3944</v>
      </c>
      <c r="C350" t="s">
        <v>2608</v>
      </c>
      <c r="D350">
        <v>3.55</v>
      </c>
      <c r="E350" t="s">
        <v>3156</v>
      </c>
      <c r="H350" t="s">
        <v>22</v>
      </c>
      <c r="I350" t="s">
        <v>22</v>
      </c>
      <c r="M350" t="str">
        <f>IFERROR(_xlfn.XLOOKUP(A350,Fleet!A:A,Fleet!E:E,""),"")</f>
        <v/>
      </c>
      <c r="N350" t="s">
        <v>2607</v>
      </c>
      <c r="O350" t="s">
        <v>3170</v>
      </c>
      <c r="P350" t="str">
        <f>_xlfn.XLOOKUP(A350,'Classic Net to delete'!D:D,'Classic Net to delete'!A:A,"")</f>
        <v/>
      </c>
    </row>
    <row r="351" spans="1:16" x14ac:dyDescent="0.25">
      <c r="A351" t="s">
        <v>2605</v>
      </c>
      <c r="B351" t="s">
        <v>3944</v>
      </c>
      <c r="C351" t="s">
        <v>2606</v>
      </c>
      <c r="D351">
        <v>3.55</v>
      </c>
      <c r="E351" t="s">
        <v>3156</v>
      </c>
      <c r="H351" t="s">
        <v>22</v>
      </c>
      <c r="I351" t="s">
        <v>22</v>
      </c>
      <c r="M351" t="str">
        <f>IFERROR(_xlfn.XLOOKUP(A351,Fleet!A:A,Fleet!E:E,""),"")</f>
        <v/>
      </c>
      <c r="N351" t="s">
        <v>2605</v>
      </c>
      <c r="O351" t="s">
        <v>3170</v>
      </c>
      <c r="P351" t="str">
        <f>_xlfn.XLOOKUP(A351,'Classic Net to delete'!D:D,'Classic Net to delete'!A:A,"")</f>
        <v/>
      </c>
    </row>
    <row r="352" spans="1:16" x14ac:dyDescent="0.25">
      <c r="A352" t="s">
        <v>2603</v>
      </c>
      <c r="B352" t="s">
        <v>3944</v>
      </c>
      <c r="C352" t="s">
        <v>2604</v>
      </c>
      <c r="D352">
        <v>3.55</v>
      </c>
      <c r="E352" t="s">
        <v>3156</v>
      </c>
      <c r="H352" t="s">
        <v>22</v>
      </c>
      <c r="I352" t="s">
        <v>22</v>
      </c>
      <c r="M352" t="str">
        <f>IFERROR(_xlfn.XLOOKUP(A352,Fleet!A:A,Fleet!E:E,""),"")</f>
        <v/>
      </c>
      <c r="N352" t="s">
        <v>2603</v>
      </c>
      <c r="O352" t="s">
        <v>3170</v>
      </c>
      <c r="P352" t="str">
        <f>_xlfn.XLOOKUP(A352,'Classic Net to delete'!D:D,'Classic Net to delete'!A:A,"")</f>
        <v/>
      </c>
    </row>
    <row r="353" spans="1:16" x14ac:dyDescent="0.25">
      <c r="A353" t="s">
        <v>2601</v>
      </c>
      <c r="B353" t="s">
        <v>3944</v>
      </c>
      <c r="C353" t="s">
        <v>2602</v>
      </c>
      <c r="D353">
        <v>3.55</v>
      </c>
      <c r="E353" t="s">
        <v>3156</v>
      </c>
      <c r="H353" t="s">
        <v>22</v>
      </c>
      <c r="I353" t="s">
        <v>22</v>
      </c>
      <c r="M353" t="str">
        <f>IFERROR(_xlfn.XLOOKUP(A353,Fleet!A:A,Fleet!E:E,""),"")</f>
        <v/>
      </c>
      <c r="N353" t="s">
        <v>2601</v>
      </c>
      <c r="O353" t="s">
        <v>3170</v>
      </c>
      <c r="P353" t="str">
        <f>_xlfn.XLOOKUP(A353,'Classic Net to delete'!D:D,'Classic Net to delete'!A:A,"")</f>
        <v/>
      </c>
    </row>
    <row r="354" spans="1:16" x14ac:dyDescent="0.25">
      <c r="A354" t="s">
        <v>2599</v>
      </c>
      <c r="B354" t="s">
        <v>3944</v>
      </c>
      <c r="C354" t="s">
        <v>2600</v>
      </c>
      <c r="D354">
        <v>3.55</v>
      </c>
      <c r="E354" t="s">
        <v>3156</v>
      </c>
      <c r="H354" t="s">
        <v>22</v>
      </c>
      <c r="I354" t="s">
        <v>22</v>
      </c>
      <c r="M354" t="str">
        <f>IFERROR(_xlfn.XLOOKUP(A354,Fleet!A:A,Fleet!E:E,""),"")</f>
        <v/>
      </c>
      <c r="N354" t="s">
        <v>2599</v>
      </c>
      <c r="O354" t="s">
        <v>3170</v>
      </c>
      <c r="P354" t="str">
        <f>_xlfn.XLOOKUP(A354,'Classic Net to delete'!D:D,'Classic Net to delete'!A:A,"")</f>
        <v/>
      </c>
    </row>
    <row r="355" spans="1:16" x14ac:dyDescent="0.25">
      <c r="A355" t="s">
        <v>2597</v>
      </c>
      <c r="B355" t="s">
        <v>3944</v>
      </c>
      <c r="C355" t="s">
        <v>2598</v>
      </c>
      <c r="D355">
        <v>3.55</v>
      </c>
      <c r="E355" t="s">
        <v>3156</v>
      </c>
      <c r="H355" t="s">
        <v>22</v>
      </c>
      <c r="I355" t="s">
        <v>22</v>
      </c>
      <c r="M355" t="str">
        <f>IFERROR(_xlfn.XLOOKUP(A355,Fleet!A:A,Fleet!E:E,""),"")</f>
        <v/>
      </c>
      <c r="N355" t="s">
        <v>2597</v>
      </c>
      <c r="O355" t="s">
        <v>3170</v>
      </c>
      <c r="P355" t="str">
        <f>_xlfn.XLOOKUP(A355,'Classic Net to delete'!D:D,'Classic Net to delete'!A:A,"")</f>
        <v/>
      </c>
    </row>
    <row r="356" spans="1:16" x14ac:dyDescent="0.25">
      <c r="A356" t="s">
        <v>2595</v>
      </c>
      <c r="B356" t="s">
        <v>3944</v>
      </c>
      <c r="C356" t="s">
        <v>2596</v>
      </c>
      <c r="D356">
        <v>3.55</v>
      </c>
      <c r="E356" t="s">
        <v>3156</v>
      </c>
      <c r="H356" t="s">
        <v>22</v>
      </c>
      <c r="I356" t="s">
        <v>22</v>
      </c>
      <c r="M356" t="str">
        <f>IFERROR(_xlfn.XLOOKUP(A356,Fleet!A:A,Fleet!E:E,""),"")</f>
        <v/>
      </c>
      <c r="N356" t="s">
        <v>2595</v>
      </c>
      <c r="O356" t="s">
        <v>3170</v>
      </c>
      <c r="P356" t="str">
        <f>_xlfn.XLOOKUP(A356,'Classic Net to delete'!D:D,'Classic Net to delete'!A:A,"")</f>
        <v/>
      </c>
    </row>
    <row r="357" spans="1:16" x14ac:dyDescent="0.25">
      <c r="A357" t="s">
        <v>2593</v>
      </c>
      <c r="B357" t="s">
        <v>3944</v>
      </c>
      <c r="C357" t="s">
        <v>2594</v>
      </c>
      <c r="D357">
        <v>3.55</v>
      </c>
      <c r="E357" t="s">
        <v>3156</v>
      </c>
      <c r="H357" t="s">
        <v>22</v>
      </c>
      <c r="I357" t="s">
        <v>22</v>
      </c>
      <c r="M357" t="str">
        <f>IFERROR(_xlfn.XLOOKUP(A357,Fleet!A:A,Fleet!E:E,""),"")</f>
        <v/>
      </c>
      <c r="N357" t="s">
        <v>2593</v>
      </c>
      <c r="O357" t="s">
        <v>3170</v>
      </c>
      <c r="P357" t="str">
        <f>_xlfn.XLOOKUP(A357,'Classic Net to delete'!D:D,'Classic Net to delete'!A:A,"")</f>
        <v/>
      </c>
    </row>
    <row r="358" spans="1:16" x14ac:dyDescent="0.25">
      <c r="A358" t="s">
        <v>2591</v>
      </c>
      <c r="B358" t="s">
        <v>3944</v>
      </c>
      <c r="C358" t="s">
        <v>2592</v>
      </c>
      <c r="D358">
        <v>3.55</v>
      </c>
      <c r="E358" t="s">
        <v>3156</v>
      </c>
      <c r="H358" t="s">
        <v>22</v>
      </c>
      <c r="I358" t="s">
        <v>22</v>
      </c>
      <c r="M358" t="str">
        <f>IFERROR(_xlfn.XLOOKUP(A358,Fleet!A:A,Fleet!E:E,""),"")</f>
        <v/>
      </c>
      <c r="N358" t="s">
        <v>2591</v>
      </c>
      <c r="O358" t="s">
        <v>3170</v>
      </c>
      <c r="P358" t="str">
        <f>_xlfn.XLOOKUP(A358,'Classic Net to delete'!D:D,'Classic Net to delete'!A:A,"")</f>
        <v/>
      </c>
    </row>
    <row r="359" spans="1:16" x14ac:dyDescent="0.25">
      <c r="A359" t="s">
        <v>2589</v>
      </c>
      <c r="B359" t="s">
        <v>3944</v>
      </c>
      <c r="C359" t="s">
        <v>2590</v>
      </c>
      <c r="D359">
        <v>3.55</v>
      </c>
      <c r="E359" t="s">
        <v>3156</v>
      </c>
      <c r="H359" t="s">
        <v>22</v>
      </c>
      <c r="I359" t="s">
        <v>22</v>
      </c>
      <c r="M359" t="str">
        <f>IFERROR(_xlfn.XLOOKUP(A359,Fleet!A:A,Fleet!E:E,""),"")</f>
        <v/>
      </c>
      <c r="N359" t="s">
        <v>2589</v>
      </c>
      <c r="O359" t="s">
        <v>3170</v>
      </c>
      <c r="P359" t="str">
        <f>_xlfn.XLOOKUP(A359,'Classic Net to delete'!D:D,'Classic Net to delete'!A:A,"")</f>
        <v/>
      </c>
    </row>
    <row r="360" spans="1:16" x14ac:dyDescent="0.25">
      <c r="A360" t="s">
        <v>2587</v>
      </c>
      <c r="B360" t="s">
        <v>3944</v>
      </c>
      <c r="C360" t="s">
        <v>2588</v>
      </c>
      <c r="D360">
        <v>3.55</v>
      </c>
      <c r="E360" t="s">
        <v>3156</v>
      </c>
      <c r="H360" t="s">
        <v>22</v>
      </c>
      <c r="I360" t="s">
        <v>22</v>
      </c>
      <c r="M360" t="str">
        <f>IFERROR(_xlfn.XLOOKUP(A360,Fleet!A:A,Fleet!E:E,""),"")</f>
        <v/>
      </c>
      <c r="N360" t="s">
        <v>2587</v>
      </c>
      <c r="O360" t="s">
        <v>3170</v>
      </c>
      <c r="P360" t="str">
        <f>_xlfn.XLOOKUP(A360,'Classic Net to delete'!D:D,'Classic Net to delete'!A:A,"")</f>
        <v/>
      </c>
    </row>
    <row r="361" spans="1:16" x14ac:dyDescent="0.25">
      <c r="A361" t="s">
        <v>2585</v>
      </c>
      <c r="B361" t="s">
        <v>3944</v>
      </c>
      <c r="C361" t="s">
        <v>2586</v>
      </c>
      <c r="D361">
        <v>3.55</v>
      </c>
      <c r="E361" t="s">
        <v>3156</v>
      </c>
      <c r="H361" t="s">
        <v>22</v>
      </c>
      <c r="I361" t="s">
        <v>22</v>
      </c>
      <c r="M361" t="str">
        <f>IFERROR(_xlfn.XLOOKUP(A361,Fleet!A:A,Fleet!E:E,""),"")</f>
        <v/>
      </c>
      <c r="N361" t="s">
        <v>2585</v>
      </c>
      <c r="O361" t="s">
        <v>3170</v>
      </c>
      <c r="P361" t="str">
        <f>_xlfn.XLOOKUP(A361,'Classic Net to delete'!D:D,'Classic Net to delete'!A:A,"")</f>
        <v/>
      </c>
    </row>
    <row r="362" spans="1:16" x14ac:dyDescent="0.25">
      <c r="A362" t="s">
        <v>2583</v>
      </c>
      <c r="B362" t="s">
        <v>3944</v>
      </c>
      <c r="C362" t="s">
        <v>2584</v>
      </c>
      <c r="D362">
        <v>3.55</v>
      </c>
      <c r="E362" t="s">
        <v>3156</v>
      </c>
      <c r="H362" t="s">
        <v>22</v>
      </c>
      <c r="I362" t="s">
        <v>22</v>
      </c>
      <c r="M362" t="str">
        <f>IFERROR(_xlfn.XLOOKUP(A362,Fleet!A:A,Fleet!E:E,""),"")</f>
        <v/>
      </c>
      <c r="N362" t="s">
        <v>2583</v>
      </c>
      <c r="O362" t="s">
        <v>3170</v>
      </c>
      <c r="P362" t="str">
        <f>_xlfn.XLOOKUP(A362,'Classic Net to delete'!D:D,'Classic Net to delete'!A:A,"")</f>
        <v/>
      </c>
    </row>
    <row r="363" spans="1:16" x14ac:dyDescent="0.25">
      <c r="A363" t="s">
        <v>2581</v>
      </c>
      <c r="B363" t="s">
        <v>3944</v>
      </c>
      <c r="C363" t="s">
        <v>2582</v>
      </c>
      <c r="D363">
        <v>3.55</v>
      </c>
      <c r="E363" t="s">
        <v>3156</v>
      </c>
      <c r="H363" t="s">
        <v>22</v>
      </c>
      <c r="I363" t="s">
        <v>22</v>
      </c>
      <c r="M363" t="str">
        <f>IFERROR(_xlfn.XLOOKUP(A363,Fleet!A:A,Fleet!E:E,""),"")</f>
        <v/>
      </c>
      <c r="N363" t="s">
        <v>2581</v>
      </c>
      <c r="O363" t="s">
        <v>3170</v>
      </c>
      <c r="P363" t="str">
        <f>_xlfn.XLOOKUP(A363,'Classic Net to delete'!D:D,'Classic Net to delete'!A:A,"")</f>
        <v/>
      </c>
    </row>
    <row r="364" spans="1:16" x14ac:dyDescent="0.25">
      <c r="A364" t="s">
        <v>2579</v>
      </c>
      <c r="B364" t="s">
        <v>3944</v>
      </c>
      <c r="C364" t="s">
        <v>2580</v>
      </c>
      <c r="D364">
        <v>3.55</v>
      </c>
      <c r="E364" t="s">
        <v>3156</v>
      </c>
      <c r="H364" t="s">
        <v>22</v>
      </c>
      <c r="I364" t="s">
        <v>22</v>
      </c>
      <c r="M364" t="str">
        <f>IFERROR(_xlfn.XLOOKUP(A364,Fleet!A:A,Fleet!E:E,""),"")</f>
        <v/>
      </c>
      <c r="N364" t="s">
        <v>2579</v>
      </c>
      <c r="O364" t="s">
        <v>3170</v>
      </c>
      <c r="P364" t="str">
        <f>_xlfn.XLOOKUP(A364,'Classic Net to delete'!D:D,'Classic Net to delete'!A:A,"")</f>
        <v/>
      </c>
    </row>
    <row r="365" spans="1:16" x14ac:dyDescent="0.25">
      <c r="A365" t="s">
        <v>2577</v>
      </c>
      <c r="B365" t="s">
        <v>3944</v>
      </c>
      <c r="C365" t="s">
        <v>2578</v>
      </c>
      <c r="D365">
        <v>3.55</v>
      </c>
      <c r="E365" t="s">
        <v>3156</v>
      </c>
      <c r="H365" t="s">
        <v>22</v>
      </c>
      <c r="I365" t="s">
        <v>22</v>
      </c>
      <c r="M365" t="str">
        <f>IFERROR(_xlfn.XLOOKUP(A365,Fleet!A:A,Fleet!E:E,""),"")</f>
        <v/>
      </c>
      <c r="N365" t="s">
        <v>2577</v>
      </c>
      <c r="O365" t="s">
        <v>3170</v>
      </c>
      <c r="P365" t="str">
        <f>_xlfn.XLOOKUP(A365,'Classic Net to delete'!D:D,'Classic Net to delete'!A:A,"")</f>
        <v/>
      </c>
    </row>
    <row r="366" spans="1:16" x14ac:dyDescent="0.25">
      <c r="A366" t="s">
        <v>2575</v>
      </c>
      <c r="B366" t="s">
        <v>3944</v>
      </c>
      <c r="C366" t="s">
        <v>2576</v>
      </c>
      <c r="D366">
        <v>3.55</v>
      </c>
      <c r="E366" t="s">
        <v>3156</v>
      </c>
      <c r="H366" t="s">
        <v>22</v>
      </c>
      <c r="I366" t="s">
        <v>22</v>
      </c>
      <c r="M366" t="str">
        <f>IFERROR(_xlfn.XLOOKUP(A366,Fleet!A:A,Fleet!E:E,""),"")</f>
        <v/>
      </c>
      <c r="N366" t="s">
        <v>2575</v>
      </c>
      <c r="O366" t="s">
        <v>3170</v>
      </c>
      <c r="P366" t="str">
        <f>_xlfn.XLOOKUP(A366,'Classic Net to delete'!D:D,'Classic Net to delete'!A:A,"")</f>
        <v/>
      </c>
    </row>
    <row r="367" spans="1:16" x14ac:dyDescent="0.25">
      <c r="A367" t="s">
        <v>2573</v>
      </c>
      <c r="B367" t="s">
        <v>3944</v>
      </c>
      <c r="C367" t="s">
        <v>2574</v>
      </c>
      <c r="D367">
        <v>3.55</v>
      </c>
      <c r="E367" t="s">
        <v>3156</v>
      </c>
      <c r="H367" t="s">
        <v>22</v>
      </c>
      <c r="I367" t="s">
        <v>22</v>
      </c>
      <c r="M367" t="str">
        <f>IFERROR(_xlfn.XLOOKUP(A367,Fleet!A:A,Fleet!E:E,""),"")</f>
        <v/>
      </c>
      <c r="N367" t="s">
        <v>2573</v>
      </c>
      <c r="O367" t="s">
        <v>3170</v>
      </c>
      <c r="P367" t="str">
        <f>_xlfn.XLOOKUP(A367,'Classic Net to delete'!D:D,'Classic Net to delete'!A:A,"")</f>
        <v/>
      </c>
    </row>
    <row r="368" spans="1:16" x14ac:dyDescent="0.25">
      <c r="A368" t="s">
        <v>2571</v>
      </c>
      <c r="B368" t="s">
        <v>3944</v>
      </c>
      <c r="C368" t="s">
        <v>2572</v>
      </c>
      <c r="D368">
        <v>3.55</v>
      </c>
      <c r="E368" t="s">
        <v>3156</v>
      </c>
      <c r="H368" t="s">
        <v>22</v>
      </c>
      <c r="I368" t="s">
        <v>22</v>
      </c>
      <c r="M368" t="str">
        <f>IFERROR(_xlfn.XLOOKUP(A368,Fleet!A:A,Fleet!E:E,""),"")</f>
        <v/>
      </c>
      <c r="N368" t="s">
        <v>2571</v>
      </c>
      <c r="O368" t="s">
        <v>3170</v>
      </c>
      <c r="P368" t="str">
        <f>_xlfn.XLOOKUP(A368,'Classic Net to delete'!D:D,'Classic Net to delete'!A:A,"")</f>
        <v/>
      </c>
    </row>
    <row r="369" spans="1:16" x14ac:dyDescent="0.25">
      <c r="A369" t="s">
        <v>2569</v>
      </c>
      <c r="B369" t="s">
        <v>3944</v>
      </c>
      <c r="C369" t="s">
        <v>2570</v>
      </c>
      <c r="D369">
        <v>3.55</v>
      </c>
      <c r="E369" t="s">
        <v>3156</v>
      </c>
      <c r="H369" t="s">
        <v>22</v>
      </c>
      <c r="I369" t="s">
        <v>22</v>
      </c>
      <c r="M369" t="str">
        <f>IFERROR(_xlfn.XLOOKUP(A369,Fleet!A:A,Fleet!E:E,""),"")</f>
        <v/>
      </c>
      <c r="N369" t="s">
        <v>2569</v>
      </c>
      <c r="O369" t="s">
        <v>3170</v>
      </c>
      <c r="P369" t="str">
        <f>_xlfn.XLOOKUP(A369,'Classic Net to delete'!D:D,'Classic Net to delete'!A:A,"")</f>
        <v/>
      </c>
    </row>
    <row r="370" spans="1:16" x14ac:dyDescent="0.25">
      <c r="A370" t="s">
        <v>2567</v>
      </c>
      <c r="B370" t="s">
        <v>3944</v>
      </c>
      <c r="C370" t="s">
        <v>2568</v>
      </c>
      <c r="D370">
        <v>3.55</v>
      </c>
      <c r="E370" t="s">
        <v>3156</v>
      </c>
      <c r="H370" t="s">
        <v>22</v>
      </c>
      <c r="I370" t="s">
        <v>22</v>
      </c>
      <c r="M370" t="str">
        <f>IFERROR(_xlfn.XLOOKUP(A370,Fleet!A:A,Fleet!E:E,""),"")</f>
        <v/>
      </c>
      <c r="N370" t="s">
        <v>2567</v>
      </c>
      <c r="O370" t="s">
        <v>3170</v>
      </c>
      <c r="P370" t="str">
        <f>_xlfn.XLOOKUP(A370,'Classic Net to delete'!D:D,'Classic Net to delete'!A:A,"")</f>
        <v/>
      </c>
    </row>
    <row r="371" spans="1:16" x14ac:dyDescent="0.25">
      <c r="A371" t="s">
        <v>2565</v>
      </c>
      <c r="B371" t="s">
        <v>3944</v>
      </c>
      <c r="C371" t="s">
        <v>2566</v>
      </c>
      <c r="D371">
        <v>3.55</v>
      </c>
      <c r="E371" t="s">
        <v>3156</v>
      </c>
      <c r="H371" t="s">
        <v>22</v>
      </c>
      <c r="I371" t="s">
        <v>22</v>
      </c>
      <c r="M371" t="str">
        <f>IFERROR(_xlfn.XLOOKUP(A371,Fleet!A:A,Fleet!E:E,""),"")</f>
        <v/>
      </c>
      <c r="N371" t="s">
        <v>2565</v>
      </c>
      <c r="O371" t="s">
        <v>3170</v>
      </c>
      <c r="P371" t="str">
        <f>_xlfn.XLOOKUP(A371,'Classic Net to delete'!D:D,'Classic Net to delete'!A:A,"")</f>
        <v/>
      </c>
    </row>
    <row r="372" spans="1:16" x14ac:dyDescent="0.25">
      <c r="A372" t="s">
        <v>2563</v>
      </c>
      <c r="B372" t="s">
        <v>3944</v>
      </c>
      <c r="C372" t="s">
        <v>2564</v>
      </c>
      <c r="D372">
        <v>3.55</v>
      </c>
      <c r="E372" t="s">
        <v>3156</v>
      </c>
      <c r="H372" t="s">
        <v>22</v>
      </c>
      <c r="I372" t="s">
        <v>22</v>
      </c>
      <c r="M372" t="str">
        <f>IFERROR(_xlfn.XLOOKUP(A372,Fleet!A:A,Fleet!E:E,""),"")</f>
        <v/>
      </c>
      <c r="N372" t="s">
        <v>2563</v>
      </c>
      <c r="O372" t="s">
        <v>3170</v>
      </c>
      <c r="P372" t="str">
        <f>_xlfn.XLOOKUP(A372,'Classic Net to delete'!D:D,'Classic Net to delete'!A:A,"")</f>
        <v/>
      </c>
    </row>
    <row r="373" spans="1:16" x14ac:dyDescent="0.25">
      <c r="A373" t="s">
        <v>2561</v>
      </c>
      <c r="B373" t="s">
        <v>3944</v>
      </c>
      <c r="C373" t="s">
        <v>2562</v>
      </c>
      <c r="D373">
        <v>3.55</v>
      </c>
      <c r="E373" t="s">
        <v>3156</v>
      </c>
      <c r="H373" t="s">
        <v>22</v>
      </c>
      <c r="I373" t="s">
        <v>22</v>
      </c>
      <c r="M373" t="str">
        <f>IFERROR(_xlfn.XLOOKUP(A373,Fleet!A:A,Fleet!E:E,""),"")</f>
        <v/>
      </c>
      <c r="N373" t="s">
        <v>2561</v>
      </c>
      <c r="O373" t="s">
        <v>3170</v>
      </c>
      <c r="P373" t="str">
        <f>_xlfn.XLOOKUP(A373,'Classic Net to delete'!D:D,'Classic Net to delete'!A:A,"")</f>
        <v/>
      </c>
    </row>
    <row r="374" spans="1:16" x14ac:dyDescent="0.25">
      <c r="A374" t="s">
        <v>2559</v>
      </c>
      <c r="B374" t="s">
        <v>3944</v>
      </c>
      <c r="C374" t="s">
        <v>2560</v>
      </c>
      <c r="D374">
        <v>3.55</v>
      </c>
      <c r="E374" t="s">
        <v>3156</v>
      </c>
      <c r="H374" t="s">
        <v>22</v>
      </c>
      <c r="I374" t="s">
        <v>22</v>
      </c>
      <c r="M374" t="str">
        <f>IFERROR(_xlfn.XLOOKUP(A374,Fleet!A:A,Fleet!E:E,""),"")</f>
        <v/>
      </c>
      <c r="N374" t="s">
        <v>2559</v>
      </c>
      <c r="O374" t="s">
        <v>3170</v>
      </c>
      <c r="P374" t="str">
        <f>_xlfn.XLOOKUP(A374,'Classic Net to delete'!D:D,'Classic Net to delete'!A:A,"")</f>
        <v/>
      </c>
    </row>
    <row r="375" spans="1:16" x14ac:dyDescent="0.25">
      <c r="A375" t="s">
        <v>2557</v>
      </c>
      <c r="B375" t="s">
        <v>3944</v>
      </c>
      <c r="C375" t="s">
        <v>2558</v>
      </c>
      <c r="D375">
        <v>3.55</v>
      </c>
      <c r="E375" t="s">
        <v>3156</v>
      </c>
      <c r="H375" t="s">
        <v>22</v>
      </c>
      <c r="I375" t="s">
        <v>22</v>
      </c>
      <c r="M375" t="str">
        <f>IFERROR(_xlfn.XLOOKUP(A375,Fleet!A:A,Fleet!E:E,""),"")</f>
        <v/>
      </c>
      <c r="N375" t="s">
        <v>2557</v>
      </c>
      <c r="O375" t="s">
        <v>3170</v>
      </c>
      <c r="P375" t="str">
        <f>_xlfn.XLOOKUP(A375,'Classic Net to delete'!D:D,'Classic Net to delete'!A:A,"")</f>
        <v/>
      </c>
    </row>
    <row r="376" spans="1:16" x14ac:dyDescent="0.25">
      <c r="A376" t="s">
        <v>2555</v>
      </c>
      <c r="B376" t="s">
        <v>3944</v>
      </c>
      <c r="C376" t="s">
        <v>2556</v>
      </c>
      <c r="D376">
        <v>3.55</v>
      </c>
      <c r="E376" t="s">
        <v>3156</v>
      </c>
      <c r="H376" t="s">
        <v>22</v>
      </c>
      <c r="I376" t="s">
        <v>22</v>
      </c>
      <c r="M376" t="str">
        <f>IFERROR(_xlfn.XLOOKUP(A376,Fleet!A:A,Fleet!E:E,""),"")</f>
        <v/>
      </c>
      <c r="N376" t="s">
        <v>2555</v>
      </c>
      <c r="O376" t="s">
        <v>3170</v>
      </c>
      <c r="P376" t="str">
        <f>_xlfn.XLOOKUP(A376,'Classic Net to delete'!D:D,'Classic Net to delete'!A:A,"")</f>
        <v/>
      </c>
    </row>
    <row r="377" spans="1:16" x14ac:dyDescent="0.25">
      <c r="A377" t="s">
        <v>2553</v>
      </c>
      <c r="B377" t="s">
        <v>3944</v>
      </c>
      <c r="C377" t="s">
        <v>2554</v>
      </c>
      <c r="D377">
        <v>3.55</v>
      </c>
      <c r="E377" t="s">
        <v>3156</v>
      </c>
      <c r="H377" t="s">
        <v>22</v>
      </c>
      <c r="I377" t="s">
        <v>22</v>
      </c>
      <c r="M377" t="str">
        <f>IFERROR(_xlfn.XLOOKUP(A377,Fleet!A:A,Fleet!E:E,""),"")</f>
        <v/>
      </c>
      <c r="N377" t="s">
        <v>2553</v>
      </c>
      <c r="O377" t="s">
        <v>3170</v>
      </c>
      <c r="P377" t="str">
        <f>_xlfn.XLOOKUP(A377,'Classic Net to delete'!D:D,'Classic Net to delete'!A:A,"")</f>
        <v/>
      </c>
    </row>
    <row r="378" spans="1:16" x14ac:dyDescent="0.25">
      <c r="A378" t="s">
        <v>2551</v>
      </c>
      <c r="B378" t="s">
        <v>3945</v>
      </c>
      <c r="C378" t="s">
        <v>2552</v>
      </c>
      <c r="D378">
        <v>4.75</v>
      </c>
      <c r="E378" t="s">
        <v>3156</v>
      </c>
      <c r="H378" t="s">
        <v>22</v>
      </c>
      <c r="I378" t="s">
        <v>22</v>
      </c>
      <c r="M378" t="str">
        <f>IFERROR(_xlfn.XLOOKUP(A378,Fleet!A:A,Fleet!E:E,""),"")</f>
        <v/>
      </c>
      <c r="N378" t="s">
        <v>2551</v>
      </c>
      <c r="O378" t="s">
        <v>3169</v>
      </c>
      <c r="P378" t="str">
        <f>_xlfn.XLOOKUP(A378,'Classic Net to delete'!D:D,'Classic Net to delete'!A:A,"")</f>
        <v/>
      </c>
    </row>
    <row r="379" spans="1:16" x14ac:dyDescent="0.25">
      <c r="A379" t="s">
        <v>2549</v>
      </c>
      <c r="B379" t="s">
        <v>3945</v>
      </c>
      <c r="C379" t="s">
        <v>2550</v>
      </c>
      <c r="D379">
        <v>10.050000000000001</v>
      </c>
      <c r="E379" t="s">
        <v>3156</v>
      </c>
      <c r="H379" t="s">
        <v>22</v>
      </c>
      <c r="I379" t="s">
        <v>22</v>
      </c>
      <c r="M379" t="str">
        <f>IFERROR(_xlfn.XLOOKUP(A379,Fleet!A:A,Fleet!E:E,""),"")</f>
        <v/>
      </c>
      <c r="N379" t="s">
        <v>2549</v>
      </c>
      <c r="O379" t="s">
        <v>3169</v>
      </c>
      <c r="P379" t="str">
        <f>_xlfn.XLOOKUP(A379,'Classic Net to delete'!D:D,'Classic Net to delete'!A:A,"")</f>
        <v/>
      </c>
    </row>
    <row r="380" spans="1:16" x14ac:dyDescent="0.25">
      <c r="A380" t="s">
        <v>2547</v>
      </c>
      <c r="B380" t="s">
        <v>3945</v>
      </c>
      <c r="C380" t="s">
        <v>2548</v>
      </c>
      <c r="D380">
        <v>4.75</v>
      </c>
      <c r="E380" t="s">
        <v>3156</v>
      </c>
      <c r="H380" t="s">
        <v>22</v>
      </c>
      <c r="I380" t="s">
        <v>22</v>
      </c>
      <c r="M380" t="str">
        <f>IFERROR(_xlfn.XLOOKUP(A380,Fleet!A:A,Fleet!E:E,""),"")</f>
        <v/>
      </c>
      <c r="N380" t="s">
        <v>2547</v>
      </c>
      <c r="O380" t="s">
        <v>3169</v>
      </c>
      <c r="P380" t="str">
        <f>_xlfn.XLOOKUP(A380,'Classic Net to delete'!D:D,'Classic Net to delete'!A:A,"")</f>
        <v/>
      </c>
    </row>
    <row r="381" spans="1:16" x14ac:dyDescent="0.25">
      <c r="A381" t="s">
        <v>2545</v>
      </c>
      <c r="B381" t="s">
        <v>3945</v>
      </c>
      <c r="C381" t="s">
        <v>2546</v>
      </c>
      <c r="D381">
        <v>4.75</v>
      </c>
      <c r="E381" t="s">
        <v>3156</v>
      </c>
      <c r="H381" t="s">
        <v>22</v>
      </c>
      <c r="I381" t="s">
        <v>22</v>
      </c>
      <c r="M381" t="str">
        <f>IFERROR(_xlfn.XLOOKUP(A381,Fleet!A:A,Fleet!E:E,""),"")</f>
        <v/>
      </c>
      <c r="N381" t="s">
        <v>2545</v>
      </c>
      <c r="O381" t="s">
        <v>3169</v>
      </c>
      <c r="P381" t="str">
        <f>_xlfn.XLOOKUP(A381,'Classic Net to delete'!D:D,'Classic Net to delete'!A:A,"")</f>
        <v/>
      </c>
    </row>
    <row r="382" spans="1:16" x14ac:dyDescent="0.25">
      <c r="A382" t="s">
        <v>2543</v>
      </c>
      <c r="B382" t="s">
        <v>3945</v>
      </c>
      <c r="C382" t="s">
        <v>2544</v>
      </c>
      <c r="D382">
        <v>4.75</v>
      </c>
      <c r="E382" t="s">
        <v>3156</v>
      </c>
      <c r="H382" t="s">
        <v>22</v>
      </c>
      <c r="I382" t="s">
        <v>22</v>
      </c>
      <c r="M382" t="str">
        <f>IFERROR(_xlfn.XLOOKUP(A382,Fleet!A:A,Fleet!E:E,""),"")</f>
        <v/>
      </c>
      <c r="N382" t="s">
        <v>2543</v>
      </c>
      <c r="O382" t="s">
        <v>3169</v>
      </c>
      <c r="P382" t="str">
        <f>_xlfn.XLOOKUP(A382,'Classic Net to delete'!D:D,'Classic Net to delete'!A:A,"")</f>
        <v/>
      </c>
    </row>
    <row r="383" spans="1:16" x14ac:dyDescent="0.25">
      <c r="A383" t="s">
        <v>2541</v>
      </c>
      <c r="B383" t="s">
        <v>3945</v>
      </c>
      <c r="C383" t="s">
        <v>2542</v>
      </c>
      <c r="D383">
        <v>2.1</v>
      </c>
      <c r="E383" t="s">
        <v>3156</v>
      </c>
      <c r="H383" t="s">
        <v>22</v>
      </c>
      <c r="I383" t="s">
        <v>22</v>
      </c>
      <c r="M383" t="str">
        <f>IFERROR(_xlfn.XLOOKUP(A383,Fleet!A:A,Fleet!E:E,""),"")</f>
        <v/>
      </c>
      <c r="N383" t="s">
        <v>2541</v>
      </c>
      <c r="O383" t="s">
        <v>3169</v>
      </c>
      <c r="P383" t="str">
        <f>_xlfn.XLOOKUP(A383,'Classic Net to delete'!D:D,'Classic Net to delete'!A:A,"")</f>
        <v/>
      </c>
    </row>
    <row r="384" spans="1:16" x14ac:dyDescent="0.25">
      <c r="A384" t="s">
        <v>2539</v>
      </c>
      <c r="B384" t="s">
        <v>3945</v>
      </c>
      <c r="C384" t="s">
        <v>2540</v>
      </c>
      <c r="D384">
        <v>9.15</v>
      </c>
      <c r="E384" t="s">
        <v>3156</v>
      </c>
      <c r="H384" t="s">
        <v>22</v>
      </c>
      <c r="I384" t="s">
        <v>22</v>
      </c>
      <c r="M384" t="str">
        <f>IFERROR(_xlfn.XLOOKUP(A384,Fleet!A:A,Fleet!E:E,""),"")</f>
        <v/>
      </c>
      <c r="N384" t="s">
        <v>2539</v>
      </c>
      <c r="O384" t="s">
        <v>3169</v>
      </c>
      <c r="P384" t="str">
        <f>_xlfn.XLOOKUP(A384,'Classic Net to delete'!D:D,'Classic Net to delete'!A:A,"")</f>
        <v/>
      </c>
    </row>
    <row r="385" spans="1:16" x14ac:dyDescent="0.25">
      <c r="A385" t="s">
        <v>2537</v>
      </c>
      <c r="B385" t="s">
        <v>3945</v>
      </c>
      <c r="C385" t="s">
        <v>2538</v>
      </c>
      <c r="D385">
        <v>4.75</v>
      </c>
      <c r="E385" t="s">
        <v>3156</v>
      </c>
      <c r="H385" t="s">
        <v>22</v>
      </c>
      <c r="I385" t="s">
        <v>22</v>
      </c>
      <c r="M385" t="str">
        <f>IFERROR(_xlfn.XLOOKUP(A385,Fleet!A:A,Fleet!E:E,""),"")</f>
        <v/>
      </c>
      <c r="N385" t="s">
        <v>2537</v>
      </c>
      <c r="O385" t="s">
        <v>3169</v>
      </c>
      <c r="P385" t="str">
        <f>_xlfn.XLOOKUP(A385,'Classic Net to delete'!D:D,'Classic Net to delete'!A:A,"")</f>
        <v/>
      </c>
    </row>
    <row r="386" spans="1:16" x14ac:dyDescent="0.25">
      <c r="A386" t="s">
        <v>2535</v>
      </c>
      <c r="B386" t="s">
        <v>3945</v>
      </c>
      <c r="C386" t="s">
        <v>2536</v>
      </c>
      <c r="D386">
        <v>4.75</v>
      </c>
      <c r="E386" t="s">
        <v>3156</v>
      </c>
      <c r="H386" t="s">
        <v>22</v>
      </c>
      <c r="I386" t="s">
        <v>22</v>
      </c>
      <c r="M386" t="str">
        <f>IFERROR(_xlfn.XLOOKUP(A386,Fleet!A:A,Fleet!E:E,""),"")</f>
        <v/>
      </c>
      <c r="N386" t="s">
        <v>2535</v>
      </c>
      <c r="O386" t="s">
        <v>3169</v>
      </c>
      <c r="P386" t="str">
        <f>_xlfn.XLOOKUP(A386,'Classic Net to delete'!D:D,'Classic Net to delete'!A:A,"")</f>
        <v/>
      </c>
    </row>
    <row r="387" spans="1:16" x14ac:dyDescent="0.25">
      <c r="A387" t="s">
        <v>2533</v>
      </c>
      <c r="B387" t="s">
        <v>3945</v>
      </c>
      <c r="C387" t="s">
        <v>2534</v>
      </c>
      <c r="D387">
        <v>2.1</v>
      </c>
      <c r="E387" t="s">
        <v>3156</v>
      </c>
      <c r="H387" t="s">
        <v>22</v>
      </c>
      <c r="I387" t="s">
        <v>22</v>
      </c>
      <c r="M387" t="str">
        <f>IFERROR(_xlfn.XLOOKUP(A387,Fleet!A:A,Fleet!E:E,""),"")</f>
        <v/>
      </c>
      <c r="N387" t="s">
        <v>2533</v>
      </c>
      <c r="O387" t="s">
        <v>3169</v>
      </c>
      <c r="P387" t="str">
        <f>_xlfn.XLOOKUP(A387,'Classic Net to delete'!D:D,'Classic Net to delete'!A:A,"")</f>
        <v/>
      </c>
    </row>
    <row r="388" spans="1:16" x14ac:dyDescent="0.25">
      <c r="A388" t="s">
        <v>2531</v>
      </c>
      <c r="B388" t="s">
        <v>3945</v>
      </c>
      <c r="C388" t="s">
        <v>2532</v>
      </c>
      <c r="D388">
        <v>2.1</v>
      </c>
      <c r="E388" t="s">
        <v>3156</v>
      </c>
      <c r="H388" t="s">
        <v>22</v>
      </c>
      <c r="I388" t="s">
        <v>22</v>
      </c>
      <c r="M388" t="str">
        <f>IFERROR(_xlfn.XLOOKUP(A388,Fleet!A:A,Fleet!E:E,""),"")</f>
        <v/>
      </c>
      <c r="N388" t="s">
        <v>2531</v>
      </c>
      <c r="O388" t="s">
        <v>3169</v>
      </c>
      <c r="P388" t="str">
        <f>_xlfn.XLOOKUP(A388,'Classic Net to delete'!D:D,'Classic Net to delete'!A:A,"")</f>
        <v/>
      </c>
    </row>
    <row r="389" spans="1:16" x14ac:dyDescent="0.25">
      <c r="A389" t="s">
        <v>2529</v>
      </c>
      <c r="B389" t="s">
        <v>3945</v>
      </c>
      <c r="C389" t="s">
        <v>2530</v>
      </c>
      <c r="D389">
        <v>2.1</v>
      </c>
      <c r="E389" t="s">
        <v>3156</v>
      </c>
      <c r="H389" t="s">
        <v>22</v>
      </c>
      <c r="I389" t="s">
        <v>22</v>
      </c>
      <c r="M389" t="str">
        <f>IFERROR(_xlfn.XLOOKUP(A389,Fleet!A:A,Fleet!E:E,""),"")</f>
        <v/>
      </c>
      <c r="N389" t="s">
        <v>2529</v>
      </c>
      <c r="O389" t="s">
        <v>3169</v>
      </c>
      <c r="P389" t="str">
        <f>_xlfn.XLOOKUP(A389,'Classic Net to delete'!D:D,'Classic Net to delete'!A:A,"")</f>
        <v/>
      </c>
    </row>
    <row r="390" spans="1:16" x14ac:dyDescent="0.25">
      <c r="A390" t="s">
        <v>2527</v>
      </c>
      <c r="B390" t="s">
        <v>3945</v>
      </c>
      <c r="C390" t="s">
        <v>2528</v>
      </c>
      <c r="D390">
        <v>8.5500000000000007</v>
      </c>
      <c r="E390" t="s">
        <v>3156</v>
      </c>
      <c r="H390" t="s">
        <v>22</v>
      </c>
      <c r="I390" t="s">
        <v>22</v>
      </c>
      <c r="M390" t="str">
        <f>IFERROR(_xlfn.XLOOKUP(A390,Fleet!A:A,Fleet!E:E,""),"")</f>
        <v/>
      </c>
      <c r="N390" t="s">
        <v>2527</v>
      </c>
      <c r="O390" t="s">
        <v>3169</v>
      </c>
      <c r="P390" t="str">
        <f>_xlfn.XLOOKUP(A390,'Classic Net to delete'!D:D,'Classic Net to delete'!A:A,"")</f>
        <v/>
      </c>
    </row>
    <row r="391" spans="1:16" x14ac:dyDescent="0.25">
      <c r="A391" t="s">
        <v>2525</v>
      </c>
      <c r="B391" t="s">
        <v>3945</v>
      </c>
      <c r="C391" t="s">
        <v>2526</v>
      </c>
      <c r="D391">
        <v>4.75</v>
      </c>
      <c r="E391" t="s">
        <v>3156</v>
      </c>
      <c r="H391" t="s">
        <v>22</v>
      </c>
      <c r="I391" t="s">
        <v>22</v>
      </c>
      <c r="M391" t="str">
        <f>IFERROR(_xlfn.XLOOKUP(A391,Fleet!A:A,Fleet!E:E,""),"")</f>
        <v/>
      </c>
      <c r="N391" t="s">
        <v>2525</v>
      </c>
      <c r="O391" t="s">
        <v>3169</v>
      </c>
      <c r="P391" t="str">
        <f>_xlfn.XLOOKUP(A391,'Classic Net to delete'!D:D,'Classic Net to delete'!A:A,"")</f>
        <v/>
      </c>
    </row>
    <row r="392" spans="1:16" x14ac:dyDescent="0.25">
      <c r="A392" t="s">
        <v>2523</v>
      </c>
      <c r="B392" t="s">
        <v>3945</v>
      </c>
      <c r="C392" t="s">
        <v>2524</v>
      </c>
      <c r="D392">
        <v>2.1</v>
      </c>
      <c r="E392" t="s">
        <v>3156</v>
      </c>
      <c r="H392" t="s">
        <v>22</v>
      </c>
      <c r="I392" t="s">
        <v>22</v>
      </c>
      <c r="M392" t="str">
        <f>IFERROR(_xlfn.XLOOKUP(A392,Fleet!A:A,Fleet!E:E,""),"")</f>
        <v/>
      </c>
      <c r="N392" t="s">
        <v>2523</v>
      </c>
      <c r="O392" t="s">
        <v>3169</v>
      </c>
      <c r="P392" t="str">
        <f>_xlfn.XLOOKUP(A392,'Classic Net to delete'!D:D,'Classic Net to delete'!A:A,"")</f>
        <v/>
      </c>
    </row>
    <row r="393" spans="1:16" x14ac:dyDescent="0.25">
      <c r="A393" t="s">
        <v>2521</v>
      </c>
      <c r="B393" t="s">
        <v>3945</v>
      </c>
      <c r="C393" t="s">
        <v>2522</v>
      </c>
      <c r="D393">
        <v>2.1</v>
      </c>
      <c r="E393" t="s">
        <v>3156</v>
      </c>
      <c r="H393" t="s">
        <v>22</v>
      </c>
      <c r="I393" t="s">
        <v>22</v>
      </c>
      <c r="M393" t="str">
        <f>IFERROR(_xlfn.XLOOKUP(A393,Fleet!A:A,Fleet!E:E,""),"")</f>
        <v/>
      </c>
      <c r="N393" t="s">
        <v>2521</v>
      </c>
      <c r="O393" t="s">
        <v>3169</v>
      </c>
      <c r="P393" t="str">
        <f>_xlfn.XLOOKUP(A393,'Classic Net to delete'!D:D,'Classic Net to delete'!A:A,"")</f>
        <v/>
      </c>
    </row>
    <row r="394" spans="1:16" x14ac:dyDescent="0.25">
      <c r="A394" t="s">
        <v>2519</v>
      </c>
      <c r="B394" t="s">
        <v>3945</v>
      </c>
      <c r="C394" t="s">
        <v>2520</v>
      </c>
      <c r="D394">
        <v>2.1</v>
      </c>
      <c r="E394" t="s">
        <v>3156</v>
      </c>
      <c r="H394" t="s">
        <v>22</v>
      </c>
      <c r="I394" t="s">
        <v>22</v>
      </c>
      <c r="M394" t="str">
        <f>IFERROR(_xlfn.XLOOKUP(A394,Fleet!A:A,Fleet!E:E,""),"")</f>
        <v/>
      </c>
      <c r="N394" t="s">
        <v>2519</v>
      </c>
      <c r="O394" t="s">
        <v>3169</v>
      </c>
      <c r="P394" t="str">
        <f>_xlfn.XLOOKUP(A394,'Classic Net to delete'!D:D,'Classic Net to delete'!A:A,"")</f>
        <v/>
      </c>
    </row>
    <row r="395" spans="1:16" x14ac:dyDescent="0.25">
      <c r="A395" t="s">
        <v>2517</v>
      </c>
      <c r="B395" t="s">
        <v>3945</v>
      </c>
      <c r="C395" t="s">
        <v>2518</v>
      </c>
      <c r="D395">
        <v>4.75</v>
      </c>
      <c r="E395" t="s">
        <v>3156</v>
      </c>
      <c r="H395" t="s">
        <v>22</v>
      </c>
      <c r="I395" t="s">
        <v>22</v>
      </c>
      <c r="M395" t="str">
        <f>IFERROR(_xlfn.XLOOKUP(A395,Fleet!A:A,Fleet!E:E,""),"")</f>
        <v/>
      </c>
      <c r="N395" t="s">
        <v>2517</v>
      </c>
      <c r="O395" t="s">
        <v>3169</v>
      </c>
      <c r="P395" t="str">
        <f>_xlfn.XLOOKUP(A395,'Classic Net to delete'!D:D,'Classic Net to delete'!A:A,"")</f>
        <v/>
      </c>
    </row>
    <row r="396" spans="1:16" x14ac:dyDescent="0.25">
      <c r="A396" t="s">
        <v>2515</v>
      </c>
      <c r="B396" t="s">
        <v>3945</v>
      </c>
      <c r="C396" t="s">
        <v>2516</v>
      </c>
      <c r="D396">
        <v>4.75</v>
      </c>
      <c r="E396" t="s">
        <v>3156</v>
      </c>
      <c r="H396" t="s">
        <v>22</v>
      </c>
      <c r="I396" t="s">
        <v>22</v>
      </c>
      <c r="M396" t="str">
        <f>IFERROR(_xlfn.XLOOKUP(A396,Fleet!A:A,Fleet!E:E,""),"")</f>
        <v/>
      </c>
      <c r="N396" t="s">
        <v>2515</v>
      </c>
      <c r="O396" t="s">
        <v>3169</v>
      </c>
      <c r="P396" t="str">
        <f>_xlfn.XLOOKUP(A396,'Classic Net to delete'!D:D,'Classic Net to delete'!A:A,"")</f>
        <v/>
      </c>
    </row>
    <row r="397" spans="1:16" x14ac:dyDescent="0.25">
      <c r="A397" t="s">
        <v>2513</v>
      </c>
      <c r="B397" t="s">
        <v>3945</v>
      </c>
      <c r="C397" t="s">
        <v>2514</v>
      </c>
      <c r="D397">
        <v>3.85</v>
      </c>
      <c r="E397" t="s">
        <v>3156</v>
      </c>
      <c r="H397" t="s">
        <v>22</v>
      </c>
      <c r="I397" t="s">
        <v>22</v>
      </c>
      <c r="M397" t="str">
        <f>IFERROR(_xlfn.XLOOKUP(A397,Fleet!A:A,Fleet!E:E,""),"")</f>
        <v/>
      </c>
      <c r="N397" t="s">
        <v>2513</v>
      </c>
      <c r="O397" t="s">
        <v>3169</v>
      </c>
      <c r="P397" t="str">
        <f>_xlfn.XLOOKUP(A397,'Classic Net to delete'!D:D,'Classic Net to delete'!A:A,"")</f>
        <v/>
      </c>
    </row>
    <row r="398" spans="1:16" x14ac:dyDescent="0.25">
      <c r="A398" t="s">
        <v>2511</v>
      </c>
      <c r="B398" t="s">
        <v>3946</v>
      </c>
      <c r="C398" t="s">
        <v>2512</v>
      </c>
      <c r="D398">
        <v>3.55</v>
      </c>
      <c r="E398" t="s">
        <v>3156</v>
      </c>
      <c r="H398" t="s">
        <v>22</v>
      </c>
      <c r="I398" t="s">
        <v>22</v>
      </c>
      <c r="M398" t="str">
        <f>IFERROR(_xlfn.XLOOKUP(A398,Fleet!A:A,Fleet!E:E,""),"")</f>
        <v/>
      </c>
      <c r="N398" t="s">
        <v>2511</v>
      </c>
      <c r="O398" t="s">
        <v>3168</v>
      </c>
      <c r="P398" t="str">
        <f>_xlfn.XLOOKUP(A398,'Classic Net to delete'!D:D,'Classic Net to delete'!A:A,"")</f>
        <v/>
      </c>
    </row>
    <row r="399" spans="1:16" x14ac:dyDescent="0.25">
      <c r="A399" t="s">
        <v>2509</v>
      </c>
      <c r="B399" t="s">
        <v>3946</v>
      </c>
      <c r="C399" t="s">
        <v>2510</v>
      </c>
      <c r="D399">
        <v>3.55</v>
      </c>
      <c r="E399" t="s">
        <v>3156</v>
      </c>
      <c r="H399" t="s">
        <v>22</v>
      </c>
      <c r="I399" t="s">
        <v>22</v>
      </c>
      <c r="M399" t="str">
        <f>IFERROR(_xlfn.XLOOKUP(A399,Fleet!A:A,Fleet!E:E,""),"")</f>
        <v/>
      </c>
      <c r="N399" t="s">
        <v>2509</v>
      </c>
      <c r="O399" t="s">
        <v>3168</v>
      </c>
      <c r="P399" t="str">
        <f>_xlfn.XLOOKUP(A399,'Classic Net to delete'!D:D,'Classic Net to delete'!A:A,"")</f>
        <v/>
      </c>
    </row>
    <row r="400" spans="1:16" x14ac:dyDescent="0.25">
      <c r="A400" t="s">
        <v>2507</v>
      </c>
      <c r="B400" t="s">
        <v>3946</v>
      </c>
      <c r="C400" t="s">
        <v>2508</v>
      </c>
      <c r="D400">
        <v>3.55</v>
      </c>
      <c r="E400" t="s">
        <v>3156</v>
      </c>
      <c r="H400" t="s">
        <v>22</v>
      </c>
      <c r="I400" t="s">
        <v>22</v>
      </c>
      <c r="M400" t="str">
        <f>IFERROR(_xlfn.XLOOKUP(A400,Fleet!A:A,Fleet!E:E,""),"")</f>
        <v/>
      </c>
      <c r="N400" t="s">
        <v>2507</v>
      </c>
      <c r="O400" t="s">
        <v>3168</v>
      </c>
      <c r="P400" t="str">
        <f>_xlfn.XLOOKUP(A400,'Classic Net to delete'!D:D,'Classic Net to delete'!A:A,"")</f>
        <v/>
      </c>
    </row>
    <row r="401" spans="1:16" x14ac:dyDescent="0.25">
      <c r="A401" t="s">
        <v>2505</v>
      </c>
      <c r="B401" t="s">
        <v>3946</v>
      </c>
      <c r="C401" t="s">
        <v>2506</v>
      </c>
      <c r="D401">
        <v>3.55</v>
      </c>
      <c r="E401" t="s">
        <v>3156</v>
      </c>
      <c r="H401" t="s">
        <v>22</v>
      </c>
      <c r="I401" t="s">
        <v>22</v>
      </c>
      <c r="M401" t="str">
        <f>IFERROR(_xlfn.XLOOKUP(A401,Fleet!A:A,Fleet!E:E,""),"")</f>
        <v/>
      </c>
      <c r="N401" t="s">
        <v>2505</v>
      </c>
      <c r="O401" t="s">
        <v>3168</v>
      </c>
      <c r="P401" t="str">
        <f>_xlfn.XLOOKUP(A401,'Classic Net to delete'!D:D,'Classic Net to delete'!A:A,"")</f>
        <v/>
      </c>
    </row>
    <row r="402" spans="1:16" x14ac:dyDescent="0.25">
      <c r="A402" t="s">
        <v>2503</v>
      </c>
      <c r="B402" t="s">
        <v>3946</v>
      </c>
      <c r="C402" t="s">
        <v>2504</v>
      </c>
      <c r="D402">
        <v>3.55</v>
      </c>
      <c r="E402" t="s">
        <v>3156</v>
      </c>
      <c r="H402" t="s">
        <v>22</v>
      </c>
      <c r="I402" t="s">
        <v>22</v>
      </c>
      <c r="M402" t="str">
        <f>IFERROR(_xlfn.XLOOKUP(A402,Fleet!A:A,Fleet!E:E,""),"")</f>
        <v/>
      </c>
      <c r="N402" t="s">
        <v>2503</v>
      </c>
      <c r="O402" t="s">
        <v>3168</v>
      </c>
      <c r="P402" t="str">
        <f>_xlfn.XLOOKUP(A402,'Classic Net to delete'!D:D,'Classic Net to delete'!A:A,"")</f>
        <v/>
      </c>
    </row>
    <row r="403" spans="1:16" x14ac:dyDescent="0.25">
      <c r="A403" t="s">
        <v>2501</v>
      </c>
      <c r="B403" t="s">
        <v>3946</v>
      </c>
      <c r="C403" t="s">
        <v>2502</v>
      </c>
      <c r="D403">
        <v>3.55</v>
      </c>
      <c r="E403" t="s">
        <v>3156</v>
      </c>
      <c r="H403" t="s">
        <v>22</v>
      </c>
      <c r="I403" t="s">
        <v>22</v>
      </c>
      <c r="M403" t="str">
        <f>IFERROR(_xlfn.XLOOKUP(A403,Fleet!A:A,Fleet!E:E,""),"")</f>
        <v/>
      </c>
      <c r="N403" t="s">
        <v>2501</v>
      </c>
      <c r="O403" t="s">
        <v>3168</v>
      </c>
      <c r="P403" t="str">
        <f>_xlfn.XLOOKUP(A403,'Classic Net to delete'!D:D,'Classic Net to delete'!A:A,"")</f>
        <v/>
      </c>
    </row>
    <row r="404" spans="1:16" x14ac:dyDescent="0.25">
      <c r="A404" t="s">
        <v>2499</v>
      </c>
      <c r="B404" t="s">
        <v>3946</v>
      </c>
      <c r="C404" t="s">
        <v>2500</v>
      </c>
      <c r="D404">
        <v>3.55</v>
      </c>
      <c r="E404" t="s">
        <v>3156</v>
      </c>
      <c r="H404" t="s">
        <v>22</v>
      </c>
      <c r="I404" t="s">
        <v>22</v>
      </c>
      <c r="M404" t="str">
        <f>IFERROR(_xlfn.XLOOKUP(A404,Fleet!A:A,Fleet!E:E,""),"")</f>
        <v/>
      </c>
      <c r="N404" t="s">
        <v>2499</v>
      </c>
      <c r="O404" t="s">
        <v>3168</v>
      </c>
      <c r="P404" t="str">
        <f>_xlfn.XLOOKUP(A404,'Classic Net to delete'!D:D,'Classic Net to delete'!A:A,"")</f>
        <v/>
      </c>
    </row>
    <row r="405" spans="1:16" x14ac:dyDescent="0.25">
      <c r="A405" t="s">
        <v>2497</v>
      </c>
      <c r="B405" t="s">
        <v>3946</v>
      </c>
      <c r="C405" t="s">
        <v>2498</v>
      </c>
      <c r="D405">
        <v>3.55</v>
      </c>
      <c r="E405" t="s">
        <v>3156</v>
      </c>
      <c r="H405" t="s">
        <v>22</v>
      </c>
      <c r="I405" t="s">
        <v>22</v>
      </c>
      <c r="M405" t="str">
        <f>IFERROR(_xlfn.XLOOKUP(A405,Fleet!A:A,Fleet!E:E,""),"")</f>
        <v/>
      </c>
      <c r="N405" t="s">
        <v>2497</v>
      </c>
      <c r="O405" t="s">
        <v>3168</v>
      </c>
      <c r="P405" t="str">
        <f>_xlfn.XLOOKUP(A405,'Classic Net to delete'!D:D,'Classic Net to delete'!A:A,"")</f>
        <v/>
      </c>
    </row>
    <row r="406" spans="1:16" x14ac:dyDescent="0.25">
      <c r="A406" t="s">
        <v>2495</v>
      </c>
      <c r="B406" t="s">
        <v>3946</v>
      </c>
      <c r="C406" t="s">
        <v>2496</v>
      </c>
      <c r="D406">
        <v>3.55</v>
      </c>
      <c r="E406" t="s">
        <v>3156</v>
      </c>
      <c r="H406" t="s">
        <v>22</v>
      </c>
      <c r="I406" t="s">
        <v>22</v>
      </c>
      <c r="M406" t="str">
        <f>IFERROR(_xlfn.XLOOKUP(A406,Fleet!A:A,Fleet!E:E,""),"")</f>
        <v/>
      </c>
      <c r="N406" t="s">
        <v>2495</v>
      </c>
      <c r="O406" t="s">
        <v>3168</v>
      </c>
      <c r="P406" t="str">
        <f>_xlfn.XLOOKUP(A406,'Classic Net to delete'!D:D,'Classic Net to delete'!A:A,"")</f>
        <v/>
      </c>
    </row>
    <row r="407" spans="1:16" x14ac:dyDescent="0.25">
      <c r="A407" t="s">
        <v>2493</v>
      </c>
      <c r="B407" t="s">
        <v>3946</v>
      </c>
      <c r="C407" t="s">
        <v>2494</v>
      </c>
      <c r="D407">
        <v>3.55</v>
      </c>
      <c r="E407" t="s">
        <v>3156</v>
      </c>
      <c r="H407" t="s">
        <v>22</v>
      </c>
      <c r="I407" t="s">
        <v>22</v>
      </c>
      <c r="M407" t="str">
        <f>IFERROR(_xlfn.XLOOKUP(A407,Fleet!A:A,Fleet!E:E,""),"")</f>
        <v/>
      </c>
      <c r="N407" t="s">
        <v>2493</v>
      </c>
      <c r="O407" t="s">
        <v>3168</v>
      </c>
      <c r="P407" t="str">
        <f>_xlfn.XLOOKUP(A407,'Classic Net to delete'!D:D,'Classic Net to delete'!A:A,"")</f>
        <v/>
      </c>
    </row>
    <row r="408" spans="1:16" x14ac:dyDescent="0.25">
      <c r="A408" t="s">
        <v>2491</v>
      </c>
      <c r="B408" t="s">
        <v>3946</v>
      </c>
      <c r="C408" t="s">
        <v>2492</v>
      </c>
      <c r="D408">
        <v>3.55</v>
      </c>
      <c r="E408" t="s">
        <v>3156</v>
      </c>
      <c r="H408" t="s">
        <v>22</v>
      </c>
      <c r="I408" t="s">
        <v>22</v>
      </c>
      <c r="M408" t="str">
        <f>IFERROR(_xlfn.XLOOKUP(A408,Fleet!A:A,Fleet!E:E,""),"")</f>
        <v/>
      </c>
      <c r="N408" t="s">
        <v>2491</v>
      </c>
      <c r="O408" t="s">
        <v>3168</v>
      </c>
      <c r="P408" t="str">
        <f>_xlfn.XLOOKUP(A408,'Classic Net to delete'!D:D,'Classic Net to delete'!A:A,"")</f>
        <v/>
      </c>
    </row>
    <row r="409" spans="1:16" x14ac:dyDescent="0.25">
      <c r="A409" t="s">
        <v>2489</v>
      </c>
      <c r="B409" t="s">
        <v>3946</v>
      </c>
      <c r="C409" t="s">
        <v>2490</v>
      </c>
      <c r="D409">
        <v>3.55</v>
      </c>
      <c r="E409" t="s">
        <v>3156</v>
      </c>
      <c r="H409" t="s">
        <v>22</v>
      </c>
      <c r="I409" t="s">
        <v>22</v>
      </c>
      <c r="M409" t="str">
        <f>IFERROR(_xlfn.XLOOKUP(A409,Fleet!A:A,Fleet!E:E,""),"")</f>
        <v/>
      </c>
      <c r="N409" t="s">
        <v>2489</v>
      </c>
      <c r="O409" t="s">
        <v>3168</v>
      </c>
      <c r="P409" t="str">
        <f>_xlfn.XLOOKUP(A409,'Classic Net to delete'!D:D,'Classic Net to delete'!A:A,"")</f>
        <v/>
      </c>
    </row>
    <row r="410" spans="1:16" x14ac:dyDescent="0.25">
      <c r="A410" t="s">
        <v>2487</v>
      </c>
      <c r="B410" t="s">
        <v>3946</v>
      </c>
      <c r="C410" t="s">
        <v>2488</v>
      </c>
      <c r="D410">
        <v>3.55</v>
      </c>
      <c r="E410" t="s">
        <v>3156</v>
      </c>
      <c r="H410" t="s">
        <v>22</v>
      </c>
      <c r="I410" t="s">
        <v>22</v>
      </c>
      <c r="M410" t="str">
        <f>IFERROR(_xlfn.XLOOKUP(A410,Fleet!A:A,Fleet!E:E,""),"")</f>
        <v/>
      </c>
      <c r="N410" t="s">
        <v>2487</v>
      </c>
      <c r="O410" t="s">
        <v>3168</v>
      </c>
      <c r="P410" t="str">
        <f>_xlfn.XLOOKUP(A410,'Classic Net to delete'!D:D,'Classic Net to delete'!A:A,"")</f>
        <v/>
      </c>
    </row>
    <row r="411" spans="1:16" x14ac:dyDescent="0.25">
      <c r="A411" t="s">
        <v>2485</v>
      </c>
      <c r="B411" t="s">
        <v>3946</v>
      </c>
      <c r="C411" t="s">
        <v>2486</v>
      </c>
      <c r="D411">
        <v>3.55</v>
      </c>
      <c r="E411" t="s">
        <v>3156</v>
      </c>
      <c r="H411" t="s">
        <v>22</v>
      </c>
      <c r="I411" t="s">
        <v>22</v>
      </c>
      <c r="M411" t="str">
        <f>IFERROR(_xlfn.XLOOKUP(A411,Fleet!A:A,Fleet!E:E,""),"")</f>
        <v/>
      </c>
      <c r="N411" t="s">
        <v>2485</v>
      </c>
      <c r="O411" t="s">
        <v>3168</v>
      </c>
      <c r="P411" t="str">
        <f>_xlfn.XLOOKUP(A411,'Classic Net to delete'!D:D,'Classic Net to delete'!A:A,"")</f>
        <v/>
      </c>
    </row>
    <row r="412" spans="1:16" x14ac:dyDescent="0.25">
      <c r="A412" t="s">
        <v>2483</v>
      </c>
      <c r="B412" t="s">
        <v>3946</v>
      </c>
      <c r="C412" t="s">
        <v>2484</v>
      </c>
      <c r="D412">
        <v>3.55</v>
      </c>
      <c r="E412" t="s">
        <v>3156</v>
      </c>
      <c r="H412" t="s">
        <v>22</v>
      </c>
      <c r="I412" t="s">
        <v>22</v>
      </c>
      <c r="M412" t="str">
        <f>IFERROR(_xlfn.XLOOKUP(A412,Fleet!A:A,Fleet!E:E,""),"")</f>
        <v/>
      </c>
      <c r="N412" t="s">
        <v>2483</v>
      </c>
      <c r="O412" t="s">
        <v>3168</v>
      </c>
      <c r="P412" t="str">
        <f>_xlfn.XLOOKUP(A412,'Classic Net to delete'!D:D,'Classic Net to delete'!A:A,"")</f>
        <v/>
      </c>
    </row>
    <row r="413" spans="1:16" x14ac:dyDescent="0.25">
      <c r="A413" t="s">
        <v>2481</v>
      </c>
      <c r="B413" t="s">
        <v>3257</v>
      </c>
      <c r="C413" t="s">
        <v>2482</v>
      </c>
      <c r="D413">
        <v>21.85</v>
      </c>
      <c r="E413" t="s">
        <v>3156</v>
      </c>
      <c r="H413" t="b">
        <v>0</v>
      </c>
      <c r="I413" t="s">
        <v>22</v>
      </c>
      <c r="M413" t="str">
        <f>IFERROR(_xlfn.XLOOKUP(A413,Fleet!A:A,Fleet!E:E,""),"")</f>
        <v/>
      </c>
      <c r="N413" t="s">
        <v>2481</v>
      </c>
      <c r="O413" t="s">
        <v>720</v>
      </c>
      <c r="P413" t="str">
        <f>_xlfn.XLOOKUP(A413,'Classic Net to delete'!D:D,'Classic Net to delete'!A:A,"")</f>
        <v/>
      </c>
    </row>
    <row r="414" spans="1:16" x14ac:dyDescent="0.25">
      <c r="A414" t="s">
        <v>2479</v>
      </c>
      <c r="B414" t="s">
        <v>3257</v>
      </c>
      <c r="C414" t="s">
        <v>2480</v>
      </c>
      <c r="D414">
        <v>21.85</v>
      </c>
      <c r="E414" t="s">
        <v>3156</v>
      </c>
      <c r="H414" t="s">
        <v>22</v>
      </c>
      <c r="I414" t="s">
        <v>22</v>
      </c>
      <c r="M414" t="str">
        <f>IFERROR(_xlfn.XLOOKUP(A414,Fleet!A:A,Fleet!E:E,""),"")</f>
        <v/>
      </c>
      <c r="N414" t="s">
        <v>2479</v>
      </c>
      <c r="O414" t="s">
        <v>720</v>
      </c>
      <c r="P414" t="str">
        <f>_xlfn.XLOOKUP(A414,'Classic Net to delete'!D:D,'Classic Net to delete'!A:A,"")</f>
        <v/>
      </c>
    </row>
    <row r="415" spans="1:16" x14ac:dyDescent="0.25">
      <c r="A415" t="s">
        <v>2477</v>
      </c>
      <c r="B415" t="s">
        <v>3257</v>
      </c>
      <c r="C415" t="s">
        <v>2478</v>
      </c>
      <c r="D415">
        <v>9.85</v>
      </c>
      <c r="E415" t="s">
        <v>3156</v>
      </c>
      <c r="H415" t="s">
        <v>22</v>
      </c>
      <c r="I415" t="s">
        <v>22</v>
      </c>
      <c r="M415" t="str">
        <f>IFERROR(_xlfn.XLOOKUP(A415,Fleet!A:A,Fleet!E:E,""),"")</f>
        <v/>
      </c>
      <c r="N415" t="s">
        <v>2477</v>
      </c>
      <c r="O415" t="s">
        <v>720</v>
      </c>
      <c r="P415" t="str">
        <f>_xlfn.XLOOKUP(A415,'Classic Net to delete'!D:D,'Classic Net to delete'!A:A,"")</f>
        <v/>
      </c>
    </row>
    <row r="416" spans="1:16" x14ac:dyDescent="0.25">
      <c r="A416" t="s">
        <v>2475</v>
      </c>
      <c r="B416" t="s">
        <v>3257</v>
      </c>
      <c r="C416" t="s">
        <v>2476</v>
      </c>
      <c r="D416">
        <v>21.85</v>
      </c>
      <c r="E416" t="s">
        <v>3156</v>
      </c>
      <c r="H416" t="s">
        <v>22</v>
      </c>
      <c r="I416" t="s">
        <v>22</v>
      </c>
      <c r="M416" t="str">
        <f>IFERROR(_xlfn.XLOOKUP(A416,Fleet!A:A,Fleet!E:E,""),"")</f>
        <v/>
      </c>
      <c r="N416" t="s">
        <v>2475</v>
      </c>
      <c r="O416" t="s">
        <v>720</v>
      </c>
      <c r="P416" t="str">
        <f>_xlfn.XLOOKUP(A416,'Classic Net to delete'!D:D,'Classic Net to delete'!A:A,"")</f>
        <v/>
      </c>
    </row>
    <row r="417" spans="1:16" x14ac:dyDescent="0.25">
      <c r="A417" t="s">
        <v>645</v>
      </c>
      <c r="B417" t="s">
        <v>3257</v>
      </c>
      <c r="C417" t="s">
        <v>646</v>
      </c>
      <c r="D417">
        <v>14.8</v>
      </c>
      <c r="E417" t="s">
        <v>3156</v>
      </c>
      <c r="F417" s="186" t="s">
        <v>722</v>
      </c>
      <c r="H417" t="b">
        <v>1</v>
      </c>
      <c r="I417">
        <v>9.8500000000000014</v>
      </c>
      <c r="J417" s="186" t="s">
        <v>3947</v>
      </c>
      <c r="M417" t="str">
        <f>IFERROR(_xlfn.XLOOKUP(A417,Fleet!A:A,Fleet!E:E,""),"")</f>
        <v/>
      </c>
      <c r="N417" t="s">
        <v>645</v>
      </c>
      <c r="O417" t="s">
        <v>720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645</v>
      </c>
      <c r="B418" t="s">
        <v>3257</v>
      </c>
      <c r="C418" t="s">
        <v>646</v>
      </c>
      <c r="D418">
        <v>14.35</v>
      </c>
      <c r="E418" t="s">
        <v>3156</v>
      </c>
      <c r="F418" s="186" t="s">
        <v>722</v>
      </c>
      <c r="H418" t="b">
        <v>1</v>
      </c>
      <c r="I418">
        <v>9.8500000000000014</v>
      </c>
      <c r="J418" s="186" t="s">
        <v>3947</v>
      </c>
      <c r="M418" t="str">
        <f>IFERROR(_xlfn.XLOOKUP(A418,Fleet!A:A,Fleet!E:E,""),"")</f>
        <v/>
      </c>
      <c r="N418" t="s">
        <v>645</v>
      </c>
      <c r="O418" t="s">
        <v>720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2473</v>
      </c>
      <c r="B419" t="s">
        <v>3257</v>
      </c>
      <c r="C419" t="s">
        <v>2474</v>
      </c>
      <c r="D419">
        <v>9.85</v>
      </c>
      <c r="E419" t="s">
        <v>3156</v>
      </c>
      <c r="H419" t="s">
        <v>22</v>
      </c>
      <c r="I419" t="s">
        <v>22</v>
      </c>
      <c r="M419" t="str">
        <f>IFERROR(_xlfn.XLOOKUP(A419,Fleet!A:A,Fleet!E:E,""),"")</f>
        <v/>
      </c>
      <c r="N419" t="s">
        <v>2473</v>
      </c>
      <c r="O419" t="s">
        <v>720</v>
      </c>
      <c r="P419" t="str">
        <f>_xlfn.XLOOKUP(A419,'Classic Net to delete'!D:D,'Classic Net to delete'!A:A,"")</f>
        <v/>
      </c>
    </row>
    <row r="420" spans="1:16" x14ac:dyDescent="0.25">
      <c r="A420" t="s">
        <v>2471</v>
      </c>
      <c r="B420" t="s">
        <v>3257</v>
      </c>
      <c r="C420" t="s">
        <v>2472</v>
      </c>
      <c r="D420">
        <v>14.8</v>
      </c>
      <c r="E420" t="s">
        <v>3156</v>
      </c>
      <c r="H420" t="s">
        <v>22</v>
      </c>
      <c r="I420" t="s">
        <v>22</v>
      </c>
      <c r="M420" t="str">
        <f>IFERROR(_xlfn.XLOOKUP(A420,Fleet!A:A,Fleet!E:E,""),"")</f>
        <v/>
      </c>
      <c r="N420" t="s">
        <v>2471</v>
      </c>
      <c r="O420" t="s">
        <v>720</v>
      </c>
      <c r="P420" t="str">
        <f>_xlfn.XLOOKUP(A420,'Classic Net to delete'!D:D,'Classic Net to delete'!A:A,"")</f>
        <v/>
      </c>
    </row>
    <row r="421" spans="1:16" x14ac:dyDescent="0.25">
      <c r="A421" t="s">
        <v>634</v>
      </c>
      <c r="B421" t="s">
        <v>3257</v>
      </c>
      <c r="C421" t="s">
        <v>3163</v>
      </c>
      <c r="D421">
        <v>14.8</v>
      </c>
      <c r="E421" t="s">
        <v>3156</v>
      </c>
      <c r="F421" s="186" t="s">
        <v>722</v>
      </c>
      <c r="H421" t="b">
        <v>1</v>
      </c>
      <c r="I421">
        <v>14.8</v>
      </c>
      <c r="J421" s="186" t="s">
        <v>3947</v>
      </c>
      <c r="M421" t="str">
        <f>IFERROR(_xlfn.XLOOKUP(A421,Fleet!A:A,Fleet!E:E,""),"")</f>
        <v/>
      </c>
      <c r="N421" t="s">
        <v>634</v>
      </c>
      <c r="O421" t="s">
        <v>720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623</v>
      </c>
      <c r="B422" t="s">
        <v>3257</v>
      </c>
      <c r="C422" t="s">
        <v>3162</v>
      </c>
      <c r="D422">
        <v>9.85</v>
      </c>
      <c r="E422" t="s">
        <v>3156</v>
      </c>
      <c r="F422" s="186" t="s">
        <v>722</v>
      </c>
      <c r="H422" t="b">
        <v>1</v>
      </c>
      <c r="I422">
        <v>9.8500000000000014</v>
      </c>
      <c r="J422" s="186" t="s">
        <v>3947</v>
      </c>
      <c r="M422" t="str">
        <f>IFERROR(_xlfn.XLOOKUP(A422,Fleet!A:A,Fleet!E:E,""),"")</f>
        <v/>
      </c>
      <c r="N422" t="s">
        <v>623</v>
      </c>
      <c r="O422" t="s">
        <v>720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2469</v>
      </c>
      <c r="B423" t="s">
        <v>3257</v>
      </c>
      <c r="C423" t="s">
        <v>2470</v>
      </c>
      <c r="D423">
        <v>9.85</v>
      </c>
      <c r="E423" t="s">
        <v>3156</v>
      </c>
      <c r="H423" t="s">
        <v>22</v>
      </c>
      <c r="I423" t="s">
        <v>22</v>
      </c>
      <c r="M423" t="str">
        <f>IFERROR(_xlfn.XLOOKUP(A423,Fleet!A:A,Fleet!E:E,""),"")</f>
        <v/>
      </c>
      <c r="N423" t="s">
        <v>2469</v>
      </c>
      <c r="O423" t="s">
        <v>720</v>
      </c>
      <c r="P423" t="str">
        <f>_xlfn.XLOOKUP(A423,'Classic Net to delete'!D:D,'Classic Net to delete'!A:A,"")</f>
        <v/>
      </c>
    </row>
    <row r="424" spans="1:16" x14ac:dyDescent="0.25">
      <c r="A424" t="s">
        <v>2467</v>
      </c>
      <c r="B424" t="s">
        <v>3257</v>
      </c>
      <c r="C424" t="s">
        <v>2468</v>
      </c>
      <c r="D424">
        <v>9.85</v>
      </c>
      <c r="E424" t="s">
        <v>3156</v>
      </c>
      <c r="H424" t="s">
        <v>22</v>
      </c>
      <c r="I424" t="s">
        <v>22</v>
      </c>
      <c r="M424" t="str">
        <f>IFERROR(_xlfn.XLOOKUP(A424,Fleet!A:A,Fleet!E:E,""),"")</f>
        <v/>
      </c>
      <c r="N424" t="s">
        <v>2467</v>
      </c>
      <c r="O424" t="s">
        <v>720</v>
      </c>
      <c r="P424" t="str">
        <f>_xlfn.XLOOKUP(A424,'Classic Net to delete'!D:D,'Classic Net to delete'!A:A,"")</f>
        <v/>
      </c>
    </row>
    <row r="425" spans="1:16" x14ac:dyDescent="0.25">
      <c r="A425" t="s">
        <v>2465</v>
      </c>
      <c r="B425" t="s">
        <v>3948</v>
      </c>
      <c r="C425" t="s">
        <v>2466</v>
      </c>
      <c r="D425">
        <v>18.899999999999999</v>
      </c>
      <c r="E425" t="s">
        <v>3156</v>
      </c>
      <c r="H425" t="s">
        <v>22</v>
      </c>
      <c r="I425" t="s">
        <v>22</v>
      </c>
      <c r="M425" t="str">
        <f>IFERROR(_xlfn.XLOOKUP(A425,Fleet!A:A,Fleet!E:E,""),"")</f>
        <v/>
      </c>
      <c r="N425" t="s">
        <v>2465</v>
      </c>
      <c r="O425" t="s">
        <v>3161</v>
      </c>
      <c r="P425" t="str">
        <f>_xlfn.XLOOKUP(A425,'Classic Net to delete'!D:D,'Classic Net to delete'!A:A,"")</f>
        <v/>
      </c>
    </row>
    <row r="426" spans="1:16" x14ac:dyDescent="0.25">
      <c r="A426" t="s">
        <v>2463</v>
      </c>
      <c r="B426" t="s">
        <v>3948</v>
      </c>
      <c r="C426" t="s">
        <v>2464</v>
      </c>
      <c r="D426">
        <v>31.55</v>
      </c>
      <c r="E426" t="s">
        <v>3156</v>
      </c>
      <c r="H426" t="s">
        <v>22</v>
      </c>
      <c r="I426" t="s">
        <v>22</v>
      </c>
      <c r="M426" t="str">
        <f>IFERROR(_xlfn.XLOOKUP(A426,Fleet!A:A,Fleet!E:E,""),"")</f>
        <v/>
      </c>
      <c r="N426" t="s">
        <v>2463</v>
      </c>
      <c r="O426" t="s">
        <v>3161</v>
      </c>
      <c r="P426" t="str">
        <f>_xlfn.XLOOKUP(A426,'Classic Net to delete'!D:D,'Classic Net to delete'!A:A,"")</f>
        <v/>
      </c>
    </row>
    <row r="427" spans="1:16" x14ac:dyDescent="0.25">
      <c r="A427" t="s">
        <v>2461</v>
      </c>
      <c r="B427" t="s">
        <v>3948</v>
      </c>
      <c r="C427" t="s">
        <v>2462</v>
      </c>
      <c r="D427">
        <v>11.8</v>
      </c>
      <c r="E427" t="s">
        <v>3156</v>
      </c>
      <c r="H427" t="s">
        <v>22</v>
      </c>
      <c r="I427" t="s">
        <v>22</v>
      </c>
      <c r="M427" t="str">
        <f>IFERROR(_xlfn.XLOOKUP(A427,Fleet!A:A,Fleet!E:E,""),"")</f>
        <v/>
      </c>
      <c r="N427" t="s">
        <v>2461</v>
      </c>
      <c r="O427" t="s">
        <v>3161</v>
      </c>
      <c r="P427" t="str">
        <f>_xlfn.XLOOKUP(A427,'Classic Net to delete'!D:D,'Classic Net to delete'!A:A,"")</f>
        <v/>
      </c>
    </row>
    <row r="428" spans="1:16" x14ac:dyDescent="0.25">
      <c r="A428" t="s">
        <v>2459</v>
      </c>
      <c r="B428" t="s">
        <v>3948</v>
      </c>
      <c r="C428" t="s">
        <v>2460</v>
      </c>
      <c r="D428">
        <v>11.8</v>
      </c>
      <c r="E428" t="s">
        <v>3156</v>
      </c>
      <c r="H428" t="s">
        <v>22</v>
      </c>
      <c r="I428" t="s">
        <v>22</v>
      </c>
      <c r="M428" t="str">
        <f>IFERROR(_xlfn.XLOOKUP(A428,Fleet!A:A,Fleet!E:E,""),"")</f>
        <v/>
      </c>
      <c r="N428" t="s">
        <v>2459</v>
      </c>
      <c r="O428" t="s">
        <v>3161</v>
      </c>
      <c r="P428" t="str">
        <f>_xlfn.XLOOKUP(A428,'Classic Net to delete'!D:D,'Classic Net to delete'!A:A,"")</f>
        <v/>
      </c>
    </row>
    <row r="429" spans="1:16" x14ac:dyDescent="0.25">
      <c r="A429" t="s">
        <v>2457</v>
      </c>
      <c r="B429" t="s">
        <v>3948</v>
      </c>
      <c r="C429" t="s">
        <v>2458</v>
      </c>
      <c r="D429">
        <v>3.85</v>
      </c>
      <c r="E429" t="s">
        <v>3156</v>
      </c>
      <c r="H429" t="s">
        <v>22</v>
      </c>
      <c r="I429" t="s">
        <v>22</v>
      </c>
      <c r="M429" t="str">
        <f>IFERROR(_xlfn.XLOOKUP(A429,Fleet!A:A,Fleet!E:E,""),"")</f>
        <v/>
      </c>
      <c r="N429" t="s">
        <v>2457</v>
      </c>
      <c r="O429" t="s">
        <v>3161</v>
      </c>
      <c r="P429" t="str">
        <f>_xlfn.XLOOKUP(A429,'Classic Net to delete'!D:D,'Classic Net to delete'!A:A,"")</f>
        <v/>
      </c>
    </row>
    <row r="430" spans="1:16" x14ac:dyDescent="0.25">
      <c r="A430" t="s">
        <v>2455</v>
      </c>
      <c r="B430" t="s">
        <v>3948</v>
      </c>
      <c r="C430" t="s">
        <v>2456</v>
      </c>
      <c r="D430">
        <v>3.85</v>
      </c>
      <c r="E430" t="s">
        <v>3156</v>
      </c>
      <c r="H430" t="s">
        <v>22</v>
      </c>
      <c r="I430" t="s">
        <v>22</v>
      </c>
      <c r="M430" t="str">
        <f>IFERROR(_xlfn.XLOOKUP(A430,Fleet!A:A,Fleet!E:E,""),"")</f>
        <v/>
      </c>
      <c r="N430" t="s">
        <v>2455</v>
      </c>
      <c r="O430" t="s">
        <v>3161</v>
      </c>
      <c r="P430" t="str">
        <f>_xlfn.XLOOKUP(A430,'Classic Net to delete'!D:D,'Classic Net to delete'!A:A,"")</f>
        <v/>
      </c>
    </row>
    <row r="431" spans="1:16" x14ac:dyDescent="0.25">
      <c r="A431" t="s">
        <v>2453</v>
      </c>
      <c r="B431" t="s">
        <v>3948</v>
      </c>
      <c r="C431" t="s">
        <v>2454</v>
      </c>
      <c r="D431">
        <v>3.85</v>
      </c>
      <c r="E431" t="s">
        <v>3156</v>
      </c>
      <c r="H431" t="s">
        <v>22</v>
      </c>
      <c r="I431" t="s">
        <v>22</v>
      </c>
      <c r="M431" t="str">
        <f>IFERROR(_xlfn.XLOOKUP(A431,Fleet!A:A,Fleet!E:E,""),"")</f>
        <v/>
      </c>
      <c r="N431" t="s">
        <v>2453</v>
      </c>
      <c r="O431" t="s">
        <v>3161</v>
      </c>
      <c r="P431" t="str">
        <f>_xlfn.XLOOKUP(A431,'Classic Net to delete'!D:D,'Classic Net to delete'!A:A,"")</f>
        <v/>
      </c>
    </row>
    <row r="432" spans="1:16" x14ac:dyDescent="0.25">
      <c r="A432" t="s">
        <v>2451</v>
      </c>
      <c r="B432" t="s">
        <v>3948</v>
      </c>
      <c r="C432" t="s">
        <v>2452</v>
      </c>
      <c r="D432">
        <v>4.1500000000000004</v>
      </c>
      <c r="E432" t="s">
        <v>3156</v>
      </c>
      <c r="H432" t="s">
        <v>22</v>
      </c>
      <c r="I432" t="s">
        <v>22</v>
      </c>
      <c r="M432" t="str">
        <f>IFERROR(_xlfn.XLOOKUP(A432,Fleet!A:A,Fleet!E:E,""),"")</f>
        <v/>
      </c>
      <c r="N432" t="s">
        <v>2451</v>
      </c>
      <c r="O432" t="s">
        <v>3161</v>
      </c>
      <c r="P432" t="str">
        <f>_xlfn.XLOOKUP(A432,'Classic Net to delete'!D:D,'Classic Net to delete'!A:A,"")</f>
        <v/>
      </c>
    </row>
    <row r="433" spans="1:16" x14ac:dyDescent="0.25">
      <c r="A433" t="s">
        <v>2449</v>
      </c>
      <c r="B433" t="s">
        <v>3948</v>
      </c>
      <c r="C433" t="s">
        <v>2450</v>
      </c>
      <c r="D433">
        <v>2.7</v>
      </c>
      <c r="E433" t="s">
        <v>3156</v>
      </c>
      <c r="H433" t="s">
        <v>22</v>
      </c>
      <c r="I433" t="s">
        <v>22</v>
      </c>
      <c r="M433" t="str">
        <f>IFERROR(_xlfn.XLOOKUP(A433,Fleet!A:A,Fleet!E:E,""),"")</f>
        <v/>
      </c>
      <c r="N433" t="s">
        <v>2449</v>
      </c>
      <c r="O433" t="s">
        <v>3161</v>
      </c>
      <c r="P433" t="str">
        <f>_xlfn.XLOOKUP(A433,'Classic Net to delete'!D:D,'Classic Net to delete'!A:A,"")</f>
        <v/>
      </c>
    </row>
    <row r="434" spans="1:16" x14ac:dyDescent="0.25">
      <c r="A434" t="s">
        <v>535</v>
      </c>
      <c r="B434" t="s">
        <v>3948</v>
      </c>
      <c r="C434" t="s">
        <v>536</v>
      </c>
      <c r="D434">
        <v>10.6</v>
      </c>
      <c r="E434" t="s">
        <v>3156</v>
      </c>
      <c r="F434" s="186" t="s">
        <v>722</v>
      </c>
      <c r="H434" t="b">
        <v>1</v>
      </c>
      <c r="I434">
        <v>10.600000000000001</v>
      </c>
      <c r="J434" s="186" t="s">
        <v>467</v>
      </c>
      <c r="M434" t="str">
        <f>IFERROR(_xlfn.XLOOKUP(A434,Fleet!A:A,Fleet!E:E,""),"")</f>
        <v/>
      </c>
      <c r="N434" t="s">
        <v>535</v>
      </c>
      <c r="O434" t="s">
        <v>3161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659</v>
      </c>
      <c r="B435" t="s">
        <v>3948</v>
      </c>
      <c r="C435" t="s">
        <v>660</v>
      </c>
      <c r="D435">
        <v>16.55</v>
      </c>
      <c r="E435" t="s">
        <v>3156</v>
      </c>
      <c r="F435" s="186" t="s">
        <v>722</v>
      </c>
      <c r="H435" t="b">
        <v>1</v>
      </c>
      <c r="I435">
        <v>16.55</v>
      </c>
      <c r="J435" s="186" t="s">
        <v>467</v>
      </c>
      <c r="M435" t="str">
        <f>IFERROR(_xlfn.XLOOKUP(A435,Fleet!A:A,Fleet!E:E,""),"")</f>
        <v/>
      </c>
      <c r="N435" t="s">
        <v>659</v>
      </c>
      <c r="O435" t="s">
        <v>3161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2447</v>
      </c>
      <c r="B436" t="s">
        <v>3948</v>
      </c>
      <c r="C436" t="s">
        <v>2448</v>
      </c>
      <c r="D436">
        <v>3.55</v>
      </c>
      <c r="E436" t="s">
        <v>3156</v>
      </c>
      <c r="H436" t="s">
        <v>22</v>
      </c>
      <c r="I436" t="s">
        <v>22</v>
      </c>
      <c r="M436" t="str">
        <f>IFERROR(_xlfn.XLOOKUP(A436,Fleet!A:A,Fleet!E:E,""),"")</f>
        <v/>
      </c>
      <c r="N436" t="s">
        <v>2447</v>
      </c>
      <c r="O436" t="s">
        <v>3161</v>
      </c>
      <c r="P436" t="str">
        <f>_xlfn.XLOOKUP(A436,'Classic Net to delete'!D:D,'Classic Net to delete'!A:A,"")</f>
        <v/>
      </c>
    </row>
    <row r="437" spans="1:16" x14ac:dyDescent="0.25">
      <c r="A437" t="s">
        <v>578</v>
      </c>
      <c r="B437" t="s">
        <v>3948</v>
      </c>
      <c r="C437" t="s">
        <v>579</v>
      </c>
      <c r="D437">
        <v>25.7</v>
      </c>
      <c r="E437" t="s">
        <v>3156</v>
      </c>
      <c r="F437" s="186" t="s">
        <v>722</v>
      </c>
      <c r="H437" t="b">
        <v>1</v>
      </c>
      <c r="I437">
        <v>25.700000000000003</v>
      </c>
      <c r="J437" s="186" t="s">
        <v>467</v>
      </c>
      <c r="M437" t="str">
        <f>IFERROR(_xlfn.XLOOKUP(A437,Fleet!A:A,Fleet!E:E,""),"")</f>
        <v/>
      </c>
      <c r="N437" t="s">
        <v>578</v>
      </c>
      <c r="O437" t="s">
        <v>3161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2445</v>
      </c>
      <c r="B438" t="s">
        <v>3949</v>
      </c>
      <c r="C438" t="s">
        <v>2446</v>
      </c>
      <c r="D438">
        <v>5.35</v>
      </c>
      <c r="E438" t="s">
        <v>3156</v>
      </c>
      <c r="H438" t="s">
        <v>22</v>
      </c>
      <c r="I438" t="s">
        <v>22</v>
      </c>
      <c r="M438" t="str">
        <f>IFERROR(_xlfn.XLOOKUP(A438,Fleet!A:A,Fleet!E:E,""),"")</f>
        <v/>
      </c>
      <c r="N438" t="s">
        <v>2445</v>
      </c>
      <c r="O438" t="s">
        <v>3160</v>
      </c>
      <c r="P438" t="str">
        <f>_xlfn.XLOOKUP(A438,'Classic Net to delete'!D:D,'Classic Net to delete'!A:A,"")</f>
        <v/>
      </c>
    </row>
    <row r="439" spans="1:16" x14ac:dyDescent="0.25">
      <c r="A439" t="s">
        <v>2443</v>
      </c>
      <c r="B439" t="s">
        <v>3949</v>
      </c>
      <c r="C439" t="s">
        <v>2444</v>
      </c>
      <c r="D439">
        <v>5.35</v>
      </c>
      <c r="E439" t="s">
        <v>3156</v>
      </c>
      <c r="H439" t="s">
        <v>22</v>
      </c>
      <c r="I439" t="s">
        <v>22</v>
      </c>
      <c r="M439" t="str">
        <f>IFERROR(_xlfn.XLOOKUP(A439,Fleet!A:A,Fleet!E:E,""),"")</f>
        <v/>
      </c>
      <c r="N439" t="s">
        <v>2443</v>
      </c>
      <c r="O439" t="s">
        <v>3160</v>
      </c>
      <c r="P439" t="str">
        <f>_xlfn.XLOOKUP(A439,'Classic Net to delete'!D:D,'Classic Net to delete'!A:A,"")</f>
        <v/>
      </c>
    </row>
    <row r="440" spans="1:16" x14ac:dyDescent="0.25">
      <c r="A440" t="s">
        <v>480</v>
      </c>
      <c r="B440" t="s">
        <v>3949</v>
      </c>
      <c r="C440" t="s">
        <v>481</v>
      </c>
      <c r="D440">
        <v>14.45</v>
      </c>
      <c r="E440" t="s">
        <v>3156</v>
      </c>
      <c r="F440" s="186" t="s">
        <v>722</v>
      </c>
      <c r="H440" t="b">
        <v>1</v>
      </c>
      <c r="I440">
        <v>14.450000000000001</v>
      </c>
      <c r="J440" s="186" t="s">
        <v>467</v>
      </c>
      <c r="M440" t="str">
        <f>IFERROR(_xlfn.XLOOKUP(A440,Fleet!A:A,Fleet!E:E,""),"")</f>
        <v/>
      </c>
      <c r="N440" t="s">
        <v>480</v>
      </c>
      <c r="O440" t="s">
        <v>3160</v>
      </c>
      <c r="P440" t="str">
        <f>_xlfn.XLOOKUP(A440,'Classic Net to delete'!D:D,'Classic Net to delete'!A:A,"")</f>
        <v>Inline Oiler</v>
      </c>
    </row>
    <row r="441" spans="1:16" x14ac:dyDescent="0.25">
      <c r="A441" t="s">
        <v>477</v>
      </c>
      <c r="B441" t="s">
        <v>3949</v>
      </c>
      <c r="C441" t="s">
        <v>478</v>
      </c>
      <c r="D441">
        <v>9.15</v>
      </c>
      <c r="E441" t="s">
        <v>3156</v>
      </c>
      <c r="F441" s="186" t="s">
        <v>722</v>
      </c>
      <c r="H441" t="b">
        <v>1</v>
      </c>
      <c r="I441">
        <v>9.15</v>
      </c>
      <c r="J441" s="186" t="s">
        <v>467</v>
      </c>
      <c r="M441" t="str">
        <f>IFERROR(_xlfn.XLOOKUP(A441,Fleet!A:A,Fleet!E:E,""),"")</f>
        <v/>
      </c>
      <c r="N441" t="s">
        <v>477</v>
      </c>
      <c r="O441" t="s">
        <v>3160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463</v>
      </c>
      <c r="B442" t="s">
        <v>3950</v>
      </c>
      <c r="C442" t="s">
        <v>464</v>
      </c>
      <c r="D442">
        <v>60.05</v>
      </c>
      <c r="E442" t="s">
        <v>3156</v>
      </c>
      <c r="F442" s="186" t="s">
        <v>369</v>
      </c>
      <c r="H442" t="b">
        <v>1</v>
      </c>
      <c r="I442">
        <v>60.050000000000004</v>
      </c>
      <c r="J442" s="186" t="s">
        <v>3951</v>
      </c>
      <c r="M442" t="str">
        <f>IFERROR(_xlfn.XLOOKUP(A442,Fleet!A:A,Fleet!E:E,""),"")</f>
        <v/>
      </c>
      <c r="N442" t="s">
        <v>463</v>
      </c>
      <c r="O442" t="s">
        <v>3159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449</v>
      </c>
      <c r="B443" t="s">
        <v>3950</v>
      </c>
      <c r="C443" t="s">
        <v>450</v>
      </c>
      <c r="D443">
        <v>33.950000000000003</v>
      </c>
      <c r="E443" t="s">
        <v>3156</v>
      </c>
      <c r="F443" s="186" t="s">
        <v>369</v>
      </c>
      <c r="H443" t="b">
        <v>1</v>
      </c>
      <c r="I443">
        <v>33.950000000000003</v>
      </c>
      <c r="J443" s="186" t="s">
        <v>3951</v>
      </c>
      <c r="M443" t="str">
        <f>IFERROR(_xlfn.XLOOKUP(A443,Fleet!A:A,Fleet!E:E,""),"")</f>
        <v/>
      </c>
      <c r="N443" t="s">
        <v>449</v>
      </c>
      <c r="O443" t="s">
        <v>3159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461</v>
      </c>
      <c r="B444" t="s">
        <v>3950</v>
      </c>
      <c r="C444" t="s">
        <v>462</v>
      </c>
      <c r="D444">
        <v>53.8</v>
      </c>
      <c r="E444" t="s">
        <v>3156</v>
      </c>
      <c r="F444" s="186" t="s">
        <v>369</v>
      </c>
      <c r="H444" t="b">
        <v>1</v>
      </c>
      <c r="I444">
        <v>53.800000000000004</v>
      </c>
      <c r="J444" s="186" t="s">
        <v>3951</v>
      </c>
      <c r="M444" t="str">
        <f>IFERROR(_xlfn.XLOOKUP(A444,Fleet!A:A,Fleet!E:E,""),"")</f>
        <v/>
      </c>
      <c r="N444" t="s">
        <v>461</v>
      </c>
      <c r="O444" t="s">
        <v>3159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447</v>
      </c>
      <c r="B445" t="s">
        <v>3950</v>
      </c>
      <c r="C445" t="s">
        <v>448</v>
      </c>
      <c r="D445">
        <v>30.55</v>
      </c>
      <c r="E445" t="s">
        <v>3156</v>
      </c>
      <c r="F445" s="186" t="s">
        <v>369</v>
      </c>
      <c r="H445" t="b">
        <v>1</v>
      </c>
      <c r="I445">
        <v>30.55</v>
      </c>
      <c r="J445" s="186" t="s">
        <v>3951</v>
      </c>
      <c r="M445" t="str">
        <f>IFERROR(_xlfn.XLOOKUP(A445,Fleet!A:A,Fleet!E:E,""),"")</f>
        <v/>
      </c>
      <c r="N445" t="s">
        <v>447</v>
      </c>
      <c r="O445" t="s">
        <v>3159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459</v>
      </c>
      <c r="B446" t="s">
        <v>3950</v>
      </c>
      <c r="C446" t="s">
        <v>460</v>
      </c>
      <c r="D446">
        <v>47.95</v>
      </c>
      <c r="E446" t="s">
        <v>3156</v>
      </c>
      <c r="F446" s="186" t="s">
        <v>369</v>
      </c>
      <c r="H446" t="b">
        <v>1</v>
      </c>
      <c r="I446">
        <v>47.95</v>
      </c>
      <c r="J446" s="186" t="s">
        <v>3951</v>
      </c>
      <c r="M446" t="str">
        <f>IFERROR(_xlfn.XLOOKUP(A446,Fleet!A:A,Fleet!E:E,""),"")</f>
        <v/>
      </c>
      <c r="N446" t="s">
        <v>459</v>
      </c>
      <c r="O446" t="s">
        <v>3159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445</v>
      </c>
      <c r="B447" t="s">
        <v>3950</v>
      </c>
      <c r="C447" t="s">
        <v>446</v>
      </c>
      <c r="D447">
        <v>27.15</v>
      </c>
      <c r="E447" t="s">
        <v>3156</v>
      </c>
      <c r="F447" s="186" t="s">
        <v>369</v>
      </c>
      <c r="H447" t="b">
        <v>1</v>
      </c>
      <c r="I447">
        <v>27.150000000000002</v>
      </c>
      <c r="J447" s="186" t="s">
        <v>3951</v>
      </c>
      <c r="M447" t="str">
        <f>IFERROR(_xlfn.XLOOKUP(A447,Fleet!A:A,Fleet!E:E,""),"")</f>
        <v/>
      </c>
      <c r="N447" t="s">
        <v>445</v>
      </c>
      <c r="O447" t="s">
        <v>3159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457</v>
      </c>
      <c r="B448" t="s">
        <v>3950</v>
      </c>
      <c r="C448" t="s">
        <v>458</v>
      </c>
      <c r="D448">
        <v>42</v>
      </c>
      <c r="E448" t="s">
        <v>3156</v>
      </c>
      <c r="F448" s="186" t="s">
        <v>369</v>
      </c>
      <c r="H448" t="b">
        <v>1</v>
      </c>
      <c r="I448">
        <v>42</v>
      </c>
      <c r="J448" s="186" t="s">
        <v>3951</v>
      </c>
      <c r="M448" t="str">
        <f>IFERROR(_xlfn.XLOOKUP(A448,Fleet!A:A,Fleet!E:E,""),"")</f>
        <v/>
      </c>
      <c r="N448" t="s">
        <v>457</v>
      </c>
      <c r="O448" t="s">
        <v>3159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443</v>
      </c>
      <c r="B449" t="s">
        <v>3950</v>
      </c>
      <c r="C449" t="s">
        <v>444</v>
      </c>
      <c r="D449">
        <v>23.65</v>
      </c>
      <c r="E449" t="s">
        <v>3156</v>
      </c>
      <c r="F449" s="186" t="s">
        <v>369</v>
      </c>
      <c r="H449" t="b">
        <v>1</v>
      </c>
      <c r="I449">
        <v>23.650000000000002</v>
      </c>
      <c r="J449" s="186" t="s">
        <v>3951</v>
      </c>
      <c r="M449" t="str">
        <f>IFERROR(_xlfn.XLOOKUP(A449,Fleet!A:A,Fleet!E:E,""),"")</f>
        <v/>
      </c>
      <c r="N449" t="s">
        <v>443</v>
      </c>
      <c r="O449" t="s">
        <v>3159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455</v>
      </c>
      <c r="B450" t="s">
        <v>3950</v>
      </c>
      <c r="C450" t="s">
        <v>456</v>
      </c>
      <c r="D450">
        <v>36.1</v>
      </c>
      <c r="E450" t="s">
        <v>3156</v>
      </c>
      <c r="F450" s="186" t="s">
        <v>369</v>
      </c>
      <c r="H450" t="b">
        <v>1</v>
      </c>
      <c r="I450">
        <v>36.1</v>
      </c>
      <c r="J450" s="186" t="s">
        <v>3951</v>
      </c>
      <c r="M450" t="str">
        <f>IFERROR(_xlfn.XLOOKUP(A450,Fleet!A:A,Fleet!E:E,""),"")</f>
        <v/>
      </c>
      <c r="N450" t="s">
        <v>455</v>
      </c>
      <c r="O450" t="s">
        <v>3159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453</v>
      </c>
      <c r="B451" t="s">
        <v>3950</v>
      </c>
      <c r="C451" t="s">
        <v>454</v>
      </c>
      <c r="D451">
        <v>29.85</v>
      </c>
      <c r="E451" t="s">
        <v>3156</v>
      </c>
      <c r="F451" s="186" t="s">
        <v>369</v>
      </c>
      <c r="H451" t="b">
        <v>1</v>
      </c>
      <c r="I451">
        <v>29.85</v>
      </c>
      <c r="J451" s="186" t="s">
        <v>3951</v>
      </c>
      <c r="M451" t="str">
        <f>IFERROR(_xlfn.XLOOKUP(A451,Fleet!A:A,Fleet!E:E,""),"")</f>
        <v/>
      </c>
      <c r="N451" t="s">
        <v>453</v>
      </c>
      <c r="O451" t="s">
        <v>3159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441</v>
      </c>
      <c r="B452" t="s">
        <v>3950</v>
      </c>
      <c r="C452" t="s">
        <v>442</v>
      </c>
      <c r="D452">
        <v>20.25</v>
      </c>
      <c r="E452" t="s">
        <v>3156</v>
      </c>
      <c r="F452" s="186" t="s">
        <v>369</v>
      </c>
      <c r="H452" t="b">
        <v>1</v>
      </c>
      <c r="I452">
        <v>20.25</v>
      </c>
      <c r="J452" s="186" t="s">
        <v>3951</v>
      </c>
      <c r="M452" t="str">
        <f>IFERROR(_xlfn.XLOOKUP(A452,Fleet!A:A,Fleet!E:E,""),"")</f>
        <v/>
      </c>
      <c r="N452" t="s">
        <v>441</v>
      </c>
      <c r="O452" t="s">
        <v>3159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439</v>
      </c>
      <c r="B453" t="s">
        <v>3950</v>
      </c>
      <c r="C453" t="s">
        <v>440</v>
      </c>
      <c r="D453">
        <v>17.149999999999999</v>
      </c>
      <c r="E453" t="s">
        <v>3156</v>
      </c>
      <c r="F453" s="186" t="s">
        <v>369</v>
      </c>
      <c r="H453" t="b">
        <v>1</v>
      </c>
      <c r="I453">
        <v>17.150000000000002</v>
      </c>
      <c r="J453" s="186" t="s">
        <v>3951</v>
      </c>
      <c r="M453" t="str">
        <f>IFERROR(_xlfn.XLOOKUP(A453,Fleet!A:A,Fleet!E:E,""),"")</f>
        <v/>
      </c>
      <c r="N453" t="s">
        <v>439</v>
      </c>
      <c r="O453" t="s">
        <v>3159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451</v>
      </c>
      <c r="B454" t="s">
        <v>3950</v>
      </c>
      <c r="C454" t="s">
        <v>452</v>
      </c>
      <c r="D454">
        <v>24</v>
      </c>
      <c r="E454" t="s">
        <v>3156</v>
      </c>
      <c r="F454" s="186" t="s">
        <v>369</v>
      </c>
      <c r="H454" t="b">
        <v>1</v>
      </c>
      <c r="I454">
        <v>24</v>
      </c>
      <c r="J454" s="186" t="s">
        <v>3951</v>
      </c>
      <c r="M454" t="str">
        <f>IFERROR(_xlfn.XLOOKUP(A454,Fleet!A:A,Fleet!E:E,""),"")</f>
        <v/>
      </c>
      <c r="N454" t="s">
        <v>451</v>
      </c>
      <c r="O454" t="s">
        <v>3159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437</v>
      </c>
      <c r="B455" t="s">
        <v>3950</v>
      </c>
      <c r="C455" t="s">
        <v>438</v>
      </c>
      <c r="D455">
        <v>13.75</v>
      </c>
      <c r="E455" t="s">
        <v>3156</v>
      </c>
      <c r="F455" s="186" t="s">
        <v>369</v>
      </c>
      <c r="H455" t="b">
        <v>1</v>
      </c>
      <c r="I455">
        <v>13.75</v>
      </c>
      <c r="J455" s="186" t="s">
        <v>3951</v>
      </c>
      <c r="M455" t="str">
        <f>IFERROR(_xlfn.XLOOKUP(A455,Fleet!A:A,Fleet!E:E,""),"")</f>
        <v/>
      </c>
      <c r="N455" t="s">
        <v>437</v>
      </c>
      <c r="O455" t="s">
        <v>3159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386</v>
      </c>
      <c r="B456" t="s">
        <v>3952</v>
      </c>
      <c r="C456" t="s">
        <v>387</v>
      </c>
      <c r="D456">
        <v>4.45</v>
      </c>
      <c r="E456" t="s">
        <v>3156</v>
      </c>
      <c r="F456" s="186" t="s">
        <v>369</v>
      </c>
      <c r="H456" t="s">
        <v>22</v>
      </c>
      <c r="I456" t="s">
        <v>22</v>
      </c>
      <c r="J456" s="186" t="s">
        <v>3951</v>
      </c>
      <c r="M456" t="str">
        <f>IFERROR(_xlfn.XLOOKUP(A456,Fleet!A:A,Fleet!E:E,""),"")</f>
        <v/>
      </c>
      <c r="N456" t="s">
        <v>386</v>
      </c>
      <c r="O456" t="s">
        <v>3158</v>
      </c>
      <c r="P456" t="str">
        <f>_xlfn.XLOOKUP(A456,'Classic Net to delete'!D:D,'Classic Net to delete'!A:A,"")</f>
        <v/>
      </c>
    </row>
    <row r="457" spans="1:16" x14ac:dyDescent="0.25">
      <c r="A457" t="s">
        <v>384</v>
      </c>
      <c r="B457" t="s">
        <v>3952</v>
      </c>
      <c r="C457" t="s">
        <v>385</v>
      </c>
      <c r="D457">
        <v>3.75</v>
      </c>
      <c r="E457" t="s">
        <v>3156</v>
      </c>
      <c r="F457" s="186" t="s">
        <v>369</v>
      </c>
      <c r="H457" t="s">
        <v>22</v>
      </c>
      <c r="I457" t="s">
        <v>22</v>
      </c>
      <c r="J457" s="186" t="s">
        <v>3951</v>
      </c>
      <c r="M457" t="str">
        <f>IFERROR(_xlfn.XLOOKUP(A457,Fleet!A:A,Fleet!E:E,""),"")</f>
        <v/>
      </c>
      <c r="N457" t="s">
        <v>384</v>
      </c>
      <c r="O457" t="s">
        <v>3158</v>
      </c>
      <c r="P457" t="str">
        <f>_xlfn.XLOOKUP(A457,'Classic Net to delete'!D:D,'Classic Net to delete'!A:A,"")</f>
        <v/>
      </c>
    </row>
    <row r="458" spans="1:16" x14ac:dyDescent="0.25">
      <c r="A458" t="s">
        <v>382</v>
      </c>
      <c r="B458" t="s">
        <v>3952</v>
      </c>
      <c r="C458" t="s">
        <v>383</v>
      </c>
      <c r="D458">
        <v>3.45</v>
      </c>
      <c r="E458" t="s">
        <v>3156</v>
      </c>
      <c r="F458" s="186" t="s">
        <v>369</v>
      </c>
      <c r="H458" t="s">
        <v>22</v>
      </c>
      <c r="I458" t="s">
        <v>22</v>
      </c>
      <c r="J458" s="186" t="s">
        <v>3951</v>
      </c>
      <c r="M458" t="str">
        <f>IFERROR(_xlfn.XLOOKUP(A458,Fleet!A:A,Fleet!E:E,""),"")</f>
        <v/>
      </c>
      <c r="N458" t="s">
        <v>382</v>
      </c>
      <c r="O458" t="s">
        <v>3158</v>
      </c>
      <c r="P458" t="str">
        <f>_xlfn.XLOOKUP(A458,'Classic Net to delete'!D:D,'Classic Net to delete'!A:A,"")</f>
        <v/>
      </c>
    </row>
    <row r="459" spans="1:16" x14ac:dyDescent="0.25">
      <c r="A459" t="s">
        <v>380</v>
      </c>
      <c r="B459" t="s">
        <v>3952</v>
      </c>
      <c r="C459" t="s">
        <v>381</v>
      </c>
      <c r="D459">
        <v>3.1</v>
      </c>
      <c r="E459" t="s">
        <v>3156</v>
      </c>
      <c r="F459" s="186" t="s">
        <v>369</v>
      </c>
      <c r="H459" t="s">
        <v>22</v>
      </c>
      <c r="I459" t="s">
        <v>22</v>
      </c>
      <c r="J459" s="186" t="s">
        <v>3951</v>
      </c>
      <c r="M459" t="str">
        <f>IFERROR(_xlfn.XLOOKUP(A459,Fleet!A:A,Fleet!E:E,""),"")</f>
        <v/>
      </c>
      <c r="N459" t="s">
        <v>380</v>
      </c>
      <c r="O459" t="s">
        <v>3158</v>
      </c>
      <c r="P459" t="str">
        <f>_xlfn.XLOOKUP(A459,'Classic Net to delete'!D:D,'Classic Net to delete'!A:A,"")</f>
        <v/>
      </c>
    </row>
    <row r="460" spans="1:16" x14ac:dyDescent="0.25">
      <c r="A460" t="s">
        <v>378</v>
      </c>
      <c r="B460" t="s">
        <v>3952</v>
      </c>
      <c r="C460" t="s">
        <v>379</v>
      </c>
      <c r="D460">
        <v>2.85</v>
      </c>
      <c r="E460" t="s">
        <v>3156</v>
      </c>
      <c r="F460" s="186" t="s">
        <v>369</v>
      </c>
      <c r="H460" t="s">
        <v>22</v>
      </c>
      <c r="I460" t="s">
        <v>22</v>
      </c>
      <c r="J460" s="186" t="s">
        <v>3951</v>
      </c>
      <c r="M460" t="str">
        <f>IFERROR(_xlfn.XLOOKUP(A460,Fleet!A:A,Fleet!E:E,""),"")</f>
        <v/>
      </c>
      <c r="N460" t="s">
        <v>378</v>
      </c>
      <c r="O460" t="s">
        <v>3158</v>
      </c>
      <c r="P460" t="str">
        <f>_xlfn.XLOOKUP(A460,'Classic Net to delete'!D:D,'Classic Net to delete'!A:A,"")</f>
        <v/>
      </c>
    </row>
    <row r="461" spans="1:16" x14ac:dyDescent="0.25">
      <c r="A461" t="s">
        <v>376</v>
      </c>
      <c r="B461" t="s">
        <v>3952</v>
      </c>
      <c r="C461" t="s">
        <v>377</v>
      </c>
      <c r="D461">
        <v>2.2000000000000002</v>
      </c>
      <c r="E461" t="s">
        <v>3156</v>
      </c>
      <c r="F461" s="186" t="s">
        <v>369</v>
      </c>
      <c r="H461" t="s">
        <v>22</v>
      </c>
      <c r="I461" t="s">
        <v>22</v>
      </c>
      <c r="J461" s="186" t="s">
        <v>3951</v>
      </c>
      <c r="M461" t="str">
        <f>IFERROR(_xlfn.XLOOKUP(A461,Fleet!A:A,Fleet!E:E,""),"")</f>
        <v/>
      </c>
      <c r="N461" t="s">
        <v>376</v>
      </c>
      <c r="O461" t="s">
        <v>3158</v>
      </c>
      <c r="P461" t="str">
        <f>_xlfn.XLOOKUP(A461,'Classic Net to delete'!D:D,'Classic Net to delete'!A:A,"")</f>
        <v/>
      </c>
    </row>
    <row r="462" spans="1:16" x14ac:dyDescent="0.25">
      <c r="A462" t="s">
        <v>374</v>
      </c>
      <c r="B462" t="s">
        <v>3952</v>
      </c>
      <c r="C462" t="s">
        <v>375</v>
      </c>
      <c r="D462">
        <v>1.85</v>
      </c>
      <c r="E462" t="s">
        <v>3156</v>
      </c>
      <c r="F462" s="186" t="s">
        <v>369</v>
      </c>
      <c r="H462" t="s">
        <v>22</v>
      </c>
      <c r="I462" t="s">
        <v>22</v>
      </c>
      <c r="J462" s="186" t="s">
        <v>3951</v>
      </c>
      <c r="M462" t="str">
        <f>IFERROR(_xlfn.XLOOKUP(A462,Fleet!A:A,Fleet!E:E,""),"")</f>
        <v/>
      </c>
      <c r="N462" t="s">
        <v>374</v>
      </c>
      <c r="O462" t="s">
        <v>3158</v>
      </c>
      <c r="P462" t="str">
        <f>_xlfn.XLOOKUP(A462,'Classic Net to delete'!D:D,'Classic Net to delete'!A:A,"")</f>
        <v/>
      </c>
    </row>
    <row r="463" spans="1:16" x14ac:dyDescent="0.25">
      <c r="A463" t="s">
        <v>372</v>
      </c>
      <c r="B463" t="s">
        <v>3952</v>
      </c>
      <c r="C463" t="s">
        <v>373</v>
      </c>
      <c r="D463">
        <v>5.9</v>
      </c>
      <c r="E463" t="s">
        <v>3156</v>
      </c>
      <c r="F463" s="186" t="s">
        <v>369</v>
      </c>
      <c r="H463" t="s">
        <v>22</v>
      </c>
      <c r="I463" t="s">
        <v>22</v>
      </c>
      <c r="J463" s="186" t="s">
        <v>3951</v>
      </c>
      <c r="M463" t="str">
        <f>IFERROR(_xlfn.XLOOKUP(A463,Fleet!A:A,Fleet!E:E,""),"")</f>
        <v/>
      </c>
      <c r="N463" t="s">
        <v>372</v>
      </c>
      <c r="O463" t="s">
        <v>3158</v>
      </c>
      <c r="P463" t="str">
        <f>_xlfn.XLOOKUP(A463,'Classic Net to delete'!D:D,'Classic Net to delete'!A:A,"")</f>
        <v/>
      </c>
    </row>
    <row r="464" spans="1:16" x14ac:dyDescent="0.25">
      <c r="A464" t="s">
        <v>370</v>
      </c>
      <c r="B464" t="s">
        <v>3953</v>
      </c>
      <c r="C464" t="s">
        <v>371</v>
      </c>
      <c r="D464">
        <v>2.7</v>
      </c>
      <c r="E464" t="s">
        <v>3156</v>
      </c>
      <c r="F464" s="186" t="s">
        <v>369</v>
      </c>
      <c r="H464" t="s">
        <v>22</v>
      </c>
      <c r="I464" t="s">
        <v>22</v>
      </c>
      <c r="J464" s="186" t="s">
        <v>3951</v>
      </c>
      <c r="M464" t="str">
        <f>IFERROR(_xlfn.XLOOKUP(A464,Fleet!A:A,Fleet!E:E,""),"")</f>
        <v/>
      </c>
      <c r="N464" t="s">
        <v>370</v>
      </c>
      <c r="O464" t="s">
        <v>3157</v>
      </c>
      <c r="P464" t="str">
        <f>_xlfn.XLOOKUP(A464,'Classic Net to delete'!D:D,'Classic Net to delete'!A:A,"")</f>
        <v/>
      </c>
    </row>
    <row r="465" spans="1:16" x14ac:dyDescent="0.25">
      <c r="A465" t="s">
        <v>336</v>
      </c>
      <c r="B465" t="s">
        <v>3953</v>
      </c>
      <c r="C465" t="s">
        <v>337</v>
      </c>
      <c r="D465">
        <v>6.25</v>
      </c>
      <c r="E465" t="s">
        <v>3156</v>
      </c>
      <c r="F465" s="186" t="s">
        <v>3251</v>
      </c>
      <c r="H465" t="b">
        <v>1</v>
      </c>
      <c r="I465">
        <v>6.25</v>
      </c>
      <c r="J465" s="186" t="s">
        <v>3951</v>
      </c>
      <c r="M465" t="str">
        <f>IFERROR(_xlfn.XLOOKUP(A465,Fleet!A:A,Fleet!E:E,""),"")</f>
        <v/>
      </c>
      <c r="N465" t="s">
        <v>336</v>
      </c>
      <c r="O465" t="s">
        <v>3157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388</v>
      </c>
      <c r="B466" t="s">
        <v>3953</v>
      </c>
      <c r="C466" t="s">
        <v>389</v>
      </c>
      <c r="D466">
        <v>1.25</v>
      </c>
      <c r="E466" t="s">
        <v>3156</v>
      </c>
      <c r="F466" s="186" t="s">
        <v>369</v>
      </c>
      <c r="H466" t="b">
        <v>1</v>
      </c>
      <c r="I466">
        <v>1.25</v>
      </c>
      <c r="J466" s="186" t="s">
        <v>3951</v>
      </c>
      <c r="M466" t="str">
        <f>IFERROR(_xlfn.XLOOKUP(A466,Fleet!A:A,Fleet!E:E,""),"")</f>
        <v/>
      </c>
      <c r="N466" t="s">
        <v>388</v>
      </c>
      <c r="O466" t="s">
        <v>3157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408</v>
      </c>
      <c r="B467" t="s">
        <v>3953</v>
      </c>
      <c r="C467" t="s">
        <v>409</v>
      </c>
      <c r="D467">
        <v>2.85</v>
      </c>
      <c r="E467" t="s">
        <v>3156</v>
      </c>
      <c r="F467" s="186" t="s">
        <v>369</v>
      </c>
      <c r="H467" t="b">
        <v>1</v>
      </c>
      <c r="I467">
        <v>2.85</v>
      </c>
      <c r="J467" s="186" t="s">
        <v>3951</v>
      </c>
      <c r="M467" t="str">
        <f>IFERROR(_xlfn.XLOOKUP(A467,Fleet!A:A,Fleet!E:E,""),"")</f>
        <v/>
      </c>
      <c r="N467" t="s">
        <v>408</v>
      </c>
      <c r="O467" t="s">
        <v>3157</v>
      </c>
      <c r="P467" t="str">
        <f>_xlfn.XLOOKUP(A467,'Classic Net to delete'!D:D,'Classic Net to delete'!A:A,"")</f>
        <v>3.96m (13')</v>
      </c>
    </row>
    <row r="468" spans="1:16" x14ac:dyDescent="0.25">
      <c r="A468" t="s">
        <v>405</v>
      </c>
      <c r="B468" t="s">
        <v>3953</v>
      </c>
      <c r="C468" t="s">
        <v>406</v>
      </c>
      <c r="D468">
        <v>2.85</v>
      </c>
      <c r="E468" t="s">
        <v>3156</v>
      </c>
      <c r="F468" s="186" t="s">
        <v>369</v>
      </c>
      <c r="H468" t="b">
        <v>1</v>
      </c>
      <c r="I468">
        <v>2.85</v>
      </c>
      <c r="J468" s="186" t="s">
        <v>3951</v>
      </c>
      <c r="M468" t="str">
        <f>IFERROR(_xlfn.XLOOKUP(A468,Fleet!A:A,Fleet!E:E,""),"")</f>
        <v/>
      </c>
      <c r="N468" t="s">
        <v>405</v>
      </c>
      <c r="O468" t="s">
        <v>3157</v>
      </c>
      <c r="P468" t="str">
        <f>_xlfn.XLOOKUP(A468,'Classic Net to delete'!D:D,'Classic Net to delete'!A:A,"")</f>
        <v>3.05m (10')</v>
      </c>
    </row>
    <row r="469" spans="1:16" x14ac:dyDescent="0.25">
      <c r="A469" t="s">
        <v>402</v>
      </c>
      <c r="B469" t="s">
        <v>3953</v>
      </c>
      <c r="C469" t="s">
        <v>403</v>
      </c>
      <c r="D469">
        <v>2.85</v>
      </c>
      <c r="E469" t="s">
        <v>3156</v>
      </c>
      <c r="F469" s="186" t="s">
        <v>369</v>
      </c>
      <c r="H469" t="b">
        <v>1</v>
      </c>
      <c r="I469">
        <v>2.85</v>
      </c>
      <c r="J469" s="186" t="s">
        <v>3951</v>
      </c>
      <c r="M469" t="str">
        <f>IFERROR(_xlfn.XLOOKUP(A469,Fleet!A:A,Fleet!E:E,""),"")</f>
        <v/>
      </c>
      <c r="N469" t="s">
        <v>402</v>
      </c>
      <c r="O469" t="s">
        <v>3157</v>
      </c>
      <c r="P469" t="str">
        <f>_xlfn.XLOOKUP(A469,'Classic Net to delete'!D:D,'Classic Net to delete'!A:A,"")</f>
        <v>2.44m (8')</v>
      </c>
    </row>
    <row r="470" spans="1:16" x14ac:dyDescent="0.25">
      <c r="A470" t="s">
        <v>399</v>
      </c>
      <c r="B470" t="s">
        <v>3953</v>
      </c>
      <c r="C470" t="s">
        <v>400</v>
      </c>
      <c r="D470">
        <v>2.85</v>
      </c>
      <c r="E470" t="s">
        <v>3156</v>
      </c>
      <c r="F470" s="186" t="s">
        <v>369</v>
      </c>
      <c r="H470" t="b">
        <v>1</v>
      </c>
      <c r="I470">
        <v>2.85</v>
      </c>
      <c r="J470" s="186" t="s">
        <v>3951</v>
      </c>
      <c r="M470" t="str">
        <f>IFERROR(_xlfn.XLOOKUP(A470,Fleet!A:A,Fleet!E:E,""),"")</f>
        <v/>
      </c>
      <c r="N470" t="s">
        <v>399</v>
      </c>
      <c r="O470" t="s">
        <v>3157</v>
      </c>
      <c r="P470" t="str">
        <f>_xlfn.XLOOKUP(A470,'Classic Net to delete'!D:D,'Classic Net to delete'!A:A,"")</f>
        <v>1.83m (6')</v>
      </c>
    </row>
    <row r="471" spans="1:16" x14ac:dyDescent="0.25">
      <c r="A471" t="s">
        <v>367</v>
      </c>
      <c r="B471" t="s">
        <v>3953</v>
      </c>
      <c r="C471" t="s">
        <v>368</v>
      </c>
      <c r="D471">
        <v>6.25</v>
      </c>
      <c r="E471" t="s">
        <v>3156</v>
      </c>
      <c r="F471" s="186" t="s">
        <v>369</v>
      </c>
      <c r="H471" t="s">
        <v>22</v>
      </c>
      <c r="I471" t="s">
        <v>22</v>
      </c>
      <c r="J471" s="186" t="s">
        <v>3951</v>
      </c>
      <c r="M471" t="str">
        <f>IFERROR(_xlfn.XLOOKUP(A471,Fleet!A:A,Fleet!E:E,""),"")</f>
        <v/>
      </c>
      <c r="N471" t="s">
        <v>367</v>
      </c>
      <c r="O471" t="s">
        <v>3157</v>
      </c>
      <c r="P471" t="str">
        <f>_xlfn.XLOOKUP(A471,'Classic Net to delete'!D:D,'Classic Net to delete'!A:A,"")</f>
        <v/>
      </c>
    </row>
    <row r="472" spans="1:16" x14ac:dyDescent="0.25">
      <c r="A472" t="s">
        <v>396</v>
      </c>
      <c r="B472" t="s">
        <v>3953</v>
      </c>
      <c r="C472" t="s">
        <v>397</v>
      </c>
      <c r="D472">
        <v>6.25</v>
      </c>
      <c r="E472" t="s">
        <v>3156</v>
      </c>
      <c r="F472" s="186" t="s">
        <v>369</v>
      </c>
      <c r="H472" t="b">
        <v>1</v>
      </c>
      <c r="I472">
        <v>6.25</v>
      </c>
      <c r="J472" s="186" t="s">
        <v>3951</v>
      </c>
      <c r="M472" t="str">
        <f>IFERROR(_xlfn.XLOOKUP(A472,Fleet!A:A,Fleet!E:E,""),"")</f>
        <v/>
      </c>
      <c r="N472" t="s">
        <v>396</v>
      </c>
      <c r="O472" t="s">
        <v>3157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393</v>
      </c>
      <c r="B473" t="s">
        <v>3953</v>
      </c>
      <c r="C473" t="s">
        <v>394</v>
      </c>
      <c r="D473">
        <v>6.25</v>
      </c>
      <c r="E473" t="s">
        <v>3156</v>
      </c>
      <c r="F473" s="186" t="s">
        <v>369</v>
      </c>
      <c r="H473" t="b">
        <v>1</v>
      </c>
      <c r="I473">
        <v>6.25</v>
      </c>
      <c r="J473" s="186" t="s">
        <v>3951</v>
      </c>
      <c r="M473" t="str">
        <f>IFERROR(_xlfn.XLOOKUP(A473,Fleet!A:A,Fleet!E:E,""),"")</f>
        <v/>
      </c>
      <c r="N473" t="s">
        <v>393</v>
      </c>
      <c r="O473" t="s">
        <v>3157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390</v>
      </c>
      <c r="B474" t="s">
        <v>3953</v>
      </c>
      <c r="C474" t="s">
        <v>391</v>
      </c>
      <c r="D474">
        <v>6.25</v>
      </c>
      <c r="E474" t="s">
        <v>3156</v>
      </c>
      <c r="F474" s="186" t="s">
        <v>369</v>
      </c>
      <c r="H474" t="b">
        <v>1</v>
      </c>
      <c r="I474">
        <v>6.25</v>
      </c>
      <c r="J474" s="186" t="s">
        <v>3951</v>
      </c>
      <c r="M474" t="str">
        <f>IFERROR(_xlfn.XLOOKUP(A474,Fleet!A:A,Fleet!E:E,""),"")</f>
        <v/>
      </c>
      <c r="N474" t="s">
        <v>390</v>
      </c>
      <c r="O474" t="s">
        <v>3157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333</v>
      </c>
      <c r="B475" t="s">
        <v>3953</v>
      </c>
      <c r="C475" t="s">
        <v>334</v>
      </c>
      <c r="D475">
        <v>10.050000000000001</v>
      </c>
      <c r="E475" t="s">
        <v>3156</v>
      </c>
      <c r="F475" s="186" t="s">
        <v>3251</v>
      </c>
      <c r="H475" t="b">
        <v>1</v>
      </c>
      <c r="I475">
        <v>10.050000000000001</v>
      </c>
      <c r="J475" s="186" t="s">
        <v>3951</v>
      </c>
      <c r="M475" t="str">
        <f>IFERROR(_xlfn.XLOOKUP(A475,Fleet!A:A,Fleet!E:E,""),"")</f>
        <v/>
      </c>
      <c r="N475" t="s">
        <v>333</v>
      </c>
      <c r="O475" t="s">
        <v>3157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249</v>
      </c>
      <c r="B476" t="s">
        <v>250</v>
      </c>
      <c r="C476" t="s">
        <v>250</v>
      </c>
      <c r="D476">
        <v>22.4</v>
      </c>
      <c r="E476" t="s">
        <v>3071</v>
      </c>
      <c r="F476" s="186" t="s">
        <v>3251</v>
      </c>
      <c r="H476" t="b">
        <v>1</v>
      </c>
      <c r="I476">
        <v>22.400000000000002</v>
      </c>
      <c r="J476" s="186" t="s">
        <v>3951</v>
      </c>
      <c r="M476">
        <f>IFERROR(_xlfn.XLOOKUP(A476,Fleet!A:A,Fleet!E:E,""),"")</f>
        <v>33</v>
      </c>
      <c r="N476" t="s">
        <v>22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252</v>
      </c>
      <c r="B477" t="s">
        <v>253</v>
      </c>
      <c r="C477" t="s">
        <v>253</v>
      </c>
      <c r="D477">
        <v>23.65</v>
      </c>
      <c r="E477" t="s">
        <v>3071</v>
      </c>
      <c r="F477" s="186" t="s">
        <v>3251</v>
      </c>
      <c r="H477" t="b">
        <v>1</v>
      </c>
      <c r="I477">
        <v>23.650000000000002</v>
      </c>
      <c r="J477" s="186" t="s">
        <v>3951</v>
      </c>
      <c r="M477">
        <f>IFERROR(_xlfn.XLOOKUP(A477,Fleet!A:A,Fleet!E:E,""),"")</f>
        <v>53</v>
      </c>
      <c r="N477" t="s">
        <v>22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255</v>
      </c>
      <c r="B478" t="s">
        <v>256</v>
      </c>
      <c r="C478" t="s">
        <v>256</v>
      </c>
      <c r="D478">
        <v>25.25</v>
      </c>
      <c r="E478" t="s">
        <v>3071</v>
      </c>
      <c r="F478" s="186" t="s">
        <v>3251</v>
      </c>
      <c r="H478" t="b">
        <v>1</v>
      </c>
      <c r="I478">
        <v>25.25</v>
      </c>
      <c r="J478" s="186" t="s">
        <v>3951</v>
      </c>
      <c r="M478">
        <f>IFERROR(_xlfn.XLOOKUP(A478,Fleet!A:A,Fleet!E:E,""),"")</f>
        <v>29</v>
      </c>
      <c r="N478" t="s">
        <v>22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258</v>
      </c>
      <c r="B479" t="s">
        <v>259</v>
      </c>
      <c r="C479" t="s">
        <v>259</v>
      </c>
      <c r="D479">
        <v>26.8</v>
      </c>
      <c r="E479" t="s">
        <v>3071</v>
      </c>
      <c r="F479" s="186" t="s">
        <v>3251</v>
      </c>
      <c r="H479" t="b">
        <v>1</v>
      </c>
      <c r="I479">
        <v>26.8</v>
      </c>
      <c r="J479" s="186" t="s">
        <v>3951</v>
      </c>
      <c r="M479">
        <f>IFERROR(_xlfn.XLOOKUP(A479,Fleet!A:A,Fleet!E:E,""),"")</f>
        <v>11</v>
      </c>
      <c r="N479" t="s">
        <v>22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338</v>
      </c>
      <c r="B480" t="s">
        <v>339</v>
      </c>
      <c r="C480" t="s">
        <v>339</v>
      </c>
      <c r="D480">
        <v>40.799999999999997</v>
      </c>
      <c r="E480" t="s">
        <v>3071</v>
      </c>
      <c r="F480" s="186" t="s">
        <v>3251</v>
      </c>
      <c r="H480" t="b">
        <v>1</v>
      </c>
      <c r="I480">
        <v>40.800000000000004</v>
      </c>
      <c r="J480" s="186" t="s">
        <v>3951</v>
      </c>
      <c r="M480">
        <f>IFERROR(_xlfn.XLOOKUP(A480,Fleet!A:A,Fleet!E:E,""),"")</f>
        <v>8</v>
      </c>
      <c r="N480" t="s">
        <v>22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343</v>
      </c>
      <c r="B481" t="s">
        <v>344</v>
      </c>
      <c r="C481" t="s">
        <v>344</v>
      </c>
      <c r="D481">
        <v>42</v>
      </c>
      <c r="E481" t="s">
        <v>3071</v>
      </c>
      <c r="F481" s="186" t="s">
        <v>3251</v>
      </c>
      <c r="H481" t="b">
        <v>1</v>
      </c>
      <c r="I481">
        <v>42</v>
      </c>
      <c r="J481" s="186" t="s">
        <v>3951</v>
      </c>
      <c r="M481">
        <f>IFERROR(_xlfn.XLOOKUP(A481,Fleet!A:A,Fleet!E:E,""),"")</f>
        <v>6</v>
      </c>
      <c r="N481" t="s">
        <v>22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346</v>
      </c>
      <c r="B482" t="s">
        <v>347</v>
      </c>
      <c r="C482" t="s">
        <v>347</v>
      </c>
      <c r="D482">
        <v>43.25</v>
      </c>
      <c r="E482" t="s">
        <v>3071</v>
      </c>
      <c r="F482" s="186" t="s">
        <v>3251</v>
      </c>
      <c r="H482" t="b">
        <v>1</v>
      </c>
      <c r="I482">
        <v>43.25</v>
      </c>
      <c r="J482" s="186" t="s">
        <v>3951</v>
      </c>
      <c r="M482">
        <f>IFERROR(_xlfn.XLOOKUP(A482,Fleet!A:A,Fleet!E:E,""),"")</f>
        <v>2</v>
      </c>
      <c r="N482" t="s">
        <v>22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303</v>
      </c>
      <c r="B483" t="s">
        <v>304</v>
      </c>
      <c r="C483" t="s">
        <v>304</v>
      </c>
      <c r="D483">
        <v>29.3</v>
      </c>
      <c r="E483" t="s">
        <v>3071</v>
      </c>
      <c r="F483" s="186" t="s">
        <v>3251</v>
      </c>
      <c r="H483" t="b">
        <v>1</v>
      </c>
      <c r="I483">
        <v>29.3</v>
      </c>
      <c r="J483" s="186" t="s">
        <v>3951</v>
      </c>
      <c r="M483">
        <f>IFERROR(_xlfn.XLOOKUP(A483,Fleet!A:A,Fleet!E:E,""),"")</f>
        <v>10</v>
      </c>
      <c r="N483" t="s">
        <v>22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306</v>
      </c>
      <c r="B484" t="s">
        <v>307</v>
      </c>
      <c r="C484" t="s">
        <v>307</v>
      </c>
      <c r="D484">
        <v>29.85</v>
      </c>
      <c r="E484" t="s">
        <v>3071</v>
      </c>
      <c r="F484" s="186" t="s">
        <v>3251</v>
      </c>
      <c r="H484" t="b">
        <v>1</v>
      </c>
      <c r="I484">
        <v>29.85</v>
      </c>
      <c r="J484" s="186" t="s">
        <v>3951</v>
      </c>
      <c r="M484">
        <f>IFERROR(_xlfn.XLOOKUP(A484,Fleet!A:A,Fleet!E:E,""),"")</f>
        <v>8</v>
      </c>
      <c r="N484" t="s">
        <v>22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309</v>
      </c>
      <c r="B485" t="s">
        <v>310</v>
      </c>
      <c r="C485" t="s">
        <v>310</v>
      </c>
      <c r="D485">
        <v>32.4</v>
      </c>
      <c r="E485" t="s">
        <v>3071</v>
      </c>
      <c r="F485" s="186" t="s">
        <v>3251</v>
      </c>
      <c r="H485" t="b">
        <v>1</v>
      </c>
      <c r="I485">
        <v>32.4</v>
      </c>
      <c r="J485" s="186" t="s">
        <v>3951</v>
      </c>
      <c r="M485">
        <f>IFERROR(_xlfn.XLOOKUP(A485,Fleet!A:A,Fleet!E:E,""),"")</f>
        <v>3</v>
      </c>
      <c r="N485" t="s">
        <v>22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312</v>
      </c>
      <c r="B486" t="s">
        <v>313</v>
      </c>
      <c r="C486" t="s">
        <v>313</v>
      </c>
      <c r="D486">
        <v>34.85</v>
      </c>
      <c r="E486" t="s">
        <v>3071</v>
      </c>
      <c r="F486" s="186" t="s">
        <v>3251</v>
      </c>
      <c r="H486" t="b">
        <v>1</v>
      </c>
      <c r="I486">
        <v>34.85</v>
      </c>
      <c r="J486" s="186" t="s">
        <v>3951</v>
      </c>
      <c r="M486">
        <f>IFERROR(_xlfn.XLOOKUP(A486,Fleet!A:A,Fleet!E:E,""),"")</f>
        <v>5</v>
      </c>
      <c r="N486" t="s">
        <v>22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315</v>
      </c>
      <c r="B487" t="s">
        <v>316</v>
      </c>
      <c r="C487" t="s">
        <v>316</v>
      </c>
      <c r="D487">
        <v>39.25</v>
      </c>
      <c r="E487" t="s">
        <v>3071</v>
      </c>
      <c r="F487" s="186" t="s">
        <v>3251</v>
      </c>
      <c r="H487" t="b">
        <v>1</v>
      </c>
      <c r="I487">
        <v>39.25</v>
      </c>
      <c r="J487" s="186" t="s">
        <v>3951</v>
      </c>
      <c r="M487">
        <f>IFERROR(_xlfn.XLOOKUP(A487,Fleet!A:A,Fleet!E:E,""),"")</f>
        <v>8</v>
      </c>
      <c r="N487" t="s">
        <v>22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318</v>
      </c>
      <c r="B488" t="s">
        <v>319</v>
      </c>
      <c r="C488" t="s">
        <v>319</v>
      </c>
      <c r="D488">
        <v>42</v>
      </c>
      <c r="E488" t="s">
        <v>3071</v>
      </c>
      <c r="F488" s="186" t="s">
        <v>3251</v>
      </c>
      <c r="H488" t="b">
        <v>1</v>
      </c>
      <c r="I488">
        <v>42</v>
      </c>
      <c r="J488" s="186" t="s">
        <v>3951</v>
      </c>
      <c r="M488">
        <f>IFERROR(_xlfn.XLOOKUP(A488,Fleet!A:A,Fleet!E:E,""),"")</f>
        <v>8</v>
      </c>
      <c r="N488" t="s">
        <v>22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261</v>
      </c>
      <c r="B489" t="s">
        <v>262</v>
      </c>
      <c r="C489" t="s">
        <v>262</v>
      </c>
      <c r="D489">
        <v>25.35</v>
      </c>
      <c r="E489" t="s">
        <v>3071</v>
      </c>
      <c r="F489" s="186" t="s">
        <v>3251</v>
      </c>
      <c r="H489" t="b">
        <v>1</v>
      </c>
      <c r="I489">
        <v>25.35</v>
      </c>
      <c r="J489" s="186" t="s">
        <v>3951</v>
      </c>
      <c r="M489">
        <f>IFERROR(_xlfn.XLOOKUP(A489,Fleet!A:A,Fleet!E:E,""),"")</f>
        <v>2</v>
      </c>
      <c r="N489" t="s">
        <v>22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264</v>
      </c>
      <c r="B490" t="s">
        <v>265</v>
      </c>
      <c r="C490" t="s">
        <v>265</v>
      </c>
      <c r="D490">
        <v>28.95</v>
      </c>
      <c r="E490" t="s">
        <v>3071</v>
      </c>
      <c r="F490" s="186" t="s">
        <v>3251</v>
      </c>
      <c r="H490" t="b">
        <v>1</v>
      </c>
      <c r="I490">
        <v>28.950000000000003</v>
      </c>
      <c r="J490" s="186" t="s">
        <v>3951</v>
      </c>
      <c r="M490">
        <f>IFERROR(_xlfn.XLOOKUP(A490,Fleet!A:A,Fleet!E:E,""),"")</f>
        <v>127</v>
      </c>
      <c r="N490" t="s">
        <v>22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267</v>
      </c>
      <c r="B491" t="s">
        <v>268</v>
      </c>
      <c r="C491" t="s">
        <v>268</v>
      </c>
      <c r="D491">
        <v>30.4</v>
      </c>
      <c r="E491" t="s">
        <v>3071</v>
      </c>
      <c r="F491" s="186" t="s">
        <v>3251</v>
      </c>
      <c r="H491" t="b">
        <v>1</v>
      </c>
      <c r="I491">
        <v>30.400000000000002</v>
      </c>
      <c r="J491" s="186" t="s">
        <v>3951</v>
      </c>
      <c r="M491">
        <f>IFERROR(_xlfn.XLOOKUP(A491,Fleet!A:A,Fleet!E:E,""),"")</f>
        <v>192</v>
      </c>
      <c r="N491" t="s">
        <v>22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270</v>
      </c>
      <c r="B492" t="s">
        <v>271</v>
      </c>
      <c r="C492" t="s">
        <v>271</v>
      </c>
      <c r="D492">
        <v>31.55</v>
      </c>
      <c r="E492" t="s">
        <v>3071</v>
      </c>
      <c r="F492" s="186" t="s">
        <v>3251</v>
      </c>
      <c r="H492" t="b">
        <v>1</v>
      </c>
      <c r="I492">
        <v>31.55</v>
      </c>
      <c r="J492" s="186" t="s">
        <v>3951</v>
      </c>
      <c r="M492">
        <f>IFERROR(_xlfn.XLOOKUP(A492,Fleet!A:A,Fleet!E:E,""),"")</f>
        <v>58</v>
      </c>
      <c r="N492" t="s">
        <v>22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349</v>
      </c>
      <c r="B493" t="s">
        <v>350</v>
      </c>
      <c r="C493" t="s">
        <v>350</v>
      </c>
      <c r="D493">
        <v>34.25</v>
      </c>
      <c r="E493" t="s">
        <v>3071</v>
      </c>
      <c r="F493" s="186" t="s">
        <v>3251</v>
      </c>
      <c r="H493" t="b">
        <v>1</v>
      </c>
      <c r="I493">
        <v>34.25</v>
      </c>
      <c r="J493" s="186" t="s">
        <v>3951</v>
      </c>
      <c r="M493">
        <f>IFERROR(_xlfn.XLOOKUP(A493,Fleet!A:A,Fleet!E:E,""),"")</f>
        <v>1</v>
      </c>
      <c r="N493" t="s">
        <v>22</v>
      </c>
      <c r="P493" t="str">
        <f>_xlfn.XLOOKUP(A493,'Classic Net to delete'!D:D,'Classic Net to delete'!A:A,"")</f>
        <v>3.5m (11'6")</v>
      </c>
    </row>
    <row r="494" spans="1:16" x14ac:dyDescent="0.25">
      <c r="A494" t="s">
        <v>352</v>
      </c>
      <c r="B494" t="s">
        <v>353</v>
      </c>
      <c r="C494" t="s">
        <v>353</v>
      </c>
      <c r="D494">
        <v>35.549999999999997</v>
      </c>
      <c r="E494" t="s">
        <v>3071</v>
      </c>
      <c r="F494" s="186" t="s">
        <v>3251</v>
      </c>
      <c r="H494" t="b">
        <v>1</v>
      </c>
      <c r="I494">
        <v>35.550000000000004</v>
      </c>
      <c r="J494" s="186" t="s">
        <v>3951</v>
      </c>
      <c r="M494">
        <f>IFERROR(_xlfn.XLOOKUP(A494,Fleet!A:A,Fleet!E:E,""),"")</f>
        <v>1</v>
      </c>
      <c r="N494" t="s">
        <v>22</v>
      </c>
      <c r="P494" t="str">
        <f>_xlfn.XLOOKUP(A494,'Classic Net to delete'!D:D,'Classic Net to delete'!A:A,"")</f>
        <v>5.0m (16'5")</v>
      </c>
    </row>
    <row r="495" spans="1:16" x14ac:dyDescent="0.25">
      <c r="A495" t="s">
        <v>355</v>
      </c>
      <c r="B495" t="s">
        <v>356</v>
      </c>
      <c r="C495" t="s">
        <v>356</v>
      </c>
      <c r="D495">
        <v>40.799999999999997</v>
      </c>
      <c r="E495" t="s">
        <v>3071</v>
      </c>
      <c r="F495" s="186" t="s">
        <v>3251</v>
      </c>
      <c r="H495" t="b">
        <v>1</v>
      </c>
      <c r="I495">
        <v>40.800000000000004</v>
      </c>
      <c r="J495" s="186" t="s">
        <v>3951</v>
      </c>
      <c r="M495">
        <f>IFERROR(_xlfn.XLOOKUP(A495,Fleet!A:A,Fleet!E:E,""),"")</f>
        <v>0</v>
      </c>
      <c r="N495" t="s">
        <v>22</v>
      </c>
      <c r="P495" t="str">
        <f>_xlfn.XLOOKUP(A495,'Classic Net to delete'!D:D,'Classic Net to delete'!A:A,"")</f>
        <v>6.0m (19'8")</v>
      </c>
    </row>
    <row r="496" spans="1:16" x14ac:dyDescent="0.25">
      <c r="A496" t="s">
        <v>358</v>
      </c>
      <c r="B496" t="s">
        <v>359</v>
      </c>
      <c r="C496" t="s">
        <v>359</v>
      </c>
      <c r="D496">
        <v>43.95</v>
      </c>
      <c r="E496" t="s">
        <v>3071</v>
      </c>
      <c r="F496" s="186" t="s">
        <v>3251</v>
      </c>
      <c r="H496" t="b">
        <v>1</v>
      </c>
      <c r="I496">
        <v>43.95</v>
      </c>
      <c r="J496" s="186" t="s">
        <v>3951</v>
      </c>
      <c r="M496">
        <f>IFERROR(_xlfn.XLOOKUP(A496,Fleet!A:A,Fleet!E:E,""),"")</f>
        <v>1</v>
      </c>
      <c r="N496" t="s">
        <v>22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361</v>
      </c>
      <c r="B497" t="s">
        <v>362</v>
      </c>
      <c r="C497" t="s">
        <v>362</v>
      </c>
      <c r="D497">
        <v>46.4</v>
      </c>
      <c r="E497" t="s">
        <v>3071</v>
      </c>
      <c r="F497" s="186" t="s">
        <v>3251</v>
      </c>
      <c r="H497" t="b">
        <v>1</v>
      </c>
      <c r="I497">
        <v>46.400000000000006</v>
      </c>
      <c r="J497" s="186" t="s">
        <v>3951</v>
      </c>
      <c r="M497">
        <f>IFERROR(_xlfn.XLOOKUP(A497,Fleet!A:A,Fleet!E:E,""),"")</f>
        <v>4</v>
      </c>
      <c r="N497" t="s">
        <v>22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364</v>
      </c>
      <c r="B498" t="s">
        <v>365</v>
      </c>
      <c r="C498" t="s">
        <v>365</v>
      </c>
      <c r="D498">
        <v>48.95</v>
      </c>
      <c r="E498" t="s">
        <v>3071</v>
      </c>
      <c r="F498" s="186" t="s">
        <v>3251</v>
      </c>
      <c r="H498" t="b">
        <v>1</v>
      </c>
      <c r="I498">
        <v>48.95</v>
      </c>
      <c r="J498" s="186" t="s">
        <v>3951</v>
      </c>
      <c r="M498">
        <f>IFERROR(_xlfn.XLOOKUP(A498,Fleet!A:A,Fleet!E:E,""),"")</f>
        <v>6</v>
      </c>
      <c r="N498" t="s">
        <v>22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294</v>
      </c>
      <c r="B499" t="s">
        <v>295</v>
      </c>
      <c r="C499" t="s">
        <v>295</v>
      </c>
      <c r="D499">
        <v>51.65</v>
      </c>
      <c r="E499" t="s">
        <v>3071</v>
      </c>
      <c r="F499" s="186" t="s">
        <v>3251</v>
      </c>
      <c r="H499" t="b">
        <v>1</v>
      </c>
      <c r="I499" t="s">
        <v>22</v>
      </c>
      <c r="J499" s="186" t="s">
        <v>3951</v>
      </c>
      <c r="M499">
        <f>IFERROR(_xlfn.XLOOKUP(A499,Fleet!A:A,Fleet!E:E,""),"")</f>
        <v>2</v>
      </c>
      <c r="N499" t="s">
        <v>22</v>
      </c>
      <c r="P499" t="str">
        <f>_xlfn.XLOOKUP(A499,'Classic Net to delete'!D:D,'Classic Net to delete'!A:A,"")</f>
        <v/>
      </c>
    </row>
    <row r="500" spans="1:16" x14ac:dyDescent="0.25">
      <c r="A500" t="s">
        <v>321</v>
      </c>
      <c r="B500" t="s">
        <v>322</v>
      </c>
      <c r="C500" t="s">
        <v>322</v>
      </c>
      <c r="D500">
        <v>42</v>
      </c>
      <c r="E500" t="s">
        <v>3071</v>
      </c>
      <c r="F500" s="186" t="s">
        <v>3251</v>
      </c>
      <c r="H500" t="b">
        <v>1</v>
      </c>
      <c r="I500">
        <v>42</v>
      </c>
      <c r="J500" s="186" t="s">
        <v>3951</v>
      </c>
      <c r="M500">
        <f>IFERROR(_xlfn.XLOOKUP(A500,Fleet!A:A,Fleet!E:E,""),"")</f>
        <v>9</v>
      </c>
      <c r="N500" t="s">
        <v>22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324</v>
      </c>
      <c r="B501" t="s">
        <v>325</v>
      </c>
      <c r="C501" t="s">
        <v>325</v>
      </c>
      <c r="D501">
        <v>43.25</v>
      </c>
      <c r="E501" t="s">
        <v>3071</v>
      </c>
      <c r="F501" s="186" t="s">
        <v>3251</v>
      </c>
      <c r="H501" t="b">
        <v>1</v>
      </c>
      <c r="I501">
        <v>43.25</v>
      </c>
      <c r="J501" s="186" t="s">
        <v>3951</v>
      </c>
      <c r="M501">
        <f>IFERROR(_xlfn.XLOOKUP(A501,Fleet!A:A,Fleet!E:E,""),"")</f>
        <v>11</v>
      </c>
      <c r="N501" t="s">
        <v>22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327</v>
      </c>
      <c r="B502" t="s">
        <v>328</v>
      </c>
      <c r="C502" t="s">
        <v>328</v>
      </c>
      <c r="D502">
        <v>45.8</v>
      </c>
      <c r="E502" t="s">
        <v>3071</v>
      </c>
      <c r="F502" s="186" t="s">
        <v>3251</v>
      </c>
      <c r="H502" t="b">
        <v>1</v>
      </c>
      <c r="I502">
        <v>45.800000000000004</v>
      </c>
      <c r="J502" s="186" t="s">
        <v>3951</v>
      </c>
      <c r="M502">
        <f>IFERROR(_xlfn.XLOOKUP(A502,Fleet!A:A,Fleet!E:E,""),"")</f>
        <v>2</v>
      </c>
      <c r="N502" t="s">
        <v>22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330</v>
      </c>
      <c r="B503" t="s">
        <v>331</v>
      </c>
      <c r="C503" t="s">
        <v>331</v>
      </c>
      <c r="D503">
        <v>73.45</v>
      </c>
      <c r="E503" t="s">
        <v>3071</v>
      </c>
      <c r="F503" s="186" t="s">
        <v>3251</v>
      </c>
      <c r="H503" t="b">
        <v>1</v>
      </c>
      <c r="I503">
        <v>73.45</v>
      </c>
      <c r="J503" s="186" t="s">
        <v>3951</v>
      </c>
      <c r="M503">
        <f>IFERROR(_xlfn.XLOOKUP(A503,Fleet!A:A,Fleet!E:E,""),"")</f>
        <v>9</v>
      </c>
      <c r="N503" t="s">
        <v>22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411</v>
      </c>
      <c r="B504" t="s">
        <v>412</v>
      </c>
      <c r="C504" t="s">
        <v>412</v>
      </c>
      <c r="D504">
        <v>17.399999999999999</v>
      </c>
      <c r="E504" t="s">
        <v>3071</v>
      </c>
      <c r="F504" s="186" t="s">
        <v>369</v>
      </c>
      <c r="H504" t="b">
        <v>1</v>
      </c>
      <c r="I504">
        <v>17.400000000000002</v>
      </c>
      <c r="J504" s="186" t="s">
        <v>3951</v>
      </c>
      <c r="M504">
        <f>IFERROR(_xlfn.XLOOKUP(A504,Fleet!A:A,Fleet!E:E,""),"")</f>
        <v>11</v>
      </c>
      <c r="N504" t="s">
        <v>22</v>
      </c>
      <c r="P504" t="str">
        <f>_xlfn.XLOOKUP(A504,'Classic Net to delete'!D:D,'Classic Net to delete'!A:A,"")</f>
        <v>2.4m (7'10")</v>
      </c>
    </row>
    <row r="505" spans="1:16" x14ac:dyDescent="0.25">
      <c r="A505" t="s">
        <v>414</v>
      </c>
      <c r="B505" t="s">
        <v>415</v>
      </c>
      <c r="C505" t="s">
        <v>415</v>
      </c>
      <c r="D505">
        <v>19.8</v>
      </c>
      <c r="E505" t="s">
        <v>3071</v>
      </c>
      <c r="F505" s="186" t="s">
        <v>369</v>
      </c>
      <c r="H505" t="b">
        <v>1</v>
      </c>
      <c r="I505">
        <v>19.8</v>
      </c>
      <c r="J505" s="186" t="s">
        <v>3951</v>
      </c>
      <c r="M505">
        <f>IFERROR(_xlfn.XLOOKUP(A505,Fleet!A:A,Fleet!E:E,""),"")</f>
        <v>15</v>
      </c>
      <c r="N505" t="s">
        <v>22</v>
      </c>
      <c r="P505" t="str">
        <f>_xlfn.XLOOKUP(A505,'Classic Net to delete'!D:D,'Classic Net to delete'!A:A,"")</f>
        <v>3.0m (9'10")</v>
      </c>
    </row>
    <row r="506" spans="1:16" x14ac:dyDescent="0.25">
      <c r="A506" t="s">
        <v>416</v>
      </c>
      <c r="B506" t="s">
        <v>417</v>
      </c>
      <c r="C506" t="s">
        <v>417</v>
      </c>
      <c r="D506">
        <v>22.4</v>
      </c>
      <c r="E506" t="s">
        <v>3071</v>
      </c>
      <c r="F506" s="186" t="s">
        <v>369</v>
      </c>
      <c r="H506" t="b">
        <v>1</v>
      </c>
      <c r="I506">
        <v>22.400000000000002</v>
      </c>
      <c r="J506" s="186" t="s">
        <v>3951</v>
      </c>
      <c r="M506">
        <f>IFERROR(_xlfn.XLOOKUP(A506,Fleet!A:A,Fleet!E:E,""),"")</f>
        <v>16</v>
      </c>
      <c r="N506" t="s">
        <v>22</v>
      </c>
      <c r="P506" t="str">
        <f>_xlfn.XLOOKUP(A506,'Classic Net to delete'!D:D,'Classic Net to delete'!A:A,"")</f>
        <v>3.6m (11'10")</v>
      </c>
    </row>
    <row r="507" spans="1:16" x14ac:dyDescent="0.25">
      <c r="A507" t="s">
        <v>418</v>
      </c>
      <c r="B507" t="s">
        <v>419</v>
      </c>
      <c r="C507" t="s">
        <v>419</v>
      </c>
      <c r="D507">
        <v>24.45</v>
      </c>
      <c r="E507" t="s">
        <v>3071</v>
      </c>
      <c r="F507" s="186" t="s">
        <v>369</v>
      </c>
      <c r="H507" t="b">
        <v>1</v>
      </c>
      <c r="I507">
        <v>24.450000000000003</v>
      </c>
      <c r="J507" s="186" t="s">
        <v>3951</v>
      </c>
      <c r="M507">
        <f>IFERROR(_xlfn.XLOOKUP(A507,Fleet!A:A,Fleet!E:E,""),"")</f>
        <v>18</v>
      </c>
      <c r="N507" t="s">
        <v>22</v>
      </c>
      <c r="P507" t="str">
        <f>_xlfn.XLOOKUP(A507,'Classic Net to delete'!D:D,'Classic Net to delete'!A:A,"")</f>
        <v>4.2m (13'9")</v>
      </c>
    </row>
    <row r="508" spans="1:16" x14ac:dyDescent="0.25">
      <c r="A508" t="s">
        <v>421</v>
      </c>
      <c r="B508" t="s">
        <v>422</v>
      </c>
      <c r="C508" t="s">
        <v>422</v>
      </c>
      <c r="D508">
        <v>27.75</v>
      </c>
      <c r="E508" t="s">
        <v>3071</v>
      </c>
      <c r="F508" s="186" t="s">
        <v>369</v>
      </c>
      <c r="H508" t="b">
        <v>1</v>
      </c>
      <c r="I508">
        <v>27.75</v>
      </c>
      <c r="J508" s="186" t="s">
        <v>3951</v>
      </c>
      <c r="M508">
        <f>IFERROR(_xlfn.XLOOKUP(A508,Fleet!A:A,Fleet!E:E,""),"")</f>
        <v>7</v>
      </c>
      <c r="N508" t="s">
        <v>22</v>
      </c>
      <c r="P508" t="str">
        <f>_xlfn.XLOOKUP(A508,'Classic Net to delete'!D:D,'Classic Net to delete'!A:A,"")</f>
        <v>4.8m (15'9")</v>
      </c>
    </row>
    <row r="509" spans="1:16" x14ac:dyDescent="0.25">
      <c r="A509" t="s">
        <v>424</v>
      </c>
      <c r="B509" t="s">
        <v>425</v>
      </c>
      <c r="C509" t="s">
        <v>425</v>
      </c>
      <c r="D509">
        <v>31.9</v>
      </c>
      <c r="E509" t="s">
        <v>3071</v>
      </c>
      <c r="F509" s="186" t="s">
        <v>369</v>
      </c>
      <c r="H509" t="b">
        <v>1</v>
      </c>
      <c r="I509">
        <v>31.900000000000002</v>
      </c>
      <c r="J509" s="186" t="s">
        <v>3951</v>
      </c>
      <c r="M509">
        <f>IFERROR(_xlfn.XLOOKUP(A509,Fleet!A:A,Fleet!E:E,""),"")</f>
        <v>8</v>
      </c>
      <c r="N509" t="s">
        <v>22</v>
      </c>
      <c r="P509" t="str">
        <f>_xlfn.XLOOKUP(A509,'Classic Net to delete'!D:D,'Classic Net to delete'!A:A,"")</f>
        <v>5.4m (17'9")</v>
      </c>
    </row>
    <row r="510" spans="1:16" x14ac:dyDescent="0.25">
      <c r="A510" t="s">
        <v>427</v>
      </c>
      <c r="B510" t="s">
        <v>428</v>
      </c>
      <c r="C510" t="s">
        <v>428</v>
      </c>
      <c r="D510">
        <v>35.700000000000003</v>
      </c>
      <c r="E510" t="s">
        <v>3071</v>
      </c>
      <c r="F510" s="186" t="s">
        <v>369</v>
      </c>
      <c r="H510" t="b">
        <v>1</v>
      </c>
      <c r="I510">
        <v>35.700000000000003</v>
      </c>
      <c r="J510" s="186" t="s">
        <v>3951</v>
      </c>
      <c r="M510">
        <f>IFERROR(_xlfn.XLOOKUP(A510,Fleet!A:A,Fleet!E:E,""),"")</f>
        <v>23</v>
      </c>
      <c r="N510" t="s">
        <v>22</v>
      </c>
      <c r="P510" t="str">
        <f>_xlfn.XLOOKUP(A510,'Classic Net to delete'!D:D,'Classic Net to delete'!A:A,"")</f>
        <v>6.0m (19'8")</v>
      </c>
    </row>
    <row r="511" spans="1:16" x14ac:dyDescent="0.25">
      <c r="A511" t="s">
        <v>429</v>
      </c>
      <c r="B511" t="s">
        <v>430</v>
      </c>
      <c r="C511" t="s">
        <v>430</v>
      </c>
      <c r="D511">
        <v>41</v>
      </c>
      <c r="E511" t="s">
        <v>3071</v>
      </c>
      <c r="F511" s="186" t="s">
        <v>369</v>
      </c>
      <c r="H511" t="b">
        <v>1</v>
      </c>
      <c r="I511">
        <v>41</v>
      </c>
      <c r="J511" s="186" t="s">
        <v>3951</v>
      </c>
      <c r="M511">
        <f>IFERROR(_xlfn.XLOOKUP(A511,Fleet!A:A,Fleet!E:E,""),"")</f>
        <v>3</v>
      </c>
      <c r="N511" t="s">
        <v>22</v>
      </c>
      <c r="P511" t="str">
        <f>_xlfn.XLOOKUP(A511,'Classic Net to delete'!D:D,'Classic Net to delete'!A:A,"")</f>
        <v>3.6m (11'10")</v>
      </c>
    </row>
    <row r="512" spans="1:16" x14ac:dyDescent="0.25">
      <c r="A512" t="s">
        <v>435</v>
      </c>
      <c r="B512" t="s">
        <v>436</v>
      </c>
      <c r="C512" t="s">
        <v>436</v>
      </c>
      <c r="D512">
        <v>55.45</v>
      </c>
      <c r="E512" t="s">
        <v>3071</v>
      </c>
      <c r="F512" s="186" t="s">
        <v>369</v>
      </c>
      <c r="H512" t="b">
        <v>1</v>
      </c>
      <c r="I512">
        <v>55.45</v>
      </c>
      <c r="J512" s="186" t="s">
        <v>3951</v>
      </c>
      <c r="M512">
        <f>IFERROR(_xlfn.XLOOKUP(A512,Fleet!A:A,Fleet!E:E,""),"")</f>
        <v>1</v>
      </c>
      <c r="N512" t="s">
        <v>22</v>
      </c>
      <c r="P512" t="str">
        <f>_xlfn.XLOOKUP(A512,'Classic Net to delete'!D:D,'Classic Net to delete'!A:A,"")</f>
        <v>6.0m (19'8")</v>
      </c>
    </row>
    <row r="513" spans="1:16" x14ac:dyDescent="0.25">
      <c r="A513" t="s">
        <v>340</v>
      </c>
      <c r="B513" t="s">
        <v>341</v>
      </c>
      <c r="C513" t="s">
        <v>341</v>
      </c>
      <c r="D513">
        <v>41.4</v>
      </c>
      <c r="E513" t="s">
        <v>3071</v>
      </c>
      <c r="F513" s="186" t="s">
        <v>3251</v>
      </c>
      <c r="H513" t="b">
        <v>1</v>
      </c>
      <c r="I513">
        <v>41.400000000000006</v>
      </c>
      <c r="J513" s="186" t="s">
        <v>3951</v>
      </c>
      <c r="M513">
        <f>IFERROR(_xlfn.XLOOKUP(A513,Fleet!A:A,Fleet!E:E,""),"")</f>
        <v>4</v>
      </c>
      <c r="N513" t="s">
        <v>22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291</v>
      </c>
      <c r="B514" t="s">
        <v>292</v>
      </c>
      <c r="C514" t="s">
        <v>292</v>
      </c>
      <c r="D514">
        <v>65.05</v>
      </c>
      <c r="E514" t="s">
        <v>3071</v>
      </c>
      <c r="F514" s="186" t="s">
        <v>3251</v>
      </c>
      <c r="H514" t="b">
        <v>1</v>
      </c>
      <c r="I514">
        <v>65.05</v>
      </c>
      <c r="J514" s="186" t="s">
        <v>3951</v>
      </c>
      <c r="M514">
        <f>IFERROR(_xlfn.XLOOKUP(A514,Fleet!A:A,Fleet!E:E,""),"")</f>
        <v>1</v>
      </c>
      <c r="N514" t="s">
        <v>22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223</v>
      </c>
      <c r="B515" t="s">
        <v>224</v>
      </c>
      <c r="C515" t="s">
        <v>224</v>
      </c>
      <c r="D515">
        <v>66.349999999999994</v>
      </c>
      <c r="E515" t="s">
        <v>3071</v>
      </c>
      <c r="F515" s="186" t="s">
        <v>201</v>
      </c>
      <c r="H515" t="b">
        <v>1</v>
      </c>
      <c r="I515">
        <v>66.350000000000009</v>
      </c>
      <c r="J515" s="186" t="s">
        <v>3951</v>
      </c>
      <c r="M515">
        <f>IFERROR(_xlfn.XLOOKUP(A515,Fleet!A:A,Fleet!E:E,""),"")</f>
        <v>103</v>
      </c>
      <c r="N515" t="s">
        <v>22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232</v>
      </c>
      <c r="B516" t="s">
        <v>233</v>
      </c>
      <c r="C516" t="s">
        <v>233</v>
      </c>
      <c r="D516">
        <v>8.0500000000000007</v>
      </c>
      <c r="E516" t="s">
        <v>3071</v>
      </c>
      <c r="F516" s="186" t="s">
        <v>201</v>
      </c>
      <c r="H516" t="b">
        <v>1</v>
      </c>
      <c r="I516">
        <v>8.0500000000000007</v>
      </c>
      <c r="J516" s="186" t="s">
        <v>3951</v>
      </c>
      <c r="M516">
        <f>IFERROR(_xlfn.XLOOKUP(A516,Fleet!A:A,Fleet!E:E,""),"")</f>
        <v>5</v>
      </c>
      <c r="N516" t="s">
        <v>22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193</v>
      </c>
      <c r="B517" t="s">
        <v>194</v>
      </c>
      <c r="C517" t="s">
        <v>194</v>
      </c>
      <c r="D517">
        <v>47.15</v>
      </c>
      <c r="E517" t="s">
        <v>3071</v>
      </c>
      <c r="F517" s="186" t="s">
        <v>3253</v>
      </c>
      <c r="H517" t="b">
        <v>1</v>
      </c>
      <c r="I517">
        <v>47.150000000000006</v>
      </c>
      <c r="J517" s="186" t="s">
        <v>3951</v>
      </c>
      <c r="M517">
        <f>IFERROR(_xlfn.XLOOKUP(A517,Fleet!A:A,Fleet!E:E,""),"")</f>
        <v>2</v>
      </c>
      <c r="N517" t="s">
        <v>22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24</v>
      </c>
      <c r="B518" t="s">
        <v>25</v>
      </c>
      <c r="C518" t="s">
        <v>25</v>
      </c>
      <c r="E518" t="s">
        <v>3071</v>
      </c>
      <c r="F518" s="186" t="s">
        <v>23</v>
      </c>
      <c r="H518" t="b">
        <v>1</v>
      </c>
      <c r="I518" t="s">
        <v>22</v>
      </c>
      <c r="J518" s="186" t="s">
        <v>3951</v>
      </c>
      <c r="M518" t="str">
        <f>IFERROR(_xlfn.XLOOKUP(A518,Fleet!A:A,Fleet!E:E,""),"")</f>
        <v/>
      </c>
      <c r="N518" t="s">
        <v>22</v>
      </c>
      <c r="P518" t="str">
        <f>_xlfn.XLOOKUP(A518,'Classic Net to delete'!D:D,'Classic Net to delete'!A:A,"")</f>
        <v/>
      </c>
    </row>
    <row r="519" spans="1:16" x14ac:dyDescent="0.25">
      <c r="A519" t="s">
        <v>199</v>
      </c>
      <c r="B519" t="s">
        <v>200</v>
      </c>
      <c r="C519" t="s">
        <v>200</v>
      </c>
      <c r="D519">
        <v>57.2</v>
      </c>
      <c r="E519" t="s">
        <v>3071</v>
      </c>
      <c r="F519" s="186" t="s">
        <v>201</v>
      </c>
      <c r="H519" t="b">
        <v>1</v>
      </c>
      <c r="I519" t="s">
        <v>22</v>
      </c>
      <c r="J519" s="186" t="s">
        <v>3951</v>
      </c>
      <c r="M519">
        <f>IFERROR(_xlfn.XLOOKUP(A519,Fleet!A:A,Fleet!E:E,""),"")</f>
        <v>21</v>
      </c>
      <c r="N519" t="s">
        <v>22</v>
      </c>
      <c r="P519" t="str">
        <f>_xlfn.XLOOKUP(A519,'Classic Net to delete'!D:D,'Classic Net to delete'!A:A,"")</f>
        <v/>
      </c>
    </row>
    <row r="520" spans="1:16" x14ac:dyDescent="0.25">
      <c r="A520" t="s">
        <v>208</v>
      </c>
      <c r="B520" t="s">
        <v>209</v>
      </c>
      <c r="C520" t="s">
        <v>209</v>
      </c>
      <c r="D520">
        <v>106.15</v>
      </c>
      <c r="E520" t="s">
        <v>3071</v>
      </c>
      <c r="F520" s="186" t="s">
        <v>201</v>
      </c>
      <c r="H520" t="b">
        <v>1</v>
      </c>
      <c r="I520" t="s">
        <v>22</v>
      </c>
      <c r="J520" s="186" t="s">
        <v>3951</v>
      </c>
      <c r="M520">
        <f>IFERROR(_xlfn.XLOOKUP(A520,Fleet!A:A,Fleet!E:E,""),"")</f>
        <v>23</v>
      </c>
      <c r="N520" t="s">
        <v>22</v>
      </c>
      <c r="P520" t="str">
        <f>_xlfn.XLOOKUP(A520,'Classic Net to delete'!D:D,'Classic Net to delete'!A:A,"")</f>
        <v/>
      </c>
    </row>
    <row r="521" spans="1:16" x14ac:dyDescent="0.25">
      <c r="A521" t="s">
        <v>288</v>
      </c>
      <c r="B521" t="s">
        <v>289</v>
      </c>
      <c r="C521" t="s">
        <v>289</v>
      </c>
      <c r="D521">
        <v>55.45</v>
      </c>
      <c r="E521" t="s">
        <v>3071</v>
      </c>
      <c r="F521" s="186" t="s">
        <v>3251</v>
      </c>
      <c r="H521" t="b">
        <v>1</v>
      </c>
      <c r="I521">
        <v>55.45</v>
      </c>
      <c r="J521" s="186" t="s">
        <v>3951</v>
      </c>
      <c r="M521">
        <f>IFERROR(_xlfn.XLOOKUP(A521,Fleet!A:A,Fleet!E:E,""),"")</f>
        <v>3</v>
      </c>
      <c r="N521" t="s">
        <v>22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217</v>
      </c>
      <c r="B522" t="s">
        <v>218</v>
      </c>
      <c r="C522" t="s">
        <v>218</v>
      </c>
      <c r="D522">
        <v>57.2</v>
      </c>
      <c r="E522" t="s">
        <v>3071</v>
      </c>
      <c r="F522" s="186" t="s">
        <v>201</v>
      </c>
      <c r="H522" t="b">
        <v>1</v>
      </c>
      <c r="I522">
        <v>57.2</v>
      </c>
      <c r="J522" s="186" t="s">
        <v>3951</v>
      </c>
      <c r="M522">
        <f>IFERROR(_xlfn.XLOOKUP(A522,Fleet!A:A,Fleet!E:E,""),"")</f>
        <v>10</v>
      </c>
      <c r="N522" t="s">
        <v>22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214</v>
      </c>
      <c r="B523" t="s">
        <v>215</v>
      </c>
      <c r="C523" t="s">
        <v>215</v>
      </c>
      <c r="D523">
        <v>62.5</v>
      </c>
      <c r="E523" t="s">
        <v>3071</v>
      </c>
      <c r="F523" s="186" t="s">
        <v>3252</v>
      </c>
      <c r="H523" t="b">
        <v>1</v>
      </c>
      <c r="I523">
        <v>62.5</v>
      </c>
      <c r="J523" s="186" t="s">
        <v>3951</v>
      </c>
      <c r="M523">
        <f>IFERROR(_xlfn.XLOOKUP(A523,Fleet!A:A,Fleet!E:E,""),"")</f>
        <v>25</v>
      </c>
      <c r="N523" t="s">
        <v>22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297</v>
      </c>
      <c r="B524" t="s">
        <v>298</v>
      </c>
      <c r="C524" t="s">
        <v>298</v>
      </c>
      <c r="D524">
        <v>53.05</v>
      </c>
      <c r="E524" t="s">
        <v>3071</v>
      </c>
      <c r="F524" s="186" t="s">
        <v>3251</v>
      </c>
      <c r="H524" t="b">
        <v>1</v>
      </c>
      <c r="I524">
        <v>53.050000000000004</v>
      </c>
      <c r="J524" s="186" t="s">
        <v>3951</v>
      </c>
      <c r="M524">
        <f>IFERROR(_xlfn.XLOOKUP(A524,Fleet!A:A,Fleet!E:E,""),"")</f>
        <v>4</v>
      </c>
      <c r="N524" t="s">
        <v>22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300</v>
      </c>
      <c r="B525" t="s">
        <v>301</v>
      </c>
      <c r="C525" t="s">
        <v>301</v>
      </c>
      <c r="D525">
        <v>69.3</v>
      </c>
      <c r="E525" t="s">
        <v>3071</v>
      </c>
      <c r="F525" s="186" t="s">
        <v>3251</v>
      </c>
      <c r="H525" t="b">
        <v>1</v>
      </c>
      <c r="I525">
        <v>69.3</v>
      </c>
      <c r="J525" s="186" t="s">
        <v>3951</v>
      </c>
      <c r="M525">
        <f>IFERROR(_xlfn.XLOOKUP(A525,Fleet!A:A,Fleet!E:E,""),"")</f>
        <v>2</v>
      </c>
      <c r="N525" t="s">
        <v>22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34</v>
      </c>
      <c r="B526" t="s">
        <v>3073</v>
      </c>
      <c r="C526" t="s">
        <v>3255</v>
      </c>
      <c r="D526">
        <v>250.3</v>
      </c>
      <c r="E526" t="s">
        <v>3071</v>
      </c>
      <c r="F526" s="186" t="s">
        <v>23</v>
      </c>
      <c r="H526" t="b">
        <v>1</v>
      </c>
      <c r="I526">
        <v>250.3</v>
      </c>
      <c r="J526" s="186" t="s">
        <v>3951</v>
      </c>
      <c r="M526">
        <f>IFERROR(_xlfn.XLOOKUP(A526,Fleet!A:A,Fleet!E:E,""),"")</f>
        <v>10</v>
      </c>
      <c r="N526" t="s">
        <v>22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30</v>
      </c>
      <c r="B527" t="s">
        <v>31</v>
      </c>
      <c r="C527" t="s">
        <v>31</v>
      </c>
      <c r="D527">
        <v>173.9</v>
      </c>
      <c r="E527" t="s">
        <v>3071</v>
      </c>
      <c r="F527" s="186" t="s">
        <v>23</v>
      </c>
      <c r="H527" t="b">
        <v>1</v>
      </c>
      <c r="I527">
        <v>173.9</v>
      </c>
      <c r="J527" s="186" t="s">
        <v>3951</v>
      </c>
      <c r="M527">
        <f>IFERROR(_xlfn.XLOOKUP(A527,Fleet!A:A,Fleet!E:E,""),"")</f>
        <v>12</v>
      </c>
      <c r="N527" t="s">
        <v>22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241</v>
      </c>
      <c r="B528" t="s">
        <v>242</v>
      </c>
      <c r="C528" t="s">
        <v>242</v>
      </c>
      <c r="D528">
        <v>54.85</v>
      </c>
      <c r="E528" t="s">
        <v>3071</v>
      </c>
      <c r="F528" s="186" t="s">
        <v>201</v>
      </c>
      <c r="H528" t="b">
        <v>1</v>
      </c>
      <c r="I528">
        <v>54.85</v>
      </c>
      <c r="J528" s="186" t="s">
        <v>3951</v>
      </c>
      <c r="M528">
        <f>IFERROR(_xlfn.XLOOKUP(A528,Fleet!A:A,Fleet!E:E,""),"")</f>
        <v>293</v>
      </c>
      <c r="N528" t="s">
        <v>22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187</v>
      </c>
      <c r="B529" t="s">
        <v>188</v>
      </c>
      <c r="C529" t="s">
        <v>188</v>
      </c>
      <c r="D529">
        <v>151.55000000000001</v>
      </c>
      <c r="E529" t="s">
        <v>3071</v>
      </c>
      <c r="F529" s="186" t="s">
        <v>3253</v>
      </c>
      <c r="H529" t="b">
        <v>1</v>
      </c>
      <c r="I529">
        <v>151.55000000000001</v>
      </c>
      <c r="J529" s="186" t="s">
        <v>3951</v>
      </c>
      <c r="M529">
        <f>IFERROR(_xlfn.XLOOKUP(A529,Fleet!A:A,Fleet!E:E,""),"")</f>
        <v>36</v>
      </c>
      <c r="N529" t="s">
        <v>22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42</v>
      </c>
      <c r="B530" t="s">
        <v>43</v>
      </c>
      <c r="C530" t="s">
        <v>43</v>
      </c>
      <c r="D530">
        <v>199.65</v>
      </c>
      <c r="E530" t="s">
        <v>3071</v>
      </c>
      <c r="F530" s="186" t="s">
        <v>23</v>
      </c>
      <c r="H530" t="b">
        <v>1</v>
      </c>
      <c r="I530">
        <v>199.65</v>
      </c>
      <c r="J530" s="186" t="s">
        <v>3951</v>
      </c>
      <c r="M530">
        <f>IFERROR(_xlfn.XLOOKUP(A530,Fleet!A:A,Fleet!E:E,""),"")</f>
        <v>133</v>
      </c>
      <c r="N530" t="s">
        <v>22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202</v>
      </c>
      <c r="B531" t="s">
        <v>203</v>
      </c>
      <c r="C531" t="s">
        <v>203</v>
      </c>
      <c r="D531">
        <v>57.2</v>
      </c>
      <c r="E531" t="s">
        <v>3071</v>
      </c>
      <c r="F531" s="186" t="s">
        <v>201</v>
      </c>
      <c r="H531" t="b">
        <v>1</v>
      </c>
      <c r="I531" t="s">
        <v>22</v>
      </c>
      <c r="J531" s="186" t="s">
        <v>3951</v>
      </c>
      <c r="M531">
        <f>IFERROR(_xlfn.XLOOKUP(A531,Fleet!A:A,Fleet!E:E,""),"")</f>
        <v>93</v>
      </c>
      <c r="N531" t="s">
        <v>22</v>
      </c>
      <c r="P531" t="str">
        <f>_xlfn.XLOOKUP(A531,'Classic Net to delete'!D:D,'Classic Net to delete'!A:A,"")</f>
        <v/>
      </c>
    </row>
    <row r="532" spans="1:16" x14ac:dyDescent="0.25">
      <c r="A532" t="s">
        <v>204</v>
      </c>
      <c r="B532" t="s">
        <v>205</v>
      </c>
      <c r="C532" t="s">
        <v>205</v>
      </c>
      <c r="D532">
        <v>66.349999999999994</v>
      </c>
      <c r="E532" t="s">
        <v>3071</v>
      </c>
      <c r="F532" s="186" t="s">
        <v>201</v>
      </c>
      <c r="H532" t="b">
        <v>1</v>
      </c>
      <c r="I532" t="s">
        <v>22</v>
      </c>
      <c r="J532" s="186" t="s">
        <v>3951</v>
      </c>
      <c r="M532">
        <f>IFERROR(_xlfn.XLOOKUP(A532,Fleet!A:A,Fleet!E:E,""),"")</f>
        <v>86</v>
      </c>
      <c r="N532" t="s">
        <v>22</v>
      </c>
      <c r="P532" t="str">
        <f>_xlfn.XLOOKUP(A532,'Classic Net to delete'!D:D,'Classic Net to delete'!A:A,"")</f>
        <v/>
      </c>
    </row>
    <row r="533" spans="1:16" x14ac:dyDescent="0.25">
      <c r="A533" t="s">
        <v>226</v>
      </c>
      <c r="B533" t="s">
        <v>227</v>
      </c>
      <c r="C533" t="s">
        <v>227</v>
      </c>
      <c r="D533">
        <v>106.15</v>
      </c>
      <c r="E533" t="s">
        <v>3071</v>
      </c>
      <c r="F533" s="186" t="s">
        <v>201</v>
      </c>
      <c r="H533" t="b">
        <v>1</v>
      </c>
      <c r="I533">
        <v>106.15</v>
      </c>
      <c r="J533" s="186" t="s">
        <v>3951</v>
      </c>
      <c r="M533">
        <f>IFERROR(_xlfn.XLOOKUP(A533,Fleet!A:A,Fleet!E:E,""),"")</f>
        <v>51</v>
      </c>
      <c r="N533" t="s">
        <v>22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220</v>
      </c>
      <c r="B534" t="s">
        <v>221</v>
      </c>
      <c r="C534" t="s">
        <v>221</v>
      </c>
      <c r="D534">
        <v>57.2</v>
      </c>
      <c r="E534" t="s">
        <v>3071</v>
      </c>
      <c r="F534" s="186" t="s">
        <v>201</v>
      </c>
      <c r="H534" t="b">
        <v>1</v>
      </c>
      <c r="I534">
        <v>57.2</v>
      </c>
      <c r="J534" s="186" t="s">
        <v>3951</v>
      </c>
      <c r="M534">
        <f>IFERROR(_xlfn.XLOOKUP(A534,Fleet!A:A,Fleet!E:E,""),"")</f>
        <v>4</v>
      </c>
      <c r="N534" t="s">
        <v>22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196</v>
      </c>
      <c r="B535" t="s">
        <v>197</v>
      </c>
      <c r="C535" t="s">
        <v>197</v>
      </c>
      <c r="D535">
        <v>48.65</v>
      </c>
      <c r="E535" t="s">
        <v>3071</v>
      </c>
      <c r="F535" s="186" t="s">
        <v>3253</v>
      </c>
      <c r="H535" t="b">
        <v>1</v>
      </c>
      <c r="I535">
        <v>48.650000000000006</v>
      </c>
      <c r="J535" s="186" t="s">
        <v>3951</v>
      </c>
      <c r="M535">
        <f>IFERROR(_xlfn.XLOOKUP(A535,Fleet!A:A,Fleet!E:E,""),"")</f>
        <v>59</v>
      </c>
      <c r="N535" t="s">
        <v>22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190</v>
      </c>
      <c r="B536" t="s">
        <v>191</v>
      </c>
      <c r="C536" t="s">
        <v>191</v>
      </c>
      <c r="D536">
        <v>193.15</v>
      </c>
      <c r="E536" t="s">
        <v>3071</v>
      </c>
      <c r="F536" s="186" t="s">
        <v>3253</v>
      </c>
      <c r="H536" t="b">
        <v>1</v>
      </c>
      <c r="I536">
        <v>193.15</v>
      </c>
      <c r="J536" s="186" t="s">
        <v>3951</v>
      </c>
      <c r="M536">
        <f>IFERROR(_xlfn.XLOOKUP(A536,Fleet!A:A,Fleet!E:E,""),"")</f>
        <v>8</v>
      </c>
      <c r="N536" t="s">
        <v>22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229</v>
      </c>
      <c r="B537" t="s">
        <v>230</v>
      </c>
      <c r="C537" t="s">
        <v>230</v>
      </c>
      <c r="D537">
        <v>141.5</v>
      </c>
      <c r="E537" t="s">
        <v>3071</v>
      </c>
      <c r="F537" s="186" t="s">
        <v>201</v>
      </c>
      <c r="H537" t="b">
        <v>1</v>
      </c>
      <c r="I537">
        <v>141.5</v>
      </c>
      <c r="J537" s="186" t="s">
        <v>3951</v>
      </c>
      <c r="M537">
        <f>IFERROR(_xlfn.XLOOKUP(A537,Fleet!A:A,Fleet!E:E,""),"")</f>
        <v>2</v>
      </c>
      <c r="N537" t="s">
        <v>22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235</v>
      </c>
      <c r="B538" t="s">
        <v>236</v>
      </c>
      <c r="C538" t="s">
        <v>236</v>
      </c>
      <c r="D538">
        <v>13.3</v>
      </c>
      <c r="E538" t="s">
        <v>3071</v>
      </c>
      <c r="F538" s="186" t="s">
        <v>201</v>
      </c>
      <c r="H538" t="b">
        <v>1</v>
      </c>
      <c r="I538">
        <v>13.3</v>
      </c>
      <c r="J538" s="186" t="s">
        <v>3951</v>
      </c>
      <c r="M538">
        <f>IFERROR(_xlfn.XLOOKUP(A538,Fleet!A:A,Fleet!E:E,""),"")</f>
        <v>33</v>
      </c>
      <c r="N538" t="s">
        <v>22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38</v>
      </c>
      <c r="B539" t="s">
        <v>39</v>
      </c>
      <c r="C539" t="s">
        <v>39</v>
      </c>
      <c r="D539">
        <v>152</v>
      </c>
      <c r="E539" t="s">
        <v>3071</v>
      </c>
      <c r="F539" s="186" t="s">
        <v>23</v>
      </c>
      <c r="H539" t="b">
        <v>1</v>
      </c>
      <c r="I539">
        <v>152</v>
      </c>
      <c r="J539" s="186" t="s">
        <v>3951</v>
      </c>
      <c r="M539">
        <f>IFERROR(_xlfn.XLOOKUP(A539,Fleet!A:A,Fleet!E:E,""),"")</f>
        <v>117</v>
      </c>
      <c r="N539" t="s">
        <v>22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238</v>
      </c>
      <c r="B540" t="s">
        <v>239</v>
      </c>
      <c r="C540" t="s">
        <v>239</v>
      </c>
      <c r="D540">
        <v>13.3</v>
      </c>
      <c r="E540" t="s">
        <v>3071</v>
      </c>
      <c r="F540" s="186" t="s">
        <v>201</v>
      </c>
      <c r="H540" t="b">
        <v>1</v>
      </c>
      <c r="I540">
        <v>13.3</v>
      </c>
      <c r="J540" s="186" t="s">
        <v>3951</v>
      </c>
      <c r="M540">
        <f>IFERROR(_xlfn.XLOOKUP(A540,Fleet!A:A,Fleet!E:E,""),"")</f>
        <v>2</v>
      </c>
      <c r="N540" t="s">
        <v>22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285</v>
      </c>
      <c r="B541" t="s">
        <v>286</v>
      </c>
      <c r="C541" t="s">
        <v>286</v>
      </c>
      <c r="D541">
        <v>50.1</v>
      </c>
      <c r="E541" t="s">
        <v>3071</v>
      </c>
      <c r="F541" s="186" t="s">
        <v>3251</v>
      </c>
      <c r="H541" t="b">
        <v>1</v>
      </c>
      <c r="I541">
        <v>50.1</v>
      </c>
      <c r="J541" s="186" t="s">
        <v>3951</v>
      </c>
      <c r="M541">
        <f>IFERROR(_xlfn.XLOOKUP(A541,Fleet!A:A,Fleet!E:E,""),"")</f>
        <v>9</v>
      </c>
      <c r="N541" t="s">
        <v>22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431</v>
      </c>
      <c r="B542" t="s">
        <v>432</v>
      </c>
      <c r="C542" t="s">
        <v>432</v>
      </c>
      <c r="D542">
        <v>45.1</v>
      </c>
      <c r="E542" t="s">
        <v>3071</v>
      </c>
      <c r="F542" s="186" t="s">
        <v>369</v>
      </c>
      <c r="H542" t="b">
        <v>1</v>
      </c>
      <c r="I542">
        <v>45.1</v>
      </c>
      <c r="J542" s="186" t="s">
        <v>3951</v>
      </c>
      <c r="M542">
        <f>IFERROR(_xlfn.XLOOKUP(A542,Fleet!A:A,Fleet!E:E,""),"")</f>
        <v>3</v>
      </c>
      <c r="N542" t="s">
        <v>22</v>
      </c>
      <c r="P542" t="str">
        <f>_xlfn.XLOOKUP(A542,'Classic Net to delete'!D:D,'Classic Net to delete'!A:A,"")</f>
        <v>4.2m (13'9")</v>
      </c>
    </row>
    <row r="543" spans="1:16" x14ac:dyDescent="0.25">
      <c r="A543" t="s">
        <v>206</v>
      </c>
      <c r="B543" t="s">
        <v>207</v>
      </c>
      <c r="C543" t="s">
        <v>207</v>
      </c>
      <c r="D543">
        <v>106.15</v>
      </c>
      <c r="E543" t="s">
        <v>3071</v>
      </c>
      <c r="F543" s="186" t="s">
        <v>201</v>
      </c>
      <c r="H543" t="b">
        <v>1</v>
      </c>
      <c r="I543" t="s">
        <v>22</v>
      </c>
      <c r="J543" s="186" t="s">
        <v>3951</v>
      </c>
      <c r="M543" t="str">
        <f>IFERROR(_xlfn.XLOOKUP(A543,Fleet!A:A,Fleet!E:E,""),"")</f>
        <v/>
      </c>
      <c r="N543" t="s">
        <v>22</v>
      </c>
      <c r="P543" t="str">
        <f>_xlfn.XLOOKUP(A543,'Classic Net to delete'!D:D,'Classic Net to delete'!A:A,"")</f>
        <v/>
      </c>
    </row>
    <row r="544" spans="1:16" x14ac:dyDescent="0.25">
      <c r="A544" t="s">
        <v>433</v>
      </c>
      <c r="B544" t="s">
        <v>434</v>
      </c>
      <c r="C544" t="s">
        <v>434</v>
      </c>
      <c r="D544">
        <v>51.6</v>
      </c>
      <c r="E544" t="s">
        <v>3071</v>
      </c>
      <c r="F544" s="186" t="s">
        <v>369</v>
      </c>
      <c r="H544" t="b">
        <v>1</v>
      </c>
      <c r="I544">
        <v>51.6</v>
      </c>
      <c r="J544" s="186" t="s">
        <v>3951</v>
      </c>
      <c r="M544">
        <f>IFERROR(_xlfn.XLOOKUP(A544,Fleet!A:A,Fleet!E:E,""),"")</f>
        <v>1</v>
      </c>
      <c r="N544" t="s">
        <v>22</v>
      </c>
      <c r="P544" t="str">
        <f>_xlfn.XLOOKUP(A544,'Classic Net to delete'!D:D,'Classic Net to delete'!A:A,"")</f>
        <v>5.4m (17'9")</v>
      </c>
    </row>
    <row r="545" spans="1:16" x14ac:dyDescent="0.25">
      <c r="A545" t="s">
        <v>18</v>
      </c>
      <c r="B545" t="s">
        <v>19</v>
      </c>
      <c r="C545" t="s">
        <v>19</v>
      </c>
      <c r="D545">
        <v>32.5</v>
      </c>
      <c r="E545" t="s">
        <v>3071</v>
      </c>
      <c r="F545" s="186" t="s">
        <v>23</v>
      </c>
      <c r="H545" t="b">
        <v>1</v>
      </c>
      <c r="I545" t="s">
        <v>22</v>
      </c>
      <c r="J545" s="186" t="s">
        <v>3951</v>
      </c>
      <c r="M545">
        <f>IFERROR(_xlfn.XLOOKUP(A545,Fleet!A:A,Fleet!E:E,""),"")</f>
        <v>32</v>
      </c>
      <c r="N545" t="s">
        <v>22</v>
      </c>
      <c r="P545" t="str">
        <f>_xlfn.XLOOKUP(A545,'Classic Net to delete'!D:D,'Classic Net to delete'!A:A,"")</f>
        <v/>
      </c>
    </row>
    <row r="546" spans="1:16" x14ac:dyDescent="0.25">
      <c r="A546" t="s">
        <v>279</v>
      </c>
      <c r="B546" t="s">
        <v>280</v>
      </c>
      <c r="C546" t="s">
        <v>280</v>
      </c>
      <c r="D546">
        <v>38.950000000000003</v>
      </c>
      <c r="E546" t="s">
        <v>3071</v>
      </c>
      <c r="F546" s="186" t="s">
        <v>3251</v>
      </c>
      <c r="H546" t="b">
        <v>1</v>
      </c>
      <c r="I546">
        <v>38.950000000000003</v>
      </c>
      <c r="J546" s="186" t="s">
        <v>3951</v>
      </c>
      <c r="M546">
        <f>IFERROR(_xlfn.XLOOKUP(A546,Fleet!A:A,Fleet!E:E,""),"")</f>
        <v>8</v>
      </c>
      <c r="N546" t="s">
        <v>22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273</v>
      </c>
      <c r="B547" t="s">
        <v>274</v>
      </c>
      <c r="C547" t="s">
        <v>274</v>
      </c>
      <c r="D547">
        <v>35.4</v>
      </c>
      <c r="E547" t="s">
        <v>3071</v>
      </c>
      <c r="F547" s="186" t="s">
        <v>3251</v>
      </c>
      <c r="H547" t="b">
        <v>1</v>
      </c>
      <c r="I547">
        <v>35.4</v>
      </c>
      <c r="J547" s="186" t="s">
        <v>3951</v>
      </c>
      <c r="M547">
        <f>IFERROR(_xlfn.XLOOKUP(A547,Fleet!A:A,Fleet!E:E,""),"")</f>
        <v>9</v>
      </c>
      <c r="N547" t="s">
        <v>22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276</v>
      </c>
      <c r="B548" t="s">
        <v>277</v>
      </c>
      <c r="C548" t="s">
        <v>277</v>
      </c>
      <c r="D548">
        <v>37.5</v>
      </c>
      <c r="E548" t="s">
        <v>3071</v>
      </c>
      <c r="F548" s="186" t="s">
        <v>3251</v>
      </c>
      <c r="H548" t="b">
        <v>1</v>
      </c>
      <c r="I548">
        <v>37.5</v>
      </c>
      <c r="J548" s="186" t="s">
        <v>3951</v>
      </c>
      <c r="M548">
        <f>IFERROR(_xlfn.XLOOKUP(A548,Fleet!A:A,Fleet!E:E,""),"")</f>
        <v>15</v>
      </c>
      <c r="N548" t="s">
        <v>22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210</v>
      </c>
      <c r="B549" t="s">
        <v>211</v>
      </c>
      <c r="C549" t="s">
        <v>211</v>
      </c>
      <c r="D549">
        <v>54.85</v>
      </c>
      <c r="E549" t="s">
        <v>3071</v>
      </c>
      <c r="F549" s="186" t="s">
        <v>201</v>
      </c>
      <c r="H549" t="b">
        <v>1</v>
      </c>
      <c r="I549" t="s">
        <v>22</v>
      </c>
      <c r="J549" s="186" t="s">
        <v>3951</v>
      </c>
      <c r="M549">
        <f>IFERROR(_xlfn.XLOOKUP(A549,Fleet!A:A,Fleet!E:E,""),"")</f>
        <v>1</v>
      </c>
      <c r="N549" t="s">
        <v>22</v>
      </c>
      <c r="P549" t="str">
        <f>_xlfn.XLOOKUP(A549,'Classic Net to delete'!D:D,'Classic Net to delete'!A:A,"")</f>
        <v/>
      </c>
    </row>
    <row r="550" spans="1:16" x14ac:dyDescent="0.25">
      <c r="A550" t="s">
        <v>49</v>
      </c>
      <c r="B550" t="s">
        <v>50</v>
      </c>
      <c r="C550" t="s">
        <v>50</v>
      </c>
      <c r="D550">
        <v>32.5</v>
      </c>
      <c r="E550" t="s">
        <v>3071</v>
      </c>
      <c r="F550" s="186" t="s">
        <v>23</v>
      </c>
      <c r="H550" t="b">
        <v>1</v>
      </c>
      <c r="I550">
        <v>32.5</v>
      </c>
      <c r="J550" s="186" t="s">
        <v>3951</v>
      </c>
      <c r="M550">
        <f>IFERROR(_xlfn.XLOOKUP(A550,Fleet!A:A,Fleet!E:E,""),"")</f>
        <v>29</v>
      </c>
      <c r="N550" t="s">
        <v>22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46</v>
      </c>
      <c r="B551" t="s">
        <v>47</v>
      </c>
      <c r="C551" t="s">
        <v>47</v>
      </c>
      <c r="D551">
        <v>287.35000000000002</v>
      </c>
      <c r="E551" t="s">
        <v>3071</v>
      </c>
      <c r="F551" s="186" t="s">
        <v>23</v>
      </c>
      <c r="H551" t="b">
        <v>1</v>
      </c>
      <c r="I551">
        <v>287.35000000000002</v>
      </c>
      <c r="J551" s="186" t="s">
        <v>3951</v>
      </c>
      <c r="M551">
        <f>IFERROR(_xlfn.XLOOKUP(A551,Fleet!A:A,Fleet!E:E,""),"")</f>
        <v>4</v>
      </c>
      <c r="N551" t="s">
        <v>22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282</v>
      </c>
      <c r="B552" t="s">
        <v>3072</v>
      </c>
      <c r="C552" t="s">
        <v>283</v>
      </c>
      <c r="D552">
        <v>44.25</v>
      </c>
      <c r="E552" t="s">
        <v>3071</v>
      </c>
      <c r="F552" s="186" t="s">
        <v>3251</v>
      </c>
      <c r="H552" t="b">
        <v>1</v>
      </c>
      <c r="I552">
        <v>44.25</v>
      </c>
      <c r="J552" s="186" t="s">
        <v>3951</v>
      </c>
      <c r="M552">
        <f>IFERROR(_xlfn.XLOOKUP(A552,Fleet!A:A,Fleet!E:E,""),"")</f>
        <v>9</v>
      </c>
      <c r="N552" t="s">
        <v>22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26</v>
      </c>
      <c r="B553" t="s">
        <v>27</v>
      </c>
      <c r="C553" t="s">
        <v>27</v>
      </c>
      <c r="D553">
        <v>199.65</v>
      </c>
      <c r="E553" t="s">
        <v>3071</v>
      </c>
      <c r="F553" s="186" t="s">
        <v>23</v>
      </c>
      <c r="H553" t="b">
        <v>1</v>
      </c>
      <c r="I553" t="s">
        <v>22</v>
      </c>
      <c r="J553" s="186" t="s">
        <v>3951</v>
      </c>
      <c r="M553">
        <f>IFERROR(_xlfn.XLOOKUP(A553,Fleet!A:A,Fleet!E:E,""),"")</f>
        <v>19</v>
      </c>
      <c r="N553" t="s">
        <v>22</v>
      </c>
      <c r="P553" t="str">
        <f>_xlfn.XLOOKUP(A553,'Classic Net to delete'!D:D,'Classic Net to delete'!A:A,"")</f>
        <v/>
      </c>
    </row>
    <row r="554" spans="1:16" x14ac:dyDescent="0.25">
      <c r="A554" t="s">
        <v>185</v>
      </c>
      <c r="B554" t="s">
        <v>186</v>
      </c>
      <c r="C554" t="s">
        <v>186</v>
      </c>
      <c r="D554">
        <v>151.55000000000001</v>
      </c>
      <c r="E554" t="s">
        <v>3071</v>
      </c>
      <c r="F554" s="186" t="s">
        <v>3253</v>
      </c>
      <c r="H554" t="b">
        <v>1</v>
      </c>
      <c r="I554" t="s">
        <v>22</v>
      </c>
      <c r="J554" s="186" t="s">
        <v>3951</v>
      </c>
      <c r="M554">
        <f>IFERROR(_xlfn.XLOOKUP(A554,Fleet!A:A,Fleet!E:E,""),"")</f>
        <v>0</v>
      </c>
      <c r="N554" t="s">
        <v>22</v>
      </c>
      <c r="P554" t="str">
        <f>_xlfn.XLOOKUP(A554,'Classic Net to delete'!D:D,'Classic Net to delete'!A:A,"")</f>
        <v/>
      </c>
    </row>
    <row r="555" spans="1:16" x14ac:dyDescent="0.25">
      <c r="A555" t="s">
        <v>182</v>
      </c>
      <c r="B555" t="s">
        <v>3954</v>
      </c>
      <c r="C555" t="s">
        <v>3254</v>
      </c>
      <c r="D555">
        <v>166.5</v>
      </c>
      <c r="E555" t="s">
        <v>3071</v>
      </c>
      <c r="F555" s="186" t="s">
        <v>3253</v>
      </c>
      <c r="H555" t="b">
        <v>1</v>
      </c>
      <c r="I555" t="s">
        <v>22</v>
      </c>
      <c r="J555" s="186" t="s">
        <v>3951</v>
      </c>
      <c r="M555" t="str">
        <f>IFERROR(_xlfn.XLOOKUP(A555,Fleet!A:A,Fleet!E:E,""),"")</f>
        <v/>
      </c>
      <c r="N555" t="s">
        <v>22</v>
      </c>
      <c r="P555" t="str">
        <f>_xlfn.XLOOKUP(A555,'Classic Net to delete'!D:D,'Classic Net to delete'!A:A,"")</f>
        <v/>
      </c>
    </row>
    <row r="556" spans="1:16" x14ac:dyDescent="0.25">
      <c r="A556" t="s">
        <v>244</v>
      </c>
      <c r="B556" t="s">
        <v>245</v>
      </c>
      <c r="C556" t="s">
        <v>245</v>
      </c>
      <c r="D556">
        <v>31.95</v>
      </c>
      <c r="E556" t="s">
        <v>3071</v>
      </c>
      <c r="F556" s="186" t="s">
        <v>3251</v>
      </c>
      <c r="H556" t="b">
        <v>1</v>
      </c>
      <c r="I556" t="s">
        <v>22</v>
      </c>
      <c r="J556" s="186" t="s">
        <v>3951</v>
      </c>
      <c r="M556">
        <f>IFERROR(_xlfn.XLOOKUP(A556,Fleet!A:A,Fleet!E:E,""),"")</f>
        <v>4</v>
      </c>
      <c r="N556" t="s">
        <v>22</v>
      </c>
      <c r="P556" t="str">
        <f>_xlfn.XLOOKUP(A556,'Classic Net to delete'!D:D,'Classic Net to delete'!A:A,"")</f>
        <v/>
      </c>
    </row>
    <row r="557" spans="1:16" x14ac:dyDescent="0.25">
      <c r="A557" t="s">
        <v>247</v>
      </c>
      <c r="B557" t="s">
        <v>248</v>
      </c>
      <c r="C557" t="s">
        <v>248</v>
      </c>
      <c r="D557">
        <v>35.1</v>
      </c>
      <c r="E557" t="s">
        <v>3071</v>
      </c>
      <c r="F557" s="186" t="s">
        <v>3251</v>
      </c>
      <c r="H557" t="b">
        <v>1</v>
      </c>
      <c r="I557" t="s">
        <v>22</v>
      </c>
      <c r="J557" s="186" t="s">
        <v>3951</v>
      </c>
      <c r="M557">
        <f>IFERROR(_xlfn.XLOOKUP(A557,Fleet!A:A,Fleet!E:E,""),"")</f>
        <v>4</v>
      </c>
      <c r="N557" t="s">
        <v>22</v>
      </c>
      <c r="P557" t="str">
        <f>_xlfn.XLOOKUP(A557,'Classic Net to delete'!D:D,'Classic Net to delete'!A:A,"")</f>
        <v/>
      </c>
    </row>
    <row r="558" spans="1:16" x14ac:dyDescent="0.25">
      <c r="A558" t="s">
        <v>212</v>
      </c>
      <c r="B558" t="s">
        <v>213</v>
      </c>
      <c r="C558" t="s">
        <v>213</v>
      </c>
      <c r="D558">
        <v>206</v>
      </c>
      <c r="E558" t="s">
        <v>3071</v>
      </c>
      <c r="F558" s="186" t="s">
        <v>201</v>
      </c>
      <c r="H558" t="b">
        <v>1</v>
      </c>
      <c r="I558" t="s">
        <v>22</v>
      </c>
      <c r="J558" s="186" t="s">
        <v>3951</v>
      </c>
      <c r="M558">
        <f>IFERROR(_xlfn.XLOOKUP(A558,Fleet!A:A,Fleet!E:E,""),"")</f>
        <v>14</v>
      </c>
      <c r="N558" t="s">
        <v>22</v>
      </c>
      <c r="P558" t="str">
        <f>_xlfn.XLOOKUP(A558,'Classic Net to delete'!D:D,'Classic Net to delete'!A:A,"")</f>
        <v/>
      </c>
    </row>
    <row r="559" spans="1:16" x14ac:dyDescent="0.25">
      <c r="A559" t="s">
        <v>28</v>
      </c>
      <c r="B559" t="s">
        <v>29</v>
      </c>
      <c r="C559" t="s">
        <v>29</v>
      </c>
      <c r="D559">
        <v>32.5</v>
      </c>
      <c r="E559" t="s">
        <v>3071</v>
      </c>
      <c r="F559" s="186" t="s">
        <v>23</v>
      </c>
      <c r="H559" t="b">
        <v>1</v>
      </c>
      <c r="I559" t="s">
        <v>22</v>
      </c>
      <c r="J559" s="186" t="s">
        <v>3951</v>
      </c>
      <c r="M559">
        <f>IFERROR(_xlfn.XLOOKUP(A559,Fleet!A:A,Fleet!E:E,""),"")</f>
        <v>10</v>
      </c>
      <c r="N559" t="s">
        <v>22</v>
      </c>
      <c r="P559" t="str">
        <f>_xlfn.XLOOKUP(A559,'Classic Net to delete'!D:D,'Classic Net to delete'!A:A,"")</f>
        <v/>
      </c>
    </row>
    <row r="560" spans="1:16" x14ac:dyDescent="0.25">
      <c r="A560" t="s">
        <v>190</v>
      </c>
      <c r="B560" t="s">
        <v>191</v>
      </c>
      <c r="C560" t="s">
        <v>188</v>
      </c>
      <c r="D560">
        <v>151.55000000000001</v>
      </c>
      <c r="E560" t="s">
        <v>3071</v>
      </c>
      <c r="F560" s="186" t="s">
        <v>3253</v>
      </c>
      <c r="H560" t="b">
        <v>1</v>
      </c>
      <c r="I560">
        <v>193.15</v>
      </c>
      <c r="J560" s="186" t="s">
        <v>3951</v>
      </c>
      <c r="M560">
        <f>IFERROR(_xlfn.XLOOKUP(A560,Fleet!A:A,Fleet!E:E,""),"")</f>
        <v>8</v>
      </c>
      <c r="N560" t="s">
        <v>22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151</v>
      </c>
      <c r="C561" s="1" t="s">
        <v>152</v>
      </c>
      <c r="D561">
        <v>36.6</v>
      </c>
      <c r="E561" t="s">
        <v>3245</v>
      </c>
      <c r="F561" s="187" t="s">
        <v>3246</v>
      </c>
      <c r="G561">
        <v>75</v>
      </c>
      <c r="H561" t="b">
        <v>1</v>
      </c>
      <c r="J561" s="186" t="s">
        <v>3955</v>
      </c>
      <c r="M561" t="str">
        <f>IFERROR(_xlfn.XLOOKUP(A561,Fleet!A:A,Fleet!E:E,""),"")</f>
        <v/>
      </c>
      <c r="N561" t="s">
        <v>22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154</v>
      </c>
      <c r="C562" s="1" t="s">
        <v>155</v>
      </c>
      <c r="D562">
        <v>36.6</v>
      </c>
      <c r="E562" t="s">
        <v>3245</v>
      </c>
      <c r="F562" s="187" t="s">
        <v>3246</v>
      </c>
      <c r="G562">
        <v>75</v>
      </c>
      <c r="H562" t="b">
        <v>1</v>
      </c>
      <c r="J562" s="186" t="s">
        <v>3955</v>
      </c>
      <c r="M562" t="str">
        <f>IFERROR(_xlfn.XLOOKUP(A562,Fleet!A:A,Fleet!E:E,""),"")</f>
        <v/>
      </c>
      <c r="N562" t="s">
        <v>22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156</v>
      </c>
      <c r="C563" s="1" t="s">
        <v>157</v>
      </c>
      <c r="D563">
        <v>36.6</v>
      </c>
      <c r="E563" t="s">
        <v>3245</v>
      </c>
      <c r="F563" s="187" t="s">
        <v>3246</v>
      </c>
      <c r="G563">
        <v>75</v>
      </c>
      <c r="H563" t="b">
        <v>1</v>
      </c>
      <c r="J563" s="186" t="s">
        <v>3955</v>
      </c>
      <c r="M563" t="str">
        <f>IFERROR(_xlfn.XLOOKUP(A563,Fleet!A:A,Fleet!E:E,""),"")</f>
        <v/>
      </c>
      <c r="N563" t="s">
        <v>22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158</v>
      </c>
      <c r="C564" s="1" t="s">
        <v>159</v>
      </c>
      <c r="D564">
        <v>36.6</v>
      </c>
      <c r="E564" t="s">
        <v>3245</v>
      </c>
      <c r="F564" s="187" t="s">
        <v>3246</v>
      </c>
      <c r="G564">
        <v>75</v>
      </c>
      <c r="H564" t="b">
        <v>1</v>
      </c>
      <c r="J564" s="186" t="s">
        <v>3955</v>
      </c>
      <c r="M564" t="str">
        <f>IFERROR(_xlfn.XLOOKUP(A564,Fleet!A:A,Fleet!E:E,""),"")</f>
        <v/>
      </c>
      <c r="N564" t="s">
        <v>22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109</v>
      </c>
      <c r="C565" s="4" t="s">
        <v>110</v>
      </c>
      <c r="D565">
        <v>21.5</v>
      </c>
      <c r="E565" t="s">
        <v>3245</v>
      </c>
      <c r="F565" s="186" t="s">
        <v>3247</v>
      </c>
      <c r="G565">
        <v>75</v>
      </c>
      <c r="H565" t="b">
        <v>1</v>
      </c>
      <c r="J565" s="186" t="s">
        <v>3955</v>
      </c>
      <c r="M565" t="str">
        <f>IFERROR(_xlfn.XLOOKUP(A565,Fleet!A:A,Fleet!E:E,""),"")</f>
        <v/>
      </c>
      <c r="N565" t="s">
        <v>22</v>
      </c>
      <c r="P565" t="str">
        <f>_xlfn.XLOOKUP(A565,'Classic Net to delete'!D:D,'Classic Net to delete'!A:A,"")</f>
        <v/>
      </c>
    </row>
    <row r="566" spans="1:16" x14ac:dyDescent="0.25">
      <c r="A566" s="4" t="s">
        <v>112</v>
      </c>
      <c r="C566" s="4" t="s">
        <v>113</v>
      </c>
      <c r="D566">
        <v>21.5</v>
      </c>
      <c r="E566" t="s">
        <v>3245</v>
      </c>
      <c r="F566" s="186" t="s">
        <v>3247</v>
      </c>
      <c r="G566">
        <v>75</v>
      </c>
      <c r="H566" t="b">
        <v>1</v>
      </c>
      <c r="J566" s="186" t="s">
        <v>3955</v>
      </c>
      <c r="M566" t="str">
        <f>IFERROR(_xlfn.XLOOKUP(A566,Fleet!A:A,Fleet!E:E,""),"")</f>
        <v/>
      </c>
      <c r="N566" t="s">
        <v>22</v>
      </c>
      <c r="P566" t="str">
        <f>_xlfn.XLOOKUP(A566,'Classic Net to delete'!D:D,'Classic Net to delete'!A:A,"")</f>
        <v/>
      </c>
    </row>
    <row r="567" spans="1:16" x14ac:dyDescent="0.25">
      <c r="A567" s="4" t="s">
        <v>114</v>
      </c>
      <c r="C567" s="4" t="s">
        <v>115</v>
      </c>
      <c r="D567">
        <v>21.5</v>
      </c>
      <c r="E567" t="s">
        <v>3245</v>
      </c>
      <c r="F567" s="186" t="s">
        <v>3247</v>
      </c>
      <c r="G567">
        <v>75</v>
      </c>
      <c r="H567" t="b">
        <v>1</v>
      </c>
      <c r="J567" s="186" t="s">
        <v>3955</v>
      </c>
      <c r="M567" t="str">
        <f>IFERROR(_xlfn.XLOOKUP(A567,Fleet!A:A,Fleet!E:E,""),"")</f>
        <v/>
      </c>
      <c r="N567" t="s">
        <v>22</v>
      </c>
      <c r="P567" t="str">
        <f>_xlfn.XLOOKUP(A567,'Classic Net to delete'!D:D,'Classic Net to delete'!A:A,"")</f>
        <v/>
      </c>
    </row>
    <row r="568" spans="1:16" x14ac:dyDescent="0.25">
      <c r="A568" s="4" t="s">
        <v>116</v>
      </c>
      <c r="C568" s="4" t="s">
        <v>117</v>
      </c>
      <c r="D568">
        <v>21.5</v>
      </c>
      <c r="E568" t="s">
        <v>3245</v>
      </c>
      <c r="F568" s="186" t="s">
        <v>3247</v>
      </c>
      <c r="G568">
        <v>75</v>
      </c>
      <c r="H568" t="b">
        <v>1</v>
      </c>
      <c r="J568" s="186" t="s">
        <v>3955</v>
      </c>
      <c r="M568" t="str">
        <f>IFERROR(_xlfn.XLOOKUP(A568,Fleet!A:A,Fleet!E:E,""),"")</f>
        <v/>
      </c>
      <c r="N568" t="s">
        <v>22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118</v>
      </c>
      <c r="C569" s="4" t="s">
        <v>119</v>
      </c>
      <c r="D569">
        <v>21.5</v>
      </c>
      <c r="E569" t="s">
        <v>3245</v>
      </c>
      <c r="F569" s="186" t="s">
        <v>3247</v>
      </c>
      <c r="G569">
        <v>75</v>
      </c>
      <c r="H569" t="b">
        <v>1</v>
      </c>
      <c r="J569" s="186" t="s">
        <v>3955</v>
      </c>
      <c r="M569" t="str">
        <f>IFERROR(_xlfn.XLOOKUP(A569,Fleet!A:A,Fleet!E:E,""),"")</f>
        <v/>
      </c>
      <c r="N569" t="s">
        <v>22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120</v>
      </c>
      <c r="C570" s="4" t="s">
        <v>121</v>
      </c>
      <c r="D570">
        <v>21.5</v>
      </c>
      <c r="E570" t="s">
        <v>3245</v>
      </c>
      <c r="F570" s="186" t="s">
        <v>3247</v>
      </c>
      <c r="G570">
        <v>75</v>
      </c>
      <c r="H570" t="b">
        <v>1</v>
      </c>
      <c r="J570" s="186" t="s">
        <v>3955</v>
      </c>
      <c r="M570" t="str">
        <f>IFERROR(_xlfn.XLOOKUP(A570,Fleet!A:A,Fleet!E:E,""),"")</f>
        <v/>
      </c>
      <c r="N570" t="s">
        <v>22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122</v>
      </c>
      <c r="C571" s="4" t="s">
        <v>123</v>
      </c>
      <c r="D571">
        <v>21.5</v>
      </c>
      <c r="E571" t="s">
        <v>3245</v>
      </c>
      <c r="F571" s="186" t="s">
        <v>3247</v>
      </c>
      <c r="G571">
        <v>75</v>
      </c>
      <c r="H571" t="b">
        <v>1</v>
      </c>
      <c r="J571" s="186" t="s">
        <v>3955</v>
      </c>
      <c r="M571" t="str">
        <f>IFERROR(_xlfn.XLOOKUP(A571,Fleet!A:A,Fleet!E:E,""),"")</f>
        <v/>
      </c>
      <c r="N571" t="s">
        <v>22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124</v>
      </c>
      <c r="C572" s="4" t="s">
        <v>125</v>
      </c>
      <c r="D572">
        <v>21.5</v>
      </c>
      <c r="E572" t="s">
        <v>3245</v>
      </c>
      <c r="F572" s="186" t="s">
        <v>3247</v>
      </c>
      <c r="G572">
        <v>75</v>
      </c>
      <c r="H572" t="b">
        <v>1</v>
      </c>
      <c r="J572" s="186" t="s">
        <v>3955</v>
      </c>
      <c r="M572" t="str">
        <f>IFERROR(_xlfn.XLOOKUP(A572,Fleet!A:A,Fleet!E:E,""),"")</f>
        <v/>
      </c>
      <c r="N572" t="s">
        <v>22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126</v>
      </c>
      <c r="C573" s="4" t="s">
        <v>127</v>
      </c>
      <c r="D573">
        <v>21.5</v>
      </c>
      <c r="E573" t="s">
        <v>3245</v>
      </c>
      <c r="F573" s="186" t="s">
        <v>3247</v>
      </c>
      <c r="G573">
        <v>75</v>
      </c>
      <c r="H573" t="b">
        <v>1</v>
      </c>
      <c r="J573" s="186" t="s">
        <v>3955</v>
      </c>
      <c r="M573" t="str">
        <f>IFERROR(_xlfn.XLOOKUP(A573,Fleet!A:A,Fleet!E:E,""),"")</f>
        <v/>
      </c>
      <c r="N573" t="s">
        <v>22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128</v>
      </c>
      <c r="C574" t="s">
        <v>117</v>
      </c>
      <c r="D574">
        <v>27.15</v>
      </c>
      <c r="E574" t="s">
        <v>3245</v>
      </c>
      <c r="F574" s="186" t="s">
        <v>3248</v>
      </c>
      <c r="G574">
        <v>75</v>
      </c>
      <c r="H574" t="b">
        <v>1</v>
      </c>
      <c r="J574" s="186" t="s">
        <v>3955</v>
      </c>
      <c r="M574" t="str">
        <f>IFERROR(_xlfn.XLOOKUP(A574,Fleet!A:A,Fleet!E:E,""),"")</f>
        <v/>
      </c>
      <c r="N574" t="s">
        <v>22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130</v>
      </c>
      <c r="C575" t="s">
        <v>119</v>
      </c>
      <c r="D575">
        <v>27.15</v>
      </c>
      <c r="E575" t="s">
        <v>3245</v>
      </c>
      <c r="F575" s="186" t="s">
        <v>3248</v>
      </c>
      <c r="G575">
        <v>75</v>
      </c>
      <c r="H575" t="b">
        <v>1</v>
      </c>
      <c r="J575" s="186" t="s">
        <v>3955</v>
      </c>
      <c r="M575" t="str">
        <f>IFERROR(_xlfn.XLOOKUP(A575,Fleet!A:A,Fleet!E:E,""),"")</f>
        <v/>
      </c>
      <c r="N575" t="s">
        <v>22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131</v>
      </c>
      <c r="C576" t="s">
        <v>132</v>
      </c>
      <c r="D576">
        <v>27.15</v>
      </c>
      <c r="E576" t="s">
        <v>3245</v>
      </c>
      <c r="F576" s="186" t="s">
        <v>3248</v>
      </c>
      <c r="G576">
        <v>75</v>
      </c>
      <c r="H576" t="b">
        <v>1</v>
      </c>
      <c r="J576" s="186" t="s">
        <v>3955</v>
      </c>
      <c r="M576" t="str">
        <f>IFERROR(_xlfn.XLOOKUP(A576,Fleet!A:A,Fleet!E:E,""),"")</f>
        <v/>
      </c>
      <c r="N576" t="s">
        <v>22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133</v>
      </c>
      <c r="C577" t="s">
        <v>134</v>
      </c>
      <c r="D577">
        <v>27.15</v>
      </c>
      <c r="E577" t="s">
        <v>3245</v>
      </c>
      <c r="F577" s="186" t="s">
        <v>3248</v>
      </c>
      <c r="G577">
        <v>75</v>
      </c>
      <c r="H577" t="b">
        <v>1</v>
      </c>
      <c r="J577" s="186" t="s">
        <v>3955</v>
      </c>
      <c r="M577" t="str">
        <f>IFERROR(_xlfn.XLOOKUP(A577,Fleet!A:A,Fleet!E:E,""),"")</f>
        <v/>
      </c>
      <c r="N577" t="s">
        <v>22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175</v>
      </c>
      <c r="C578" t="s">
        <v>177</v>
      </c>
      <c r="D578">
        <v>21.5</v>
      </c>
      <c r="E578" t="s">
        <v>3245</v>
      </c>
      <c r="F578" s="186" t="s">
        <v>178</v>
      </c>
      <c r="G578">
        <v>75</v>
      </c>
      <c r="H578" t="b">
        <v>1</v>
      </c>
      <c r="J578" s="186" t="s">
        <v>3955</v>
      </c>
      <c r="M578" t="str">
        <f>IFERROR(_xlfn.XLOOKUP(A578,Fleet!A:A,Fleet!E:E,""),"")</f>
        <v/>
      </c>
      <c r="N578" t="s">
        <v>22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179</v>
      </c>
      <c r="C579" t="s">
        <v>181</v>
      </c>
      <c r="D579">
        <v>21.5</v>
      </c>
      <c r="E579" t="s">
        <v>3245</v>
      </c>
      <c r="F579" s="186" t="s">
        <v>178</v>
      </c>
      <c r="G579">
        <v>75</v>
      </c>
      <c r="H579" t="b">
        <v>1</v>
      </c>
      <c r="J579" s="186" t="s">
        <v>3955</v>
      </c>
      <c r="M579" t="str">
        <f>IFERROR(_xlfn.XLOOKUP(A579,Fleet!A:A,Fleet!E:E,""),"")</f>
        <v/>
      </c>
      <c r="N579" t="s">
        <v>22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160</v>
      </c>
      <c r="C580" t="s">
        <v>161</v>
      </c>
      <c r="D580">
        <v>94.350000000000009</v>
      </c>
      <c r="E580" t="s">
        <v>3245</v>
      </c>
      <c r="F580" s="186" t="s">
        <v>162</v>
      </c>
      <c r="G580">
        <v>75</v>
      </c>
      <c r="H580" t="b">
        <v>1</v>
      </c>
      <c r="J580" s="186" t="s">
        <v>3955</v>
      </c>
      <c r="M580" t="str">
        <f>IFERROR(_xlfn.XLOOKUP(A580,Fleet!A:A,Fleet!E:E,""),"")</f>
        <v/>
      </c>
      <c r="N580" t="s">
        <v>22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163</v>
      </c>
      <c r="C581" t="s">
        <v>164</v>
      </c>
      <c r="D581">
        <v>35.1</v>
      </c>
      <c r="E581" t="s">
        <v>3245</v>
      </c>
      <c r="F581" s="186" t="s">
        <v>162</v>
      </c>
      <c r="G581">
        <v>75</v>
      </c>
      <c r="H581" t="b">
        <v>1</v>
      </c>
      <c r="J581" s="186" t="s">
        <v>3955</v>
      </c>
      <c r="M581" t="str">
        <f>IFERROR(_xlfn.XLOOKUP(A581,Fleet!A:A,Fleet!E:E,""),"")</f>
        <v/>
      </c>
      <c r="N581" t="s">
        <v>22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144</v>
      </c>
      <c r="C582" s="1" t="s">
        <v>145</v>
      </c>
      <c r="D582">
        <v>64.850000000000009</v>
      </c>
      <c r="E582" t="s">
        <v>3245</v>
      </c>
      <c r="F582" s="186" t="s">
        <v>3249</v>
      </c>
      <c r="G582">
        <v>75</v>
      </c>
      <c r="H582" t="b">
        <v>1</v>
      </c>
      <c r="J582" s="186" t="s">
        <v>3955</v>
      </c>
      <c r="M582" t="str">
        <f>IFERROR(_xlfn.XLOOKUP(A582,Fleet!A:A,Fleet!E:E,""),"")</f>
        <v/>
      </c>
      <c r="N582" t="s">
        <v>22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147</v>
      </c>
      <c r="C583" s="1" t="s">
        <v>148</v>
      </c>
      <c r="D583">
        <v>67.55</v>
      </c>
      <c r="E583" t="s">
        <v>3245</v>
      </c>
      <c r="F583" s="186" t="s">
        <v>3249</v>
      </c>
      <c r="G583">
        <v>75</v>
      </c>
      <c r="H583" t="b">
        <v>1</v>
      </c>
      <c r="J583" s="186" t="s">
        <v>3955</v>
      </c>
      <c r="M583" t="str">
        <f>IFERROR(_xlfn.XLOOKUP(A583,Fleet!A:A,Fleet!E:E,""),"")</f>
        <v/>
      </c>
      <c r="N583" t="s">
        <v>22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149</v>
      </c>
      <c r="C584" s="1" t="s">
        <v>150</v>
      </c>
      <c r="D584">
        <v>70.2</v>
      </c>
      <c r="E584" t="s">
        <v>3245</v>
      </c>
      <c r="F584" s="186" t="s">
        <v>3249</v>
      </c>
      <c r="G584">
        <v>75</v>
      </c>
      <c r="H584" t="b">
        <v>1</v>
      </c>
      <c r="J584" s="186" t="s">
        <v>3955</v>
      </c>
      <c r="M584" t="str">
        <f>IFERROR(_xlfn.XLOOKUP(A584,Fleet!A:A,Fleet!E:E,""),"")</f>
        <v/>
      </c>
      <c r="N584" t="s">
        <v>22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135</v>
      </c>
      <c r="C585" s="1" t="s">
        <v>136</v>
      </c>
      <c r="D585">
        <v>98.800000000000011</v>
      </c>
      <c r="E585" t="s">
        <v>3245</v>
      </c>
      <c r="F585" s="186" t="s">
        <v>3250</v>
      </c>
      <c r="G585">
        <v>75</v>
      </c>
      <c r="H585" t="b">
        <v>1</v>
      </c>
      <c r="J585" s="186" t="s">
        <v>3955</v>
      </c>
      <c r="M585" t="str">
        <f>IFERROR(_xlfn.XLOOKUP(A585,Fleet!A:A,Fleet!E:E,""),"")</f>
        <v/>
      </c>
      <c r="N585" t="s">
        <v>22</v>
      </c>
      <c r="P585" t="str">
        <f>_xlfn.XLOOKUP(A585,'Classic Net to delete'!D:D,'Classic Net to delete'!A:A,"")</f>
        <v>2.0m (6'7")</v>
      </c>
    </row>
    <row r="586" spans="1:16" x14ac:dyDescent="0.25">
      <c r="A586" t="s">
        <v>138</v>
      </c>
      <c r="C586" s="1" t="s">
        <v>139</v>
      </c>
      <c r="D586">
        <v>114.7</v>
      </c>
      <c r="E586" t="s">
        <v>3245</v>
      </c>
      <c r="F586" s="186" t="s">
        <v>3250</v>
      </c>
      <c r="G586">
        <v>75</v>
      </c>
      <c r="H586" t="b">
        <v>1</v>
      </c>
      <c r="J586" s="186" t="s">
        <v>3955</v>
      </c>
      <c r="M586" t="str">
        <f>IFERROR(_xlfn.XLOOKUP(A586,Fleet!A:A,Fleet!E:E,""),"")</f>
        <v/>
      </c>
      <c r="N586" t="s">
        <v>22</v>
      </c>
      <c r="P586" t="str">
        <f>_xlfn.XLOOKUP(A586,'Classic Net to delete'!D:D,'Classic Net to delete'!A:A,"")</f>
        <v>2.5m (8'2")</v>
      </c>
    </row>
    <row r="587" spans="1:16" x14ac:dyDescent="0.25">
      <c r="A587" t="s">
        <v>140</v>
      </c>
      <c r="C587" s="1" t="s">
        <v>141</v>
      </c>
      <c r="D587">
        <v>125.60000000000001</v>
      </c>
      <c r="E587" t="s">
        <v>3245</v>
      </c>
      <c r="F587" s="186" t="s">
        <v>3250</v>
      </c>
      <c r="G587">
        <v>75</v>
      </c>
      <c r="H587" t="b">
        <v>1</v>
      </c>
      <c r="J587" s="186" t="s">
        <v>3955</v>
      </c>
      <c r="M587" t="str">
        <f>IFERROR(_xlfn.XLOOKUP(A587,Fleet!A:A,Fleet!E:E,""),"")</f>
        <v/>
      </c>
      <c r="N587" t="s">
        <v>22</v>
      </c>
      <c r="P587" t="str">
        <f>_xlfn.XLOOKUP(A587,'Classic Net to delete'!D:D,'Classic Net to delete'!A:A,"")</f>
        <v>3.0m (9'10")</v>
      </c>
    </row>
    <row r="588" spans="1:16" x14ac:dyDescent="0.25">
      <c r="A588" t="s">
        <v>142</v>
      </c>
      <c r="C588" s="1" t="s">
        <v>143</v>
      </c>
      <c r="D588">
        <v>135.05000000000001</v>
      </c>
      <c r="E588" t="s">
        <v>3245</v>
      </c>
      <c r="F588" s="186" t="s">
        <v>3250</v>
      </c>
      <c r="G588">
        <v>75</v>
      </c>
      <c r="H588" t="b">
        <v>1</v>
      </c>
      <c r="J588" s="186" t="s">
        <v>3955</v>
      </c>
      <c r="M588" t="str">
        <f>IFERROR(_xlfn.XLOOKUP(A588,Fleet!A:A,Fleet!E:E,""),"")</f>
        <v/>
      </c>
      <c r="N588" t="s">
        <v>22</v>
      </c>
      <c r="P588" t="str">
        <f>_xlfn.XLOOKUP(A588,'Classic Net to delete'!D:D,'Classic Net to delete'!A:A,"")</f>
        <v>3.6m (11'10")</v>
      </c>
    </row>
    <row r="589" spans="1:16" x14ac:dyDescent="0.25">
      <c r="A589" t="s">
        <v>489</v>
      </c>
      <c r="B589" t="s">
        <v>490</v>
      </c>
      <c r="C589" t="s">
        <v>490</v>
      </c>
      <c r="D589">
        <v>61.65</v>
      </c>
      <c r="E589" t="s">
        <v>3074</v>
      </c>
      <c r="F589" s="186" t="s">
        <v>530</v>
      </c>
      <c r="H589" t="b">
        <v>1</v>
      </c>
      <c r="I589">
        <v>61.650000000000006</v>
      </c>
      <c r="J589" s="186" t="s">
        <v>467</v>
      </c>
      <c r="M589">
        <f>IFERROR(_xlfn.XLOOKUP(A589,Fleet!A:A,Fleet!E:E,""),"")</f>
        <v>9</v>
      </c>
      <c r="N589" t="s">
        <v>22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495</v>
      </c>
      <c r="B590" t="s">
        <v>496</v>
      </c>
      <c r="C590" t="s">
        <v>496</v>
      </c>
      <c r="D590">
        <v>51.6</v>
      </c>
      <c r="E590" t="s">
        <v>3074</v>
      </c>
      <c r="F590" s="186" t="s">
        <v>522</v>
      </c>
      <c r="H590" t="b">
        <v>1</v>
      </c>
      <c r="I590">
        <v>51.6</v>
      </c>
      <c r="J590" s="186" t="s">
        <v>467</v>
      </c>
      <c r="M590">
        <f>IFERROR(_xlfn.XLOOKUP(A590,Fleet!A:A,Fleet!E:E,""),"")</f>
        <v>8</v>
      </c>
      <c r="N590" t="s">
        <v>22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508</v>
      </c>
      <c r="B591" t="s">
        <v>509</v>
      </c>
      <c r="C591" t="s">
        <v>509</v>
      </c>
      <c r="D591">
        <v>80.8</v>
      </c>
      <c r="E591" t="s">
        <v>3074</v>
      </c>
      <c r="F591" s="186" t="s">
        <v>3256</v>
      </c>
      <c r="H591" t="b">
        <v>1</v>
      </c>
      <c r="I591">
        <v>80.800000000000011</v>
      </c>
      <c r="J591" s="186" t="s">
        <v>467</v>
      </c>
      <c r="M591">
        <f>IFERROR(_xlfn.XLOOKUP(A591,Fleet!A:A,Fleet!E:E,""),"")</f>
        <v>18</v>
      </c>
      <c r="N591" t="s">
        <v>22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501</v>
      </c>
      <c r="B592" t="s">
        <v>502</v>
      </c>
      <c r="C592" t="s">
        <v>502</v>
      </c>
      <c r="D592">
        <v>55.45</v>
      </c>
      <c r="E592" t="s">
        <v>3074</v>
      </c>
      <c r="F592" s="186" t="s">
        <v>3256</v>
      </c>
      <c r="H592" t="b">
        <v>1</v>
      </c>
      <c r="I592">
        <v>55.45</v>
      </c>
      <c r="J592" s="186" t="s">
        <v>467</v>
      </c>
      <c r="M592">
        <f>IFERROR(_xlfn.XLOOKUP(A592,Fleet!A:A,Fleet!E:E,""),"")</f>
        <v>14</v>
      </c>
      <c r="N592" t="s">
        <v>22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505</v>
      </c>
      <c r="B593" t="s">
        <v>506</v>
      </c>
      <c r="C593" t="s">
        <v>506</v>
      </c>
      <c r="D593">
        <v>66.349999999999994</v>
      </c>
      <c r="E593" t="s">
        <v>3074</v>
      </c>
      <c r="F593" s="186" t="s">
        <v>3256</v>
      </c>
      <c r="H593" t="b">
        <v>1</v>
      </c>
      <c r="I593">
        <v>66.350000000000009</v>
      </c>
      <c r="J593" s="186" t="s">
        <v>467</v>
      </c>
      <c r="M593">
        <f>IFERROR(_xlfn.XLOOKUP(A593,Fleet!A:A,Fleet!E:E,""),"")</f>
        <v>27</v>
      </c>
      <c r="N593" t="s">
        <v>22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525</v>
      </c>
      <c r="B594" t="s">
        <v>3076</v>
      </c>
      <c r="C594" t="s">
        <v>526</v>
      </c>
      <c r="D594">
        <v>55.45</v>
      </c>
      <c r="E594" t="s">
        <v>3074</v>
      </c>
      <c r="F594" s="186" t="s">
        <v>522</v>
      </c>
      <c r="H594" t="b">
        <v>1</v>
      </c>
      <c r="I594">
        <v>55.45</v>
      </c>
      <c r="J594" s="186" t="s">
        <v>467</v>
      </c>
      <c r="M594">
        <f>IFERROR(_xlfn.XLOOKUP(A594,Fleet!A:A,Fleet!E:E,""),"")</f>
        <v>1</v>
      </c>
      <c r="N594" t="s">
        <v>22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523</v>
      </c>
      <c r="B595" t="s">
        <v>524</v>
      </c>
      <c r="C595" t="s">
        <v>524</v>
      </c>
      <c r="D595">
        <v>35.700000000000003</v>
      </c>
      <c r="E595" t="s">
        <v>3074</v>
      </c>
      <c r="F595" s="186" t="s">
        <v>522</v>
      </c>
      <c r="H595" t="b">
        <v>1</v>
      </c>
      <c r="I595">
        <v>35.700000000000003</v>
      </c>
      <c r="J595" s="186" t="s">
        <v>467</v>
      </c>
      <c r="M595">
        <f>IFERROR(_xlfn.XLOOKUP(A595,Fleet!A:A,Fleet!E:E,""),"")</f>
        <v>1</v>
      </c>
      <c r="N595" t="s">
        <v>22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510</v>
      </c>
      <c r="B596" t="s">
        <v>511</v>
      </c>
      <c r="C596" t="s">
        <v>511</v>
      </c>
      <c r="D596">
        <v>353.2</v>
      </c>
      <c r="E596" t="s">
        <v>3074</v>
      </c>
      <c r="F596" s="186" t="s">
        <v>3256</v>
      </c>
      <c r="H596" t="b">
        <v>1</v>
      </c>
      <c r="I596">
        <v>353.20000000000005</v>
      </c>
      <c r="J596" s="186" t="s">
        <v>467</v>
      </c>
      <c r="M596">
        <f>IFERROR(_xlfn.XLOOKUP(A596,Fleet!A:A,Fleet!E:E,""),"")</f>
        <v>4</v>
      </c>
      <c r="N596" t="s">
        <v>22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533</v>
      </c>
      <c r="B597" t="s">
        <v>534</v>
      </c>
      <c r="C597" t="s">
        <v>534</v>
      </c>
      <c r="D597">
        <v>56.9</v>
      </c>
      <c r="E597" t="s">
        <v>3074</v>
      </c>
      <c r="F597" s="186" t="s">
        <v>522</v>
      </c>
      <c r="H597" t="b">
        <v>1</v>
      </c>
      <c r="I597" t="s">
        <v>22</v>
      </c>
      <c r="J597" s="186" t="s">
        <v>467</v>
      </c>
      <c r="M597">
        <f>IFERROR(_xlfn.XLOOKUP(A597,Fleet!A:A,Fleet!E:E,""),"")</f>
        <v>1</v>
      </c>
      <c r="N597" t="s">
        <v>22</v>
      </c>
      <c r="P597" t="str">
        <f>_xlfn.XLOOKUP(A597,'Classic Net to delete'!D:D,'Classic Net to delete'!A:A,"")</f>
        <v/>
      </c>
    </row>
    <row r="598" spans="1:16" x14ac:dyDescent="0.25">
      <c r="A598" t="s">
        <v>520</v>
      </c>
      <c r="B598" t="s">
        <v>521</v>
      </c>
      <c r="C598" t="s">
        <v>521</v>
      </c>
      <c r="D598">
        <v>56.05</v>
      </c>
      <c r="E598" t="s">
        <v>3074</v>
      </c>
      <c r="F598" s="186" t="s">
        <v>522</v>
      </c>
      <c r="H598" t="b">
        <v>1</v>
      </c>
      <c r="I598">
        <v>56.050000000000004</v>
      </c>
      <c r="J598" s="186" t="s">
        <v>467</v>
      </c>
      <c r="M598">
        <f>IFERROR(_xlfn.XLOOKUP(A598,Fleet!A:A,Fleet!E:E,""),"")</f>
        <v>3</v>
      </c>
      <c r="N598" t="s">
        <v>22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527</v>
      </c>
      <c r="B599" t="s">
        <v>3075</v>
      </c>
      <c r="C599" t="s">
        <v>528</v>
      </c>
      <c r="D599">
        <v>96.7</v>
      </c>
      <c r="E599" t="s">
        <v>3074</v>
      </c>
      <c r="F599" s="186" t="s">
        <v>530</v>
      </c>
      <c r="H599" t="b">
        <v>1</v>
      </c>
      <c r="I599" t="s">
        <v>22</v>
      </c>
      <c r="J599" s="186" t="s">
        <v>467</v>
      </c>
      <c r="M599">
        <f>IFERROR(_xlfn.XLOOKUP(A599,Fleet!A:A,Fleet!E:E,""),"")</f>
        <v>5</v>
      </c>
      <c r="N599" t="s">
        <v>22</v>
      </c>
      <c r="P599" t="str">
        <f>_xlfn.XLOOKUP(A599,'Classic Net to delete'!D:D,'Classic Net to delete'!A:A,"")</f>
        <v/>
      </c>
    </row>
    <row r="600" spans="1:16" x14ac:dyDescent="0.25">
      <c r="A600" t="s">
        <v>492</v>
      </c>
      <c r="B600" t="s">
        <v>493</v>
      </c>
      <c r="C600" t="s">
        <v>493</v>
      </c>
      <c r="D600">
        <v>51.6</v>
      </c>
      <c r="E600" t="s">
        <v>3074</v>
      </c>
      <c r="F600" s="186" t="s">
        <v>530</v>
      </c>
      <c r="H600" t="b">
        <v>1</v>
      </c>
      <c r="I600">
        <v>51.6</v>
      </c>
      <c r="J600" s="186" t="s">
        <v>467</v>
      </c>
      <c r="M600">
        <f>IFERROR(_xlfn.XLOOKUP(A600,Fleet!A:A,Fleet!E:E,""),"")</f>
        <v>7</v>
      </c>
      <c r="N600" t="s">
        <v>22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531</v>
      </c>
      <c r="B601" t="s">
        <v>532</v>
      </c>
      <c r="C601" t="s">
        <v>532</v>
      </c>
      <c r="D601">
        <v>96.7</v>
      </c>
      <c r="E601" t="s">
        <v>3074</v>
      </c>
      <c r="F601" s="186" t="s">
        <v>530</v>
      </c>
      <c r="H601" t="b">
        <v>1</v>
      </c>
      <c r="I601" t="s">
        <v>22</v>
      </c>
      <c r="J601" s="186" t="s">
        <v>467</v>
      </c>
      <c r="M601">
        <f>IFERROR(_xlfn.XLOOKUP(A601,Fleet!A:A,Fleet!E:E,""),"")</f>
        <v>9</v>
      </c>
      <c r="N601" t="s">
        <v>22</v>
      </c>
      <c r="P601" t="str">
        <f>_xlfn.XLOOKUP(A601,'Classic Net to delete'!D:D,'Classic Net to delete'!A:A,"")</f>
        <v/>
      </c>
    </row>
    <row r="602" spans="1:16" x14ac:dyDescent="0.25">
      <c r="A602" t="s">
        <v>486</v>
      </c>
      <c r="B602" t="s">
        <v>487</v>
      </c>
      <c r="C602" t="s">
        <v>487</v>
      </c>
      <c r="D602">
        <v>96.7</v>
      </c>
      <c r="E602" t="s">
        <v>3074</v>
      </c>
      <c r="F602" s="186" t="s">
        <v>530</v>
      </c>
      <c r="H602" t="b">
        <v>1</v>
      </c>
      <c r="I602">
        <v>96.7</v>
      </c>
      <c r="J602" s="186" t="s">
        <v>467</v>
      </c>
      <c r="M602">
        <f>IFERROR(_xlfn.XLOOKUP(A602,Fleet!A:A,Fleet!E:E,""),"")</f>
        <v>49</v>
      </c>
      <c r="N602" t="s">
        <v>22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482</v>
      </c>
      <c r="B603" t="s">
        <v>483</v>
      </c>
      <c r="C603" t="s">
        <v>483</v>
      </c>
      <c r="D603">
        <v>53.05</v>
      </c>
      <c r="E603" t="s">
        <v>3074</v>
      </c>
      <c r="F603" s="186" t="s">
        <v>530</v>
      </c>
      <c r="H603" t="b">
        <v>1</v>
      </c>
      <c r="I603">
        <v>53.050000000000004</v>
      </c>
      <c r="J603" s="186" t="s">
        <v>467</v>
      </c>
      <c r="M603">
        <f>IFERROR(_xlfn.XLOOKUP(A603,Fleet!A:A,Fleet!E:E,""),"")</f>
        <v>20</v>
      </c>
      <c r="N603" t="s">
        <v>22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517</v>
      </c>
      <c r="B604" t="s">
        <v>518</v>
      </c>
      <c r="C604" t="s">
        <v>518</v>
      </c>
      <c r="D604">
        <v>58.4</v>
      </c>
      <c r="E604" t="s">
        <v>3074</v>
      </c>
      <c r="F604" s="186" t="s">
        <v>516</v>
      </c>
      <c r="H604" t="b">
        <v>1</v>
      </c>
      <c r="I604">
        <v>58.400000000000006</v>
      </c>
      <c r="J604" s="186" t="s">
        <v>467</v>
      </c>
      <c r="M604">
        <f>IFERROR(_xlfn.XLOOKUP(A604,Fleet!A:A,Fleet!E:E,""),"")</f>
        <v>2</v>
      </c>
      <c r="N604" t="s">
        <v>22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513</v>
      </c>
      <c r="B605" t="s">
        <v>514</v>
      </c>
      <c r="C605" t="s">
        <v>514</v>
      </c>
      <c r="D605">
        <v>54.3</v>
      </c>
      <c r="E605" t="s">
        <v>3074</v>
      </c>
      <c r="F605" s="186" t="s">
        <v>516</v>
      </c>
      <c r="H605" t="b">
        <v>1</v>
      </c>
      <c r="I605">
        <v>54.300000000000004</v>
      </c>
      <c r="J605" s="186" t="s">
        <v>467</v>
      </c>
      <c r="M605">
        <f>IFERROR(_xlfn.XLOOKUP(A605,Fleet!A:A,Fleet!E:E,""),"")</f>
        <v>0</v>
      </c>
      <c r="N605" t="s">
        <v>22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472</v>
      </c>
      <c r="B606" t="s">
        <v>473</v>
      </c>
      <c r="C606" t="s">
        <v>473</v>
      </c>
      <c r="D606">
        <v>10.6</v>
      </c>
      <c r="E606" t="s">
        <v>3074</v>
      </c>
      <c r="F606" s="186" t="s">
        <v>945</v>
      </c>
      <c r="H606" t="b">
        <v>1</v>
      </c>
      <c r="I606">
        <v>10.600000000000001</v>
      </c>
      <c r="J606" s="186" t="s">
        <v>467</v>
      </c>
      <c r="M606">
        <f>IFERROR(_xlfn.XLOOKUP(A606,Fleet!A:A,Fleet!E:E,""),"")</f>
        <v>3</v>
      </c>
      <c r="N606" t="s">
        <v>22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498</v>
      </c>
      <c r="B607" t="s">
        <v>499</v>
      </c>
      <c r="C607" t="s">
        <v>499</v>
      </c>
      <c r="D607">
        <v>18.600000000000001</v>
      </c>
      <c r="E607" t="s">
        <v>3074</v>
      </c>
      <c r="F607" s="186" t="s">
        <v>522</v>
      </c>
      <c r="H607" t="b">
        <v>1</v>
      </c>
      <c r="I607">
        <v>18.600000000000001</v>
      </c>
      <c r="J607" s="186" t="s">
        <v>467</v>
      </c>
      <c r="M607">
        <f>IFERROR(_xlfn.XLOOKUP(A607,Fleet!A:A,Fleet!E:E,""),"")</f>
        <v>7</v>
      </c>
      <c r="N607" t="s">
        <v>22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539</v>
      </c>
      <c r="B608" t="s">
        <v>540</v>
      </c>
      <c r="C608" t="s">
        <v>540</v>
      </c>
      <c r="D608">
        <v>55.45</v>
      </c>
      <c r="E608" t="s">
        <v>3077</v>
      </c>
      <c r="F608" s="186" t="s">
        <v>530</v>
      </c>
      <c r="H608" t="b">
        <v>1</v>
      </c>
      <c r="I608">
        <v>55.45</v>
      </c>
      <c r="J608" s="186" t="s">
        <v>541</v>
      </c>
      <c r="M608">
        <f>IFERROR(_xlfn.XLOOKUP(A608,Fleet!A:A,Fleet!E:E,""),"")</f>
        <v>56</v>
      </c>
      <c r="N608" t="s">
        <v>22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554</v>
      </c>
      <c r="B609" t="s">
        <v>555</v>
      </c>
      <c r="C609" t="s">
        <v>555</v>
      </c>
      <c r="D609">
        <v>74</v>
      </c>
      <c r="E609" t="s">
        <v>3077</v>
      </c>
      <c r="F609" s="186" t="s">
        <v>530</v>
      </c>
      <c r="H609" t="b">
        <v>1</v>
      </c>
      <c r="I609">
        <v>74</v>
      </c>
      <c r="J609" s="186" t="s">
        <v>541</v>
      </c>
      <c r="M609">
        <f>IFERROR(_xlfn.XLOOKUP(A609,Fleet!A:A,Fleet!E:E,""),"")</f>
        <v>94</v>
      </c>
      <c r="N609" t="s">
        <v>22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569</v>
      </c>
      <c r="B610" t="s">
        <v>570</v>
      </c>
      <c r="C610" t="s">
        <v>570</v>
      </c>
      <c r="D610">
        <v>42.2</v>
      </c>
      <c r="E610" t="s">
        <v>3077</v>
      </c>
      <c r="F610" s="186" t="s">
        <v>530</v>
      </c>
      <c r="H610" t="b">
        <v>1</v>
      </c>
      <c r="I610">
        <v>42.2</v>
      </c>
      <c r="J610" s="186" t="s">
        <v>541</v>
      </c>
      <c r="M610">
        <f>IFERROR(_xlfn.XLOOKUP(A610,Fleet!A:A,Fleet!E:E,""),"")</f>
        <v>15</v>
      </c>
      <c r="N610" t="s">
        <v>22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571</v>
      </c>
      <c r="B611" t="s">
        <v>572</v>
      </c>
      <c r="C611" t="s">
        <v>572</v>
      </c>
      <c r="D611">
        <v>106.15</v>
      </c>
      <c r="E611" t="s">
        <v>3077</v>
      </c>
      <c r="F611" s="186" t="s">
        <v>530</v>
      </c>
      <c r="H611" t="b">
        <v>1</v>
      </c>
      <c r="I611">
        <v>106.15</v>
      </c>
      <c r="J611" s="186" t="s">
        <v>541</v>
      </c>
      <c r="M611">
        <f>IFERROR(_xlfn.XLOOKUP(A611,Fleet!A:A,Fleet!E:E,""),"")</f>
        <v>14</v>
      </c>
      <c r="N611" t="s">
        <v>22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545</v>
      </c>
      <c r="B612" t="s">
        <v>546</v>
      </c>
      <c r="C612" t="s">
        <v>546</v>
      </c>
      <c r="D612">
        <v>50.45</v>
      </c>
      <c r="E612" t="s">
        <v>3077</v>
      </c>
      <c r="F612" s="186" t="s">
        <v>530</v>
      </c>
      <c r="H612" t="b">
        <v>1</v>
      </c>
      <c r="I612">
        <v>50.45</v>
      </c>
      <c r="J612" s="186" t="s">
        <v>541</v>
      </c>
      <c r="M612">
        <f>IFERROR(_xlfn.XLOOKUP(A612,Fleet!A:A,Fleet!E:E,""),"")</f>
        <v>6</v>
      </c>
      <c r="N612" t="s">
        <v>22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548</v>
      </c>
      <c r="B613" t="s">
        <v>549</v>
      </c>
      <c r="C613" t="s">
        <v>549</v>
      </c>
      <c r="D613">
        <v>56.9</v>
      </c>
      <c r="E613" t="s">
        <v>3077</v>
      </c>
      <c r="F613" s="186" t="s">
        <v>530</v>
      </c>
      <c r="H613" t="b">
        <v>1</v>
      </c>
      <c r="I613">
        <v>56.900000000000006</v>
      </c>
      <c r="J613" s="186" t="s">
        <v>541</v>
      </c>
      <c r="M613">
        <f>IFERROR(_xlfn.XLOOKUP(A613,Fleet!A:A,Fleet!E:E,""),"")</f>
        <v>69</v>
      </c>
      <c r="N613" t="s">
        <v>22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683</v>
      </c>
      <c r="B614" t="s">
        <v>684</v>
      </c>
      <c r="C614" t="s">
        <v>684</v>
      </c>
      <c r="D614">
        <v>48.95</v>
      </c>
      <c r="E614" t="s">
        <v>3077</v>
      </c>
      <c r="F614" s="186" t="s">
        <v>530</v>
      </c>
      <c r="H614" t="b">
        <v>1</v>
      </c>
      <c r="I614">
        <v>48.95</v>
      </c>
      <c r="J614" s="186" t="s">
        <v>541</v>
      </c>
      <c r="M614">
        <f>IFERROR(_xlfn.XLOOKUP(A614,Fleet!A:A,Fleet!E:E,""),"")</f>
        <v>0</v>
      </c>
      <c r="N614" t="s">
        <v>22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551</v>
      </c>
      <c r="B615" t="s">
        <v>552</v>
      </c>
      <c r="C615" t="s">
        <v>552</v>
      </c>
      <c r="D615">
        <v>50.45</v>
      </c>
      <c r="E615" t="s">
        <v>3077</v>
      </c>
      <c r="F615" s="186" t="s">
        <v>530</v>
      </c>
      <c r="H615" t="b">
        <v>1</v>
      </c>
      <c r="I615">
        <v>50.45</v>
      </c>
      <c r="J615" s="186" t="s">
        <v>541</v>
      </c>
      <c r="M615">
        <f>IFERROR(_xlfn.XLOOKUP(A615,Fleet!A:A,Fleet!E:E,""),"")</f>
        <v>8</v>
      </c>
      <c r="N615" t="s">
        <v>22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566</v>
      </c>
      <c r="B616" t="s">
        <v>567</v>
      </c>
      <c r="C616" t="s">
        <v>567</v>
      </c>
      <c r="D616">
        <v>129.4</v>
      </c>
      <c r="E616" t="s">
        <v>3077</v>
      </c>
      <c r="F616" s="186" t="s">
        <v>530</v>
      </c>
      <c r="H616" t="b">
        <v>1</v>
      </c>
      <c r="I616">
        <v>129.4</v>
      </c>
      <c r="J616" s="186" t="s">
        <v>541</v>
      </c>
      <c r="M616">
        <f>IFERROR(_xlfn.XLOOKUP(A616,Fleet!A:A,Fleet!E:E,""),"")</f>
        <v>8</v>
      </c>
      <c r="N616" t="s">
        <v>22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563</v>
      </c>
      <c r="B617" t="s">
        <v>564</v>
      </c>
      <c r="C617" t="s">
        <v>564</v>
      </c>
      <c r="D617">
        <v>106.15</v>
      </c>
      <c r="E617" t="s">
        <v>3077</v>
      </c>
      <c r="F617" s="186" t="s">
        <v>530</v>
      </c>
      <c r="H617" t="b">
        <v>1</v>
      </c>
      <c r="I617">
        <v>106.15</v>
      </c>
      <c r="J617" s="186" t="s">
        <v>541</v>
      </c>
      <c r="M617">
        <f>IFERROR(_xlfn.XLOOKUP(A617,Fleet!A:A,Fleet!E:E,""),"")</f>
        <v>6</v>
      </c>
      <c r="N617" t="s">
        <v>22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560</v>
      </c>
      <c r="B618" t="s">
        <v>561</v>
      </c>
      <c r="C618" t="s">
        <v>561</v>
      </c>
      <c r="D618">
        <v>81.349999999999994</v>
      </c>
      <c r="E618" t="s">
        <v>3077</v>
      </c>
      <c r="F618" s="186" t="s">
        <v>530</v>
      </c>
      <c r="H618" t="b">
        <v>1</v>
      </c>
      <c r="I618">
        <v>81.350000000000009</v>
      </c>
      <c r="J618" s="186" t="s">
        <v>541</v>
      </c>
      <c r="M618">
        <f>IFERROR(_xlfn.XLOOKUP(A618,Fleet!A:A,Fleet!E:E,""),"")</f>
        <v>7</v>
      </c>
      <c r="N618" t="s">
        <v>22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686</v>
      </c>
      <c r="B619" t="s">
        <v>687</v>
      </c>
      <c r="C619" t="s">
        <v>687</v>
      </c>
      <c r="D619">
        <v>70.75</v>
      </c>
      <c r="E619" t="s">
        <v>3077</v>
      </c>
      <c r="F619" s="186" t="s">
        <v>530</v>
      </c>
      <c r="H619" t="b">
        <v>1</v>
      </c>
      <c r="I619">
        <v>70.75</v>
      </c>
      <c r="J619" s="186" t="s">
        <v>541</v>
      </c>
      <c r="M619">
        <f>IFERROR(_xlfn.XLOOKUP(A619,Fleet!A:A,Fleet!E:E,""),"")</f>
        <v>1</v>
      </c>
      <c r="N619" t="s">
        <v>22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557</v>
      </c>
      <c r="B620" t="s">
        <v>558</v>
      </c>
      <c r="C620" t="s">
        <v>558</v>
      </c>
      <c r="D620">
        <v>112</v>
      </c>
      <c r="E620" t="s">
        <v>3077</v>
      </c>
      <c r="F620" s="186" t="s">
        <v>530</v>
      </c>
      <c r="H620" t="b">
        <v>1</v>
      </c>
      <c r="I620">
        <v>112</v>
      </c>
      <c r="J620" s="186" t="s">
        <v>541</v>
      </c>
      <c r="M620">
        <f>IFERROR(_xlfn.XLOOKUP(A620,Fleet!A:A,Fleet!E:E,""),"")</f>
        <v>10</v>
      </c>
      <c r="N620" t="s">
        <v>22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543</v>
      </c>
      <c r="B621" t="s">
        <v>544</v>
      </c>
      <c r="C621" t="s">
        <v>544</v>
      </c>
      <c r="D621">
        <v>106.15</v>
      </c>
      <c r="E621" t="s">
        <v>3077</v>
      </c>
      <c r="F621" s="186" t="s">
        <v>530</v>
      </c>
      <c r="H621" t="b">
        <v>1</v>
      </c>
      <c r="I621">
        <v>106.15</v>
      </c>
      <c r="J621" s="186" t="s">
        <v>541</v>
      </c>
      <c r="M621">
        <f>IFERROR(_xlfn.XLOOKUP(A621,Fleet!A:A,Fleet!E:E,""),"")</f>
        <v>4</v>
      </c>
      <c r="N621" t="s">
        <v>22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679</v>
      </c>
      <c r="B622" t="s">
        <v>680</v>
      </c>
      <c r="C622" t="s">
        <v>680</v>
      </c>
      <c r="D622">
        <v>129.4</v>
      </c>
      <c r="E622" t="s">
        <v>3077</v>
      </c>
      <c r="F622" s="186" t="s">
        <v>530</v>
      </c>
      <c r="H622" t="b">
        <v>1</v>
      </c>
      <c r="I622" t="s">
        <v>22</v>
      </c>
      <c r="J622" s="186" t="s">
        <v>541</v>
      </c>
      <c r="M622">
        <f>IFERROR(_xlfn.XLOOKUP(A622,Fleet!A:A,Fleet!E:E,""),"")</f>
        <v>0</v>
      </c>
      <c r="N622" t="s">
        <v>22</v>
      </c>
      <c r="P622" t="str">
        <f>_xlfn.XLOOKUP(A622,'Classic Net to delete'!D:D,'Classic Net to delete'!A:A,"")</f>
        <v/>
      </c>
    </row>
    <row r="623" spans="1:16" x14ac:dyDescent="0.25">
      <c r="A623" t="s">
        <v>689</v>
      </c>
      <c r="B623" t="s">
        <v>690</v>
      </c>
      <c r="C623" t="s">
        <v>690</v>
      </c>
      <c r="D623">
        <v>129.4</v>
      </c>
      <c r="E623" t="s">
        <v>3077</v>
      </c>
      <c r="F623" s="186" t="s">
        <v>530</v>
      </c>
      <c r="H623" t="b">
        <v>1</v>
      </c>
      <c r="I623">
        <v>129.4</v>
      </c>
      <c r="J623" s="186" t="s">
        <v>541</v>
      </c>
      <c r="M623">
        <f>IFERROR(_xlfn.XLOOKUP(A623,Fleet!A:A,Fleet!E:E,""),"")</f>
        <v>2</v>
      </c>
      <c r="N623" t="s">
        <v>22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681</v>
      </c>
      <c r="B624" t="s">
        <v>682</v>
      </c>
      <c r="C624" t="s">
        <v>682</v>
      </c>
      <c r="D624">
        <v>129.4</v>
      </c>
      <c r="E624" t="s">
        <v>3077</v>
      </c>
      <c r="F624" s="186" t="s">
        <v>530</v>
      </c>
      <c r="H624" t="b">
        <v>1</v>
      </c>
      <c r="I624" t="s">
        <v>22</v>
      </c>
      <c r="J624" s="186" t="s">
        <v>541</v>
      </c>
      <c r="M624">
        <f>IFERROR(_xlfn.XLOOKUP(A624,Fleet!A:A,Fleet!E:E,""),"")</f>
        <v>3</v>
      </c>
      <c r="N624" t="s">
        <v>22</v>
      </c>
      <c r="P624" t="str">
        <f>_xlfn.XLOOKUP(A624,'Classic Net to delete'!D:D,'Classic Net to delete'!A:A,"")</f>
        <v/>
      </c>
    </row>
    <row r="625" spans="1:16" x14ac:dyDescent="0.25">
      <c r="A625" t="s">
        <v>677</v>
      </c>
      <c r="B625" t="s">
        <v>678</v>
      </c>
      <c r="C625" t="s">
        <v>678</v>
      </c>
      <c r="D625">
        <v>112</v>
      </c>
      <c r="E625" t="s">
        <v>3077</v>
      </c>
      <c r="F625" s="186" t="s">
        <v>530</v>
      </c>
      <c r="H625" t="b">
        <v>1</v>
      </c>
      <c r="I625" t="s">
        <v>22</v>
      </c>
      <c r="J625" s="186" t="s">
        <v>541</v>
      </c>
      <c r="M625">
        <f>IFERROR(_xlfn.XLOOKUP(A625,Fleet!A:A,Fleet!E:E,""),"")</f>
        <v>3</v>
      </c>
      <c r="N625" t="s">
        <v>22</v>
      </c>
      <c r="P625" t="str">
        <f>_xlfn.XLOOKUP(A625,'Classic Net to delete'!D:D,'Classic Net to delete'!A:A,"")</f>
        <v/>
      </c>
    </row>
    <row r="626" spans="1:16" x14ac:dyDescent="0.25">
      <c r="A626" t="s">
        <v>675</v>
      </c>
      <c r="B626" t="s">
        <v>676</v>
      </c>
      <c r="C626" t="s">
        <v>676</v>
      </c>
      <c r="D626">
        <v>74</v>
      </c>
      <c r="E626" t="s">
        <v>3077</v>
      </c>
      <c r="F626" s="186" t="s">
        <v>530</v>
      </c>
      <c r="H626" t="b">
        <v>1</v>
      </c>
      <c r="I626" t="s">
        <v>22</v>
      </c>
      <c r="J626" s="186" t="s">
        <v>541</v>
      </c>
      <c r="M626" t="str">
        <f>IFERROR(_xlfn.XLOOKUP(A626,Fleet!A:A,Fleet!E:E,""),"")</f>
        <v/>
      </c>
      <c r="N626" t="s">
        <v>22</v>
      </c>
      <c r="P626" t="str">
        <f>_xlfn.XLOOKUP(A626,'Classic Net to delete'!D:D,'Classic Net to delete'!A:A,"")</f>
        <v/>
      </c>
    </row>
    <row r="627" spans="1:16" x14ac:dyDescent="0.25">
      <c r="A627" t="s">
        <v>3024</v>
      </c>
      <c r="B627" t="s">
        <v>3933</v>
      </c>
      <c r="C627" t="s">
        <v>3025</v>
      </c>
      <c r="D627">
        <v>9.5</v>
      </c>
      <c r="E627" t="s">
        <v>3156</v>
      </c>
      <c r="F627" s="186" t="s">
        <v>945</v>
      </c>
      <c r="H627" t="b">
        <v>0</v>
      </c>
      <c r="I627" t="s">
        <v>22</v>
      </c>
      <c r="M627" t="str">
        <f>IFERROR(_xlfn.XLOOKUP(A627,Fleet!A:A,Fleet!E:E,""),"")</f>
        <v/>
      </c>
      <c r="N627" t="s">
        <v>22</v>
      </c>
      <c r="P627" t="str">
        <f>_xlfn.XLOOKUP(A627,'Classic Net to delete'!D:D,'Classic Net to delete'!A:A,"")</f>
        <v/>
      </c>
    </row>
    <row r="628" spans="1:16" x14ac:dyDescent="0.25">
      <c r="A628" t="s">
        <v>3046</v>
      </c>
      <c r="B628" t="s">
        <v>3956</v>
      </c>
      <c r="C628" t="s">
        <v>3047</v>
      </c>
      <c r="D628">
        <v>14.15</v>
      </c>
      <c r="E628" t="s">
        <v>3156</v>
      </c>
      <c r="F628" s="186" t="s">
        <v>945</v>
      </c>
      <c r="H628" t="b">
        <v>0</v>
      </c>
      <c r="I628" t="s">
        <v>22</v>
      </c>
      <c r="M628" t="str">
        <f>IFERROR(_xlfn.XLOOKUP(A628,Fleet!A:A,Fleet!E:E,""),"")</f>
        <v/>
      </c>
      <c r="N628" t="s">
        <v>22</v>
      </c>
      <c r="P628" t="str">
        <f>_xlfn.XLOOKUP(A628,'Classic Net to delete'!D:D,'Classic Net to delete'!A:A,"")</f>
        <v/>
      </c>
    </row>
    <row r="629" spans="1:16" x14ac:dyDescent="0.25">
      <c r="A629" t="s">
        <v>3022</v>
      </c>
      <c r="B629" t="s">
        <v>3937</v>
      </c>
      <c r="C629" t="s">
        <v>3023</v>
      </c>
      <c r="D629">
        <v>3.55</v>
      </c>
      <c r="E629" t="s">
        <v>3156</v>
      </c>
      <c r="F629" s="186" t="s">
        <v>945</v>
      </c>
      <c r="H629" t="b">
        <v>0</v>
      </c>
      <c r="I629" t="s">
        <v>22</v>
      </c>
      <c r="M629" t="str">
        <f>IFERROR(_xlfn.XLOOKUP(A629,Fleet!A:A,Fleet!E:E,""),"")</f>
        <v/>
      </c>
      <c r="N629" t="s">
        <v>22</v>
      </c>
      <c r="P629" t="str">
        <f>_xlfn.XLOOKUP(A629,'Classic Net to delete'!D:D,'Classic Net to delete'!A:A,"")</f>
        <v/>
      </c>
    </row>
    <row r="630" spans="1:16" x14ac:dyDescent="0.25">
      <c r="A630" t="s">
        <v>3048</v>
      </c>
      <c r="B630" t="s">
        <v>3917</v>
      </c>
      <c r="C630" t="s">
        <v>3049</v>
      </c>
      <c r="D630">
        <v>41.25</v>
      </c>
      <c r="E630" t="s">
        <v>3156</v>
      </c>
      <c r="F630" s="186" t="s">
        <v>945</v>
      </c>
      <c r="H630" t="b">
        <v>0</v>
      </c>
      <c r="I630" t="s">
        <v>22</v>
      </c>
      <c r="M630" t="str">
        <f>IFERROR(_xlfn.XLOOKUP(A630,Fleet!A:A,Fleet!E:E,""),"")</f>
        <v/>
      </c>
      <c r="N630" t="s">
        <v>22</v>
      </c>
      <c r="P630" t="str">
        <f>_xlfn.XLOOKUP(A630,'Classic Net to delete'!D:D,'Classic Net to delete'!A:A,"")</f>
        <v/>
      </c>
    </row>
    <row r="631" spans="1:16" x14ac:dyDescent="0.25">
      <c r="A631" t="s">
        <v>3026</v>
      </c>
      <c r="B631" t="s">
        <v>3930</v>
      </c>
      <c r="C631" t="s">
        <v>3027</v>
      </c>
      <c r="D631">
        <v>0.5</v>
      </c>
      <c r="E631" t="s">
        <v>3156</v>
      </c>
      <c r="F631" s="186" t="s">
        <v>945</v>
      </c>
      <c r="H631" t="b">
        <v>0</v>
      </c>
      <c r="I631" t="s">
        <v>22</v>
      </c>
      <c r="M631" t="str">
        <f>IFERROR(_xlfn.XLOOKUP(A631,Fleet!A:A,Fleet!E:E,""),"")</f>
        <v/>
      </c>
      <c r="N631" t="s">
        <v>22</v>
      </c>
      <c r="P631" t="str">
        <f>_xlfn.XLOOKUP(A631,'Classic Net to delete'!D:D,'Classic Net to delete'!A:A,"")</f>
        <v/>
      </c>
    </row>
    <row r="632" spans="1:16" x14ac:dyDescent="0.25">
      <c r="A632" t="s">
        <v>3028</v>
      </c>
      <c r="B632" t="s">
        <v>3920</v>
      </c>
      <c r="C632" t="s">
        <v>3029</v>
      </c>
      <c r="D632">
        <v>5.15</v>
      </c>
      <c r="E632" t="s">
        <v>3156</v>
      </c>
      <c r="F632" s="186" t="s">
        <v>945</v>
      </c>
      <c r="H632" t="b">
        <v>0</v>
      </c>
      <c r="I632" t="s">
        <v>22</v>
      </c>
      <c r="M632" t="str">
        <f>IFERROR(_xlfn.XLOOKUP(A632,Fleet!A:A,Fleet!E:E,""),"")</f>
        <v/>
      </c>
      <c r="N632" t="s">
        <v>22</v>
      </c>
      <c r="P632" t="str">
        <f>_xlfn.XLOOKUP(A632,'Classic Net to delete'!D:D,'Classic Net to delete'!A:A,"")</f>
        <v/>
      </c>
    </row>
    <row r="633" spans="1:16" x14ac:dyDescent="0.25">
      <c r="A633" t="s">
        <v>3028</v>
      </c>
      <c r="B633" t="s">
        <v>3920</v>
      </c>
      <c r="C633" t="s">
        <v>3030</v>
      </c>
      <c r="D633">
        <v>5.15</v>
      </c>
      <c r="E633" t="s">
        <v>3156</v>
      </c>
      <c r="F633" s="186" t="s">
        <v>945</v>
      </c>
      <c r="H633" t="b">
        <v>0</v>
      </c>
      <c r="I633" t="s">
        <v>22</v>
      </c>
      <c r="M633" t="str">
        <f>IFERROR(_xlfn.XLOOKUP(A633,Fleet!A:A,Fleet!E:E,""),"")</f>
        <v/>
      </c>
      <c r="N633" t="s">
        <v>22</v>
      </c>
      <c r="P633" t="str">
        <f>_xlfn.XLOOKUP(A633,'Classic Net to delete'!D:D,'Classic Net to delete'!A:A,"")</f>
        <v/>
      </c>
    </row>
    <row r="634" spans="1:16" x14ac:dyDescent="0.25">
      <c r="A634" t="s">
        <v>3028</v>
      </c>
      <c r="B634" t="s">
        <v>3920</v>
      </c>
      <c r="C634" t="s">
        <v>3031</v>
      </c>
      <c r="D634">
        <v>5.15</v>
      </c>
      <c r="E634" t="s">
        <v>3156</v>
      </c>
      <c r="F634" s="186" t="s">
        <v>945</v>
      </c>
      <c r="H634" t="b">
        <v>0</v>
      </c>
      <c r="I634" t="s">
        <v>22</v>
      </c>
      <c r="M634" t="str">
        <f>IFERROR(_xlfn.XLOOKUP(A634,Fleet!A:A,Fleet!E:E,""),"")</f>
        <v/>
      </c>
      <c r="N634" t="s">
        <v>22</v>
      </c>
      <c r="P634" t="str">
        <f>_xlfn.XLOOKUP(A634,'Classic Net to delete'!D:D,'Classic Net to delete'!A:A,"")</f>
        <v/>
      </c>
    </row>
    <row r="635" spans="1:16" x14ac:dyDescent="0.25">
      <c r="A635" t="s">
        <v>3028</v>
      </c>
      <c r="B635" t="s">
        <v>3920</v>
      </c>
      <c r="C635" t="s">
        <v>3032</v>
      </c>
      <c r="D635">
        <v>5.15</v>
      </c>
      <c r="E635" t="s">
        <v>3156</v>
      </c>
      <c r="F635" s="186" t="s">
        <v>945</v>
      </c>
      <c r="H635" t="b">
        <v>0</v>
      </c>
      <c r="I635" t="s">
        <v>22</v>
      </c>
      <c r="M635" t="str">
        <f>IFERROR(_xlfn.XLOOKUP(A635,Fleet!A:A,Fleet!E:E,""),"")</f>
        <v/>
      </c>
      <c r="N635" t="s">
        <v>22</v>
      </c>
      <c r="P635" t="str">
        <f>_xlfn.XLOOKUP(A635,'Classic Net to delete'!D:D,'Classic Net to delete'!A:A,"")</f>
        <v/>
      </c>
    </row>
    <row r="636" spans="1:16" x14ac:dyDescent="0.25">
      <c r="A636" t="s">
        <v>3028</v>
      </c>
      <c r="B636" t="s">
        <v>3920</v>
      </c>
      <c r="C636" t="s">
        <v>3033</v>
      </c>
      <c r="D636">
        <v>5.15</v>
      </c>
      <c r="E636" t="s">
        <v>3156</v>
      </c>
      <c r="F636" s="186" t="s">
        <v>945</v>
      </c>
      <c r="H636" t="b">
        <v>0</v>
      </c>
      <c r="I636" t="s">
        <v>22</v>
      </c>
      <c r="M636" t="str">
        <f>IFERROR(_xlfn.XLOOKUP(A636,Fleet!A:A,Fleet!E:E,""),"")</f>
        <v/>
      </c>
      <c r="N636" t="s">
        <v>22</v>
      </c>
      <c r="P636" t="str">
        <f>_xlfn.XLOOKUP(A636,'Classic Net to delete'!D:D,'Classic Net to delete'!A:A,"")</f>
        <v/>
      </c>
    </row>
    <row r="637" spans="1:16" x14ac:dyDescent="0.25">
      <c r="A637" t="s">
        <v>3028</v>
      </c>
      <c r="B637" t="s">
        <v>3920</v>
      </c>
      <c r="C637" t="s">
        <v>3034</v>
      </c>
      <c r="D637">
        <v>5.15</v>
      </c>
      <c r="E637" t="s">
        <v>3156</v>
      </c>
      <c r="F637" s="186" t="s">
        <v>945</v>
      </c>
      <c r="H637" t="b">
        <v>0</v>
      </c>
      <c r="I637" t="s">
        <v>22</v>
      </c>
      <c r="M637" t="str">
        <f>IFERROR(_xlfn.XLOOKUP(A637,Fleet!A:A,Fleet!E:E,""),"")</f>
        <v/>
      </c>
      <c r="N637" t="s">
        <v>22</v>
      </c>
      <c r="P637" t="str">
        <f>_xlfn.XLOOKUP(A637,'Classic Net to delete'!D:D,'Classic Net to delete'!A:A,"")</f>
        <v/>
      </c>
    </row>
    <row r="638" spans="1:16" x14ac:dyDescent="0.25">
      <c r="A638" t="s">
        <v>3028</v>
      </c>
      <c r="B638" t="s">
        <v>3920</v>
      </c>
      <c r="C638" t="s">
        <v>3035</v>
      </c>
      <c r="D638">
        <v>5.15</v>
      </c>
      <c r="E638" t="s">
        <v>3156</v>
      </c>
      <c r="F638" s="186" t="s">
        <v>945</v>
      </c>
      <c r="H638" t="b">
        <v>0</v>
      </c>
      <c r="I638" t="s">
        <v>22</v>
      </c>
      <c r="M638" t="str">
        <f>IFERROR(_xlfn.XLOOKUP(A638,Fleet!A:A,Fleet!E:E,""),"")</f>
        <v/>
      </c>
      <c r="N638" t="s">
        <v>22</v>
      </c>
      <c r="P638" t="str">
        <f>_xlfn.XLOOKUP(A638,'Classic Net to delete'!D:D,'Classic Net to delete'!A:A,"")</f>
        <v/>
      </c>
    </row>
    <row r="639" spans="1:16" x14ac:dyDescent="0.25">
      <c r="A639" t="s">
        <v>3028</v>
      </c>
      <c r="B639" t="s">
        <v>3920</v>
      </c>
      <c r="C639" t="s">
        <v>3036</v>
      </c>
      <c r="D639">
        <v>5.15</v>
      </c>
      <c r="E639" t="s">
        <v>3156</v>
      </c>
      <c r="F639" s="186" t="s">
        <v>945</v>
      </c>
      <c r="H639" t="b">
        <v>0</v>
      </c>
      <c r="I639" t="s">
        <v>22</v>
      </c>
      <c r="M639" t="str">
        <f>IFERROR(_xlfn.XLOOKUP(A639,Fleet!A:A,Fleet!E:E,""),"")</f>
        <v/>
      </c>
      <c r="N639" t="s">
        <v>22</v>
      </c>
      <c r="P639" t="str">
        <f>_xlfn.XLOOKUP(A639,'Classic Net to delete'!D:D,'Classic Net to delete'!A:A,"")</f>
        <v/>
      </c>
    </row>
    <row r="640" spans="1:16" x14ac:dyDescent="0.25">
      <c r="A640" t="s">
        <v>3028</v>
      </c>
      <c r="B640" t="s">
        <v>3920</v>
      </c>
      <c r="C640" t="s">
        <v>3037</v>
      </c>
      <c r="D640">
        <v>5.15</v>
      </c>
      <c r="E640" t="s">
        <v>3156</v>
      </c>
      <c r="F640" s="186" t="s">
        <v>945</v>
      </c>
      <c r="H640" t="b">
        <v>0</v>
      </c>
      <c r="I640" t="s">
        <v>22</v>
      </c>
      <c r="M640" t="str">
        <f>IFERROR(_xlfn.XLOOKUP(A640,Fleet!A:A,Fleet!E:E,""),"")</f>
        <v/>
      </c>
      <c r="N640" t="s">
        <v>22</v>
      </c>
      <c r="P640" t="str">
        <f>_xlfn.XLOOKUP(A640,'Classic Net to delete'!D:D,'Classic Net to delete'!A:A,"")</f>
        <v/>
      </c>
    </row>
    <row r="641" spans="1:16" x14ac:dyDescent="0.25">
      <c r="A641" t="s">
        <v>3028</v>
      </c>
      <c r="B641" t="s">
        <v>3920</v>
      </c>
      <c r="C641" t="s">
        <v>3038</v>
      </c>
      <c r="D641">
        <v>5.15</v>
      </c>
      <c r="E641" t="s">
        <v>3156</v>
      </c>
      <c r="F641" s="186" t="s">
        <v>945</v>
      </c>
      <c r="H641" t="b">
        <v>0</v>
      </c>
      <c r="I641" t="s">
        <v>22</v>
      </c>
      <c r="M641" t="str">
        <f>IFERROR(_xlfn.XLOOKUP(A641,Fleet!A:A,Fleet!E:E,""),"")</f>
        <v/>
      </c>
      <c r="N641" t="s">
        <v>22</v>
      </c>
      <c r="P641" t="str">
        <f>_xlfn.XLOOKUP(A641,'Classic Net to delete'!D:D,'Classic Net to delete'!A:A,"")</f>
        <v/>
      </c>
    </row>
    <row r="642" spans="1:16" x14ac:dyDescent="0.25">
      <c r="A642" t="s">
        <v>3028</v>
      </c>
      <c r="B642" t="s">
        <v>3920</v>
      </c>
      <c r="C642" t="s">
        <v>3039</v>
      </c>
      <c r="D642">
        <v>5.15</v>
      </c>
      <c r="E642" t="s">
        <v>3156</v>
      </c>
      <c r="F642" s="186" t="s">
        <v>945</v>
      </c>
      <c r="H642" t="b">
        <v>0</v>
      </c>
      <c r="I642" t="s">
        <v>22</v>
      </c>
      <c r="M642" t="str">
        <f>IFERROR(_xlfn.XLOOKUP(A642,Fleet!A:A,Fleet!E:E,""),"")</f>
        <v/>
      </c>
      <c r="N642" t="s">
        <v>22</v>
      </c>
      <c r="P642" t="str">
        <f>_xlfn.XLOOKUP(A642,'Classic Net to delete'!D:D,'Classic Net to delete'!A:A,"")</f>
        <v/>
      </c>
    </row>
    <row r="643" spans="1:16" x14ac:dyDescent="0.25">
      <c r="A643" t="s">
        <v>3028</v>
      </c>
      <c r="B643" t="s">
        <v>3920</v>
      </c>
      <c r="C643" t="s">
        <v>3040</v>
      </c>
      <c r="D643">
        <v>5.15</v>
      </c>
      <c r="E643" t="s">
        <v>3156</v>
      </c>
      <c r="F643" s="186" t="s">
        <v>945</v>
      </c>
      <c r="H643" t="b">
        <v>0</v>
      </c>
      <c r="I643" t="s">
        <v>22</v>
      </c>
      <c r="M643" t="str">
        <f>IFERROR(_xlfn.XLOOKUP(A643,Fleet!A:A,Fleet!E:E,""),"")</f>
        <v/>
      </c>
      <c r="N643" t="s">
        <v>22</v>
      </c>
      <c r="P643" t="str">
        <f>_xlfn.XLOOKUP(A643,'Classic Net to delete'!D:D,'Classic Net to delete'!A:A,"")</f>
        <v/>
      </c>
    </row>
    <row r="644" spans="1:16" x14ac:dyDescent="0.25">
      <c r="A644" t="s">
        <v>3028</v>
      </c>
      <c r="B644" t="s">
        <v>3920</v>
      </c>
      <c r="C644" t="s">
        <v>3041</v>
      </c>
      <c r="D644">
        <v>5.15</v>
      </c>
      <c r="E644" t="s">
        <v>3156</v>
      </c>
      <c r="F644" s="186" t="s">
        <v>945</v>
      </c>
      <c r="H644" t="b">
        <v>0</v>
      </c>
      <c r="I644" t="s">
        <v>22</v>
      </c>
      <c r="M644" t="str">
        <f>IFERROR(_xlfn.XLOOKUP(A644,Fleet!A:A,Fleet!E:E,""),"")</f>
        <v/>
      </c>
      <c r="N644" t="s">
        <v>22</v>
      </c>
      <c r="P644" t="str">
        <f>_xlfn.XLOOKUP(A644,'Classic Net to delete'!D:D,'Classic Net to delete'!A:A,"")</f>
        <v/>
      </c>
    </row>
    <row r="645" spans="1:16" x14ac:dyDescent="0.25">
      <c r="A645" t="s">
        <v>3028</v>
      </c>
      <c r="B645" t="s">
        <v>3920</v>
      </c>
      <c r="C645" t="s">
        <v>3042</v>
      </c>
      <c r="D645">
        <v>5.15</v>
      </c>
      <c r="E645" t="s">
        <v>3156</v>
      </c>
      <c r="F645" s="186" t="s">
        <v>945</v>
      </c>
      <c r="H645" t="b">
        <v>0</v>
      </c>
      <c r="I645" t="s">
        <v>22</v>
      </c>
      <c r="M645" t="str">
        <f>IFERROR(_xlfn.XLOOKUP(A645,Fleet!A:A,Fleet!E:E,""),"")</f>
        <v/>
      </c>
      <c r="N645" t="s">
        <v>22</v>
      </c>
      <c r="P645" t="str">
        <f>_xlfn.XLOOKUP(A645,'Classic Net to delete'!D:D,'Classic Net to delete'!A:A,"")</f>
        <v/>
      </c>
    </row>
    <row r="646" spans="1:16" x14ac:dyDescent="0.25">
      <c r="A646" t="s">
        <v>3028</v>
      </c>
      <c r="B646" t="s">
        <v>3920</v>
      </c>
      <c r="C646" t="s">
        <v>3043</v>
      </c>
      <c r="D646">
        <v>5.15</v>
      </c>
      <c r="E646" t="s">
        <v>3156</v>
      </c>
      <c r="F646" s="186" t="s">
        <v>945</v>
      </c>
      <c r="H646" t="b">
        <v>0</v>
      </c>
      <c r="I646" t="s">
        <v>22</v>
      </c>
      <c r="M646" t="str">
        <f>IFERROR(_xlfn.XLOOKUP(A646,Fleet!A:A,Fleet!E:E,""),"")</f>
        <v/>
      </c>
      <c r="N646" t="s">
        <v>22</v>
      </c>
      <c r="P646" t="str">
        <f>_xlfn.XLOOKUP(A646,'Classic Net to delete'!D:D,'Classic Net to delete'!A:A,"")</f>
        <v/>
      </c>
    </row>
    <row r="647" spans="1:16" x14ac:dyDescent="0.25">
      <c r="A647" t="s">
        <v>3028</v>
      </c>
      <c r="B647" t="s">
        <v>3920</v>
      </c>
      <c r="C647" t="s">
        <v>3044</v>
      </c>
      <c r="D647">
        <v>10.050000000000001</v>
      </c>
      <c r="E647" t="s">
        <v>3156</v>
      </c>
      <c r="F647" s="186" t="s">
        <v>945</v>
      </c>
      <c r="H647" t="b">
        <v>0</v>
      </c>
      <c r="I647" t="s">
        <v>22</v>
      </c>
      <c r="M647" t="str">
        <f>IFERROR(_xlfn.XLOOKUP(A647,Fleet!A:A,Fleet!E:E,""),"")</f>
        <v/>
      </c>
      <c r="N647" t="s">
        <v>22</v>
      </c>
      <c r="P647" t="str">
        <f>_xlfn.XLOOKUP(A647,'Classic Net to delete'!D:D,'Classic Net to delete'!A:A,"")</f>
        <v/>
      </c>
    </row>
    <row r="648" spans="1:16" x14ac:dyDescent="0.25">
      <c r="A648" t="s">
        <v>3028</v>
      </c>
      <c r="B648" t="s">
        <v>3920</v>
      </c>
      <c r="C648" t="s">
        <v>3045</v>
      </c>
      <c r="D648">
        <v>15</v>
      </c>
      <c r="E648" t="s">
        <v>3156</v>
      </c>
      <c r="F648" s="186" t="s">
        <v>945</v>
      </c>
      <c r="H648" t="b">
        <v>0</v>
      </c>
      <c r="I648" t="s">
        <v>22</v>
      </c>
      <c r="M648" t="str">
        <f>IFERROR(_xlfn.XLOOKUP(A648,Fleet!A:A,Fleet!E:E,""),"")</f>
        <v/>
      </c>
      <c r="N648" t="s">
        <v>22</v>
      </c>
      <c r="P648" t="str">
        <f>_xlfn.XLOOKUP(A648,'Classic Net to delete'!D:D,'Classic Net to delete'!A:A,"")</f>
        <v/>
      </c>
    </row>
    <row r="649" spans="1:16" x14ac:dyDescent="0.25">
      <c r="A649" t="s">
        <v>3048</v>
      </c>
      <c r="B649" t="s">
        <v>3917</v>
      </c>
      <c r="C649" t="s">
        <v>3050</v>
      </c>
      <c r="D649">
        <v>5</v>
      </c>
      <c r="E649" t="s">
        <v>3156</v>
      </c>
      <c r="F649" s="186" t="s">
        <v>945</v>
      </c>
      <c r="H649" t="b">
        <v>0</v>
      </c>
      <c r="I649" t="s">
        <v>22</v>
      </c>
      <c r="M649" t="str">
        <f>IFERROR(_xlfn.XLOOKUP(A649,Fleet!A:A,Fleet!E:E,""),"")</f>
        <v/>
      </c>
      <c r="N649" t="s">
        <v>22</v>
      </c>
      <c r="P649" t="str">
        <f>_xlfn.XLOOKUP(A649,'Classic Net to delete'!D:D,'Classic Net to delete'!A:A,"")</f>
        <v/>
      </c>
    </row>
    <row r="650" spans="1:16" x14ac:dyDescent="0.25">
      <c r="A650" t="s">
        <v>720</v>
      </c>
      <c r="B650" t="s">
        <v>3257</v>
      </c>
      <c r="C650" t="s">
        <v>721</v>
      </c>
      <c r="D650">
        <v>9.85</v>
      </c>
      <c r="E650" t="s">
        <v>3156</v>
      </c>
      <c r="F650" s="186" t="s">
        <v>722</v>
      </c>
      <c r="H650" t="b">
        <v>1</v>
      </c>
      <c r="I650" t="s">
        <v>22</v>
      </c>
      <c r="J650" s="186" t="s">
        <v>541</v>
      </c>
      <c r="M650" t="str">
        <f>IFERROR(_xlfn.XLOOKUP(A650,Fleet!A:A,Fleet!E:E,""),"")</f>
        <v/>
      </c>
      <c r="N650" t="s">
        <v>22</v>
      </c>
      <c r="P650" t="str">
        <f>_xlfn.XLOOKUP(A650,'Classic Net to delete'!D:D,'Classic Net to delete'!A:A,"")</f>
        <v/>
      </c>
    </row>
    <row r="651" spans="1:16" x14ac:dyDescent="0.25">
      <c r="A651" t="s">
        <v>828</v>
      </c>
      <c r="B651" t="s">
        <v>829</v>
      </c>
      <c r="C651" t="s">
        <v>829</v>
      </c>
      <c r="D651">
        <v>99.65</v>
      </c>
      <c r="E651" t="s">
        <v>3078</v>
      </c>
      <c r="F651" s="186" t="s">
        <v>821</v>
      </c>
      <c r="H651" t="b">
        <v>1</v>
      </c>
      <c r="I651" t="s">
        <v>22</v>
      </c>
      <c r="J651" s="186" t="s">
        <v>738</v>
      </c>
      <c r="M651">
        <f>IFERROR(_xlfn.XLOOKUP(A651,Fleet!A:A,Fleet!E:E,""),"")</f>
        <v>10</v>
      </c>
      <c r="N651" t="s">
        <v>22</v>
      </c>
      <c r="P651" t="str">
        <f>_xlfn.XLOOKUP(A651,'Classic Net to delete'!D:D,'Classic Net to delete'!A:A,"")</f>
        <v/>
      </c>
    </row>
    <row r="652" spans="1:16" x14ac:dyDescent="0.25">
      <c r="A652" t="s">
        <v>786</v>
      </c>
      <c r="B652" t="s">
        <v>787</v>
      </c>
      <c r="C652" t="s">
        <v>787</v>
      </c>
      <c r="D652">
        <v>223.4</v>
      </c>
      <c r="E652" t="s">
        <v>3078</v>
      </c>
      <c r="F652" s="186" t="s">
        <v>777</v>
      </c>
      <c r="H652" t="b">
        <v>1</v>
      </c>
      <c r="I652">
        <v>223.4</v>
      </c>
      <c r="J652" s="186" t="s">
        <v>738</v>
      </c>
      <c r="M652">
        <f>IFERROR(_xlfn.XLOOKUP(A652,Fleet!A:A,Fleet!E:E,""),"")</f>
        <v>17</v>
      </c>
      <c r="N652" t="s">
        <v>22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747</v>
      </c>
      <c r="B653" t="s">
        <v>748</v>
      </c>
      <c r="C653" t="s">
        <v>748</v>
      </c>
      <c r="D653">
        <v>105.7</v>
      </c>
      <c r="E653" t="s">
        <v>3078</v>
      </c>
      <c r="F653" s="186" t="s">
        <v>821</v>
      </c>
      <c r="H653" t="b">
        <v>1</v>
      </c>
      <c r="I653">
        <v>105.7</v>
      </c>
      <c r="J653" s="186" t="s">
        <v>738</v>
      </c>
      <c r="M653">
        <f>IFERROR(_xlfn.XLOOKUP(A653,Fleet!A:A,Fleet!E:E,""),"")</f>
        <v>2</v>
      </c>
      <c r="N653" t="s">
        <v>22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736</v>
      </c>
      <c r="B654" t="s">
        <v>737</v>
      </c>
      <c r="C654" t="s">
        <v>737</v>
      </c>
      <c r="D654">
        <v>26.5</v>
      </c>
      <c r="E654" t="s">
        <v>3078</v>
      </c>
      <c r="F654" s="186" t="s">
        <v>821</v>
      </c>
      <c r="H654" t="b">
        <v>1</v>
      </c>
      <c r="I654">
        <v>26.5</v>
      </c>
      <c r="J654" s="186" t="s">
        <v>738</v>
      </c>
      <c r="M654">
        <f>IFERROR(_xlfn.XLOOKUP(A654,Fleet!A:A,Fleet!E:E,""),"")</f>
        <v>24</v>
      </c>
      <c r="N654" t="s">
        <v>22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818</v>
      </c>
      <c r="B655" t="s">
        <v>819</v>
      </c>
      <c r="C655" t="s">
        <v>819</v>
      </c>
      <c r="D655">
        <v>26.5</v>
      </c>
      <c r="E655" t="s">
        <v>3078</v>
      </c>
      <c r="F655" s="186" t="s">
        <v>821</v>
      </c>
      <c r="H655" t="b">
        <v>1</v>
      </c>
      <c r="I655" t="s">
        <v>22</v>
      </c>
      <c r="J655" s="186" t="s">
        <v>738</v>
      </c>
      <c r="M655">
        <f>IFERROR(_xlfn.XLOOKUP(A655,Fleet!A:A,Fleet!E:E,""),"")</f>
        <v>27</v>
      </c>
      <c r="N655" t="s">
        <v>22</v>
      </c>
      <c r="P655" t="str">
        <f>_xlfn.XLOOKUP(A655,'Classic Net to delete'!D:D,'Classic Net to delete'!A:A,"")</f>
        <v/>
      </c>
    </row>
    <row r="656" spans="1:16" x14ac:dyDescent="0.25">
      <c r="A656" t="s">
        <v>744</v>
      </c>
      <c r="B656" t="s">
        <v>745</v>
      </c>
      <c r="C656" t="s">
        <v>745</v>
      </c>
      <c r="D656">
        <v>64.849999999999994</v>
      </c>
      <c r="E656" t="s">
        <v>3078</v>
      </c>
      <c r="F656" s="186" t="s">
        <v>821</v>
      </c>
      <c r="H656" t="b">
        <v>1</v>
      </c>
      <c r="I656">
        <v>64.850000000000009</v>
      </c>
      <c r="J656" s="186" t="s">
        <v>738</v>
      </c>
      <c r="M656">
        <f>IFERROR(_xlfn.XLOOKUP(A656,Fleet!A:A,Fleet!E:E,""),"")</f>
        <v>101</v>
      </c>
      <c r="N656" t="s">
        <v>22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822</v>
      </c>
      <c r="B657" t="s">
        <v>823</v>
      </c>
      <c r="C657" t="s">
        <v>823</v>
      </c>
      <c r="D657">
        <v>64.849999999999994</v>
      </c>
      <c r="E657" t="s">
        <v>3078</v>
      </c>
      <c r="F657" s="186" t="s">
        <v>821</v>
      </c>
      <c r="H657" t="b">
        <v>1</v>
      </c>
      <c r="I657" t="s">
        <v>22</v>
      </c>
      <c r="J657" s="186" t="s">
        <v>738</v>
      </c>
      <c r="M657">
        <f>IFERROR(_xlfn.XLOOKUP(A657,Fleet!A:A,Fleet!E:E,""),"")</f>
        <v>13</v>
      </c>
      <c r="N657" t="s">
        <v>22</v>
      </c>
      <c r="P657" t="str">
        <f>_xlfn.XLOOKUP(A657,'Classic Net to delete'!D:D,'Classic Net to delete'!A:A,"")</f>
        <v/>
      </c>
    </row>
    <row r="658" spans="1:16" x14ac:dyDescent="0.25">
      <c r="A658" t="s">
        <v>826</v>
      </c>
      <c r="B658" t="s">
        <v>827</v>
      </c>
      <c r="C658" t="s">
        <v>827</v>
      </c>
      <c r="D658">
        <v>99.65</v>
      </c>
      <c r="E658" t="s">
        <v>3078</v>
      </c>
      <c r="F658" s="186" t="s">
        <v>821</v>
      </c>
      <c r="H658" t="b">
        <v>1</v>
      </c>
      <c r="I658" t="s">
        <v>22</v>
      </c>
      <c r="J658" s="186" t="s">
        <v>738</v>
      </c>
      <c r="M658">
        <f>IFERROR(_xlfn.XLOOKUP(A658,Fleet!A:A,Fleet!E:E,""),"")</f>
        <v>26</v>
      </c>
      <c r="N658" t="s">
        <v>22</v>
      </c>
      <c r="P658" t="str">
        <f>_xlfn.XLOOKUP(A658,'Classic Net to delete'!D:D,'Classic Net to delete'!A:A,"")</f>
        <v/>
      </c>
    </row>
    <row r="659" spans="1:16" x14ac:dyDescent="0.25">
      <c r="A659" t="s">
        <v>805</v>
      </c>
      <c r="B659" t="s">
        <v>806</v>
      </c>
      <c r="C659" t="s">
        <v>806</v>
      </c>
      <c r="D659">
        <v>74</v>
      </c>
      <c r="E659" t="s">
        <v>3078</v>
      </c>
      <c r="F659" s="186" t="s">
        <v>813</v>
      </c>
      <c r="H659" t="b">
        <v>1</v>
      </c>
      <c r="I659">
        <v>74</v>
      </c>
      <c r="J659" s="186" t="s">
        <v>738</v>
      </c>
      <c r="M659">
        <f>IFERROR(_xlfn.XLOOKUP(A659,Fleet!A:A,Fleet!E:E,""),"")</f>
        <v>8</v>
      </c>
      <c r="N659" t="s">
        <v>22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808</v>
      </c>
      <c r="B660" t="s">
        <v>809</v>
      </c>
      <c r="C660" t="s">
        <v>809</v>
      </c>
      <c r="D660">
        <v>53.05</v>
      </c>
      <c r="E660" t="s">
        <v>3078</v>
      </c>
      <c r="F660" s="186" t="s">
        <v>813</v>
      </c>
      <c r="H660" t="b">
        <v>1</v>
      </c>
      <c r="I660">
        <v>53.050000000000004</v>
      </c>
      <c r="J660" s="186" t="s">
        <v>738</v>
      </c>
      <c r="M660">
        <f>IFERROR(_xlfn.XLOOKUP(A660,Fleet!A:A,Fleet!E:E,""),"")</f>
        <v>5</v>
      </c>
      <c r="N660" t="s">
        <v>22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814</v>
      </c>
      <c r="B661" t="s">
        <v>815</v>
      </c>
      <c r="C661" t="s">
        <v>815</v>
      </c>
      <c r="D661">
        <v>129.15</v>
      </c>
      <c r="E661" t="s">
        <v>3078</v>
      </c>
      <c r="F661" s="186" t="s">
        <v>777</v>
      </c>
      <c r="H661" t="b">
        <v>1</v>
      </c>
      <c r="I661" t="s">
        <v>22</v>
      </c>
      <c r="J661" s="186" t="s">
        <v>738</v>
      </c>
      <c r="M661">
        <f>IFERROR(_xlfn.XLOOKUP(A661,Fleet!A:A,Fleet!E:E,""),"")</f>
        <v>18</v>
      </c>
      <c r="N661" t="s">
        <v>22</v>
      </c>
      <c r="P661" t="str">
        <f>_xlfn.XLOOKUP(A661,'Classic Net to delete'!D:D,'Classic Net to delete'!A:A,"")</f>
        <v/>
      </c>
    </row>
    <row r="662" spans="1:16" x14ac:dyDescent="0.25">
      <c r="A662" t="s">
        <v>781</v>
      </c>
      <c r="B662" t="s">
        <v>782</v>
      </c>
      <c r="C662" t="s">
        <v>782</v>
      </c>
      <c r="D662">
        <v>108.5</v>
      </c>
      <c r="E662" t="s">
        <v>3078</v>
      </c>
      <c r="F662" s="186" t="s">
        <v>777</v>
      </c>
      <c r="H662" t="b">
        <v>1</v>
      </c>
      <c r="I662">
        <v>108.5</v>
      </c>
      <c r="J662" s="186" t="s">
        <v>738</v>
      </c>
      <c r="M662">
        <f>IFERROR(_xlfn.XLOOKUP(A662,Fleet!A:A,Fleet!E:E,""),"")</f>
        <v>14</v>
      </c>
      <c r="N662" t="s">
        <v>22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783</v>
      </c>
      <c r="B663" t="s">
        <v>784</v>
      </c>
      <c r="C663" t="s">
        <v>784</v>
      </c>
      <c r="D663">
        <v>135.05000000000001</v>
      </c>
      <c r="E663" t="s">
        <v>3078</v>
      </c>
      <c r="F663" s="186" t="s">
        <v>777</v>
      </c>
      <c r="H663" t="b">
        <v>1</v>
      </c>
      <c r="I663">
        <v>135.05000000000001</v>
      </c>
      <c r="J663" s="186" t="s">
        <v>738</v>
      </c>
      <c r="M663">
        <f>IFERROR(_xlfn.XLOOKUP(A663,Fleet!A:A,Fleet!E:E,""),"")</f>
        <v>9</v>
      </c>
      <c r="N663" t="s">
        <v>22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789</v>
      </c>
      <c r="B664" t="s">
        <v>790</v>
      </c>
      <c r="C664" t="s">
        <v>790</v>
      </c>
      <c r="D664">
        <v>194.55</v>
      </c>
      <c r="E664" t="s">
        <v>3078</v>
      </c>
      <c r="F664" s="186" t="s">
        <v>777</v>
      </c>
      <c r="H664" t="b">
        <v>1</v>
      </c>
      <c r="I664">
        <v>194.55</v>
      </c>
      <c r="J664" s="186" t="s">
        <v>738</v>
      </c>
      <c r="M664">
        <f>IFERROR(_xlfn.XLOOKUP(A664,Fleet!A:A,Fleet!E:E,""),"")</f>
        <v>13</v>
      </c>
      <c r="N664" t="s">
        <v>22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799</v>
      </c>
      <c r="B665" t="s">
        <v>800</v>
      </c>
      <c r="C665" t="s">
        <v>800</v>
      </c>
      <c r="D665">
        <v>82</v>
      </c>
      <c r="E665" t="s">
        <v>3078</v>
      </c>
      <c r="F665" s="186" t="s">
        <v>945</v>
      </c>
      <c r="H665" t="b">
        <v>1</v>
      </c>
      <c r="I665">
        <v>82</v>
      </c>
      <c r="J665" s="186" t="s">
        <v>738</v>
      </c>
      <c r="M665">
        <f>IFERROR(_xlfn.XLOOKUP(A665,Fleet!A:A,Fleet!E:E,""),"")</f>
        <v>29</v>
      </c>
      <c r="N665" t="s">
        <v>22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761</v>
      </c>
      <c r="B666" t="s">
        <v>762</v>
      </c>
      <c r="C666" t="s">
        <v>762</v>
      </c>
      <c r="D666">
        <v>61.65</v>
      </c>
      <c r="E666" t="s">
        <v>3078</v>
      </c>
      <c r="F666" s="186" t="s">
        <v>3258</v>
      </c>
      <c r="H666" t="b">
        <v>1</v>
      </c>
      <c r="I666">
        <v>61.650000000000006</v>
      </c>
      <c r="J666" s="186" t="s">
        <v>738</v>
      </c>
      <c r="M666">
        <f>IFERROR(_xlfn.XLOOKUP(A666,Fleet!A:A,Fleet!E:E,""),"")</f>
        <v>39</v>
      </c>
      <c r="N666" t="s">
        <v>22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793</v>
      </c>
      <c r="B667" t="s">
        <v>3079</v>
      </c>
      <c r="C667" t="s">
        <v>794</v>
      </c>
      <c r="D667">
        <v>362.15</v>
      </c>
      <c r="E667" t="s">
        <v>3078</v>
      </c>
      <c r="F667" s="186" t="s">
        <v>777</v>
      </c>
      <c r="H667" t="b">
        <v>1</v>
      </c>
      <c r="I667">
        <v>362.15000000000003</v>
      </c>
      <c r="J667" s="186" t="s">
        <v>738</v>
      </c>
      <c r="M667">
        <f>IFERROR(_xlfn.XLOOKUP(A667,Fleet!A:A,Fleet!E:E,""),"")</f>
        <v>26</v>
      </c>
      <c r="N667" t="s">
        <v>22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824</v>
      </c>
      <c r="B668" t="s">
        <v>3081</v>
      </c>
      <c r="C668" t="s">
        <v>825</v>
      </c>
      <c r="D668">
        <v>83.45</v>
      </c>
      <c r="E668" t="s">
        <v>3078</v>
      </c>
      <c r="F668" s="186" t="s">
        <v>821</v>
      </c>
      <c r="H668" t="b">
        <v>1</v>
      </c>
      <c r="I668" t="s">
        <v>22</v>
      </c>
      <c r="J668" s="186" t="s">
        <v>738</v>
      </c>
      <c r="M668">
        <f>IFERROR(_xlfn.XLOOKUP(A668,Fleet!A:A,Fleet!E:E,""),"")</f>
        <v>30</v>
      </c>
      <c r="N668" t="s">
        <v>22</v>
      </c>
      <c r="P668" t="str">
        <f>_xlfn.XLOOKUP(A668,'Classic Net to delete'!D:D,'Classic Net to delete'!A:A,"")</f>
        <v/>
      </c>
    </row>
    <row r="669" spans="1:16" x14ac:dyDescent="0.25">
      <c r="A669" t="s">
        <v>774</v>
      </c>
      <c r="B669" t="s">
        <v>775</v>
      </c>
      <c r="C669" t="s">
        <v>775</v>
      </c>
      <c r="D669">
        <v>222.6</v>
      </c>
      <c r="E669" t="s">
        <v>3078</v>
      </c>
      <c r="F669" s="186" t="s">
        <v>945</v>
      </c>
      <c r="H669" t="b">
        <v>1</v>
      </c>
      <c r="I669">
        <v>222.60000000000002</v>
      </c>
      <c r="J669" s="186" t="s">
        <v>738</v>
      </c>
      <c r="M669">
        <f>IFERROR(_xlfn.XLOOKUP(A669,Fleet!A:A,Fleet!E:E,""),"")</f>
        <v>5</v>
      </c>
      <c r="N669" t="s">
        <v>22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769</v>
      </c>
      <c r="B670" t="s">
        <v>770</v>
      </c>
      <c r="C670" t="s">
        <v>770</v>
      </c>
      <c r="D670">
        <v>128.25</v>
      </c>
      <c r="E670" t="s">
        <v>3078</v>
      </c>
      <c r="F670" s="186" t="s">
        <v>3258</v>
      </c>
      <c r="H670" t="b">
        <v>1</v>
      </c>
      <c r="I670">
        <v>128.25</v>
      </c>
      <c r="J670" s="186" t="s">
        <v>738</v>
      </c>
      <c r="M670">
        <f>IFERROR(_xlfn.XLOOKUP(A670,Fleet!A:A,Fleet!E:E,""),"")</f>
        <v>27</v>
      </c>
      <c r="N670" t="s">
        <v>22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750</v>
      </c>
      <c r="B671" t="s">
        <v>751</v>
      </c>
      <c r="C671" t="s">
        <v>751</v>
      </c>
      <c r="D671">
        <v>79.55</v>
      </c>
      <c r="E671" t="s">
        <v>3078</v>
      </c>
      <c r="F671" s="186" t="s">
        <v>821</v>
      </c>
      <c r="H671" t="b">
        <v>1</v>
      </c>
      <c r="I671">
        <v>79.550000000000011</v>
      </c>
      <c r="J671" s="186" t="s">
        <v>738</v>
      </c>
      <c r="M671">
        <f>IFERROR(_xlfn.XLOOKUP(A671,Fleet!A:A,Fleet!E:E,""),"")</f>
        <v>29</v>
      </c>
      <c r="N671" t="s">
        <v>22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795</v>
      </c>
      <c r="B672" t="s">
        <v>796</v>
      </c>
      <c r="C672" t="s">
        <v>796</v>
      </c>
      <c r="D672">
        <v>315.45</v>
      </c>
      <c r="E672" t="s">
        <v>3078</v>
      </c>
      <c r="F672" s="186" t="s">
        <v>777</v>
      </c>
      <c r="H672" t="b">
        <v>1</v>
      </c>
      <c r="I672">
        <v>315.45000000000005</v>
      </c>
      <c r="J672" s="186" t="s">
        <v>738</v>
      </c>
      <c r="M672">
        <f>IFERROR(_xlfn.XLOOKUP(A672,Fleet!A:A,Fleet!E:E,""),"")</f>
        <v>19</v>
      </c>
      <c r="N672" t="s">
        <v>22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2305</v>
      </c>
      <c r="B673" t="s">
        <v>2306</v>
      </c>
      <c r="C673" t="s">
        <v>2306</v>
      </c>
      <c r="D673">
        <v>33.049999999999997</v>
      </c>
      <c r="E673" t="s">
        <v>3078</v>
      </c>
      <c r="F673" s="186" t="s">
        <v>945</v>
      </c>
      <c r="H673" t="b">
        <v>1</v>
      </c>
      <c r="I673">
        <v>33.050000000000004</v>
      </c>
      <c r="J673" s="186" t="s">
        <v>738</v>
      </c>
      <c r="M673">
        <f>IFERROR(_xlfn.XLOOKUP(A673,Fleet!A:A,Fleet!E:E,""),"")</f>
        <v>8</v>
      </c>
      <c r="N673" t="s">
        <v>22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832</v>
      </c>
      <c r="B674" t="s">
        <v>749</v>
      </c>
      <c r="C674" t="s">
        <v>749</v>
      </c>
      <c r="D674">
        <v>105.7</v>
      </c>
      <c r="E674" t="s">
        <v>3078</v>
      </c>
      <c r="F674" s="186" t="s">
        <v>821</v>
      </c>
      <c r="H674" t="b">
        <v>1</v>
      </c>
      <c r="I674" t="s">
        <v>22</v>
      </c>
      <c r="J674" s="186" t="s">
        <v>738</v>
      </c>
      <c r="M674">
        <f>IFERROR(_xlfn.XLOOKUP(A674,Fleet!A:A,Fleet!E:E,""),"")</f>
        <v>4</v>
      </c>
      <c r="N674" t="s">
        <v>22</v>
      </c>
      <c r="P674" t="str">
        <f>_xlfn.XLOOKUP(A674,'Classic Net to delete'!D:D,'Classic Net to delete'!A:A,"")</f>
        <v/>
      </c>
    </row>
    <row r="675" spans="1:16" x14ac:dyDescent="0.25">
      <c r="A675" t="s">
        <v>791</v>
      </c>
      <c r="B675" t="s">
        <v>792</v>
      </c>
      <c r="C675" t="s">
        <v>792</v>
      </c>
      <c r="D675">
        <v>193.3</v>
      </c>
      <c r="E675" t="s">
        <v>3078</v>
      </c>
      <c r="F675" s="186" t="s">
        <v>777</v>
      </c>
      <c r="H675" t="b">
        <v>1</v>
      </c>
      <c r="I675">
        <v>193.3</v>
      </c>
      <c r="J675" s="186" t="s">
        <v>738</v>
      </c>
      <c r="M675">
        <f>IFERROR(_xlfn.XLOOKUP(A675,Fleet!A:A,Fleet!E:E,""),"")</f>
        <v>47</v>
      </c>
      <c r="N675" t="s">
        <v>22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753</v>
      </c>
      <c r="B676" t="s">
        <v>754</v>
      </c>
      <c r="C676" t="s">
        <v>754</v>
      </c>
      <c r="D676">
        <v>120.3</v>
      </c>
      <c r="E676" t="s">
        <v>3078</v>
      </c>
      <c r="F676" s="186" t="s">
        <v>821</v>
      </c>
      <c r="H676" t="b">
        <v>1</v>
      </c>
      <c r="I676">
        <v>120.30000000000001</v>
      </c>
      <c r="J676" s="186" t="s">
        <v>738</v>
      </c>
      <c r="M676">
        <f>IFERROR(_xlfn.XLOOKUP(A676,Fleet!A:A,Fleet!E:E,""),"")</f>
        <v>11</v>
      </c>
      <c r="N676" t="s">
        <v>22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816</v>
      </c>
      <c r="B677" t="s">
        <v>817</v>
      </c>
      <c r="C677" t="s">
        <v>817</v>
      </c>
      <c r="D677">
        <v>82</v>
      </c>
      <c r="E677" t="s">
        <v>3078</v>
      </c>
      <c r="F677" s="186" t="s">
        <v>945</v>
      </c>
      <c r="H677" t="b">
        <v>1</v>
      </c>
      <c r="I677" t="s">
        <v>22</v>
      </c>
      <c r="J677" s="186" t="s">
        <v>738</v>
      </c>
      <c r="M677">
        <f>IFERROR(_xlfn.XLOOKUP(A677,Fleet!A:A,Fleet!E:E,""),"")</f>
        <v>1</v>
      </c>
      <c r="N677" t="s">
        <v>22</v>
      </c>
      <c r="P677" t="str">
        <f>_xlfn.XLOOKUP(A677,'Classic Net to delete'!D:D,'Classic Net to delete'!A:A,"")</f>
        <v/>
      </c>
    </row>
    <row r="678" spans="1:16" x14ac:dyDescent="0.25">
      <c r="A678" t="s">
        <v>741</v>
      </c>
      <c r="B678" t="s">
        <v>742</v>
      </c>
      <c r="C678" t="s">
        <v>742</v>
      </c>
      <c r="D678">
        <v>64.849999999999994</v>
      </c>
      <c r="E678" t="s">
        <v>3078</v>
      </c>
      <c r="F678" s="186" t="s">
        <v>821</v>
      </c>
      <c r="H678" t="b">
        <v>1</v>
      </c>
      <c r="I678">
        <v>64.850000000000009</v>
      </c>
      <c r="J678" s="186" t="s">
        <v>738</v>
      </c>
      <c r="M678">
        <f>IFERROR(_xlfn.XLOOKUP(A678,Fleet!A:A,Fleet!E:E,""),"")</f>
        <v>27</v>
      </c>
      <c r="N678" t="s">
        <v>22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765</v>
      </c>
      <c r="B679" t="s">
        <v>766</v>
      </c>
      <c r="C679" t="s">
        <v>766</v>
      </c>
      <c r="D679">
        <v>94.35</v>
      </c>
      <c r="E679" t="s">
        <v>3078</v>
      </c>
      <c r="F679" s="186" t="s">
        <v>3258</v>
      </c>
      <c r="H679" t="b">
        <v>1</v>
      </c>
      <c r="I679">
        <v>94.350000000000009</v>
      </c>
      <c r="J679" s="186" t="s">
        <v>738</v>
      </c>
      <c r="M679">
        <f>IFERROR(_xlfn.XLOOKUP(A679,Fleet!A:A,Fleet!E:E,""),"")</f>
        <v>47</v>
      </c>
      <c r="N679" t="s">
        <v>22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778</v>
      </c>
      <c r="B680" t="s">
        <v>779</v>
      </c>
      <c r="C680" t="s">
        <v>779</v>
      </c>
      <c r="D680">
        <v>88.45</v>
      </c>
      <c r="E680" t="s">
        <v>3078</v>
      </c>
      <c r="F680" s="186" t="s">
        <v>945</v>
      </c>
      <c r="H680" t="b">
        <v>1</v>
      </c>
      <c r="I680">
        <v>88.45</v>
      </c>
      <c r="J680" s="186" t="s">
        <v>738</v>
      </c>
      <c r="M680">
        <f>IFERROR(_xlfn.XLOOKUP(A680,Fleet!A:A,Fleet!E:E,""),"")</f>
        <v>2</v>
      </c>
      <c r="N680" t="s">
        <v>22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758</v>
      </c>
      <c r="B681" t="s">
        <v>759</v>
      </c>
      <c r="C681" t="s">
        <v>759</v>
      </c>
      <c r="D681">
        <v>99.65</v>
      </c>
      <c r="E681" t="s">
        <v>3078</v>
      </c>
      <c r="F681" s="186" t="s">
        <v>821</v>
      </c>
      <c r="H681" t="b">
        <v>1</v>
      </c>
      <c r="I681">
        <v>99.65</v>
      </c>
      <c r="J681" s="186" t="s">
        <v>738</v>
      </c>
      <c r="M681">
        <f>IFERROR(_xlfn.XLOOKUP(A681,Fleet!A:A,Fleet!E:E,""),"")</f>
        <v>91</v>
      </c>
      <c r="N681" t="s">
        <v>22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755</v>
      </c>
      <c r="B682" t="s">
        <v>756</v>
      </c>
      <c r="C682" t="s">
        <v>756</v>
      </c>
      <c r="D682">
        <v>85.8</v>
      </c>
      <c r="E682" t="s">
        <v>3078</v>
      </c>
      <c r="F682" s="186" t="s">
        <v>821</v>
      </c>
      <c r="H682" t="b">
        <v>1</v>
      </c>
      <c r="I682">
        <v>85.800000000000011</v>
      </c>
      <c r="J682" s="186" t="s">
        <v>738</v>
      </c>
      <c r="M682">
        <f>IFERROR(_xlfn.XLOOKUP(A682,Fleet!A:A,Fleet!E:E,""),"")</f>
        <v>56</v>
      </c>
      <c r="N682" t="s">
        <v>22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797</v>
      </c>
      <c r="B683" t="s">
        <v>798</v>
      </c>
      <c r="C683" t="s">
        <v>798</v>
      </c>
      <c r="D683">
        <v>252.35</v>
      </c>
      <c r="E683" t="s">
        <v>3078</v>
      </c>
      <c r="F683" s="186" t="s">
        <v>777</v>
      </c>
      <c r="H683" t="b">
        <v>1</v>
      </c>
      <c r="I683" t="s">
        <v>22</v>
      </c>
      <c r="J683" s="186" t="s">
        <v>738</v>
      </c>
      <c r="M683">
        <f>IFERROR(_xlfn.XLOOKUP(A683,Fleet!A:A,Fleet!E:E,""),"")</f>
        <v>14</v>
      </c>
      <c r="N683" t="s">
        <v>22</v>
      </c>
      <c r="P683" t="str">
        <f>_xlfn.XLOOKUP(A683,'Classic Net to delete'!D:D,'Classic Net to delete'!A:A,"")</f>
        <v/>
      </c>
    </row>
    <row r="684" spans="1:16" x14ac:dyDescent="0.25">
      <c r="A684" t="s">
        <v>810</v>
      </c>
      <c r="B684" t="s">
        <v>811</v>
      </c>
      <c r="C684" t="s">
        <v>811</v>
      </c>
      <c r="D684">
        <v>50</v>
      </c>
      <c r="E684" t="s">
        <v>3078</v>
      </c>
      <c r="F684" s="186" t="s">
        <v>813</v>
      </c>
      <c r="H684" t="b">
        <v>1</v>
      </c>
      <c r="I684" t="s">
        <v>22</v>
      </c>
      <c r="J684" s="186" t="s">
        <v>738</v>
      </c>
      <c r="M684">
        <f>IFERROR(_xlfn.XLOOKUP(A684,Fleet!A:A,Fleet!E:E,""),"")</f>
        <v>2</v>
      </c>
      <c r="N684" t="s">
        <v>22</v>
      </c>
      <c r="P684" t="str">
        <f>_xlfn.XLOOKUP(A684,'Classic Net to delete'!D:D,'Classic Net to delete'!A:A,"")</f>
        <v/>
      </c>
    </row>
    <row r="685" spans="1:16" x14ac:dyDescent="0.25">
      <c r="A685" t="s">
        <v>767</v>
      </c>
      <c r="B685" t="s">
        <v>768</v>
      </c>
      <c r="C685" t="s">
        <v>768</v>
      </c>
      <c r="D685">
        <v>133.9</v>
      </c>
      <c r="E685" t="s">
        <v>3078</v>
      </c>
      <c r="F685" s="186" t="s">
        <v>3258</v>
      </c>
      <c r="H685" t="b">
        <v>1</v>
      </c>
      <c r="I685">
        <v>133.9</v>
      </c>
      <c r="J685" s="186" t="s">
        <v>738</v>
      </c>
      <c r="M685">
        <f>IFERROR(_xlfn.XLOOKUP(A685,Fleet!A:A,Fleet!E:E,""),"")</f>
        <v>3</v>
      </c>
      <c r="N685" t="s">
        <v>22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988</v>
      </c>
      <c r="B686" t="s">
        <v>989</v>
      </c>
      <c r="C686" t="s">
        <v>989</v>
      </c>
      <c r="D686">
        <v>15.35</v>
      </c>
      <c r="E686" t="s">
        <v>3078</v>
      </c>
      <c r="F686" s="186" t="s">
        <v>945</v>
      </c>
      <c r="H686" t="b">
        <v>1</v>
      </c>
      <c r="I686" t="s">
        <v>22</v>
      </c>
      <c r="J686" s="186" t="s">
        <v>738</v>
      </c>
      <c r="M686">
        <f>IFERROR(_xlfn.XLOOKUP(A686,Fleet!A:A,Fleet!E:E,""),"")</f>
        <v>2</v>
      </c>
      <c r="N686" t="s">
        <v>22</v>
      </c>
      <c r="P686" t="str">
        <f>_xlfn.XLOOKUP(A686,'Classic Net to delete'!D:D,'Classic Net to delete'!A:A,"")</f>
        <v/>
      </c>
    </row>
    <row r="687" spans="1:16" x14ac:dyDescent="0.25">
      <c r="A687" t="s">
        <v>830</v>
      </c>
      <c r="B687" t="s">
        <v>3080</v>
      </c>
      <c r="C687" t="s">
        <v>831</v>
      </c>
      <c r="D687">
        <v>99.65</v>
      </c>
      <c r="E687" t="s">
        <v>3078</v>
      </c>
      <c r="F687" s="186" t="s">
        <v>821</v>
      </c>
      <c r="H687" t="b">
        <v>1</v>
      </c>
      <c r="I687" t="s">
        <v>22</v>
      </c>
      <c r="J687" s="186" t="s">
        <v>738</v>
      </c>
      <c r="M687">
        <f>IFERROR(_xlfn.XLOOKUP(A687,Fleet!A:A,Fleet!E:E,""),"")</f>
        <v>4</v>
      </c>
      <c r="N687" t="s">
        <v>22</v>
      </c>
      <c r="P687" t="str">
        <f>_xlfn.XLOOKUP(A687,'Classic Net to delete'!D:D,'Classic Net to delete'!A:A,"")</f>
        <v/>
      </c>
    </row>
    <row r="688" spans="1:16" x14ac:dyDescent="0.25">
      <c r="A688" t="s">
        <v>830</v>
      </c>
      <c r="B688" t="s">
        <v>3080</v>
      </c>
      <c r="C688" t="s">
        <v>759</v>
      </c>
      <c r="D688">
        <v>99.65</v>
      </c>
      <c r="E688" t="s">
        <v>3078</v>
      </c>
      <c r="F688" s="186" t="s">
        <v>821</v>
      </c>
      <c r="H688" t="b">
        <v>1</v>
      </c>
      <c r="I688" t="s">
        <v>22</v>
      </c>
      <c r="J688" s="186" t="s">
        <v>738</v>
      </c>
      <c r="M688">
        <f>IFERROR(_xlfn.XLOOKUP(A688,Fleet!A:A,Fleet!E:E,""),"")</f>
        <v>4</v>
      </c>
      <c r="N688" t="s">
        <v>22</v>
      </c>
      <c r="P688" t="str">
        <f>_xlfn.XLOOKUP(A688,'Classic Net to delete'!D:D,'Classic Net to delete'!A:A,"")</f>
        <v/>
      </c>
    </row>
    <row r="689" spans="1:16" x14ac:dyDescent="0.25">
      <c r="A689" t="s">
        <v>839</v>
      </c>
      <c r="B689" t="s">
        <v>840</v>
      </c>
      <c r="C689" t="s">
        <v>840</v>
      </c>
      <c r="D689">
        <v>117.95</v>
      </c>
      <c r="E689" t="s">
        <v>3082</v>
      </c>
      <c r="F689" s="186" t="s">
        <v>841</v>
      </c>
      <c r="H689" t="b">
        <v>1</v>
      </c>
      <c r="I689" t="s">
        <v>22</v>
      </c>
      <c r="J689" s="186" t="s">
        <v>835</v>
      </c>
      <c r="M689">
        <f>IFERROR(_xlfn.XLOOKUP(A689,Fleet!A:A,Fleet!E:E,""),"")</f>
        <v>2</v>
      </c>
      <c r="N689" t="s">
        <v>22</v>
      </c>
      <c r="P689" t="str">
        <f>_xlfn.XLOOKUP(A689,'Classic Net to delete'!D:D,'Classic Net to delete'!A:A,"")</f>
        <v/>
      </c>
    </row>
    <row r="690" spans="1:16" x14ac:dyDescent="0.25">
      <c r="A690" t="s">
        <v>924</v>
      </c>
      <c r="B690" t="s">
        <v>925</v>
      </c>
      <c r="C690" t="s">
        <v>925</v>
      </c>
      <c r="D690">
        <v>62.25</v>
      </c>
      <c r="E690" t="s">
        <v>3082</v>
      </c>
      <c r="F690" s="186" t="s">
        <v>836</v>
      </c>
      <c r="H690" t="b">
        <v>1</v>
      </c>
      <c r="I690">
        <v>62.25</v>
      </c>
      <c r="J690" s="186" t="s">
        <v>835</v>
      </c>
      <c r="M690">
        <f>IFERROR(_xlfn.XLOOKUP(A690,Fleet!A:A,Fleet!E:E,""),"")</f>
        <v>20</v>
      </c>
      <c r="N690" t="s">
        <v>22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927</v>
      </c>
      <c r="B691" t="s">
        <v>928</v>
      </c>
      <c r="C691" t="s">
        <v>928</v>
      </c>
      <c r="D691">
        <v>59.6</v>
      </c>
      <c r="E691" t="s">
        <v>3082</v>
      </c>
      <c r="F691" s="186" t="s">
        <v>836</v>
      </c>
      <c r="H691" t="b">
        <v>1</v>
      </c>
      <c r="I691">
        <v>59.6</v>
      </c>
      <c r="J691" s="186" t="s">
        <v>835</v>
      </c>
      <c r="M691">
        <f>IFERROR(_xlfn.XLOOKUP(A691,Fleet!A:A,Fleet!E:E,""),"")</f>
        <v>35</v>
      </c>
      <c r="N691" t="s">
        <v>22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933</v>
      </c>
      <c r="B692" t="s">
        <v>934</v>
      </c>
      <c r="C692" t="s">
        <v>934</v>
      </c>
      <c r="D692">
        <v>87.3</v>
      </c>
      <c r="E692" t="s">
        <v>3082</v>
      </c>
      <c r="F692" s="186" t="s">
        <v>836</v>
      </c>
      <c r="H692" t="b">
        <v>1</v>
      </c>
      <c r="I692">
        <v>87.300000000000011</v>
      </c>
      <c r="J692" s="186" t="s">
        <v>835</v>
      </c>
      <c r="M692">
        <f>IFERROR(_xlfn.XLOOKUP(A692,Fleet!A:A,Fleet!E:E,""),"")</f>
        <v>4</v>
      </c>
      <c r="N692" t="s">
        <v>22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833</v>
      </c>
      <c r="B693" t="s">
        <v>834</v>
      </c>
      <c r="C693" t="s">
        <v>834</v>
      </c>
      <c r="D693">
        <v>59.6</v>
      </c>
      <c r="E693" t="s">
        <v>3082</v>
      </c>
      <c r="F693" s="186" t="s">
        <v>836</v>
      </c>
      <c r="H693" t="b">
        <v>1</v>
      </c>
      <c r="I693" t="s">
        <v>22</v>
      </c>
      <c r="J693" s="186" t="s">
        <v>835</v>
      </c>
      <c r="M693">
        <f>IFERROR(_xlfn.XLOOKUP(A693,Fleet!A:A,Fleet!E:E,""),"")</f>
        <v>2</v>
      </c>
      <c r="N693" t="s">
        <v>22</v>
      </c>
      <c r="P693" t="str">
        <f>_xlfn.XLOOKUP(A693,'Classic Net to delete'!D:D,'Classic Net to delete'!A:A,"")</f>
        <v/>
      </c>
    </row>
    <row r="694" spans="1:16" x14ac:dyDescent="0.25">
      <c r="A694" t="s">
        <v>940</v>
      </c>
      <c r="B694" t="s">
        <v>941</v>
      </c>
      <c r="C694" t="s">
        <v>941</v>
      </c>
      <c r="D694">
        <v>113.8</v>
      </c>
      <c r="E694" t="s">
        <v>3082</v>
      </c>
      <c r="F694" s="186" t="s">
        <v>836</v>
      </c>
      <c r="H694" t="b">
        <v>1</v>
      </c>
      <c r="I694">
        <v>113.80000000000001</v>
      </c>
      <c r="J694" s="186" t="s">
        <v>835</v>
      </c>
      <c r="M694">
        <f>IFERROR(_xlfn.XLOOKUP(A694,Fleet!A:A,Fleet!E:E,""),"")</f>
        <v>12</v>
      </c>
      <c r="N694" t="s">
        <v>22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912</v>
      </c>
      <c r="B695" t="s">
        <v>913</v>
      </c>
      <c r="C695" t="s">
        <v>913</v>
      </c>
      <c r="D695">
        <v>51.6</v>
      </c>
      <c r="E695" t="s">
        <v>3082</v>
      </c>
      <c r="F695" s="186" t="s">
        <v>841</v>
      </c>
      <c r="H695" t="b">
        <v>1</v>
      </c>
      <c r="I695">
        <v>51.6</v>
      </c>
      <c r="J695" s="186" t="s">
        <v>835</v>
      </c>
      <c r="M695">
        <f>IFERROR(_xlfn.XLOOKUP(A695,Fleet!A:A,Fleet!E:E,""),"")</f>
        <v>3</v>
      </c>
      <c r="N695" t="s">
        <v>22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908</v>
      </c>
      <c r="B696" t="s">
        <v>909</v>
      </c>
      <c r="C696" t="s">
        <v>909</v>
      </c>
      <c r="D696">
        <v>58.4</v>
      </c>
      <c r="E696" t="s">
        <v>3082</v>
      </c>
      <c r="F696" s="186" t="s">
        <v>841</v>
      </c>
      <c r="H696" t="b">
        <v>1</v>
      </c>
      <c r="I696">
        <v>58.400000000000006</v>
      </c>
      <c r="J696" s="186" t="s">
        <v>835</v>
      </c>
      <c r="M696">
        <f>IFERROR(_xlfn.XLOOKUP(A696,Fleet!A:A,Fleet!E:E,""),"")</f>
        <v>10</v>
      </c>
      <c r="N696" t="s">
        <v>22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906</v>
      </c>
      <c r="B697" t="s">
        <v>907</v>
      </c>
      <c r="C697" t="s">
        <v>907</v>
      </c>
      <c r="D697">
        <v>42.2</v>
      </c>
      <c r="E697" t="s">
        <v>3082</v>
      </c>
      <c r="F697" s="186" t="s">
        <v>841</v>
      </c>
      <c r="H697" t="b">
        <v>1</v>
      </c>
      <c r="I697">
        <v>42.2</v>
      </c>
      <c r="J697" s="186" t="s">
        <v>835</v>
      </c>
      <c r="M697">
        <f>IFERROR(_xlfn.XLOOKUP(A697,Fleet!A:A,Fleet!E:E,""),"")</f>
        <v>3</v>
      </c>
      <c r="N697" t="s">
        <v>22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902</v>
      </c>
      <c r="B698" t="s">
        <v>903</v>
      </c>
      <c r="C698" t="s">
        <v>903</v>
      </c>
      <c r="D698">
        <v>117.95</v>
      </c>
      <c r="E698" t="s">
        <v>3082</v>
      </c>
      <c r="F698" s="186" t="s">
        <v>841</v>
      </c>
      <c r="H698" t="b">
        <v>1</v>
      </c>
      <c r="I698">
        <v>117.95</v>
      </c>
      <c r="J698" s="186" t="s">
        <v>835</v>
      </c>
      <c r="M698">
        <f>IFERROR(_xlfn.XLOOKUP(A698,Fleet!A:A,Fleet!E:E,""),"")</f>
        <v>25</v>
      </c>
      <c r="N698" t="s">
        <v>22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888</v>
      </c>
      <c r="B699" t="s">
        <v>889</v>
      </c>
      <c r="C699" t="s">
        <v>889</v>
      </c>
      <c r="D699">
        <v>51.6</v>
      </c>
      <c r="E699" t="s">
        <v>3082</v>
      </c>
      <c r="F699" s="186" t="s">
        <v>516</v>
      </c>
      <c r="H699" t="b">
        <v>1</v>
      </c>
      <c r="I699">
        <v>51.6</v>
      </c>
      <c r="J699" s="186" t="s">
        <v>835</v>
      </c>
      <c r="M699">
        <f>IFERROR(_xlfn.XLOOKUP(A699,Fleet!A:A,Fleet!E:E,""),"")</f>
        <v>2</v>
      </c>
      <c r="N699" t="s">
        <v>22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890</v>
      </c>
      <c r="B700" t="s">
        <v>891</v>
      </c>
      <c r="C700" t="s">
        <v>891</v>
      </c>
      <c r="D700">
        <v>62.25</v>
      </c>
      <c r="E700" t="s">
        <v>3082</v>
      </c>
      <c r="F700" s="186" t="s">
        <v>516</v>
      </c>
      <c r="H700" t="b">
        <v>1</v>
      </c>
      <c r="I700">
        <v>62.25</v>
      </c>
      <c r="J700" s="186" t="s">
        <v>835</v>
      </c>
      <c r="M700">
        <f>IFERROR(_xlfn.XLOOKUP(A700,Fleet!A:A,Fleet!E:E,""),"")</f>
        <v>5</v>
      </c>
      <c r="N700" t="s">
        <v>22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937</v>
      </c>
      <c r="B701" t="s">
        <v>938</v>
      </c>
      <c r="C701" t="s">
        <v>938</v>
      </c>
      <c r="D701">
        <v>215.8</v>
      </c>
      <c r="E701" t="s">
        <v>3082</v>
      </c>
      <c r="F701" s="186" t="s">
        <v>836</v>
      </c>
      <c r="H701" t="b">
        <v>1</v>
      </c>
      <c r="I701">
        <v>215.8</v>
      </c>
      <c r="J701" s="186" t="s">
        <v>835</v>
      </c>
      <c r="M701">
        <f>IFERROR(_xlfn.XLOOKUP(A701,Fleet!A:A,Fleet!E:E,""),"")</f>
        <v>5</v>
      </c>
      <c r="N701" t="s">
        <v>22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861</v>
      </c>
      <c r="B702" t="s">
        <v>862</v>
      </c>
      <c r="C702" t="s">
        <v>862</v>
      </c>
      <c r="D702">
        <v>25.35</v>
      </c>
      <c r="E702" t="s">
        <v>3082</v>
      </c>
      <c r="F702" s="186" t="s">
        <v>841</v>
      </c>
      <c r="H702" t="b">
        <v>1</v>
      </c>
      <c r="I702">
        <v>25.35</v>
      </c>
      <c r="J702" s="186" t="s">
        <v>835</v>
      </c>
      <c r="M702">
        <f>IFERROR(_xlfn.XLOOKUP(A702,Fleet!A:A,Fleet!E:E,""),"")</f>
        <v>111</v>
      </c>
      <c r="N702" t="s">
        <v>22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865</v>
      </c>
      <c r="B703" t="s">
        <v>866</v>
      </c>
      <c r="C703" t="s">
        <v>866</v>
      </c>
      <c r="D703">
        <v>30.7</v>
      </c>
      <c r="E703" t="s">
        <v>3082</v>
      </c>
      <c r="F703" s="186" t="s">
        <v>841</v>
      </c>
      <c r="H703" t="b">
        <v>1</v>
      </c>
      <c r="I703">
        <v>30.700000000000003</v>
      </c>
      <c r="J703" s="186" t="s">
        <v>835</v>
      </c>
      <c r="M703">
        <f>IFERROR(_xlfn.XLOOKUP(A703,Fleet!A:A,Fleet!E:E,""),"")</f>
        <v>11</v>
      </c>
      <c r="N703" t="s">
        <v>22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870</v>
      </c>
      <c r="B704" t="s">
        <v>871</v>
      </c>
      <c r="C704" t="s">
        <v>871</v>
      </c>
      <c r="D704">
        <v>119.1</v>
      </c>
      <c r="E704" t="s">
        <v>3082</v>
      </c>
      <c r="F704" s="186" t="s">
        <v>841</v>
      </c>
      <c r="H704" t="b">
        <v>1</v>
      </c>
      <c r="I704">
        <v>119.10000000000001</v>
      </c>
      <c r="J704" s="186" t="s">
        <v>835</v>
      </c>
      <c r="M704">
        <f>IFERROR(_xlfn.XLOOKUP(A704,Fleet!A:A,Fleet!E:E,""),"")</f>
        <v>9</v>
      </c>
      <c r="N704" t="s">
        <v>22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910</v>
      </c>
      <c r="B705" t="s">
        <v>911</v>
      </c>
      <c r="C705" t="s">
        <v>911</v>
      </c>
      <c r="D705">
        <v>55.45</v>
      </c>
      <c r="E705" t="s">
        <v>3082</v>
      </c>
      <c r="F705" s="186" t="s">
        <v>841</v>
      </c>
      <c r="H705" t="b">
        <v>1</v>
      </c>
      <c r="I705">
        <v>55.45</v>
      </c>
      <c r="J705" s="186" t="s">
        <v>835</v>
      </c>
      <c r="M705">
        <f>IFERROR(_xlfn.XLOOKUP(A705,Fleet!A:A,Fleet!E:E,""),"")</f>
        <v>1</v>
      </c>
      <c r="N705" t="s">
        <v>22</v>
      </c>
      <c r="P705" t="str">
        <f>_xlfn.XLOOKUP(A705,'Classic Net to delete'!D:D,'Classic Net to delete'!A:A,"")</f>
        <v>Fresno Broom</v>
      </c>
    </row>
    <row r="706" spans="1:16" x14ac:dyDescent="0.25">
      <c r="A706" t="s">
        <v>935</v>
      </c>
      <c r="B706" t="s">
        <v>936</v>
      </c>
      <c r="C706" t="s">
        <v>936</v>
      </c>
      <c r="D706">
        <v>161.55000000000001</v>
      </c>
      <c r="E706" t="s">
        <v>3082</v>
      </c>
      <c r="F706" s="186" t="s">
        <v>836</v>
      </c>
      <c r="H706" t="b">
        <v>1</v>
      </c>
      <c r="I706">
        <v>161.55000000000001</v>
      </c>
      <c r="J706" s="186" t="s">
        <v>835</v>
      </c>
      <c r="M706">
        <f>IFERROR(_xlfn.XLOOKUP(A706,Fleet!A:A,Fleet!E:E,""),"")</f>
        <v>27</v>
      </c>
      <c r="N706" t="s">
        <v>22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882</v>
      </c>
      <c r="B707" t="s">
        <v>883</v>
      </c>
      <c r="C707" t="s">
        <v>883</v>
      </c>
      <c r="D707">
        <v>211.4</v>
      </c>
      <c r="E707" t="s">
        <v>3082</v>
      </c>
      <c r="F707" s="186" t="s">
        <v>516</v>
      </c>
      <c r="H707" t="b">
        <v>1</v>
      </c>
      <c r="I707">
        <v>211.4</v>
      </c>
      <c r="J707" s="186" t="s">
        <v>835</v>
      </c>
      <c r="M707">
        <f>IFERROR(_xlfn.XLOOKUP(A707,Fleet!A:A,Fleet!E:E,""),"")</f>
        <v>30</v>
      </c>
      <c r="N707" t="s">
        <v>22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898</v>
      </c>
      <c r="B708" t="s">
        <v>899</v>
      </c>
      <c r="C708" t="s">
        <v>899</v>
      </c>
      <c r="D708">
        <v>233.5</v>
      </c>
      <c r="E708" t="s">
        <v>3082</v>
      </c>
      <c r="F708" s="186" t="s">
        <v>841</v>
      </c>
      <c r="H708" t="b">
        <v>1</v>
      </c>
      <c r="I708">
        <v>233.5</v>
      </c>
      <c r="J708" s="186" t="s">
        <v>835</v>
      </c>
      <c r="M708">
        <f>IFERROR(_xlfn.XLOOKUP(A708,Fleet!A:A,Fleet!E:E,""),"")</f>
        <v>2</v>
      </c>
      <c r="N708" t="s">
        <v>22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848</v>
      </c>
      <c r="B709" t="s">
        <v>849</v>
      </c>
      <c r="C709" t="s">
        <v>849</v>
      </c>
      <c r="D709">
        <v>192.2</v>
      </c>
      <c r="E709" t="s">
        <v>3082</v>
      </c>
      <c r="F709" s="186" t="s">
        <v>516</v>
      </c>
      <c r="H709" t="b">
        <v>1</v>
      </c>
      <c r="I709" t="s">
        <v>22</v>
      </c>
      <c r="J709" s="186" t="s">
        <v>835</v>
      </c>
      <c r="M709">
        <f>IFERROR(_xlfn.XLOOKUP(A709,Fleet!A:A,Fleet!E:E,""),"")</f>
        <v>91</v>
      </c>
      <c r="N709" t="s">
        <v>22</v>
      </c>
      <c r="P709" t="str">
        <f>_xlfn.XLOOKUP(A709,'Classic Net to delete'!D:D,'Classic Net to delete'!A:A,"")</f>
        <v/>
      </c>
    </row>
    <row r="710" spans="1:16" x14ac:dyDescent="0.25">
      <c r="A710" t="s">
        <v>850</v>
      </c>
      <c r="B710" t="s">
        <v>851</v>
      </c>
      <c r="C710" t="s">
        <v>851</v>
      </c>
      <c r="D710">
        <v>192.2</v>
      </c>
      <c r="E710" t="s">
        <v>3082</v>
      </c>
      <c r="F710" s="186" t="s">
        <v>516</v>
      </c>
      <c r="H710" t="b">
        <v>1</v>
      </c>
      <c r="I710" t="s">
        <v>22</v>
      </c>
      <c r="J710" s="186" t="s">
        <v>835</v>
      </c>
      <c r="M710">
        <f>IFERROR(_xlfn.XLOOKUP(A710,Fleet!A:A,Fleet!E:E,""),"")</f>
        <v>82</v>
      </c>
      <c r="N710" t="s">
        <v>22</v>
      </c>
      <c r="P710" t="str">
        <f>_xlfn.XLOOKUP(A710,'Classic Net to delete'!D:D,'Classic Net to delete'!A:A,"")</f>
        <v/>
      </c>
    </row>
    <row r="711" spans="1:16" x14ac:dyDescent="0.25">
      <c r="A711" t="s">
        <v>842</v>
      </c>
      <c r="B711" t="s">
        <v>923</v>
      </c>
      <c r="C711" t="s">
        <v>843</v>
      </c>
      <c r="D711">
        <v>53.05</v>
      </c>
      <c r="E711" t="s">
        <v>3082</v>
      </c>
      <c r="F711" s="186" t="s">
        <v>841</v>
      </c>
      <c r="H711" t="b">
        <v>1</v>
      </c>
      <c r="I711" t="s">
        <v>22</v>
      </c>
      <c r="J711" s="186" t="s">
        <v>835</v>
      </c>
      <c r="M711">
        <f>IFERROR(_xlfn.XLOOKUP(A711,Fleet!A:A,Fleet!E:E,""),"")</f>
        <v>2</v>
      </c>
      <c r="N711" t="s">
        <v>22</v>
      </c>
      <c r="P711" t="str">
        <f>_xlfn.XLOOKUP(A711,'Classic Net to delete'!D:D,'Classic Net to delete'!A:A,"")</f>
        <v/>
      </c>
    </row>
    <row r="712" spans="1:16" x14ac:dyDescent="0.25">
      <c r="A712" t="s">
        <v>872</v>
      </c>
      <c r="B712" t="s">
        <v>873</v>
      </c>
      <c r="C712" t="s">
        <v>873</v>
      </c>
      <c r="D712">
        <v>239.7</v>
      </c>
      <c r="E712" t="s">
        <v>3082</v>
      </c>
      <c r="F712" s="186" t="s">
        <v>841</v>
      </c>
      <c r="H712" t="b">
        <v>1</v>
      </c>
      <c r="I712">
        <v>239.70000000000002</v>
      </c>
      <c r="J712" s="186" t="s">
        <v>835</v>
      </c>
      <c r="M712">
        <f>IFERROR(_xlfn.XLOOKUP(A712,Fleet!A:A,Fleet!E:E,""),"")</f>
        <v>1</v>
      </c>
      <c r="N712" t="s">
        <v>22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877</v>
      </c>
      <c r="B713" t="s">
        <v>878</v>
      </c>
      <c r="C713" t="s">
        <v>878</v>
      </c>
      <c r="D713">
        <v>192.2</v>
      </c>
      <c r="E713" t="s">
        <v>3082</v>
      </c>
      <c r="F713" s="186" t="s">
        <v>516</v>
      </c>
      <c r="H713" t="b">
        <v>1</v>
      </c>
      <c r="I713">
        <v>192.20000000000002</v>
      </c>
      <c r="J713" s="186" t="s">
        <v>835</v>
      </c>
      <c r="M713">
        <f>IFERROR(_xlfn.XLOOKUP(A713,Fleet!A:A,Fleet!E:E,""),"")</f>
        <v>20</v>
      </c>
      <c r="N713" t="s">
        <v>22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919</v>
      </c>
      <c r="B714" t="s">
        <v>920</v>
      </c>
      <c r="C714" t="s">
        <v>920</v>
      </c>
      <c r="D714">
        <v>341.95</v>
      </c>
      <c r="E714" t="s">
        <v>3082</v>
      </c>
      <c r="F714" s="186" t="s">
        <v>841</v>
      </c>
      <c r="H714" t="b">
        <v>1</v>
      </c>
      <c r="I714">
        <v>341.95000000000005</v>
      </c>
      <c r="J714" s="186" t="s">
        <v>835</v>
      </c>
      <c r="M714">
        <f>IFERROR(_xlfn.XLOOKUP(A714,Fleet!A:A,Fleet!E:E,""),"")</f>
        <v>28</v>
      </c>
      <c r="N714" t="s">
        <v>22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853</v>
      </c>
      <c r="B715" t="s">
        <v>854</v>
      </c>
      <c r="C715" t="s">
        <v>854</v>
      </c>
      <c r="D715">
        <v>43.95</v>
      </c>
      <c r="E715" t="s">
        <v>3082</v>
      </c>
      <c r="F715" s="186" t="s">
        <v>516</v>
      </c>
      <c r="H715" t="b">
        <v>1</v>
      </c>
      <c r="I715" t="s">
        <v>22</v>
      </c>
      <c r="J715" s="186" t="s">
        <v>835</v>
      </c>
      <c r="M715">
        <f>IFERROR(_xlfn.XLOOKUP(A715,Fleet!A:A,Fleet!E:E,""),"")</f>
        <v>5</v>
      </c>
      <c r="N715" t="s">
        <v>22</v>
      </c>
      <c r="P715" t="str">
        <f>_xlfn.XLOOKUP(A715,'Classic Net to delete'!D:D,'Classic Net to delete'!A:A,"")</f>
        <v/>
      </c>
    </row>
    <row r="716" spans="1:16" x14ac:dyDescent="0.25">
      <c r="A716" t="s">
        <v>874</v>
      </c>
      <c r="B716" t="s">
        <v>875</v>
      </c>
      <c r="C716" t="s">
        <v>875</v>
      </c>
      <c r="D716">
        <v>302.8</v>
      </c>
      <c r="E716" t="s">
        <v>3082</v>
      </c>
      <c r="F716" s="186" t="s">
        <v>841</v>
      </c>
      <c r="H716" t="b">
        <v>1</v>
      </c>
      <c r="I716">
        <v>302.8</v>
      </c>
      <c r="J716" s="186" t="s">
        <v>835</v>
      </c>
      <c r="M716">
        <f>IFERROR(_xlfn.XLOOKUP(A716,Fleet!A:A,Fleet!E:E,""),"")</f>
        <v>4</v>
      </c>
      <c r="N716" t="s">
        <v>22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892</v>
      </c>
      <c r="B717" t="s">
        <v>893</v>
      </c>
      <c r="C717" t="s">
        <v>893</v>
      </c>
      <c r="D717">
        <v>30.7</v>
      </c>
      <c r="E717" t="s">
        <v>3082</v>
      </c>
      <c r="F717" s="186" t="s">
        <v>516</v>
      </c>
      <c r="H717" t="b">
        <v>1</v>
      </c>
      <c r="I717">
        <v>30.700000000000003</v>
      </c>
      <c r="J717" s="186" t="s">
        <v>835</v>
      </c>
      <c r="M717">
        <f>IFERROR(_xlfn.XLOOKUP(A717,Fleet!A:A,Fleet!E:E,""),"")</f>
        <v>1</v>
      </c>
      <c r="N717" t="s">
        <v>22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894</v>
      </c>
      <c r="B718" t="s">
        <v>895</v>
      </c>
      <c r="C718" t="s">
        <v>895</v>
      </c>
      <c r="D718">
        <v>43.95</v>
      </c>
      <c r="E718" t="s">
        <v>3082</v>
      </c>
      <c r="F718" s="186" t="s">
        <v>516</v>
      </c>
      <c r="H718" t="b">
        <v>1</v>
      </c>
      <c r="I718">
        <v>43.95</v>
      </c>
      <c r="J718" s="186" t="s">
        <v>835</v>
      </c>
      <c r="M718">
        <f>IFERROR(_xlfn.XLOOKUP(A718,Fleet!A:A,Fleet!E:E,""),"")</f>
        <v>1</v>
      </c>
      <c r="N718" t="s">
        <v>22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896</v>
      </c>
      <c r="B719" t="s">
        <v>897</v>
      </c>
      <c r="C719" t="s">
        <v>897</v>
      </c>
      <c r="D719">
        <v>43.95</v>
      </c>
      <c r="E719" t="s">
        <v>3082</v>
      </c>
      <c r="F719" s="186" t="s">
        <v>516</v>
      </c>
      <c r="H719" t="b">
        <v>1</v>
      </c>
      <c r="I719">
        <v>43.95</v>
      </c>
      <c r="J719" s="186" t="s">
        <v>835</v>
      </c>
      <c r="M719">
        <f>IFERROR(_xlfn.XLOOKUP(A719,Fleet!A:A,Fleet!E:E,""),"")</f>
        <v>2</v>
      </c>
      <c r="N719" t="s">
        <v>22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846</v>
      </c>
      <c r="B720" t="s">
        <v>847</v>
      </c>
      <c r="C720" t="s">
        <v>847</v>
      </c>
      <c r="D720">
        <v>192.2</v>
      </c>
      <c r="E720" t="s">
        <v>3082</v>
      </c>
      <c r="F720" s="186" t="s">
        <v>516</v>
      </c>
      <c r="H720" t="b">
        <v>1</v>
      </c>
      <c r="I720" t="s">
        <v>22</v>
      </c>
      <c r="J720" s="186" t="s">
        <v>835</v>
      </c>
      <c r="M720">
        <f>IFERROR(_xlfn.XLOOKUP(A720,Fleet!A:A,Fleet!E:E,""),"")</f>
        <v>25</v>
      </c>
      <c r="N720" t="s">
        <v>22</v>
      </c>
      <c r="P720" t="str">
        <f>_xlfn.XLOOKUP(A720,'Classic Net to delete'!D:D,'Classic Net to delete'!A:A,"")</f>
        <v/>
      </c>
    </row>
    <row r="721" spans="1:16" x14ac:dyDescent="0.25">
      <c r="A721" t="s">
        <v>868</v>
      </c>
      <c r="B721" t="s">
        <v>869</v>
      </c>
      <c r="C721" t="s">
        <v>869</v>
      </c>
      <c r="D721">
        <v>112</v>
      </c>
      <c r="E721" t="s">
        <v>3082</v>
      </c>
      <c r="F721" s="186" t="s">
        <v>841</v>
      </c>
      <c r="H721" t="b">
        <v>1</v>
      </c>
      <c r="I721">
        <v>112</v>
      </c>
      <c r="J721" s="186" t="s">
        <v>835</v>
      </c>
      <c r="M721">
        <f>IFERROR(_xlfn.XLOOKUP(A721,Fleet!A:A,Fleet!E:E,""),"")</f>
        <v>19</v>
      </c>
      <c r="N721" t="s">
        <v>22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885</v>
      </c>
      <c r="B722" t="s">
        <v>886</v>
      </c>
      <c r="C722" t="s">
        <v>886</v>
      </c>
      <c r="D722">
        <v>178</v>
      </c>
      <c r="E722" t="s">
        <v>3082</v>
      </c>
      <c r="F722" s="186" t="s">
        <v>841</v>
      </c>
      <c r="H722" t="b">
        <v>1</v>
      </c>
      <c r="I722">
        <v>178</v>
      </c>
      <c r="J722" s="186" t="s">
        <v>835</v>
      </c>
      <c r="M722">
        <f>IFERROR(_xlfn.XLOOKUP(A722,Fleet!A:A,Fleet!E:E,""),"")</f>
        <v>19</v>
      </c>
      <c r="N722" t="s">
        <v>22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881</v>
      </c>
      <c r="B723" t="s">
        <v>852</v>
      </c>
      <c r="C723" t="s">
        <v>852</v>
      </c>
      <c r="D723">
        <v>250.3</v>
      </c>
      <c r="E723" t="s">
        <v>3082</v>
      </c>
      <c r="F723" s="186" t="s">
        <v>841</v>
      </c>
      <c r="H723" t="b">
        <v>1</v>
      </c>
      <c r="I723">
        <v>250.3</v>
      </c>
      <c r="J723" s="186" t="s">
        <v>835</v>
      </c>
      <c r="M723">
        <f>IFERROR(_xlfn.XLOOKUP(A723,Fleet!A:A,Fleet!E:E,""),"")</f>
        <v>12</v>
      </c>
      <c r="N723" t="s">
        <v>22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844</v>
      </c>
      <c r="B724" t="s">
        <v>3083</v>
      </c>
      <c r="C724" t="s">
        <v>845</v>
      </c>
      <c r="D724">
        <v>500</v>
      </c>
      <c r="E724" t="s">
        <v>3082</v>
      </c>
      <c r="F724" s="186" t="s">
        <v>841</v>
      </c>
      <c r="H724" t="b">
        <v>1</v>
      </c>
      <c r="I724" t="s">
        <v>22</v>
      </c>
      <c r="J724" s="186" t="s">
        <v>835</v>
      </c>
      <c r="M724">
        <f>IFERROR(_xlfn.XLOOKUP(A724,Fleet!A:A,Fleet!E:E,""),"")</f>
        <v>1</v>
      </c>
      <c r="N724" t="s">
        <v>22</v>
      </c>
      <c r="P724" t="str">
        <f>_xlfn.XLOOKUP(A724,'Classic Net to delete'!D:D,'Classic Net to delete'!A:A,"")</f>
        <v/>
      </c>
    </row>
    <row r="725" spans="1:16" x14ac:dyDescent="0.25">
      <c r="A725" t="s">
        <v>855</v>
      </c>
      <c r="B725" t="s">
        <v>856</v>
      </c>
      <c r="C725" t="s">
        <v>856</v>
      </c>
      <c r="D725">
        <v>150</v>
      </c>
      <c r="E725" t="s">
        <v>3082</v>
      </c>
      <c r="F725" s="186" t="s">
        <v>516</v>
      </c>
      <c r="H725" t="b">
        <v>1</v>
      </c>
      <c r="I725" t="s">
        <v>22</v>
      </c>
      <c r="J725" s="186" t="s">
        <v>835</v>
      </c>
      <c r="M725">
        <f>IFERROR(_xlfn.XLOOKUP(A725,Fleet!A:A,Fleet!E:E,""),"")</f>
        <v>1</v>
      </c>
      <c r="N725" t="s">
        <v>22</v>
      </c>
      <c r="P725" t="str">
        <f>_xlfn.XLOOKUP(A725,'Classic Net to delete'!D:D,'Classic Net to delete'!A:A,"")</f>
        <v/>
      </c>
    </row>
    <row r="726" spans="1:16" x14ac:dyDescent="0.25">
      <c r="A726" t="s">
        <v>857</v>
      </c>
      <c r="B726" t="s">
        <v>858</v>
      </c>
      <c r="C726" t="s">
        <v>858</v>
      </c>
      <c r="D726">
        <v>50</v>
      </c>
      <c r="E726" t="s">
        <v>3082</v>
      </c>
      <c r="F726" s="186" t="s">
        <v>516</v>
      </c>
      <c r="H726" t="b">
        <v>1</v>
      </c>
      <c r="I726" t="s">
        <v>22</v>
      </c>
      <c r="J726" s="186" t="s">
        <v>835</v>
      </c>
      <c r="M726" t="str">
        <f>IFERROR(_xlfn.XLOOKUP(A726,Fleet!A:A,Fleet!E:E,""),"")</f>
        <v/>
      </c>
      <c r="N726" t="s">
        <v>22</v>
      </c>
      <c r="P726" t="str">
        <f>_xlfn.XLOOKUP(A726,'Classic Net to delete'!D:D,'Classic Net to delete'!A:A,"")</f>
        <v/>
      </c>
    </row>
    <row r="727" spans="1:16" x14ac:dyDescent="0.25">
      <c r="A727" t="s">
        <v>859</v>
      </c>
      <c r="B727" t="s">
        <v>860</v>
      </c>
      <c r="C727" t="s">
        <v>860</v>
      </c>
      <c r="D727">
        <v>50</v>
      </c>
      <c r="E727" t="s">
        <v>3082</v>
      </c>
      <c r="F727" s="186" t="s">
        <v>516</v>
      </c>
      <c r="H727" t="b">
        <v>1</v>
      </c>
      <c r="I727" t="s">
        <v>22</v>
      </c>
      <c r="J727" s="186" t="s">
        <v>835</v>
      </c>
      <c r="M727">
        <f>IFERROR(_xlfn.XLOOKUP(A727,Fleet!A:A,Fleet!E:E,""),"")</f>
        <v>1</v>
      </c>
      <c r="N727" t="s">
        <v>22</v>
      </c>
      <c r="P727" t="str">
        <f>_xlfn.XLOOKUP(A727,'Classic Net to delete'!D:D,'Classic Net to delete'!A:A,"")</f>
        <v/>
      </c>
    </row>
    <row r="728" spans="1:16" x14ac:dyDescent="0.25">
      <c r="A728" t="s">
        <v>850</v>
      </c>
      <c r="B728" t="s">
        <v>851</v>
      </c>
      <c r="C728" t="s">
        <v>849</v>
      </c>
      <c r="D728">
        <v>192.2</v>
      </c>
      <c r="E728" t="s">
        <v>3082</v>
      </c>
      <c r="F728" s="186" t="s">
        <v>516</v>
      </c>
      <c r="H728" t="b">
        <v>1</v>
      </c>
      <c r="I728" t="s">
        <v>22</v>
      </c>
      <c r="J728" s="186" t="s">
        <v>835</v>
      </c>
      <c r="M728">
        <f>IFERROR(_xlfn.XLOOKUP(A728,Fleet!A:A,Fleet!E:E,""),"")</f>
        <v>82</v>
      </c>
      <c r="N728" t="s">
        <v>22</v>
      </c>
      <c r="P728" t="str">
        <f>_xlfn.XLOOKUP(A728,'Classic Net to delete'!D:D,'Classic Net to delete'!A:A,"")</f>
        <v/>
      </c>
    </row>
    <row r="729" spans="1:16" x14ac:dyDescent="0.25">
      <c r="A729" t="s">
        <v>837</v>
      </c>
      <c r="B729" t="s">
        <v>838</v>
      </c>
      <c r="C729" t="s">
        <v>838</v>
      </c>
      <c r="D729">
        <v>200</v>
      </c>
      <c r="E729" t="s">
        <v>3082</v>
      </c>
      <c r="F729" s="186" t="s">
        <v>836</v>
      </c>
      <c r="H729" t="b">
        <v>1</v>
      </c>
      <c r="I729" t="s">
        <v>22</v>
      </c>
      <c r="J729" s="186" t="s">
        <v>835</v>
      </c>
      <c r="M729">
        <f>IFERROR(_xlfn.XLOOKUP(A729,Fleet!A:A,Fleet!E:E,""),"")</f>
        <v>1</v>
      </c>
      <c r="N729" t="s">
        <v>22</v>
      </c>
      <c r="P729" t="str">
        <f>_xlfn.XLOOKUP(A729,'Classic Net to delete'!D:D,'Classic Net to delete'!A:A,"")</f>
        <v/>
      </c>
    </row>
    <row r="730" spans="1:16" x14ac:dyDescent="0.25">
      <c r="A730" t="s">
        <v>850</v>
      </c>
      <c r="B730" t="s">
        <v>851</v>
      </c>
      <c r="C730" t="s">
        <v>852</v>
      </c>
      <c r="D730">
        <v>250.3</v>
      </c>
      <c r="E730" t="s">
        <v>3082</v>
      </c>
      <c r="F730" s="186" t="s">
        <v>516</v>
      </c>
      <c r="H730" t="b">
        <v>1</v>
      </c>
      <c r="I730" t="s">
        <v>22</v>
      </c>
      <c r="J730" s="186" t="s">
        <v>835</v>
      </c>
      <c r="M730">
        <f>IFERROR(_xlfn.XLOOKUP(A730,Fleet!A:A,Fleet!E:E,""),"")</f>
        <v>82</v>
      </c>
      <c r="N730" t="s">
        <v>22</v>
      </c>
      <c r="P730" t="str">
        <f>_xlfn.XLOOKUP(A730,'Classic Net to delete'!D:D,'Classic Net to delete'!A:A,"")</f>
        <v/>
      </c>
    </row>
    <row r="731" spans="1:16" x14ac:dyDescent="0.25">
      <c r="A731" t="s">
        <v>850</v>
      </c>
      <c r="B731" t="s">
        <v>851</v>
      </c>
      <c r="C731" t="s">
        <v>847</v>
      </c>
      <c r="D731">
        <v>192.2</v>
      </c>
      <c r="E731" t="s">
        <v>3082</v>
      </c>
      <c r="F731" s="186" t="s">
        <v>516</v>
      </c>
      <c r="H731" t="b">
        <v>1</v>
      </c>
      <c r="I731" t="s">
        <v>22</v>
      </c>
      <c r="J731" s="186" t="s">
        <v>835</v>
      </c>
      <c r="M731">
        <f>IFERROR(_xlfn.XLOOKUP(A731,Fleet!A:A,Fleet!E:E,""),"")</f>
        <v>82</v>
      </c>
      <c r="N731" t="s">
        <v>22</v>
      </c>
      <c r="P731" t="str">
        <f>_xlfn.XLOOKUP(A731,'Classic Net to delete'!D:D,'Classic Net to delete'!A:A,"")</f>
        <v/>
      </c>
    </row>
    <row r="732" spans="1:16" x14ac:dyDescent="0.25">
      <c r="A732" t="s">
        <v>1298</v>
      </c>
      <c r="B732" t="s">
        <v>3086</v>
      </c>
      <c r="C732" t="s">
        <v>1299</v>
      </c>
      <c r="D732">
        <v>117.95</v>
      </c>
      <c r="E732" t="s">
        <v>3085</v>
      </c>
      <c r="F732" s="186" t="s">
        <v>1300</v>
      </c>
      <c r="H732" t="b">
        <v>1</v>
      </c>
      <c r="I732">
        <v>117.95</v>
      </c>
      <c r="J732" s="186" t="s">
        <v>1255</v>
      </c>
      <c r="M732">
        <f>IFERROR(_xlfn.XLOOKUP(A732,Fleet!A:A,Fleet!E:E,""),"")</f>
        <v>117</v>
      </c>
      <c r="N732" t="s">
        <v>22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1311</v>
      </c>
      <c r="B733" t="s">
        <v>3084</v>
      </c>
      <c r="C733" t="s">
        <v>1312</v>
      </c>
      <c r="D733">
        <v>97.85</v>
      </c>
      <c r="E733" t="s">
        <v>3085</v>
      </c>
      <c r="F733" s="186" t="s">
        <v>1300</v>
      </c>
      <c r="H733" t="b">
        <v>1</v>
      </c>
      <c r="I733">
        <v>97.850000000000009</v>
      </c>
      <c r="J733" s="186" t="s">
        <v>1255</v>
      </c>
      <c r="M733">
        <f>IFERROR(_xlfn.XLOOKUP(A733,Fleet!A:A,Fleet!E:E,""),"")</f>
        <v>93</v>
      </c>
      <c r="N733" t="s">
        <v>22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1318</v>
      </c>
      <c r="B734" t="s">
        <v>3087</v>
      </c>
      <c r="C734" t="s">
        <v>1319</v>
      </c>
      <c r="D734">
        <v>79.55</v>
      </c>
      <c r="E734" t="s">
        <v>3085</v>
      </c>
      <c r="F734" s="186" t="s">
        <v>1256</v>
      </c>
      <c r="H734" t="b">
        <v>1</v>
      </c>
      <c r="I734">
        <v>79.550000000000011</v>
      </c>
      <c r="J734" s="186" t="s">
        <v>1255</v>
      </c>
      <c r="M734">
        <f>IFERROR(_xlfn.XLOOKUP(A734,Fleet!A:A,Fleet!E:E,""),"")</f>
        <v>16</v>
      </c>
      <c r="N734" t="s">
        <v>22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1320</v>
      </c>
      <c r="B735" t="s">
        <v>1321</v>
      </c>
      <c r="C735" t="s">
        <v>1321</v>
      </c>
      <c r="D735">
        <v>113.8</v>
      </c>
      <c r="E735" t="s">
        <v>3085</v>
      </c>
      <c r="F735" s="186" t="s">
        <v>1256</v>
      </c>
      <c r="H735" t="b">
        <v>1</v>
      </c>
      <c r="I735">
        <v>113.80000000000001</v>
      </c>
      <c r="J735" s="186" t="s">
        <v>1255</v>
      </c>
      <c r="M735">
        <f>IFERROR(_xlfn.XLOOKUP(A735,Fleet!A:A,Fleet!E:E,""),"")</f>
        <v>60</v>
      </c>
      <c r="N735" t="s">
        <v>22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1301</v>
      </c>
      <c r="B736" t="s">
        <v>1302</v>
      </c>
      <c r="C736" t="s">
        <v>1302</v>
      </c>
      <c r="D736">
        <v>23.9</v>
      </c>
      <c r="E736" t="s">
        <v>3085</v>
      </c>
      <c r="F736" s="186" t="s">
        <v>1300</v>
      </c>
      <c r="H736" t="b">
        <v>1</v>
      </c>
      <c r="I736">
        <v>23.900000000000002</v>
      </c>
      <c r="J736" s="186" t="s">
        <v>1255</v>
      </c>
      <c r="M736">
        <f>IFERROR(_xlfn.XLOOKUP(A736,Fleet!A:A,Fleet!E:E,""),"")</f>
        <v>25</v>
      </c>
      <c r="N736" t="s">
        <v>22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1303</v>
      </c>
      <c r="B737" t="s">
        <v>1304</v>
      </c>
      <c r="C737" t="s">
        <v>1304</v>
      </c>
      <c r="D737">
        <v>35.700000000000003</v>
      </c>
      <c r="E737" t="s">
        <v>3085</v>
      </c>
      <c r="F737" s="186" t="s">
        <v>1300</v>
      </c>
      <c r="H737" t="b">
        <v>1</v>
      </c>
      <c r="I737">
        <v>35.700000000000003</v>
      </c>
      <c r="J737" s="186" t="s">
        <v>1255</v>
      </c>
      <c r="M737">
        <f>IFERROR(_xlfn.XLOOKUP(A737,Fleet!A:A,Fleet!E:E,""),"")</f>
        <v>1</v>
      </c>
      <c r="N737" t="s">
        <v>22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1305</v>
      </c>
      <c r="B738" t="s">
        <v>1306</v>
      </c>
      <c r="C738" t="s">
        <v>1306</v>
      </c>
      <c r="D738">
        <v>71.650000000000006</v>
      </c>
      <c r="E738" t="s">
        <v>3085</v>
      </c>
      <c r="F738" s="186" t="s">
        <v>1300</v>
      </c>
      <c r="H738" t="b">
        <v>1</v>
      </c>
      <c r="I738">
        <v>71.650000000000006</v>
      </c>
      <c r="J738" s="186" t="s">
        <v>1255</v>
      </c>
      <c r="M738">
        <f>IFERROR(_xlfn.XLOOKUP(A738,Fleet!A:A,Fleet!E:E,""),"")</f>
        <v>64</v>
      </c>
      <c r="N738" t="s">
        <v>22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1324</v>
      </c>
      <c r="B739" t="s">
        <v>1325</v>
      </c>
      <c r="C739" t="s">
        <v>1325</v>
      </c>
      <c r="D739">
        <v>144.6</v>
      </c>
      <c r="E739" t="s">
        <v>3085</v>
      </c>
      <c r="F739" s="186" t="s">
        <v>1256</v>
      </c>
      <c r="H739" t="b">
        <v>1</v>
      </c>
      <c r="I739">
        <v>144.6</v>
      </c>
      <c r="J739" s="186" t="s">
        <v>1255</v>
      </c>
      <c r="M739">
        <f>IFERROR(_xlfn.XLOOKUP(A739,Fleet!A:A,Fleet!E:E,""),"")</f>
        <v>15</v>
      </c>
      <c r="N739" t="s">
        <v>22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1308</v>
      </c>
      <c r="B740" t="s">
        <v>1309</v>
      </c>
      <c r="C740" t="s">
        <v>1309</v>
      </c>
      <c r="D740">
        <v>74</v>
      </c>
      <c r="E740" t="s">
        <v>3085</v>
      </c>
      <c r="F740" s="186" t="s">
        <v>1300</v>
      </c>
      <c r="H740" t="b">
        <v>1</v>
      </c>
      <c r="I740">
        <v>74</v>
      </c>
      <c r="J740" s="186" t="s">
        <v>1255</v>
      </c>
      <c r="M740">
        <f>IFERROR(_xlfn.XLOOKUP(A740,Fleet!A:A,Fleet!E:E,""),"")</f>
        <v>3</v>
      </c>
      <c r="N740" t="s">
        <v>22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1322</v>
      </c>
      <c r="B741" t="s">
        <v>1323</v>
      </c>
      <c r="C741" t="s">
        <v>1323</v>
      </c>
      <c r="D741">
        <v>128.85</v>
      </c>
      <c r="E741" t="s">
        <v>3085</v>
      </c>
      <c r="F741" s="186" t="s">
        <v>1256</v>
      </c>
      <c r="H741" t="b">
        <v>1</v>
      </c>
      <c r="I741">
        <v>128.85</v>
      </c>
      <c r="J741" s="186" t="s">
        <v>1255</v>
      </c>
      <c r="M741">
        <f>IFERROR(_xlfn.XLOOKUP(A741,Fleet!A:A,Fleet!E:E,""),"")</f>
        <v>83</v>
      </c>
      <c r="N741" t="s">
        <v>22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1253</v>
      </c>
      <c r="B742" t="s">
        <v>1254</v>
      </c>
      <c r="C742" t="s">
        <v>1254</v>
      </c>
      <c r="D742">
        <v>79.55</v>
      </c>
      <c r="E742" t="s">
        <v>3085</v>
      </c>
      <c r="F742" s="186" t="s">
        <v>1256</v>
      </c>
      <c r="H742" t="b">
        <v>1</v>
      </c>
      <c r="I742" t="s">
        <v>22</v>
      </c>
      <c r="J742" s="186" t="s">
        <v>1255</v>
      </c>
      <c r="M742">
        <f>IFERROR(_xlfn.XLOOKUP(A742,Fleet!A:A,Fleet!E:E,""),"")</f>
        <v>6</v>
      </c>
      <c r="N742" t="s">
        <v>22</v>
      </c>
      <c r="P742" t="str">
        <f>_xlfn.XLOOKUP(A742,'Classic Net to delete'!D:D,'Classic Net to delete'!A:A,"")</f>
        <v/>
      </c>
    </row>
    <row r="743" spans="1:16" x14ac:dyDescent="0.25">
      <c r="A743" t="s">
        <v>1009</v>
      </c>
      <c r="B743" t="s">
        <v>1010</v>
      </c>
      <c r="C743" t="s">
        <v>1010</v>
      </c>
      <c r="D743">
        <v>55.35</v>
      </c>
      <c r="E743" t="s">
        <v>3088</v>
      </c>
      <c r="F743" s="186" t="s">
        <v>992</v>
      </c>
      <c r="H743" t="b">
        <v>1</v>
      </c>
      <c r="I743" t="s">
        <v>22</v>
      </c>
      <c r="J743" s="186" t="s">
        <v>944</v>
      </c>
      <c r="M743">
        <f>IFERROR(_xlfn.XLOOKUP(A743,Fleet!A:A,Fleet!E:E,""),"")</f>
        <v>9</v>
      </c>
      <c r="N743" t="s">
        <v>22</v>
      </c>
      <c r="P743" t="str">
        <f>_xlfn.XLOOKUP(A743,'Classic Net to delete'!D:D,'Classic Net to delete'!A:A,"")</f>
        <v/>
      </c>
    </row>
    <row r="744" spans="1:16" x14ac:dyDescent="0.25">
      <c r="A744" t="s">
        <v>1002</v>
      </c>
      <c r="B744" t="s">
        <v>1003</v>
      </c>
      <c r="C744" t="s">
        <v>1003</v>
      </c>
      <c r="D744">
        <v>15.95</v>
      </c>
      <c r="E744" t="s">
        <v>3088</v>
      </c>
      <c r="F744" s="186" t="s">
        <v>992</v>
      </c>
      <c r="H744" t="b">
        <v>1</v>
      </c>
      <c r="I744">
        <v>15.950000000000001</v>
      </c>
      <c r="J744" s="186" t="s">
        <v>944</v>
      </c>
      <c r="M744">
        <f>IFERROR(_xlfn.XLOOKUP(A744,Fleet!A:A,Fleet!E:E,""),"")</f>
        <v>29</v>
      </c>
      <c r="N744" t="s">
        <v>22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1004</v>
      </c>
      <c r="B745" t="s">
        <v>1005</v>
      </c>
      <c r="C745" t="s">
        <v>1005</v>
      </c>
      <c r="D745">
        <v>18.899999999999999</v>
      </c>
      <c r="E745" t="s">
        <v>3088</v>
      </c>
      <c r="F745" s="186" t="s">
        <v>992</v>
      </c>
      <c r="H745" t="b">
        <v>1</v>
      </c>
      <c r="I745">
        <v>18.900000000000002</v>
      </c>
      <c r="J745" s="186" t="s">
        <v>944</v>
      </c>
      <c r="M745">
        <f>IFERROR(_xlfn.XLOOKUP(A745,Fleet!A:A,Fleet!E:E,""),"")</f>
        <v>28</v>
      </c>
      <c r="N745" t="s">
        <v>22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1013</v>
      </c>
      <c r="B746" t="s">
        <v>1014</v>
      </c>
      <c r="C746" t="s">
        <v>1014</v>
      </c>
      <c r="D746">
        <v>19.45</v>
      </c>
      <c r="E746" t="s">
        <v>3088</v>
      </c>
      <c r="F746" s="186" t="s">
        <v>992</v>
      </c>
      <c r="H746" t="b">
        <v>1</v>
      </c>
      <c r="I746">
        <v>19.450000000000003</v>
      </c>
      <c r="J746" s="186" t="s">
        <v>944</v>
      </c>
      <c r="M746">
        <f>IFERROR(_xlfn.XLOOKUP(A746,Fleet!A:A,Fleet!E:E,""),"")</f>
        <v>38</v>
      </c>
      <c r="N746" t="s">
        <v>22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1015</v>
      </c>
      <c r="B747" t="s">
        <v>1016</v>
      </c>
      <c r="C747" t="s">
        <v>1016</v>
      </c>
      <c r="D747">
        <v>22.15</v>
      </c>
      <c r="E747" t="s">
        <v>3088</v>
      </c>
      <c r="F747" s="186" t="s">
        <v>992</v>
      </c>
      <c r="H747" t="b">
        <v>1</v>
      </c>
      <c r="I747">
        <v>22.150000000000002</v>
      </c>
      <c r="J747" s="186" t="s">
        <v>944</v>
      </c>
      <c r="M747">
        <f>IFERROR(_xlfn.XLOOKUP(A747,Fleet!A:A,Fleet!E:E,""),"")</f>
        <v>1</v>
      </c>
      <c r="N747" t="s">
        <v>22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1007</v>
      </c>
      <c r="B748" t="s">
        <v>950</v>
      </c>
      <c r="C748" t="s">
        <v>950</v>
      </c>
      <c r="D748">
        <v>15.35</v>
      </c>
      <c r="E748" t="s">
        <v>3088</v>
      </c>
      <c r="F748" s="186" t="s">
        <v>945</v>
      </c>
      <c r="H748" t="b">
        <v>1</v>
      </c>
      <c r="I748">
        <v>15.350000000000001</v>
      </c>
      <c r="J748" s="186" t="s">
        <v>944</v>
      </c>
      <c r="M748">
        <f>IFERROR(_xlfn.XLOOKUP(A748,Fleet!A:A,Fleet!E:E,""),"")</f>
        <v>8</v>
      </c>
      <c r="N748" t="s">
        <v>22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1018</v>
      </c>
      <c r="B749" t="s">
        <v>1019</v>
      </c>
      <c r="C749" t="s">
        <v>1019</v>
      </c>
      <c r="D749">
        <v>15.35</v>
      </c>
      <c r="E749" t="s">
        <v>3088</v>
      </c>
      <c r="F749" s="186" t="s">
        <v>945</v>
      </c>
      <c r="H749" t="b">
        <v>1</v>
      </c>
      <c r="I749">
        <v>15.350000000000001</v>
      </c>
      <c r="J749" s="186" t="s">
        <v>944</v>
      </c>
      <c r="M749">
        <f>IFERROR(_xlfn.XLOOKUP(A749,Fleet!A:A,Fleet!E:E,""),"")</f>
        <v>8</v>
      </c>
      <c r="N749" t="s">
        <v>22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1055</v>
      </c>
      <c r="B750" t="s">
        <v>1056</v>
      </c>
      <c r="C750" t="s">
        <v>1056</v>
      </c>
      <c r="D750">
        <v>54.3</v>
      </c>
      <c r="E750" t="s">
        <v>3088</v>
      </c>
      <c r="F750" s="186" t="s">
        <v>969</v>
      </c>
      <c r="H750" t="b">
        <v>1</v>
      </c>
      <c r="I750">
        <v>54.300000000000004</v>
      </c>
      <c r="J750" s="186" t="s">
        <v>944</v>
      </c>
      <c r="M750">
        <f>IFERROR(_xlfn.XLOOKUP(A750,Fleet!A:A,Fleet!E:E,""),"")</f>
        <v>8</v>
      </c>
      <c r="N750" t="s">
        <v>22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1053</v>
      </c>
      <c r="B751" t="s">
        <v>1054</v>
      </c>
      <c r="C751" t="s">
        <v>1054</v>
      </c>
      <c r="D751">
        <v>67.5</v>
      </c>
      <c r="E751" t="s">
        <v>3088</v>
      </c>
      <c r="F751" s="186" t="s">
        <v>969</v>
      </c>
      <c r="H751" t="b">
        <v>1</v>
      </c>
      <c r="I751">
        <v>67.5</v>
      </c>
      <c r="J751" s="186" t="s">
        <v>944</v>
      </c>
      <c r="M751">
        <f>IFERROR(_xlfn.XLOOKUP(A751,Fleet!A:A,Fleet!E:E,""),"")</f>
        <v>33</v>
      </c>
      <c r="N751" t="s">
        <v>22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1069</v>
      </c>
      <c r="B752" t="s">
        <v>1070</v>
      </c>
      <c r="C752" t="s">
        <v>1070</v>
      </c>
      <c r="D752">
        <v>61.1</v>
      </c>
      <c r="E752" t="s">
        <v>3088</v>
      </c>
      <c r="F752" s="186" t="s">
        <v>969</v>
      </c>
      <c r="H752" t="b">
        <v>1</v>
      </c>
      <c r="I752">
        <v>61.1</v>
      </c>
      <c r="J752" s="186" t="s">
        <v>944</v>
      </c>
      <c r="M752">
        <f>IFERROR(_xlfn.XLOOKUP(A752,Fleet!A:A,Fleet!E:E,""),"")</f>
        <v>5</v>
      </c>
      <c r="N752" t="s">
        <v>22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1023</v>
      </c>
      <c r="B753" t="s">
        <v>1024</v>
      </c>
      <c r="C753" t="s">
        <v>1024</v>
      </c>
      <c r="D753">
        <v>47.5</v>
      </c>
      <c r="E753" t="s">
        <v>3088</v>
      </c>
      <c r="F753" s="186" t="s">
        <v>969</v>
      </c>
      <c r="H753" t="b">
        <v>1</v>
      </c>
      <c r="I753">
        <v>47.5</v>
      </c>
      <c r="J753" s="186" t="s">
        <v>944</v>
      </c>
      <c r="M753">
        <f>IFERROR(_xlfn.XLOOKUP(A753,Fleet!A:A,Fleet!E:E,""),"")</f>
        <v>301</v>
      </c>
      <c r="N753" t="s">
        <v>22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1027</v>
      </c>
      <c r="B754" t="s">
        <v>1028</v>
      </c>
      <c r="C754" t="s">
        <v>1028</v>
      </c>
      <c r="D754">
        <v>25.35</v>
      </c>
      <c r="E754" t="s">
        <v>3088</v>
      </c>
      <c r="F754" s="186" t="s">
        <v>969</v>
      </c>
      <c r="H754" t="b">
        <v>1</v>
      </c>
      <c r="I754">
        <v>25.35</v>
      </c>
      <c r="J754" s="186" t="s">
        <v>944</v>
      </c>
      <c r="M754">
        <f>IFERROR(_xlfn.XLOOKUP(A754,Fleet!A:A,Fleet!E:E,""),"")</f>
        <v>2</v>
      </c>
      <c r="N754" t="s">
        <v>22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1046</v>
      </c>
      <c r="B755" t="s">
        <v>1047</v>
      </c>
      <c r="C755" t="s">
        <v>1047</v>
      </c>
      <c r="D755">
        <v>149.30000000000001</v>
      </c>
      <c r="E755" t="s">
        <v>3088</v>
      </c>
      <c r="F755" s="186" t="s">
        <v>969</v>
      </c>
      <c r="H755" t="b">
        <v>1</v>
      </c>
      <c r="I755">
        <v>149.30000000000001</v>
      </c>
      <c r="J755" s="186" t="s">
        <v>944</v>
      </c>
      <c r="M755">
        <f>IFERROR(_xlfn.XLOOKUP(A755,Fleet!A:A,Fleet!E:E,""),"")</f>
        <v>37</v>
      </c>
      <c r="N755" t="s">
        <v>22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1048</v>
      </c>
      <c r="B756" t="s">
        <v>1049</v>
      </c>
      <c r="C756" t="s">
        <v>1049</v>
      </c>
      <c r="D756">
        <v>130.05000000000001</v>
      </c>
      <c r="E756" t="s">
        <v>3088</v>
      </c>
      <c r="F756" s="186" t="s">
        <v>969</v>
      </c>
      <c r="H756" t="b">
        <v>1</v>
      </c>
      <c r="I756">
        <v>130.05000000000001</v>
      </c>
      <c r="J756" s="186" t="s">
        <v>944</v>
      </c>
      <c r="M756">
        <f>IFERROR(_xlfn.XLOOKUP(A756,Fleet!A:A,Fleet!E:E,""),"")</f>
        <v>8</v>
      </c>
      <c r="N756" t="s">
        <v>22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1044</v>
      </c>
      <c r="B757" t="s">
        <v>1045</v>
      </c>
      <c r="C757" t="s">
        <v>1045</v>
      </c>
      <c r="D757">
        <v>107.35</v>
      </c>
      <c r="E757" t="s">
        <v>3088</v>
      </c>
      <c r="F757" s="186" t="s">
        <v>969</v>
      </c>
      <c r="H757" t="b">
        <v>1</v>
      </c>
      <c r="I757">
        <v>107.35000000000001</v>
      </c>
      <c r="J757" s="186" t="s">
        <v>944</v>
      </c>
      <c r="M757">
        <f>IFERROR(_xlfn.XLOOKUP(A757,Fleet!A:A,Fleet!E:E,""),"")</f>
        <v>25</v>
      </c>
      <c r="N757" t="s">
        <v>22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1067</v>
      </c>
      <c r="B758" t="s">
        <v>1068</v>
      </c>
      <c r="C758" t="s">
        <v>1068</v>
      </c>
      <c r="D758">
        <v>20.65</v>
      </c>
      <c r="E758" t="s">
        <v>3088</v>
      </c>
      <c r="F758" s="186" t="s">
        <v>969</v>
      </c>
      <c r="H758" t="b">
        <v>1</v>
      </c>
      <c r="I758">
        <v>20.650000000000002</v>
      </c>
      <c r="J758" s="186" t="s">
        <v>944</v>
      </c>
      <c r="M758">
        <f>IFERROR(_xlfn.XLOOKUP(A758,Fleet!A:A,Fleet!E:E,""),"")</f>
        <v>1</v>
      </c>
      <c r="N758" t="s">
        <v>22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1073</v>
      </c>
      <c r="B759" t="s">
        <v>1074</v>
      </c>
      <c r="C759" t="s">
        <v>1074</v>
      </c>
      <c r="D759">
        <v>92.9</v>
      </c>
      <c r="E759" t="s">
        <v>3088</v>
      </c>
      <c r="F759" s="186" t="s">
        <v>969</v>
      </c>
      <c r="H759" t="b">
        <v>1</v>
      </c>
      <c r="I759">
        <v>92.9</v>
      </c>
      <c r="J759" s="186" t="s">
        <v>944</v>
      </c>
      <c r="M759">
        <f>IFERROR(_xlfn.XLOOKUP(A759,Fleet!A:A,Fleet!E:E,""),"")</f>
        <v>27</v>
      </c>
      <c r="N759" t="s">
        <v>22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1063</v>
      </c>
      <c r="B760" t="s">
        <v>1064</v>
      </c>
      <c r="C760" t="s">
        <v>1064</v>
      </c>
      <c r="D760">
        <v>80.8</v>
      </c>
      <c r="E760" t="s">
        <v>3088</v>
      </c>
      <c r="F760" s="186" t="s">
        <v>969</v>
      </c>
      <c r="H760" t="b">
        <v>1</v>
      </c>
      <c r="I760">
        <v>80.800000000000011</v>
      </c>
      <c r="J760" s="186" t="s">
        <v>944</v>
      </c>
      <c r="M760">
        <f>IFERROR(_xlfn.XLOOKUP(A760,Fleet!A:A,Fleet!E:E,""),"")</f>
        <v>3</v>
      </c>
      <c r="N760" t="s">
        <v>22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1041</v>
      </c>
      <c r="B761" t="s">
        <v>3090</v>
      </c>
      <c r="C761" t="s">
        <v>1042</v>
      </c>
      <c r="D761">
        <v>122.1</v>
      </c>
      <c r="E761" t="s">
        <v>3088</v>
      </c>
      <c r="F761" s="186" t="s">
        <v>969</v>
      </c>
      <c r="H761" t="b">
        <v>1</v>
      </c>
      <c r="I761">
        <v>122.10000000000001</v>
      </c>
      <c r="J761" s="186" t="s">
        <v>944</v>
      </c>
      <c r="M761">
        <f>IFERROR(_xlfn.XLOOKUP(A761,Fleet!A:A,Fleet!E:E,""),"")</f>
        <v>19</v>
      </c>
      <c r="N761" t="s">
        <v>22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1091</v>
      </c>
      <c r="B762" t="s">
        <v>1092</v>
      </c>
      <c r="C762" t="s">
        <v>1092</v>
      </c>
      <c r="D762">
        <v>25.35</v>
      </c>
      <c r="E762" t="s">
        <v>3088</v>
      </c>
      <c r="F762" s="186" t="s">
        <v>969</v>
      </c>
      <c r="H762" t="b">
        <v>1</v>
      </c>
      <c r="I762">
        <v>25.35</v>
      </c>
      <c r="J762" s="186" t="s">
        <v>944</v>
      </c>
      <c r="M762">
        <f>IFERROR(_xlfn.XLOOKUP(A762,Fleet!A:A,Fleet!E:E,""),"")</f>
        <v>1</v>
      </c>
      <c r="N762" t="s">
        <v>22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1082</v>
      </c>
      <c r="B763" t="s">
        <v>1083</v>
      </c>
      <c r="C763" t="s">
        <v>1083</v>
      </c>
      <c r="D763">
        <v>55.45</v>
      </c>
      <c r="E763" t="s">
        <v>3088</v>
      </c>
      <c r="F763" s="186" t="s">
        <v>969</v>
      </c>
      <c r="H763" t="b">
        <v>1</v>
      </c>
      <c r="I763">
        <v>55.45</v>
      </c>
      <c r="J763" s="186" t="s">
        <v>944</v>
      </c>
      <c r="M763">
        <f>IFERROR(_xlfn.XLOOKUP(A763,Fleet!A:A,Fleet!E:E,""),"")</f>
        <v>1</v>
      </c>
      <c r="N763" t="s">
        <v>22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1088</v>
      </c>
      <c r="B764" t="s">
        <v>1089</v>
      </c>
      <c r="C764" t="s">
        <v>1089</v>
      </c>
      <c r="D764">
        <v>54.3</v>
      </c>
      <c r="E764" t="s">
        <v>3088</v>
      </c>
      <c r="F764" s="186" t="s">
        <v>969</v>
      </c>
      <c r="H764" t="b">
        <v>1</v>
      </c>
      <c r="I764">
        <v>54.300000000000004</v>
      </c>
      <c r="J764" s="186" t="s">
        <v>944</v>
      </c>
      <c r="M764">
        <f>IFERROR(_xlfn.XLOOKUP(A764,Fleet!A:A,Fleet!E:E,""),"")</f>
        <v>2</v>
      </c>
      <c r="N764" t="s">
        <v>22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1060</v>
      </c>
      <c r="B765" t="s">
        <v>1061</v>
      </c>
      <c r="C765" t="s">
        <v>1061</v>
      </c>
      <c r="D765">
        <v>26.5</v>
      </c>
      <c r="E765" t="s">
        <v>3088</v>
      </c>
      <c r="F765" s="186" t="s">
        <v>969</v>
      </c>
      <c r="H765" t="b">
        <v>1</v>
      </c>
      <c r="I765">
        <v>26.5</v>
      </c>
      <c r="J765" s="186" t="s">
        <v>944</v>
      </c>
      <c r="M765">
        <f>IFERROR(_xlfn.XLOOKUP(A765,Fleet!A:A,Fleet!E:E,""),"")</f>
        <v>3</v>
      </c>
      <c r="N765" t="s">
        <v>22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1034</v>
      </c>
      <c r="B766" t="s">
        <v>1035</v>
      </c>
      <c r="C766" t="s">
        <v>1035</v>
      </c>
      <c r="D766">
        <v>76.349999999999994</v>
      </c>
      <c r="E766" t="s">
        <v>3088</v>
      </c>
      <c r="F766" s="186" t="s">
        <v>969</v>
      </c>
      <c r="H766" t="b">
        <v>1</v>
      </c>
      <c r="I766">
        <v>76.350000000000009</v>
      </c>
      <c r="J766" s="186" t="s">
        <v>944</v>
      </c>
      <c r="M766">
        <f>IFERROR(_xlfn.XLOOKUP(A766,Fleet!A:A,Fleet!E:E,""),"")</f>
        <v>10</v>
      </c>
      <c r="N766" t="s">
        <v>22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1079</v>
      </c>
      <c r="B767" t="s">
        <v>1080</v>
      </c>
      <c r="C767" t="s">
        <v>1080</v>
      </c>
      <c r="D767">
        <v>84.9</v>
      </c>
      <c r="E767" t="s">
        <v>3088</v>
      </c>
      <c r="F767" s="186" t="s">
        <v>969</v>
      </c>
      <c r="H767" t="b">
        <v>1</v>
      </c>
      <c r="I767">
        <v>84.9</v>
      </c>
      <c r="J767" s="186" t="s">
        <v>944</v>
      </c>
      <c r="M767">
        <f>IFERROR(_xlfn.XLOOKUP(A767,Fleet!A:A,Fleet!E:E,""),"")</f>
        <v>5</v>
      </c>
      <c r="N767" t="s">
        <v>22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1076</v>
      </c>
      <c r="B768" t="s">
        <v>1077</v>
      </c>
      <c r="C768" t="s">
        <v>1077</v>
      </c>
      <c r="D768">
        <v>58.4</v>
      </c>
      <c r="E768" t="s">
        <v>3088</v>
      </c>
      <c r="F768" s="186" t="s">
        <v>969</v>
      </c>
      <c r="H768" t="b">
        <v>1</v>
      </c>
      <c r="I768">
        <v>58.400000000000006</v>
      </c>
      <c r="J768" s="186" t="s">
        <v>944</v>
      </c>
      <c r="M768">
        <f>IFERROR(_xlfn.XLOOKUP(A768,Fleet!A:A,Fleet!E:E,""),"")</f>
        <v>2</v>
      </c>
      <c r="N768" t="s">
        <v>22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1085</v>
      </c>
      <c r="B769" t="s">
        <v>1086</v>
      </c>
      <c r="C769" t="s">
        <v>1086</v>
      </c>
      <c r="D769">
        <v>69.3</v>
      </c>
      <c r="E769" t="s">
        <v>3088</v>
      </c>
      <c r="F769" s="186" t="s">
        <v>969</v>
      </c>
      <c r="H769" t="b">
        <v>1</v>
      </c>
      <c r="I769">
        <v>69.3</v>
      </c>
      <c r="J769" s="186" t="s">
        <v>944</v>
      </c>
      <c r="M769">
        <f>IFERROR(_xlfn.XLOOKUP(A769,Fleet!A:A,Fleet!E:E,""),"")</f>
        <v>1</v>
      </c>
      <c r="N769" t="s">
        <v>22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1030</v>
      </c>
      <c r="B770" t="s">
        <v>1031</v>
      </c>
      <c r="C770" t="s">
        <v>1031</v>
      </c>
      <c r="D770">
        <v>65.099999999999994</v>
      </c>
      <c r="E770" t="s">
        <v>3088</v>
      </c>
      <c r="F770" s="186" t="s">
        <v>969</v>
      </c>
      <c r="H770" t="b">
        <v>1</v>
      </c>
      <c r="I770">
        <v>65.100000000000009</v>
      </c>
      <c r="J770" s="186" t="s">
        <v>944</v>
      </c>
      <c r="M770">
        <f>IFERROR(_xlfn.XLOOKUP(A770,Fleet!A:A,Fleet!E:E,""),"")</f>
        <v>26</v>
      </c>
      <c r="N770" t="s">
        <v>22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1065</v>
      </c>
      <c r="B771" t="s">
        <v>1066</v>
      </c>
      <c r="C771" t="s">
        <v>1066</v>
      </c>
      <c r="D771">
        <v>107.35</v>
      </c>
      <c r="E771" t="s">
        <v>3088</v>
      </c>
      <c r="F771" s="186" t="s">
        <v>969</v>
      </c>
      <c r="H771" t="b">
        <v>1</v>
      </c>
      <c r="I771">
        <v>107.35000000000001</v>
      </c>
      <c r="J771" s="186" t="s">
        <v>944</v>
      </c>
      <c r="M771">
        <f>IFERROR(_xlfn.XLOOKUP(A771,Fleet!A:A,Fleet!E:E,""),"")</f>
        <v>3</v>
      </c>
      <c r="N771" t="s">
        <v>22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990</v>
      </c>
      <c r="B772" t="s">
        <v>991</v>
      </c>
      <c r="C772" t="s">
        <v>991</v>
      </c>
      <c r="D772">
        <v>41.25</v>
      </c>
      <c r="E772" t="s">
        <v>3088</v>
      </c>
      <c r="F772" s="186" t="s">
        <v>992</v>
      </c>
      <c r="H772" t="b">
        <v>1</v>
      </c>
      <c r="I772" t="s">
        <v>22</v>
      </c>
      <c r="J772" s="186" t="s">
        <v>944</v>
      </c>
      <c r="M772">
        <f>IFERROR(_xlfn.XLOOKUP(A772,Fleet!A:A,Fleet!E:E,""),"")</f>
        <v>11</v>
      </c>
      <c r="N772" t="s">
        <v>22</v>
      </c>
      <c r="P772" t="str">
        <f>_xlfn.XLOOKUP(A772,'Classic Net to delete'!D:D,'Classic Net to delete'!A:A,"")</f>
        <v/>
      </c>
    </row>
    <row r="773" spans="1:16" x14ac:dyDescent="0.25">
      <c r="A773" t="s">
        <v>1000</v>
      </c>
      <c r="B773" t="s">
        <v>1001</v>
      </c>
      <c r="C773" t="s">
        <v>1001</v>
      </c>
      <c r="D773">
        <v>34.200000000000003</v>
      </c>
      <c r="E773" t="s">
        <v>3088</v>
      </c>
      <c r="F773" s="186" t="s">
        <v>992</v>
      </c>
      <c r="H773" t="b">
        <v>1</v>
      </c>
      <c r="I773">
        <v>34.200000000000003</v>
      </c>
      <c r="J773" s="186" t="s">
        <v>944</v>
      </c>
      <c r="M773">
        <f>IFERROR(_xlfn.XLOOKUP(A773,Fleet!A:A,Fleet!E:E,""),"")</f>
        <v>4</v>
      </c>
      <c r="N773" t="s">
        <v>22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1050</v>
      </c>
      <c r="B774" t="s">
        <v>1051</v>
      </c>
      <c r="C774" t="s">
        <v>1051</v>
      </c>
      <c r="D774">
        <v>176.6</v>
      </c>
      <c r="E774" t="s">
        <v>3088</v>
      </c>
      <c r="F774" s="186" t="s">
        <v>969</v>
      </c>
      <c r="H774" t="b">
        <v>1</v>
      </c>
      <c r="I774">
        <v>176.60000000000002</v>
      </c>
      <c r="J774" s="186" t="s">
        <v>944</v>
      </c>
      <c r="M774">
        <f>IFERROR(_xlfn.XLOOKUP(A774,Fleet!A:A,Fleet!E:E,""),"")</f>
        <v>6</v>
      </c>
      <c r="N774" t="s">
        <v>22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1039</v>
      </c>
      <c r="B775" t="s">
        <v>1040</v>
      </c>
      <c r="C775" t="s">
        <v>1040</v>
      </c>
      <c r="D775">
        <v>121.2</v>
      </c>
      <c r="E775" t="s">
        <v>3088</v>
      </c>
      <c r="F775" s="186" t="s">
        <v>969</v>
      </c>
      <c r="H775" t="b">
        <v>1</v>
      </c>
      <c r="I775">
        <v>121.2</v>
      </c>
      <c r="J775" s="186" t="s">
        <v>944</v>
      </c>
      <c r="M775">
        <f>IFERROR(_xlfn.XLOOKUP(A775,Fleet!A:A,Fleet!E:E,""),"")</f>
        <v>26</v>
      </c>
      <c r="N775" t="s">
        <v>22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946</v>
      </c>
      <c r="B776" t="s">
        <v>3957</v>
      </c>
      <c r="C776" t="s">
        <v>947</v>
      </c>
      <c r="D776">
        <v>14.45</v>
      </c>
      <c r="E776" t="s">
        <v>3088</v>
      </c>
      <c r="F776" s="186" t="s">
        <v>945</v>
      </c>
      <c r="H776" t="b">
        <v>1</v>
      </c>
      <c r="I776" t="s">
        <v>22</v>
      </c>
      <c r="J776" s="186" t="s">
        <v>944</v>
      </c>
      <c r="M776">
        <f>IFERROR(_xlfn.XLOOKUP(A776,Fleet!A:A,Fleet!E:E,""),"")</f>
        <v>7</v>
      </c>
      <c r="N776" t="s">
        <v>22</v>
      </c>
      <c r="P776" t="str">
        <f>_xlfn.XLOOKUP(A776,'Classic Net to delete'!D:D,'Classic Net to delete'!A:A,"")</f>
        <v/>
      </c>
    </row>
    <row r="777" spans="1:16" x14ac:dyDescent="0.25">
      <c r="A777" t="s">
        <v>1032</v>
      </c>
      <c r="B777" t="s">
        <v>3089</v>
      </c>
      <c r="C777" t="s">
        <v>1033</v>
      </c>
      <c r="D777">
        <v>116.8</v>
      </c>
      <c r="E777" t="s">
        <v>3088</v>
      </c>
      <c r="F777" s="186" t="s">
        <v>969</v>
      </c>
      <c r="H777" t="b">
        <v>1</v>
      </c>
      <c r="I777">
        <v>116.80000000000001</v>
      </c>
      <c r="J777" s="186" t="s">
        <v>944</v>
      </c>
      <c r="M777">
        <f>IFERROR(_xlfn.XLOOKUP(A777,Fleet!A:A,Fleet!E:E,""),"")</f>
        <v>9</v>
      </c>
      <c r="N777" t="s">
        <v>22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993</v>
      </c>
      <c r="B778" t="s">
        <v>994</v>
      </c>
      <c r="C778" t="s">
        <v>994</v>
      </c>
      <c r="D778">
        <v>34.200000000000003</v>
      </c>
      <c r="E778" t="s">
        <v>3088</v>
      </c>
      <c r="F778" s="186" t="s">
        <v>992</v>
      </c>
      <c r="H778" t="b">
        <v>1</v>
      </c>
      <c r="I778" t="s">
        <v>22</v>
      </c>
      <c r="J778" s="186" t="s">
        <v>944</v>
      </c>
      <c r="M778">
        <f>IFERROR(_xlfn.XLOOKUP(A778,Fleet!A:A,Fleet!E:E,""),"")</f>
        <v>4</v>
      </c>
      <c r="N778" t="s">
        <v>22</v>
      </c>
      <c r="P778" t="str">
        <f>_xlfn.XLOOKUP(A778,'Classic Net to delete'!D:D,'Classic Net to delete'!A:A,"")</f>
        <v/>
      </c>
    </row>
    <row r="779" spans="1:16" x14ac:dyDescent="0.25">
      <c r="A779" t="s">
        <v>942</v>
      </c>
      <c r="B779" t="s">
        <v>943</v>
      </c>
      <c r="C779" t="s">
        <v>943</v>
      </c>
      <c r="D779">
        <v>25.7</v>
      </c>
      <c r="E779" t="s">
        <v>3088</v>
      </c>
      <c r="F779" s="186" t="s">
        <v>945</v>
      </c>
      <c r="H779" t="b">
        <v>1</v>
      </c>
      <c r="I779" t="s">
        <v>22</v>
      </c>
      <c r="J779" s="186" t="s">
        <v>944</v>
      </c>
      <c r="M779">
        <f>IFERROR(_xlfn.XLOOKUP(A779,Fleet!A:A,Fleet!E:E,""),"")</f>
        <v>8</v>
      </c>
      <c r="N779" t="s">
        <v>22</v>
      </c>
      <c r="P779" t="str">
        <f>_xlfn.XLOOKUP(A779,'Classic Net to delete'!D:D,'Classic Net to delete'!A:A,"")</f>
        <v/>
      </c>
    </row>
    <row r="780" spans="1:16" x14ac:dyDescent="0.25">
      <c r="A780" t="s">
        <v>1163</v>
      </c>
      <c r="B780" t="s">
        <v>1164</v>
      </c>
      <c r="C780" t="s">
        <v>1164</v>
      </c>
      <c r="D780">
        <v>30.4</v>
      </c>
      <c r="E780" t="s">
        <v>3088</v>
      </c>
      <c r="F780" s="186" t="s">
        <v>969</v>
      </c>
      <c r="H780" t="b">
        <v>1</v>
      </c>
      <c r="I780">
        <v>30.400000000000002</v>
      </c>
      <c r="J780" s="186" t="s">
        <v>944</v>
      </c>
      <c r="M780">
        <f>IFERROR(_xlfn.XLOOKUP(A780,Fleet!A:A,Fleet!E:E,""),"")</f>
        <v>14</v>
      </c>
      <c r="N780" t="s">
        <v>22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1037</v>
      </c>
      <c r="B781" t="s">
        <v>1038</v>
      </c>
      <c r="C781" t="s">
        <v>1038</v>
      </c>
      <c r="D781">
        <v>142.1</v>
      </c>
      <c r="E781" t="s">
        <v>3088</v>
      </c>
      <c r="F781" s="186" t="s">
        <v>969</v>
      </c>
      <c r="H781" t="b">
        <v>1</v>
      </c>
      <c r="I781">
        <v>142.1</v>
      </c>
      <c r="J781" s="186" t="s">
        <v>944</v>
      </c>
      <c r="M781">
        <f>IFERROR(_xlfn.XLOOKUP(A781,Fleet!A:A,Fleet!E:E,""),"")</f>
        <v>8</v>
      </c>
      <c r="N781" t="s">
        <v>22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978</v>
      </c>
      <c r="B782" t="s">
        <v>979</v>
      </c>
      <c r="C782" t="s">
        <v>979</v>
      </c>
      <c r="D782">
        <v>191.65</v>
      </c>
      <c r="E782" t="s">
        <v>3088</v>
      </c>
      <c r="F782" s="186" t="s">
        <v>969</v>
      </c>
      <c r="H782" t="b">
        <v>1</v>
      </c>
      <c r="I782" t="s">
        <v>22</v>
      </c>
      <c r="J782" s="186" t="s">
        <v>944</v>
      </c>
      <c r="M782">
        <f>IFERROR(_xlfn.XLOOKUP(A782,Fleet!A:A,Fleet!E:E,""),"")</f>
        <v>6</v>
      </c>
      <c r="N782" t="s">
        <v>22</v>
      </c>
      <c r="P782" t="str">
        <f>_xlfn.XLOOKUP(A782,'Classic Net to delete'!D:D,'Classic Net to delete'!A:A,"")</f>
        <v/>
      </c>
    </row>
    <row r="783" spans="1:16" x14ac:dyDescent="0.25">
      <c r="A783" t="s">
        <v>1021</v>
      </c>
      <c r="B783" t="s">
        <v>1022</v>
      </c>
      <c r="C783" t="s">
        <v>1022</v>
      </c>
      <c r="D783">
        <v>66.5</v>
      </c>
      <c r="E783" t="s">
        <v>3088</v>
      </c>
      <c r="F783" s="186" t="s">
        <v>992</v>
      </c>
      <c r="H783" t="b">
        <v>1</v>
      </c>
      <c r="I783">
        <v>66.5</v>
      </c>
      <c r="J783" s="186" t="s">
        <v>944</v>
      </c>
      <c r="M783">
        <f>IFERROR(_xlfn.XLOOKUP(A783,Fleet!A:A,Fleet!E:E,""),"")</f>
        <v>9</v>
      </c>
      <c r="N783" t="s">
        <v>22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970</v>
      </c>
      <c r="B784" t="s">
        <v>971</v>
      </c>
      <c r="C784" t="s">
        <v>971</v>
      </c>
      <c r="D784">
        <v>64.849999999999994</v>
      </c>
      <c r="E784" t="s">
        <v>3088</v>
      </c>
      <c r="F784" s="186" t="s">
        <v>969</v>
      </c>
      <c r="H784" t="b">
        <v>1</v>
      </c>
      <c r="I784" t="s">
        <v>22</v>
      </c>
      <c r="J784" s="186" t="s">
        <v>944</v>
      </c>
      <c r="M784">
        <f>IFERROR(_xlfn.XLOOKUP(A784,Fleet!A:A,Fleet!E:E,""),"")</f>
        <v>2</v>
      </c>
      <c r="N784" t="s">
        <v>22</v>
      </c>
      <c r="P784" t="str">
        <f>_xlfn.XLOOKUP(A784,'Classic Net to delete'!D:D,'Classic Net to delete'!A:A,"")</f>
        <v/>
      </c>
    </row>
    <row r="785" spans="1:16" x14ac:dyDescent="0.25">
      <c r="A785" t="s">
        <v>1134</v>
      </c>
      <c r="B785" t="s">
        <v>1135</v>
      </c>
      <c r="C785" t="s">
        <v>1135</v>
      </c>
      <c r="D785">
        <v>66.75</v>
      </c>
      <c r="E785" t="s">
        <v>3088</v>
      </c>
      <c r="F785" s="186" t="s">
        <v>969</v>
      </c>
      <c r="H785" t="b">
        <v>1</v>
      </c>
      <c r="I785">
        <v>66.75</v>
      </c>
      <c r="J785" s="186" t="s">
        <v>944</v>
      </c>
      <c r="M785">
        <f>IFERROR(_xlfn.XLOOKUP(A785,Fleet!A:A,Fleet!E:E,""),"")</f>
        <v>3</v>
      </c>
      <c r="N785" t="s">
        <v>22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1131</v>
      </c>
      <c r="B786" t="s">
        <v>1132</v>
      </c>
      <c r="C786" t="s">
        <v>1132</v>
      </c>
      <c r="D786">
        <v>165.7</v>
      </c>
      <c r="E786" t="s">
        <v>3088</v>
      </c>
      <c r="F786" s="186" t="s">
        <v>969</v>
      </c>
      <c r="H786" t="b">
        <v>1</v>
      </c>
      <c r="I786">
        <v>165.70000000000002</v>
      </c>
      <c r="J786" s="186" t="s">
        <v>944</v>
      </c>
      <c r="M786">
        <f>IFERROR(_xlfn.XLOOKUP(A786,Fleet!A:A,Fleet!E:E,""),"")</f>
        <v>17</v>
      </c>
      <c r="N786" t="s">
        <v>22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1139</v>
      </c>
      <c r="B787" t="s">
        <v>1140</v>
      </c>
      <c r="C787" t="s">
        <v>1140</v>
      </c>
      <c r="D787">
        <v>163.5</v>
      </c>
      <c r="E787" t="s">
        <v>3088</v>
      </c>
      <c r="F787" s="186" t="s">
        <v>969</v>
      </c>
      <c r="H787" t="b">
        <v>1</v>
      </c>
      <c r="I787">
        <v>163.5</v>
      </c>
      <c r="J787" s="186" t="s">
        <v>944</v>
      </c>
      <c r="M787">
        <f>IFERROR(_xlfn.XLOOKUP(A787,Fleet!A:A,Fleet!E:E,""),"")</f>
        <v>36</v>
      </c>
      <c r="N787" t="s">
        <v>22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1141</v>
      </c>
      <c r="B788" t="s">
        <v>1142</v>
      </c>
      <c r="C788" t="s">
        <v>1142</v>
      </c>
      <c r="D788">
        <v>180.15</v>
      </c>
      <c r="E788" t="s">
        <v>3088</v>
      </c>
      <c r="F788" s="186" t="s">
        <v>969</v>
      </c>
      <c r="H788" t="b">
        <v>1</v>
      </c>
      <c r="I788">
        <v>180.15</v>
      </c>
      <c r="J788" s="186" t="s">
        <v>944</v>
      </c>
      <c r="M788">
        <f>IFERROR(_xlfn.XLOOKUP(A788,Fleet!A:A,Fleet!E:E,""),"")</f>
        <v>21</v>
      </c>
      <c r="N788" t="s">
        <v>22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948</v>
      </c>
      <c r="B789" t="s">
        <v>949</v>
      </c>
      <c r="C789" t="s">
        <v>949</v>
      </c>
      <c r="D789">
        <v>15.35</v>
      </c>
      <c r="E789" t="s">
        <v>3088</v>
      </c>
      <c r="F789" s="186" t="s">
        <v>945</v>
      </c>
      <c r="H789" t="b">
        <v>1</v>
      </c>
      <c r="I789" t="s">
        <v>22</v>
      </c>
      <c r="J789" s="186" t="s">
        <v>944</v>
      </c>
      <c r="M789">
        <f>IFERROR(_xlfn.XLOOKUP(A789,Fleet!A:A,Fleet!E:E,""),"")</f>
        <v>8</v>
      </c>
      <c r="N789" t="s">
        <v>22</v>
      </c>
      <c r="P789" t="str">
        <f>_xlfn.XLOOKUP(A789,'Classic Net to delete'!D:D,'Classic Net to delete'!A:A,"")</f>
        <v/>
      </c>
    </row>
    <row r="790" spans="1:16" x14ac:dyDescent="0.25">
      <c r="A790" t="s">
        <v>1011</v>
      </c>
      <c r="B790" t="s">
        <v>1012</v>
      </c>
      <c r="C790" t="s">
        <v>1012</v>
      </c>
      <c r="D790">
        <v>55.35</v>
      </c>
      <c r="E790" t="s">
        <v>3088</v>
      </c>
      <c r="F790" s="186" t="s">
        <v>992</v>
      </c>
      <c r="H790" t="b">
        <v>1</v>
      </c>
      <c r="I790">
        <v>55.35</v>
      </c>
      <c r="J790" s="186" t="s">
        <v>944</v>
      </c>
      <c r="M790">
        <f>IFERROR(_xlfn.XLOOKUP(A790,Fleet!A:A,Fleet!E:E,""),"")</f>
        <v>34</v>
      </c>
      <c r="N790" t="s">
        <v>22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984</v>
      </c>
      <c r="B791" t="s">
        <v>985</v>
      </c>
      <c r="C791" t="s">
        <v>985</v>
      </c>
      <c r="D791">
        <v>163.5</v>
      </c>
      <c r="E791" t="s">
        <v>3088</v>
      </c>
      <c r="F791" s="186" t="s">
        <v>969</v>
      </c>
      <c r="H791" t="b">
        <v>1</v>
      </c>
      <c r="I791" t="s">
        <v>22</v>
      </c>
      <c r="J791" s="186" t="s">
        <v>944</v>
      </c>
      <c r="M791">
        <f>IFERROR(_xlfn.XLOOKUP(A791,Fleet!A:A,Fleet!E:E,""),"")</f>
        <v>3</v>
      </c>
      <c r="N791" t="s">
        <v>22</v>
      </c>
      <c r="P791" t="str">
        <f>_xlfn.XLOOKUP(A791,'Classic Net to delete'!D:D,'Classic Net to delete'!A:A,"")</f>
        <v/>
      </c>
    </row>
    <row r="792" spans="1:16" x14ac:dyDescent="0.25">
      <c r="A792" t="s">
        <v>948</v>
      </c>
      <c r="B792" t="s">
        <v>949</v>
      </c>
      <c r="C792" t="s">
        <v>950</v>
      </c>
      <c r="D792">
        <v>15.35</v>
      </c>
      <c r="E792" t="s">
        <v>3088</v>
      </c>
      <c r="F792" s="186" t="s">
        <v>945</v>
      </c>
      <c r="H792" t="b">
        <v>1</v>
      </c>
      <c r="I792" t="s">
        <v>22</v>
      </c>
      <c r="J792" s="186" t="s">
        <v>944</v>
      </c>
      <c r="M792">
        <f>IFERROR(_xlfn.XLOOKUP(A792,Fleet!A:A,Fleet!E:E,""),"")</f>
        <v>8</v>
      </c>
      <c r="N792" t="s">
        <v>22</v>
      </c>
      <c r="P792" t="str">
        <f>_xlfn.XLOOKUP(A792,'Classic Net to delete'!D:D,'Classic Net to delete'!A:A,"")</f>
        <v/>
      </c>
    </row>
    <row r="793" spans="1:16" x14ac:dyDescent="0.25">
      <c r="A793" t="s">
        <v>974</v>
      </c>
      <c r="B793" t="s">
        <v>975</v>
      </c>
      <c r="C793" t="s">
        <v>975</v>
      </c>
      <c r="D793">
        <v>80</v>
      </c>
      <c r="E793" t="s">
        <v>3088</v>
      </c>
      <c r="F793" s="186" t="s">
        <v>969</v>
      </c>
      <c r="H793" t="b">
        <v>1</v>
      </c>
      <c r="I793" t="s">
        <v>22</v>
      </c>
      <c r="J793" s="186" t="s">
        <v>944</v>
      </c>
      <c r="M793" t="str">
        <f>IFERROR(_xlfn.XLOOKUP(A793,Fleet!A:A,Fleet!E:E,""),"")</f>
        <v/>
      </c>
      <c r="N793" t="s">
        <v>22</v>
      </c>
      <c r="P793" t="str">
        <f>_xlfn.XLOOKUP(A793,'Classic Net to delete'!D:D,'Classic Net to delete'!A:A,"")</f>
        <v/>
      </c>
    </row>
    <row r="794" spans="1:16" x14ac:dyDescent="0.25">
      <c r="A794" t="s">
        <v>982</v>
      </c>
      <c r="B794" t="s">
        <v>983</v>
      </c>
      <c r="C794" t="s">
        <v>983</v>
      </c>
      <c r="D794">
        <v>61.8</v>
      </c>
      <c r="E794" t="s">
        <v>3088</v>
      </c>
      <c r="F794" s="186" t="s">
        <v>969</v>
      </c>
      <c r="H794" t="b">
        <v>1</v>
      </c>
      <c r="I794" t="s">
        <v>22</v>
      </c>
      <c r="J794" s="186" t="s">
        <v>944</v>
      </c>
      <c r="M794">
        <f>IFERROR(_xlfn.XLOOKUP(A794,Fleet!A:A,Fleet!E:E,""),"")</f>
        <v>5</v>
      </c>
      <c r="N794" t="s">
        <v>22</v>
      </c>
      <c r="P794" t="str">
        <f>_xlfn.XLOOKUP(A794,'Classic Net to delete'!D:D,'Classic Net to delete'!A:A,"")</f>
        <v/>
      </c>
    </row>
    <row r="795" spans="1:16" x14ac:dyDescent="0.25">
      <c r="A795" t="s">
        <v>986</v>
      </c>
      <c r="B795" t="s">
        <v>987</v>
      </c>
      <c r="C795" t="s">
        <v>987</v>
      </c>
      <c r="D795">
        <v>51.5</v>
      </c>
      <c r="E795" t="s">
        <v>3088</v>
      </c>
      <c r="F795" s="186" t="s">
        <v>969</v>
      </c>
      <c r="H795" t="b">
        <v>1</v>
      </c>
      <c r="I795" t="s">
        <v>22</v>
      </c>
      <c r="J795" s="186" t="s">
        <v>944</v>
      </c>
      <c r="M795">
        <f>IFERROR(_xlfn.XLOOKUP(A795,Fleet!A:A,Fleet!E:E,""),"")</f>
        <v>3</v>
      </c>
      <c r="N795" t="s">
        <v>22</v>
      </c>
      <c r="P795" t="str">
        <f>_xlfn.XLOOKUP(A795,'Classic Net to delete'!D:D,'Classic Net to delete'!A:A,"")</f>
        <v/>
      </c>
    </row>
    <row r="796" spans="1:16" x14ac:dyDescent="0.25">
      <c r="A796" t="s">
        <v>951</v>
      </c>
      <c r="B796" t="s">
        <v>952</v>
      </c>
      <c r="C796" t="s">
        <v>952</v>
      </c>
      <c r="D796">
        <v>15.35</v>
      </c>
      <c r="E796" t="s">
        <v>3088</v>
      </c>
      <c r="F796" s="186" t="s">
        <v>945</v>
      </c>
      <c r="H796" t="b">
        <v>1</v>
      </c>
      <c r="I796" t="s">
        <v>22</v>
      </c>
      <c r="J796" s="186" t="s">
        <v>944</v>
      </c>
      <c r="M796">
        <f>IFERROR(_xlfn.XLOOKUP(A796,Fleet!A:A,Fleet!E:E,""),"")</f>
        <v>3</v>
      </c>
      <c r="N796" t="s">
        <v>22</v>
      </c>
      <c r="P796" t="str">
        <f>_xlfn.XLOOKUP(A796,'Classic Net to delete'!D:D,'Classic Net to delete'!A:A,"")</f>
        <v/>
      </c>
    </row>
    <row r="797" spans="1:16" x14ac:dyDescent="0.25">
      <c r="A797" t="s">
        <v>972</v>
      </c>
      <c r="B797" t="s">
        <v>973</v>
      </c>
      <c r="C797" t="s">
        <v>973</v>
      </c>
      <c r="D797">
        <v>80</v>
      </c>
      <c r="E797" t="s">
        <v>3088</v>
      </c>
      <c r="F797" s="186" t="s">
        <v>969</v>
      </c>
      <c r="H797" t="b">
        <v>1</v>
      </c>
      <c r="I797" t="s">
        <v>22</v>
      </c>
      <c r="J797" s="186" t="s">
        <v>944</v>
      </c>
      <c r="M797">
        <f>IFERROR(_xlfn.XLOOKUP(A797,Fleet!A:A,Fleet!E:E,""),"")</f>
        <v>0</v>
      </c>
      <c r="N797" t="s">
        <v>22</v>
      </c>
      <c r="P797" t="str">
        <f>_xlfn.XLOOKUP(A797,'Classic Net to delete'!D:D,'Classic Net to delete'!A:A,"")</f>
        <v/>
      </c>
    </row>
    <row r="798" spans="1:16" x14ac:dyDescent="0.25">
      <c r="A798" t="s">
        <v>976</v>
      </c>
      <c r="B798" t="s">
        <v>977</v>
      </c>
      <c r="C798" t="s">
        <v>977</v>
      </c>
      <c r="D798">
        <v>26</v>
      </c>
      <c r="E798" t="s">
        <v>3088</v>
      </c>
      <c r="F798" s="186" t="s">
        <v>969</v>
      </c>
      <c r="H798" t="b">
        <v>1</v>
      </c>
      <c r="I798" t="s">
        <v>22</v>
      </c>
      <c r="J798" s="186" t="s">
        <v>944</v>
      </c>
      <c r="M798">
        <f>IFERROR(_xlfn.XLOOKUP(A798,Fleet!A:A,Fleet!E:E,""),"")</f>
        <v>1</v>
      </c>
      <c r="N798" t="s">
        <v>22</v>
      </c>
      <c r="P798" t="str">
        <f>_xlfn.XLOOKUP(A798,'Classic Net to delete'!D:D,'Classic Net to delete'!A:A,"")</f>
        <v/>
      </c>
    </row>
    <row r="799" spans="1:16" x14ac:dyDescent="0.25">
      <c r="A799" t="s">
        <v>980</v>
      </c>
      <c r="B799" t="s">
        <v>981</v>
      </c>
      <c r="C799" t="s">
        <v>981</v>
      </c>
      <c r="D799">
        <v>204.6</v>
      </c>
      <c r="E799" t="s">
        <v>3088</v>
      </c>
      <c r="F799" s="186" t="s">
        <v>969</v>
      </c>
      <c r="H799" t="b">
        <v>1</v>
      </c>
      <c r="I799" t="s">
        <v>22</v>
      </c>
      <c r="J799" s="186" t="s">
        <v>944</v>
      </c>
      <c r="M799">
        <f>IFERROR(_xlfn.XLOOKUP(A799,Fleet!A:A,Fleet!E:E,""),"")</f>
        <v>1</v>
      </c>
      <c r="N799" t="s">
        <v>22</v>
      </c>
      <c r="P799" t="str">
        <f>_xlfn.XLOOKUP(A799,'Classic Net to delete'!D:D,'Classic Net to delete'!A:A,"")</f>
        <v/>
      </c>
    </row>
    <row r="800" spans="1:16" x14ac:dyDescent="0.25">
      <c r="A800" t="s">
        <v>967</v>
      </c>
      <c r="B800" t="s">
        <v>968</v>
      </c>
      <c r="C800" t="s">
        <v>968</v>
      </c>
      <c r="D800">
        <v>41.25</v>
      </c>
      <c r="E800" t="s">
        <v>3088</v>
      </c>
      <c r="F800" s="186" t="s">
        <v>969</v>
      </c>
      <c r="H800" t="b">
        <v>1</v>
      </c>
      <c r="I800" t="s">
        <v>22</v>
      </c>
      <c r="J800" s="186" t="s">
        <v>944</v>
      </c>
      <c r="M800">
        <f>IFERROR(_xlfn.XLOOKUP(A800,Fleet!A:A,Fleet!E:E,""),"")</f>
        <v>1</v>
      </c>
      <c r="N800" t="s">
        <v>22</v>
      </c>
      <c r="P800" t="str">
        <f>_xlfn.XLOOKUP(A800,'Classic Net to delete'!D:D,'Classic Net to delete'!A:A,"")</f>
        <v/>
      </c>
    </row>
    <row r="801" spans="1:16" x14ac:dyDescent="0.25">
      <c r="A801" t="s">
        <v>574</v>
      </c>
      <c r="B801" t="s">
        <v>575</v>
      </c>
      <c r="C801" t="s">
        <v>575</v>
      </c>
      <c r="D801">
        <v>56.9</v>
      </c>
      <c r="E801" t="s">
        <v>593</v>
      </c>
      <c r="F801" s="186" t="s">
        <v>577</v>
      </c>
      <c r="H801" t="b">
        <v>1</v>
      </c>
      <c r="I801">
        <v>56.900000000000006</v>
      </c>
      <c r="J801" s="186" t="s">
        <v>541</v>
      </c>
      <c r="M801">
        <f>IFERROR(_xlfn.XLOOKUP(A801,Fleet!A:A,Fleet!E:E,""),"")</f>
        <v>22</v>
      </c>
      <c r="N801" t="s">
        <v>22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606</v>
      </c>
      <c r="B802" t="s">
        <v>607</v>
      </c>
      <c r="C802" t="s">
        <v>607</v>
      </c>
      <c r="D802">
        <v>47.8</v>
      </c>
      <c r="E802" t="s">
        <v>593</v>
      </c>
      <c r="F802" s="186" t="s">
        <v>593</v>
      </c>
      <c r="H802" t="b">
        <v>1</v>
      </c>
      <c r="I802">
        <v>47.800000000000004</v>
      </c>
      <c r="J802" s="186" t="s">
        <v>541</v>
      </c>
      <c r="M802">
        <f>IFERROR(_xlfn.XLOOKUP(A802,Fleet!A:A,Fleet!E:E,""),"")</f>
        <v>5</v>
      </c>
      <c r="N802" t="s">
        <v>22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615</v>
      </c>
      <c r="B803" t="s">
        <v>616</v>
      </c>
      <c r="C803" t="s">
        <v>616</v>
      </c>
      <c r="D803">
        <v>28.35</v>
      </c>
      <c r="E803" t="s">
        <v>593</v>
      </c>
      <c r="F803" s="186" t="s">
        <v>593</v>
      </c>
      <c r="H803" t="b">
        <v>1</v>
      </c>
      <c r="I803">
        <v>28.35</v>
      </c>
      <c r="J803" s="186" t="s">
        <v>541</v>
      </c>
      <c r="M803">
        <f>IFERROR(_xlfn.XLOOKUP(A803,Fleet!A:A,Fleet!E:E,""),"")</f>
        <v>3</v>
      </c>
      <c r="N803" t="s">
        <v>22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625</v>
      </c>
      <c r="B804" t="s">
        <v>626</v>
      </c>
      <c r="C804" t="s">
        <v>626</v>
      </c>
      <c r="D804">
        <v>54.3</v>
      </c>
      <c r="E804" t="s">
        <v>593</v>
      </c>
      <c r="F804" s="186" t="s">
        <v>593</v>
      </c>
      <c r="H804" t="b">
        <v>1</v>
      </c>
      <c r="I804">
        <v>54.300000000000004</v>
      </c>
      <c r="J804" s="186" t="s">
        <v>541</v>
      </c>
      <c r="M804">
        <f>IFERROR(_xlfn.XLOOKUP(A804,Fleet!A:A,Fleet!E:E,""),"")</f>
        <v>24</v>
      </c>
      <c r="N804" t="s">
        <v>22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602</v>
      </c>
      <c r="B805" t="s">
        <v>3091</v>
      </c>
      <c r="C805" t="s">
        <v>603</v>
      </c>
      <c r="D805">
        <v>43.95</v>
      </c>
      <c r="E805" t="s">
        <v>593</v>
      </c>
      <c r="F805" s="186" t="s">
        <v>593</v>
      </c>
      <c r="H805" t="b">
        <v>1</v>
      </c>
      <c r="I805">
        <v>43.95</v>
      </c>
      <c r="J805" s="186" t="s">
        <v>541</v>
      </c>
      <c r="M805">
        <f>IFERROR(_xlfn.XLOOKUP(A805,Fleet!A:A,Fleet!E:E,""),"")</f>
        <v>2</v>
      </c>
      <c r="N805" t="s">
        <v>22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702</v>
      </c>
      <c r="B806" t="s">
        <v>3093</v>
      </c>
      <c r="C806" t="s">
        <v>703</v>
      </c>
      <c r="D806">
        <v>43.95</v>
      </c>
      <c r="E806" t="s">
        <v>593</v>
      </c>
      <c r="F806" s="186" t="s">
        <v>593</v>
      </c>
      <c r="H806" t="b">
        <v>1</v>
      </c>
      <c r="I806" t="s">
        <v>22</v>
      </c>
      <c r="J806" s="186" t="s">
        <v>541</v>
      </c>
      <c r="M806">
        <f>IFERROR(_xlfn.XLOOKUP(A806,Fleet!A:A,Fleet!E:E,""),"")</f>
        <v>6</v>
      </c>
      <c r="N806" t="s">
        <v>22</v>
      </c>
      <c r="P806" t="str">
        <f>_xlfn.XLOOKUP(A806,'Classic Net to delete'!D:D,'Classic Net to delete'!A:A,"")</f>
        <v/>
      </c>
    </row>
    <row r="807" spans="1:16" x14ac:dyDescent="0.25">
      <c r="A807" t="s">
        <v>604</v>
      </c>
      <c r="B807" t="s">
        <v>3094</v>
      </c>
      <c r="C807" t="s">
        <v>605</v>
      </c>
      <c r="D807">
        <v>45.1</v>
      </c>
      <c r="E807" t="s">
        <v>593</v>
      </c>
      <c r="F807" s="186" t="s">
        <v>593</v>
      </c>
      <c r="H807" t="b">
        <v>1</v>
      </c>
      <c r="I807">
        <v>45.1</v>
      </c>
      <c r="J807" s="186" t="s">
        <v>541</v>
      </c>
      <c r="M807">
        <f>IFERROR(_xlfn.XLOOKUP(A807,Fleet!A:A,Fleet!E:E,""),"")</f>
        <v>3</v>
      </c>
      <c r="N807" t="s">
        <v>22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600</v>
      </c>
      <c r="B808" t="s">
        <v>3092</v>
      </c>
      <c r="C808" t="s">
        <v>601</v>
      </c>
      <c r="D808">
        <v>23.9</v>
      </c>
      <c r="E808" t="s">
        <v>593</v>
      </c>
      <c r="F808" s="186" t="s">
        <v>593</v>
      </c>
      <c r="H808" t="b">
        <v>1</v>
      </c>
      <c r="I808">
        <v>23.900000000000002</v>
      </c>
      <c r="J808" s="186" t="s">
        <v>541</v>
      </c>
      <c r="M808">
        <f>IFERROR(_xlfn.XLOOKUP(A808,Fleet!A:A,Fleet!E:E,""),"")</f>
        <v>13</v>
      </c>
      <c r="N808" t="s">
        <v>22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647</v>
      </c>
      <c r="B809" t="s">
        <v>648</v>
      </c>
      <c r="C809" t="s">
        <v>648</v>
      </c>
      <c r="D809">
        <v>48.95</v>
      </c>
      <c r="E809" t="s">
        <v>593</v>
      </c>
      <c r="F809" s="186" t="s">
        <v>538</v>
      </c>
      <c r="H809" t="b">
        <v>1</v>
      </c>
      <c r="I809">
        <v>48.95</v>
      </c>
      <c r="J809" s="186" t="s">
        <v>541</v>
      </c>
      <c r="M809">
        <f>IFERROR(_xlfn.XLOOKUP(A809,Fleet!A:A,Fleet!E:E,""),"")</f>
        <v>11</v>
      </c>
      <c r="N809" t="s">
        <v>22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656</v>
      </c>
      <c r="B810" t="s">
        <v>657</v>
      </c>
      <c r="C810" t="s">
        <v>657</v>
      </c>
      <c r="D810">
        <v>110.85</v>
      </c>
      <c r="E810" t="s">
        <v>593</v>
      </c>
      <c r="F810" s="186" t="s">
        <v>538</v>
      </c>
      <c r="H810" t="b">
        <v>1</v>
      </c>
      <c r="I810">
        <v>110.85000000000001</v>
      </c>
      <c r="J810" s="186" t="s">
        <v>541</v>
      </c>
      <c r="M810">
        <f>IFERROR(_xlfn.XLOOKUP(A810,Fleet!A:A,Fleet!E:E,""),"")</f>
        <v>12</v>
      </c>
      <c r="N810" t="s">
        <v>22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662</v>
      </c>
      <c r="B811" t="s">
        <v>663</v>
      </c>
      <c r="C811" t="s">
        <v>663</v>
      </c>
      <c r="D811">
        <v>263.89999999999998</v>
      </c>
      <c r="E811" t="s">
        <v>593</v>
      </c>
      <c r="F811" s="186" t="s">
        <v>538</v>
      </c>
      <c r="H811" t="b">
        <v>1</v>
      </c>
      <c r="I811">
        <v>263.90000000000003</v>
      </c>
      <c r="J811" s="186" t="s">
        <v>541</v>
      </c>
      <c r="M811">
        <f>IFERROR(_xlfn.XLOOKUP(A811,Fleet!A:A,Fleet!E:E,""),"")</f>
        <v>9</v>
      </c>
      <c r="N811" t="s">
        <v>22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671</v>
      </c>
      <c r="B812" t="s">
        <v>672</v>
      </c>
      <c r="C812" t="s">
        <v>672</v>
      </c>
      <c r="D812">
        <v>117.95</v>
      </c>
      <c r="E812" t="s">
        <v>593</v>
      </c>
      <c r="F812" s="186" t="s">
        <v>538</v>
      </c>
      <c r="H812" t="b">
        <v>1</v>
      </c>
      <c r="I812">
        <v>117.95</v>
      </c>
      <c r="J812" s="186" t="s">
        <v>541</v>
      </c>
      <c r="M812">
        <f>IFERROR(_xlfn.XLOOKUP(A812,Fleet!A:A,Fleet!E:E,""),"")</f>
        <v>20</v>
      </c>
      <c r="N812" t="s">
        <v>22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642</v>
      </c>
      <c r="B813" t="s">
        <v>643</v>
      </c>
      <c r="C813" t="s">
        <v>643</v>
      </c>
      <c r="D813">
        <v>54.3</v>
      </c>
      <c r="E813" t="s">
        <v>593</v>
      </c>
      <c r="F813" s="186" t="s">
        <v>538</v>
      </c>
      <c r="H813" t="b">
        <v>1</v>
      </c>
      <c r="I813">
        <v>54.300000000000004</v>
      </c>
      <c r="J813" s="186" t="s">
        <v>541</v>
      </c>
      <c r="M813">
        <f>IFERROR(_xlfn.XLOOKUP(A813,Fleet!A:A,Fleet!E:E,""),"")</f>
        <v>4</v>
      </c>
      <c r="N813" t="s">
        <v>22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665</v>
      </c>
      <c r="B814" t="s">
        <v>666</v>
      </c>
      <c r="C814" t="s">
        <v>666</v>
      </c>
      <c r="D814">
        <v>57.2</v>
      </c>
      <c r="E814" t="s">
        <v>593</v>
      </c>
      <c r="F814" s="186" t="s">
        <v>538</v>
      </c>
      <c r="H814" t="b">
        <v>1</v>
      </c>
      <c r="I814">
        <v>57.2</v>
      </c>
      <c r="J814" s="186" t="s">
        <v>541</v>
      </c>
      <c r="M814">
        <f>IFERROR(_xlfn.XLOOKUP(A814,Fleet!A:A,Fleet!E:E,""),"")</f>
        <v>2</v>
      </c>
      <c r="N814" t="s">
        <v>22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620</v>
      </c>
      <c r="B815" t="s">
        <v>621</v>
      </c>
      <c r="C815" t="s">
        <v>621</v>
      </c>
      <c r="D815">
        <v>49.85</v>
      </c>
      <c r="E815" t="s">
        <v>593</v>
      </c>
      <c r="F815" s="186" t="s">
        <v>538</v>
      </c>
      <c r="H815" t="b">
        <v>1</v>
      </c>
      <c r="I815">
        <v>49.85</v>
      </c>
      <c r="J815" s="186" t="s">
        <v>541</v>
      </c>
      <c r="M815">
        <f>IFERROR(_xlfn.XLOOKUP(A815,Fleet!A:A,Fleet!E:E,""),"")</f>
        <v>4</v>
      </c>
      <c r="N815" t="s">
        <v>22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708</v>
      </c>
      <c r="B816" t="s">
        <v>709</v>
      </c>
      <c r="C816" t="s">
        <v>709</v>
      </c>
      <c r="D816">
        <v>47.8</v>
      </c>
      <c r="E816" t="s">
        <v>593</v>
      </c>
      <c r="F816" s="186" t="s">
        <v>538</v>
      </c>
      <c r="H816" t="b">
        <v>1</v>
      </c>
      <c r="I816">
        <v>47.800000000000004</v>
      </c>
      <c r="J816" s="186" t="s">
        <v>541</v>
      </c>
      <c r="M816">
        <f>IFERROR(_xlfn.XLOOKUP(A816,Fleet!A:A,Fleet!E:E,""),"")</f>
        <v>1</v>
      </c>
      <c r="N816" t="s">
        <v>22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636</v>
      </c>
      <c r="B817" t="s">
        <v>637</v>
      </c>
      <c r="C817" t="s">
        <v>637</v>
      </c>
      <c r="D817">
        <v>39.200000000000003</v>
      </c>
      <c r="E817" t="s">
        <v>593</v>
      </c>
      <c r="F817" s="186" t="s">
        <v>538</v>
      </c>
      <c r="H817" t="b">
        <v>1</v>
      </c>
      <c r="I817">
        <v>39.200000000000003</v>
      </c>
      <c r="J817" s="186" t="s">
        <v>541</v>
      </c>
      <c r="M817">
        <f>IFERROR(_xlfn.XLOOKUP(A817,Fleet!A:A,Fleet!E:E,""),"")</f>
        <v>2</v>
      </c>
      <c r="N817" t="s">
        <v>22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698</v>
      </c>
      <c r="B818" t="s">
        <v>699</v>
      </c>
      <c r="C818" t="s">
        <v>699</v>
      </c>
      <c r="D818">
        <v>33.35</v>
      </c>
      <c r="E818" t="s">
        <v>593</v>
      </c>
      <c r="F818" s="186" t="s">
        <v>538</v>
      </c>
      <c r="H818" t="b">
        <v>1</v>
      </c>
      <c r="I818" t="s">
        <v>22</v>
      </c>
      <c r="J818" s="186" t="s">
        <v>541</v>
      </c>
      <c r="M818">
        <f>IFERROR(_xlfn.XLOOKUP(A818,Fleet!A:A,Fleet!E:E,""),"")</f>
        <v>3</v>
      </c>
      <c r="N818" t="s">
        <v>22</v>
      </c>
      <c r="P818" t="str">
        <f>_xlfn.XLOOKUP(A818,'Classic Net to delete'!D:D,'Classic Net to delete'!A:A,"")</f>
        <v/>
      </c>
    </row>
    <row r="819" spans="1:16" x14ac:dyDescent="0.25">
      <c r="A819" t="s">
        <v>581</v>
      </c>
      <c r="B819" t="s">
        <v>582</v>
      </c>
      <c r="C819" t="s">
        <v>582</v>
      </c>
      <c r="D819">
        <v>53.05</v>
      </c>
      <c r="E819" t="s">
        <v>593</v>
      </c>
      <c r="F819" s="186" t="s">
        <v>577</v>
      </c>
      <c r="H819" t="b">
        <v>1</v>
      </c>
      <c r="I819">
        <v>53.050000000000004</v>
      </c>
      <c r="J819" s="186" t="s">
        <v>541</v>
      </c>
      <c r="M819">
        <f>IFERROR(_xlfn.XLOOKUP(A819,Fleet!A:A,Fleet!E:E,""),"")</f>
        <v>2</v>
      </c>
      <c r="N819" t="s">
        <v>22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673</v>
      </c>
      <c r="B820" t="s">
        <v>674</v>
      </c>
      <c r="C820" t="s">
        <v>674</v>
      </c>
      <c r="D820">
        <v>138.9</v>
      </c>
      <c r="E820" t="s">
        <v>593</v>
      </c>
      <c r="F820" s="186" t="s">
        <v>538</v>
      </c>
      <c r="H820" t="b">
        <v>1</v>
      </c>
      <c r="I820">
        <v>138.9</v>
      </c>
      <c r="J820" s="186" t="s">
        <v>541</v>
      </c>
      <c r="M820">
        <f>IFERROR(_xlfn.XLOOKUP(A820,Fleet!A:A,Fleet!E:E,""),"")</f>
        <v>12</v>
      </c>
      <c r="N820" t="s">
        <v>22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668</v>
      </c>
      <c r="B821" t="s">
        <v>669</v>
      </c>
      <c r="C821" t="s">
        <v>669</v>
      </c>
      <c r="D821">
        <v>23.5</v>
      </c>
      <c r="E821" t="s">
        <v>593</v>
      </c>
      <c r="F821" s="186" t="s">
        <v>538</v>
      </c>
      <c r="H821" t="b">
        <v>1</v>
      </c>
      <c r="I821">
        <v>23.5</v>
      </c>
      <c r="J821" s="186" t="s">
        <v>541</v>
      </c>
      <c r="M821">
        <f>IFERROR(_xlfn.XLOOKUP(A821,Fleet!A:A,Fleet!E:E,""),"")</f>
        <v>36</v>
      </c>
      <c r="N821" t="s">
        <v>22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696</v>
      </c>
      <c r="B822" t="s">
        <v>697</v>
      </c>
      <c r="C822" t="s">
        <v>697</v>
      </c>
      <c r="D822">
        <v>74.95</v>
      </c>
      <c r="E822" t="s">
        <v>593</v>
      </c>
      <c r="F822" s="186" t="s">
        <v>577</v>
      </c>
      <c r="H822" t="b">
        <v>1</v>
      </c>
      <c r="I822" t="s">
        <v>22</v>
      </c>
      <c r="J822" s="186" t="s">
        <v>541</v>
      </c>
      <c r="M822">
        <f>IFERROR(_xlfn.XLOOKUP(A822,Fleet!A:A,Fleet!E:E,""),"")</f>
        <v>11</v>
      </c>
      <c r="N822" t="s">
        <v>22</v>
      </c>
      <c r="P822" t="str">
        <f>_xlfn.XLOOKUP(A822,'Classic Net to delete'!D:D,'Classic Net to delete'!A:A,"")</f>
        <v/>
      </c>
    </row>
    <row r="823" spans="1:16" x14ac:dyDescent="0.25">
      <c r="A823" t="s">
        <v>723</v>
      </c>
      <c r="B823" t="s">
        <v>724</v>
      </c>
      <c r="C823" t="s">
        <v>724</v>
      </c>
      <c r="D823">
        <v>263.89999999999998</v>
      </c>
      <c r="E823" t="s">
        <v>593</v>
      </c>
      <c r="F823" s="186" t="s">
        <v>538</v>
      </c>
      <c r="H823" t="b">
        <v>1</v>
      </c>
      <c r="I823" t="s">
        <v>22</v>
      </c>
      <c r="J823" s="186" t="s">
        <v>541</v>
      </c>
      <c r="M823">
        <f>IFERROR(_xlfn.XLOOKUP(A823,Fleet!A:A,Fleet!E:E,""),"")</f>
        <v>7</v>
      </c>
      <c r="N823" t="s">
        <v>22</v>
      </c>
      <c r="P823" t="str">
        <f>_xlfn.XLOOKUP(A823,'Classic Net to delete'!D:D,'Classic Net to delete'!A:A,"")</f>
        <v/>
      </c>
    </row>
    <row r="824" spans="1:16" x14ac:dyDescent="0.25">
      <c r="A824" t="s">
        <v>631</v>
      </c>
      <c r="B824" t="s">
        <v>632</v>
      </c>
      <c r="C824" t="s">
        <v>632</v>
      </c>
      <c r="D824">
        <v>63.7</v>
      </c>
      <c r="E824" t="s">
        <v>593</v>
      </c>
      <c r="F824" s="186" t="s">
        <v>593</v>
      </c>
      <c r="H824" t="b">
        <v>1</v>
      </c>
      <c r="I824">
        <v>63.7</v>
      </c>
      <c r="J824" s="186" t="s">
        <v>541</v>
      </c>
      <c r="M824">
        <f>IFERROR(_xlfn.XLOOKUP(A824,Fleet!A:A,Fleet!E:E,""),"")</f>
        <v>27</v>
      </c>
      <c r="N824" t="s">
        <v>22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628</v>
      </c>
      <c r="B825" t="s">
        <v>629</v>
      </c>
      <c r="C825" t="s">
        <v>629</v>
      </c>
      <c r="D825">
        <v>58.15</v>
      </c>
      <c r="E825" t="s">
        <v>593</v>
      </c>
      <c r="F825" s="186" t="s">
        <v>593</v>
      </c>
      <c r="H825" t="b">
        <v>1</v>
      </c>
      <c r="I825">
        <v>58.150000000000006</v>
      </c>
      <c r="J825" s="186" t="s">
        <v>541</v>
      </c>
      <c r="M825">
        <f>IFERROR(_xlfn.XLOOKUP(A825,Fleet!A:A,Fleet!E:E,""),"")</f>
        <v>0</v>
      </c>
      <c r="N825" t="s">
        <v>22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584</v>
      </c>
      <c r="B826" t="s">
        <v>585</v>
      </c>
      <c r="C826" t="s">
        <v>585</v>
      </c>
      <c r="D826">
        <v>58.4</v>
      </c>
      <c r="E826" t="s">
        <v>593</v>
      </c>
      <c r="F826" s="186" t="s">
        <v>577</v>
      </c>
      <c r="H826" t="b">
        <v>1</v>
      </c>
      <c r="I826">
        <v>58.400000000000006</v>
      </c>
      <c r="J826" s="186" t="s">
        <v>541</v>
      </c>
      <c r="M826">
        <f>IFERROR(_xlfn.XLOOKUP(A826,Fleet!A:A,Fleet!E:E,""),"")</f>
        <v>4</v>
      </c>
      <c r="N826" t="s">
        <v>22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650</v>
      </c>
      <c r="B827" t="s">
        <v>651</v>
      </c>
      <c r="C827" t="s">
        <v>651</v>
      </c>
      <c r="D827">
        <v>100.2</v>
      </c>
      <c r="E827" t="s">
        <v>593</v>
      </c>
      <c r="F827" s="186" t="s">
        <v>538</v>
      </c>
      <c r="H827" t="b">
        <v>1</v>
      </c>
      <c r="I827">
        <v>100.2</v>
      </c>
      <c r="J827" s="186" t="s">
        <v>541</v>
      </c>
      <c r="M827">
        <f>IFERROR(_xlfn.XLOOKUP(A827,Fleet!A:A,Fleet!E:E,""),"")</f>
        <v>9</v>
      </c>
      <c r="N827" t="s">
        <v>22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653</v>
      </c>
      <c r="B828" t="s">
        <v>654</v>
      </c>
      <c r="C828" t="s">
        <v>654</v>
      </c>
      <c r="D828">
        <v>76.650000000000006</v>
      </c>
      <c r="E828" t="s">
        <v>593</v>
      </c>
      <c r="F828" s="186" t="s">
        <v>538</v>
      </c>
      <c r="H828" t="b">
        <v>1</v>
      </c>
      <c r="I828">
        <v>76.650000000000006</v>
      </c>
      <c r="J828" s="186" t="s">
        <v>541</v>
      </c>
      <c r="M828">
        <f>IFERROR(_xlfn.XLOOKUP(A828,Fleet!A:A,Fleet!E:E,""),"")</f>
        <v>6</v>
      </c>
      <c r="N828" t="s">
        <v>22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639</v>
      </c>
      <c r="B829" t="s">
        <v>640</v>
      </c>
      <c r="C829" t="s">
        <v>640</v>
      </c>
      <c r="D829">
        <v>47.15</v>
      </c>
      <c r="E829" t="s">
        <v>593</v>
      </c>
      <c r="F829" s="186" t="s">
        <v>593</v>
      </c>
      <c r="H829" t="b">
        <v>1</v>
      </c>
      <c r="I829">
        <v>47.150000000000006</v>
      </c>
      <c r="J829" s="186" t="s">
        <v>541</v>
      </c>
      <c r="M829">
        <f>IFERROR(_xlfn.XLOOKUP(A829,Fleet!A:A,Fleet!E:E,""),"")</f>
        <v>46</v>
      </c>
      <c r="N829" t="s">
        <v>22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713</v>
      </c>
      <c r="B830" t="s">
        <v>714</v>
      </c>
      <c r="C830" t="s">
        <v>714</v>
      </c>
      <c r="D830">
        <v>13.3</v>
      </c>
      <c r="E830" t="s">
        <v>593</v>
      </c>
      <c r="F830" s="186" t="s">
        <v>593</v>
      </c>
      <c r="H830" t="b">
        <v>1</v>
      </c>
      <c r="I830" t="s">
        <v>22</v>
      </c>
      <c r="J830" s="186" t="s">
        <v>541</v>
      </c>
      <c r="M830">
        <f>IFERROR(_xlfn.XLOOKUP(A830,Fleet!A:A,Fleet!E:E,""),"")</f>
        <v>16</v>
      </c>
      <c r="N830" t="s">
        <v>22</v>
      </c>
      <c r="P830" t="str">
        <f>_xlfn.XLOOKUP(A830,'Classic Net to delete'!D:D,'Classic Net to delete'!A:A,"")</f>
        <v/>
      </c>
    </row>
    <row r="831" spans="1:16" x14ac:dyDescent="0.25">
      <c r="A831" t="s">
        <v>710</v>
      </c>
      <c r="B831" t="s">
        <v>711</v>
      </c>
      <c r="C831" t="s">
        <v>711</v>
      </c>
      <c r="D831">
        <v>37.15</v>
      </c>
      <c r="E831" t="s">
        <v>593</v>
      </c>
      <c r="F831" s="186" t="s">
        <v>593</v>
      </c>
      <c r="H831" t="b">
        <v>1</v>
      </c>
      <c r="I831">
        <v>37.15</v>
      </c>
      <c r="J831" s="186" t="s">
        <v>541</v>
      </c>
      <c r="M831">
        <f>IFERROR(_xlfn.XLOOKUP(A831,Fleet!A:A,Fleet!E:E,""),"")</f>
        <v>0</v>
      </c>
      <c r="N831" t="s">
        <v>22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617</v>
      </c>
      <c r="B832" t="s">
        <v>618</v>
      </c>
      <c r="C832" t="s">
        <v>618</v>
      </c>
      <c r="D832">
        <v>35</v>
      </c>
      <c r="E832" t="s">
        <v>593</v>
      </c>
      <c r="F832" s="186" t="s">
        <v>593</v>
      </c>
      <c r="H832" t="b">
        <v>1</v>
      </c>
      <c r="I832">
        <v>35</v>
      </c>
      <c r="J832" s="186" t="s">
        <v>541</v>
      </c>
      <c r="M832">
        <f>IFERROR(_xlfn.XLOOKUP(A832,Fleet!A:A,Fleet!E:E,""),"")</f>
        <v>32</v>
      </c>
      <c r="N832" t="s">
        <v>22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597</v>
      </c>
      <c r="B833" t="s">
        <v>598</v>
      </c>
      <c r="C833" t="s">
        <v>598</v>
      </c>
      <c r="D833">
        <v>69.8</v>
      </c>
      <c r="E833" t="s">
        <v>593</v>
      </c>
      <c r="F833" s="186" t="s">
        <v>593</v>
      </c>
      <c r="H833" t="b">
        <v>1</v>
      </c>
      <c r="I833">
        <v>69.8</v>
      </c>
      <c r="J833" s="186" t="s">
        <v>541</v>
      </c>
      <c r="M833">
        <f>IFERROR(_xlfn.XLOOKUP(A833,Fleet!A:A,Fleet!E:E,""),"")</f>
        <v>3</v>
      </c>
      <c r="N833" t="s">
        <v>22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594</v>
      </c>
      <c r="B834" t="s">
        <v>595</v>
      </c>
      <c r="C834" t="s">
        <v>595</v>
      </c>
      <c r="D834">
        <v>65.099999999999994</v>
      </c>
      <c r="E834" t="s">
        <v>593</v>
      </c>
      <c r="F834" s="186" t="s">
        <v>593</v>
      </c>
      <c r="H834" t="b">
        <v>1</v>
      </c>
      <c r="I834">
        <v>65.100000000000009</v>
      </c>
      <c r="J834" s="186" t="s">
        <v>541</v>
      </c>
      <c r="M834">
        <f>IFERROR(_xlfn.XLOOKUP(A834,Fleet!A:A,Fleet!E:E,""),"")</f>
        <v>5</v>
      </c>
      <c r="N834" t="s">
        <v>22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609</v>
      </c>
      <c r="B835" t="s">
        <v>610</v>
      </c>
      <c r="C835" t="s">
        <v>610</v>
      </c>
      <c r="D835">
        <v>54.45</v>
      </c>
      <c r="E835" t="s">
        <v>593</v>
      </c>
      <c r="F835" s="186" t="s">
        <v>593</v>
      </c>
      <c r="H835" t="b">
        <v>1</v>
      </c>
      <c r="I835">
        <v>54.45</v>
      </c>
      <c r="J835" s="186" t="s">
        <v>541</v>
      </c>
      <c r="M835">
        <f>IFERROR(_xlfn.XLOOKUP(A835,Fleet!A:A,Fleet!E:E,""),"")</f>
        <v>6</v>
      </c>
      <c r="N835" t="s">
        <v>22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590</v>
      </c>
      <c r="B836" t="s">
        <v>591</v>
      </c>
      <c r="C836" t="s">
        <v>591</v>
      </c>
      <c r="D836">
        <v>63.7</v>
      </c>
      <c r="E836" t="s">
        <v>593</v>
      </c>
      <c r="F836" s="186" t="s">
        <v>593</v>
      </c>
      <c r="H836" t="b">
        <v>1</v>
      </c>
      <c r="I836">
        <v>63.7</v>
      </c>
      <c r="J836" s="186" t="s">
        <v>541</v>
      </c>
      <c r="M836">
        <f>IFERROR(_xlfn.XLOOKUP(A836,Fleet!A:A,Fleet!E:E,""),"")</f>
        <v>10</v>
      </c>
      <c r="N836" t="s">
        <v>22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612</v>
      </c>
      <c r="B837" t="s">
        <v>613</v>
      </c>
      <c r="C837" t="s">
        <v>613</v>
      </c>
      <c r="D837">
        <v>54.3</v>
      </c>
      <c r="E837" t="s">
        <v>593</v>
      </c>
      <c r="F837" s="186" t="s">
        <v>593</v>
      </c>
      <c r="H837" t="b">
        <v>1</v>
      </c>
      <c r="I837">
        <v>54.300000000000004</v>
      </c>
      <c r="J837" s="186" t="s">
        <v>541</v>
      </c>
      <c r="M837">
        <f>IFERROR(_xlfn.XLOOKUP(A837,Fleet!A:A,Fleet!E:E,""),"")</f>
        <v>10</v>
      </c>
      <c r="N837" t="s">
        <v>22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587</v>
      </c>
      <c r="B838" t="s">
        <v>588</v>
      </c>
      <c r="C838" t="s">
        <v>588</v>
      </c>
      <c r="D838">
        <v>74.95</v>
      </c>
      <c r="E838" t="s">
        <v>593</v>
      </c>
      <c r="F838" s="186" t="s">
        <v>577</v>
      </c>
      <c r="H838" t="b">
        <v>1</v>
      </c>
      <c r="I838">
        <v>74.95</v>
      </c>
      <c r="J838" s="186" t="s">
        <v>541</v>
      </c>
      <c r="M838">
        <f>IFERROR(_xlfn.XLOOKUP(A838,Fleet!A:A,Fleet!E:E,""),"")</f>
        <v>24</v>
      </c>
      <c r="N838" t="s">
        <v>22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700</v>
      </c>
      <c r="B839" t="s">
        <v>701</v>
      </c>
      <c r="C839" t="s">
        <v>701</v>
      </c>
      <c r="D839">
        <v>63.7</v>
      </c>
      <c r="E839" t="s">
        <v>593</v>
      </c>
      <c r="F839" s="186" t="s">
        <v>593</v>
      </c>
      <c r="H839" t="b">
        <v>1</v>
      </c>
      <c r="I839" t="s">
        <v>22</v>
      </c>
      <c r="J839" s="186" t="s">
        <v>541</v>
      </c>
      <c r="M839">
        <f>IFERROR(_xlfn.XLOOKUP(A839,Fleet!A:A,Fleet!E:E,""),"")</f>
        <v>14</v>
      </c>
      <c r="N839" t="s">
        <v>22</v>
      </c>
      <c r="P839" t="str">
        <f>_xlfn.XLOOKUP(A839,'Classic Net to delete'!D:D,'Classic Net to delete'!A:A,"")</f>
        <v/>
      </c>
    </row>
    <row r="840" spans="1:16" x14ac:dyDescent="0.25">
      <c r="A840" t="s">
        <v>706</v>
      </c>
      <c r="B840" t="s">
        <v>707</v>
      </c>
      <c r="C840" t="s">
        <v>707</v>
      </c>
      <c r="D840">
        <v>58.15</v>
      </c>
      <c r="E840" t="s">
        <v>593</v>
      </c>
      <c r="F840" s="186" t="s">
        <v>593</v>
      </c>
      <c r="H840" t="b">
        <v>1</v>
      </c>
      <c r="I840" t="s">
        <v>22</v>
      </c>
      <c r="J840" s="186" t="s">
        <v>541</v>
      </c>
      <c r="M840">
        <f>IFERROR(_xlfn.XLOOKUP(A840,Fleet!A:A,Fleet!E:E,""),"")</f>
        <v>4</v>
      </c>
      <c r="N840" t="s">
        <v>22</v>
      </c>
      <c r="P840" t="str">
        <f>_xlfn.XLOOKUP(A840,'Classic Net to delete'!D:D,'Classic Net to delete'!A:A,"")</f>
        <v/>
      </c>
    </row>
    <row r="841" spans="1:16" x14ac:dyDescent="0.25">
      <c r="A841" t="s">
        <v>694</v>
      </c>
      <c r="B841" t="s">
        <v>695</v>
      </c>
      <c r="C841" t="s">
        <v>695</v>
      </c>
      <c r="D841">
        <v>65</v>
      </c>
      <c r="E841" t="s">
        <v>593</v>
      </c>
      <c r="F841" s="186" t="s">
        <v>577</v>
      </c>
      <c r="H841" t="b">
        <v>1</v>
      </c>
      <c r="I841" t="s">
        <v>22</v>
      </c>
      <c r="J841" s="186" t="s">
        <v>541</v>
      </c>
      <c r="M841">
        <f>IFERROR(_xlfn.XLOOKUP(A841,Fleet!A:A,Fleet!E:E,""),"")</f>
        <v>2</v>
      </c>
      <c r="N841" t="s">
        <v>22</v>
      </c>
      <c r="P841" t="str">
        <f>_xlfn.XLOOKUP(A841,'Classic Net to delete'!D:D,'Classic Net to delete'!A:A,"")</f>
        <v/>
      </c>
    </row>
    <row r="842" spans="1:16" x14ac:dyDescent="0.25">
      <c r="A842" t="s">
        <v>734</v>
      </c>
      <c r="B842" t="s">
        <v>735</v>
      </c>
      <c r="C842" t="s">
        <v>735</v>
      </c>
      <c r="D842">
        <v>189</v>
      </c>
      <c r="E842" t="s">
        <v>593</v>
      </c>
      <c r="F842" s="186" t="s">
        <v>538</v>
      </c>
      <c r="H842" t="b">
        <v>1</v>
      </c>
      <c r="I842" t="s">
        <v>22</v>
      </c>
      <c r="J842" s="186" t="s">
        <v>541</v>
      </c>
      <c r="M842">
        <f>IFERROR(_xlfn.XLOOKUP(A842,Fleet!A:A,Fleet!E:E,""),"")</f>
        <v>4</v>
      </c>
      <c r="N842" t="s">
        <v>22</v>
      </c>
      <c r="P842" t="str">
        <f>_xlfn.XLOOKUP(A842,'Classic Net to delete'!D:D,'Classic Net to delete'!A:A,"")</f>
        <v/>
      </c>
    </row>
    <row r="843" spans="1:16" x14ac:dyDescent="0.25">
      <c r="A843" t="s">
        <v>716</v>
      </c>
      <c r="B843" t="s">
        <v>717</v>
      </c>
      <c r="C843" t="s">
        <v>717</v>
      </c>
      <c r="D843">
        <v>13.3</v>
      </c>
      <c r="E843" t="s">
        <v>593</v>
      </c>
      <c r="F843" s="186" t="s">
        <v>715</v>
      </c>
      <c r="H843" t="b">
        <v>1</v>
      </c>
      <c r="I843" t="s">
        <v>22</v>
      </c>
      <c r="J843" s="186" t="s">
        <v>541</v>
      </c>
      <c r="M843">
        <f>IFERROR(_xlfn.XLOOKUP(A843,Fleet!A:A,Fleet!E:E,""),"")</f>
        <v>4</v>
      </c>
      <c r="N843" t="s">
        <v>22</v>
      </c>
      <c r="P843" t="str">
        <f>_xlfn.XLOOKUP(A843,'Classic Net to delete'!D:D,'Classic Net to delete'!A:A,"")</f>
        <v/>
      </c>
    </row>
    <row r="844" spans="1:16" x14ac:dyDescent="0.25">
      <c r="A844" t="s">
        <v>718</v>
      </c>
      <c r="B844" t="s">
        <v>719</v>
      </c>
      <c r="C844" t="s">
        <v>719</v>
      </c>
      <c r="D844">
        <v>13.3</v>
      </c>
      <c r="E844" t="s">
        <v>593</v>
      </c>
      <c r="F844" s="186" t="s">
        <v>715</v>
      </c>
      <c r="H844" t="b">
        <v>1</v>
      </c>
      <c r="I844" t="s">
        <v>22</v>
      </c>
      <c r="J844" s="186" t="s">
        <v>541</v>
      </c>
      <c r="M844">
        <f>IFERROR(_xlfn.XLOOKUP(A844,Fleet!A:A,Fleet!E:E,""),"")</f>
        <v>2</v>
      </c>
      <c r="N844" t="s">
        <v>22</v>
      </c>
      <c r="P844" t="str">
        <f>_xlfn.XLOOKUP(A844,'Classic Net to delete'!D:D,'Classic Net to delete'!A:A,"")</f>
        <v/>
      </c>
    </row>
    <row r="845" spans="1:16" x14ac:dyDescent="0.25">
      <c r="A845" t="s">
        <v>726</v>
      </c>
      <c r="B845" t="s">
        <v>727</v>
      </c>
      <c r="C845" t="s">
        <v>727</v>
      </c>
      <c r="D845">
        <v>100.2</v>
      </c>
      <c r="E845" t="s">
        <v>593</v>
      </c>
      <c r="F845" s="186" t="s">
        <v>538</v>
      </c>
      <c r="H845" t="b">
        <v>1</v>
      </c>
      <c r="I845" t="s">
        <v>22</v>
      </c>
      <c r="J845" s="186" t="s">
        <v>541</v>
      </c>
      <c r="M845">
        <f>IFERROR(_xlfn.XLOOKUP(A845,Fleet!A:A,Fleet!E:E,""),"")</f>
        <v>3</v>
      </c>
      <c r="N845" t="s">
        <v>22</v>
      </c>
      <c r="P845" t="str">
        <f>_xlfn.XLOOKUP(A845,'Classic Net to delete'!D:D,'Classic Net to delete'!A:A,"")</f>
        <v/>
      </c>
    </row>
    <row r="846" spans="1:16" x14ac:dyDescent="0.25">
      <c r="A846" t="s">
        <v>692</v>
      </c>
      <c r="B846" t="s">
        <v>693</v>
      </c>
      <c r="C846" t="s">
        <v>693</v>
      </c>
      <c r="D846">
        <v>61</v>
      </c>
      <c r="E846" t="s">
        <v>593</v>
      </c>
      <c r="F846" s="186" t="s">
        <v>577</v>
      </c>
      <c r="H846" t="b">
        <v>1</v>
      </c>
      <c r="I846" t="s">
        <v>22</v>
      </c>
      <c r="J846" s="186" t="s">
        <v>541</v>
      </c>
      <c r="M846">
        <f>IFERROR(_xlfn.XLOOKUP(A846,Fleet!A:A,Fleet!E:E,""),"")</f>
        <v>3</v>
      </c>
      <c r="N846" t="s">
        <v>22</v>
      </c>
      <c r="P846" t="str">
        <f>_xlfn.XLOOKUP(A846,'Classic Net to delete'!D:D,'Classic Net to delete'!A:A,"")</f>
        <v/>
      </c>
    </row>
    <row r="847" spans="1:16" x14ac:dyDescent="0.25">
      <c r="A847" t="s">
        <v>728</v>
      </c>
      <c r="B847" t="s">
        <v>729</v>
      </c>
      <c r="C847" t="s">
        <v>729</v>
      </c>
      <c r="D847">
        <v>76.75</v>
      </c>
      <c r="E847" t="s">
        <v>593</v>
      </c>
      <c r="F847" s="186" t="s">
        <v>538</v>
      </c>
      <c r="H847" t="b">
        <v>1</v>
      </c>
      <c r="I847" t="s">
        <v>22</v>
      </c>
      <c r="J847" s="186" t="s">
        <v>541</v>
      </c>
      <c r="M847">
        <f>IFERROR(_xlfn.XLOOKUP(A847,Fleet!A:A,Fleet!E:E,""),"")</f>
        <v>3</v>
      </c>
      <c r="N847" t="s">
        <v>22</v>
      </c>
      <c r="P847" t="str">
        <f>_xlfn.XLOOKUP(A847,'Classic Net to delete'!D:D,'Classic Net to delete'!A:A,"")</f>
        <v/>
      </c>
    </row>
    <row r="848" spans="1:16" x14ac:dyDescent="0.25">
      <c r="A848" t="s">
        <v>704</v>
      </c>
      <c r="B848" t="s">
        <v>705</v>
      </c>
      <c r="C848" t="s">
        <v>705</v>
      </c>
      <c r="D848">
        <v>66</v>
      </c>
      <c r="E848" t="s">
        <v>593</v>
      </c>
      <c r="F848" s="186" t="s">
        <v>593</v>
      </c>
      <c r="H848" t="b">
        <v>1</v>
      </c>
      <c r="I848" t="s">
        <v>22</v>
      </c>
      <c r="J848" s="186" t="s">
        <v>541</v>
      </c>
      <c r="M848" t="str">
        <f>IFERROR(_xlfn.XLOOKUP(A848,Fleet!A:A,Fleet!E:E,""),"")</f>
        <v/>
      </c>
      <c r="N848" t="s">
        <v>22</v>
      </c>
      <c r="P848" t="str">
        <f>_xlfn.XLOOKUP(A848,'Classic Net to delete'!D:D,'Classic Net to delete'!A:A,"")</f>
        <v/>
      </c>
    </row>
    <row r="849" spans="1:16" x14ac:dyDescent="0.25">
      <c r="A849" t="s">
        <v>730</v>
      </c>
      <c r="B849" t="s">
        <v>731</v>
      </c>
      <c r="C849" t="s">
        <v>731</v>
      </c>
      <c r="D849">
        <v>200</v>
      </c>
      <c r="E849" t="s">
        <v>593</v>
      </c>
      <c r="F849" s="186" t="s">
        <v>538</v>
      </c>
      <c r="H849" t="b">
        <v>1</v>
      </c>
      <c r="I849" t="s">
        <v>22</v>
      </c>
      <c r="J849" s="186" t="s">
        <v>541</v>
      </c>
      <c r="M849">
        <f>IFERROR(_xlfn.XLOOKUP(A849,Fleet!A:A,Fleet!E:E,""),"")</f>
        <v>1</v>
      </c>
      <c r="N849" t="s">
        <v>22</v>
      </c>
      <c r="P849" t="str">
        <f>_xlfn.XLOOKUP(A849,'Classic Net to delete'!D:D,'Classic Net to delete'!A:A,"")</f>
        <v/>
      </c>
    </row>
    <row r="850" spans="1:16" x14ac:dyDescent="0.25">
      <c r="A850" t="s">
        <v>732</v>
      </c>
      <c r="B850" t="s">
        <v>733</v>
      </c>
      <c r="C850" t="s">
        <v>733</v>
      </c>
      <c r="D850">
        <v>100</v>
      </c>
      <c r="E850" t="s">
        <v>593</v>
      </c>
      <c r="F850" s="186" t="s">
        <v>538</v>
      </c>
      <c r="H850" t="b">
        <v>1</v>
      </c>
      <c r="I850" t="s">
        <v>22</v>
      </c>
      <c r="J850" s="186" t="s">
        <v>541</v>
      </c>
      <c r="M850">
        <f>IFERROR(_xlfn.XLOOKUP(A850,Fleet!A:A,Fleet!E:E,""),"")</f>
        <v>1</v>
      </c>
      <c r="N850" t="s">
        <v>22</v>
      </c>
      <c r="P850" t="str">
        <f>_xlfn.XLOOKUP(A850,'Classic Net to delete'!D:D,'Classic Net to delete'!A:A,"")</f>
        <v/>
      </c>
    </row>
    <row r="851" spans="1:16" x14ac:dyDescent="0.25">
      <c r="A851" t="s">
        <v>1210</v>
      </c>
      <c r="B851" t="s">
        <v>1211</v>
      </c>
      <c r="C851" t="s">
        <v>1211</v>
      </c>
      <c r="D851">
        <v>70.45</v>
      </c>
      <c r="E851" t="s">
        <v>3095</v>
      </c>
      <c r="F851" s="186" t="s">
        <v>1186</v>
      </c>
      <c r="H851" t="b">
        <v>1</v>
      </c>
      <c r="I851">
        <v>70.45</v>
      </c>
      <c r="J851" s="186" t="s">
        <v>1180</v>
      </c>
      <c r="M851">
        <f>IFERROR(_xlfn.XLOOKUP(A851,Fleet!A:A,Fleet!E:E,""),"")</f>
        <v>18</v>
      </c>
      <c r="N851" t="s">
        <v>22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1216</v>
      </c>
      <c r="B852" t="s">
        <v>1217</v>
      </c>
      <c r="C852" t="s">
        <v>1217</v>
      </c>
      <c r="D852">
        <v>67.5</v>
      </c>
      <c r="E852" t="s">
        <v>3095</v>
      </c>
      <c r="F852" s="186" t="s">
        <v>1186</v>
      </c>
      <c r="H852" t="b">
        <v>1</v>
      </c>
      <c r="I852">
        <v>67.5</v>
      </c>
      <c r="J852" s="186" t="s">
        <v>1180</v>
      </c>
      <c r="M852">
        <f>IFERROR(_xlfn.XLOOKUP(A852,Fleet!A:A,Fleet!E:E,""),"")</f>
        <v>11</v>
      </c>
      <c r="N852" t="s">
        <v>22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1207</v>
      </c>
      <c r="B853" t="s">
        <v>1208</v>
      </c>
      <c r="C853" t="s">
        <v>1208</v>
      </c>
      <c r="D853">
        <v>67.5</v>
      </c>
      <c r="E853" t="s">
        <v>3095</v>
      </c>
      <c r="F853" s="186" t="s">
        <v>1186</v>
      </c>
      <c r="H853" t="b">
        <v>1</v>
      </c>
      <c r="I853">
        <v>67.5</v>
      </c>
      <c r="J853" s="186" t="s">
        <v>1180</v>
      </c>
      <c r="M853">
        <f>IFERROR(_xlfn.XLOOKUP(A853,Fleet!A:A,Fleet!E:E,""),"")</f>
        <v>8</v>
      </c>
      <c r="N853" t="s">
        <v>22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1221</v>
      </c>
      <c r="B854" t="s">
        <v>1222</v>
      </c>
      <c r="C854" t="s">
        <v>1222</v>
      </c>
      <c r="D854">
        <v>54.3</v>
      </c>
      <c r="E854" t="s">
        <v>3095</v>
      </c>
      <c r="F854" s="186" t="s">
        <v>1186</v>
      </c>
      <c r="H854" t="b">
        <v>1</v>
      </c>
      <c r="I854">
        <v>54.300000000000004</v>
      </c>
      <c r="J854" s="186" t="s">
        <v>1180</v>
      </c>
      <c r="M854">
        <f>IFERROR(_xlfn.XLOOKUP(A854,Fleet!A:A,Fleet!E:E,""),"")</f>
        <v>1</v>
      </c>
      <c r="N854" t="s">
        <v>22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1224</v>
      </c>
      <c r="B855" t="s">
        <v>1225</v>
      </c>
      <c r="C855" t="s">
        <v>1225</v>
      </c>
      <c r="D855">
        <v>61.1</v>
      </c>
      <c r="E855" t="s">
        <v>3095</v>
      </c>
      <c r="F855" s="186" t="s">
        <v>1181</v>
      </c>
      <c r="H855" t="b">
        <v>1</v>
      </c>
      <c r="I855">
        <v>61.1</v>
      </c>
      <c r="J855" s="186" t="s">
        <v>1180</v>
      </c>
      <c r="M855">
        <f>IFERROR(_xlfn.XLOOKUP(A855,Fleet!A:A,Fleet!E:E,""),"")</f>
        <v>1</v>
      </c>
      <c r="N855" t="s">
        <v>22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1230</v>
      </c>
      <c r="B856" t="s">
        <v>1231</v>
      </c>
      <c r="C856" t="s">
        <v>1231</v>
      </c>
      <c r="D856">
        <v>46</v>
      </c>
      <c r="E856" t="s">
        <v>3095</v>
      </c>
      <c r="F856" s="186" t="s">
        <v>1181</v>
      </c>
      <c r="H856" t="b">
        <v>1</v>
      </c>
      <c r="I856">
        <v>46</v>
      </c>
      <c r="J856" s="186" t="s">
        <v>1180</v>
      </c>
      <c r="M856">
        <f>IFERROR(_xlfn.XLOOKUP(A856,Fleet!A:A,Fleet!E:E,""),"")</f>
        <v>10</v>
      </c>
      <c r="N856" t="s">
        <v>22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1245</v>
      </c>
      <c r="B857" t="s">
        <v>1246</v>
      </c>
      <c r="C857" t="s">
        <v>1246</v>
      </c>
      <c r="D857">
        <v>35.700000000000003</v>
      </c>
      <c r="E857" t="s">
        <v>3095</v>
      </c>
      <c r="F857" s="186" t="s">
        <v>1181</v>
      </c>
      <c r="H857" t="b">
        <v>1</v>
      </c>
      <c r="I857">
        <v>35.700000000000003</v>
      </c>
      <c r="J857" s="186" t="s">
        <v>1180</v>
      </c>
      <c r="M857">
        <f>IFERROR(_xlfn.XLOOKUP(A857,Fleet!A:A,Fleet!E:E,""),"")</f>
        <v>5</v>
      </c>
      <c r="N857" t="s">
        <v>22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1227</v>
      </c>
      <c r="B858" t="s">
        <v>1228</v>
      </c>
      <c r="C858" t="s">
        <v>1228</v>
      </c>
      <c r="D858">
        <v>43.05</v>
      </c>
      <c r="E858" t="s">
        <v>3095</v>
      </c>
      <c r="F858" s="186" t="s">
        <v>1181</v>
      </c>
      <c r="H858" t="b">
        <v>1</v>
      </c>
      <c r="I858">
        <v>43.050000000000004</v>
      </c>
      <c r="J858" s="186" t="s">
        <v>1180</v>
      </c>
      <c r="M858">
        <f>IFERROR(_xlfn.XLOOKUP(A858,Fleet!A:A,Fleet!E:E,""),"")</f>
        <v>3</v>
      </c>
      <c r="N858" t="s">
        <v>22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1204</v>
      </c>
      <c r="B859" t="s">
        <v>1205</v>
      </c>
      <c r="C859" t="s">
        <v>1205</v>
      </c>
      <c r="D859">
        <v>77.849999999999994</v>
      </c>
      <c r="E859" t="s">
        <v>3095</v>
      </c>
      <c r="F859" s="186" t="s">
        <v>1186</v>
      </c>
      <c r="H859" t="b">
        <v>1</v>
      </c>
      <c r="I859">
        <v>77.850000000000009</v>
      </c>
      <c r="J859" s="186" t="s">
        <v>1180</v>
      </c>
      <c r="M859">
        <f>IFERROR(_xlfn.XLOOKUP(A859,Fleet!A:A,Fleet!E:E,""),"")</f>
        <v>5</v>
      </c>
      <c r="N859" t="s">
        <v>22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1187</v>
      </c>
      <c r="B860" t="s">
        <v>1188</v>
      </c>
      <c r="C860" t="s">
        <v>1188</v>
      </c>
      <c r="D860">
        <v>70.45</v>
      </c>
      <c r="E860" t="s">
        <v>3095</v>
      </c>
      <c r="F860" s="186" t="s">
        <v>1186</v>
      </c>
      <c r="H860" t="b">
        <v>1</v>
      </c>
      <c r="I860" t="s">
        <v>22</v>
      </c>
      <c r="J860" s="186" t="s">
        <v>1180</v>
      </c>
      <c r="M860">
        <f>IFERROR(_xlfn.XLOOKUP(A860,Fleet!A:A,Fleet!E:E,""),"")</f>
        <v>3</v>
      </c>
      <c r="N860" t="s">
        <v>22</v>
      </c>
      <c r="P860" t="str">
        <f>_xlfn.XLOOKUP(A860,'Classic Net to delete'!D:D,'Classic Net to delete'!A:A,"")</f>
        <v/>
      </c>
    </row>
    <row r="861" spans="1:16" x14ac:dyDescent="0.25">
      <c r="A861" t="s">
        <v>1233</v>
      </c>
      <c r="B861" t="s">
        <v>1234</v>
      </c>
      <c r="C861" t="s">
        <v>1234</v>
      </c>
      <c r="D861">
        <v>61.35</v>
      </c>
      <c r="E861" t="s">
        <v>3095</v>
      </c>
      <c r="F861" s="186" t="s">
        <v>1181</v>
      </c>
      <c r="H861" t="b">
        <v>1</v>
      </c>
      <c r="I861">
        <v>61.35</v>
      </c>
      <c r="J861" s="186" t="s">
        <v>1180</v>
      </c>
      <c r="M861">
        <f>IFERROR(_xlfn.XLOOKUP(A861,Fleet!A:A,Fleet!E:E,""),"")</f>
        <v>7</v>
      </c>
      <c r="N861" t="s">
        <v>22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1218</v>
      </c>
      <c r="B862" t="s">
        <v>3958</v>
      </c>
      <c r="C862" t="s">
        <v>1219</v>
      </c>
      <c r="D862">
        <v>43.95</v>
      </c>
      <c r="E862" t="s">
        <v>3095</v>
      </c>
      <c r="F862" s="186" t="s">
        <v>1186</v>
      </c>
      <c r="H862" t="b">
        <v>1</v>
      </c>
      <c r="I862">
        <v>43.95</v>
      </c>
      <c r="J862" s="186" t="s">
        <v>1180</v>
      </c>
      <c r="M862" t="str">
        <f>IFERROR(_xlfn.XLOOKUP(A862,Fleet!A:A,Fleet!E:E,""),"")</f>
        <v/>
      </c>
      <c r="N862" t="s">
        <v>22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1251</v>
      </c>
      <c r="B863" t="s">
        <v>1252</v>
      </c>
      <c r="C863" t="s">
        <v>1252</v>
      </c>
      <c r="D863">
        <v>68.150000000000006</v>
      </c>
      <c r="E863" t="s">
        <v>3095</v>
      </c>
      <c r="F863" s="186" t="s">
        <v>1181</v>
      </c>
      <c r="H863" t="b">
        <v>1</v>
      </c>
      <c r="I863">
        <v>68.150000000000006</v>
      </c>
      <c r="J863" s="186" t="s">
        <v>1180</v>
      </c>
      <c r="M863">
        <f>IFERROR(_xlfn.XLOOKUP(A863,Fleet!A:A,Fleet!E:E,""),"")</f>
        <v>5</v>
      </c>
      <c r="N863" t="s">
        <v>22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1195</v>
      </c>
      <c r="B864" t="s">
        <v>1196</v>
      </c>
      <c r="C864" t="s">
        <v>1196</v>
      </c>
      <c r="D864">
        <v>48.65</v>
      </c>
      <c r="E864" t="s">
        <v>3095</v>
      </c>
      <c r="F864" s="186" t="s">
        <v>1186</v>
      </c>
      <c r="H864" t="b">
        <v>1</v>
      </c>
      <c r="I864" t="s">
        <v>22</v>
      </c>
      <c r="J864" s="186" t="s">
        <v>1180</v>
      </c>
      <c r="M864">
        <f>IFERROR(_xlfn.XLOOKUP(A864,Fleet!A:A,Fleet!E:E,""),"")</f>
        <v>1</v>
      </c>
      <c r="N864" t="s">
        <v>22</v>
      </c>
      <c r="P864" t="str">
        <f>_xlfn.XLOOKUP(A864,'Classic Net to delete'!D:D,'Classic Net to delete'!A:A,"")</f>
        <v/>
      </c>
    </row>
    <row r="865" spans="1:16" x14ac:dyDescent="0.25">
      <c r="A865" t="s">
        <v>1178</v>
      </c>
      <c r="B865" t="s">
        <v>1179</v>
      </c>
      <c r="C865" t="s">
        <v>1179</v>
      </c>
      <c r="D865">
        <v>50.1</v>
      </c>
      <c r="E865" t="s">
        <v>3095</v>
      </c>
      <c r="F865" s="186" t="s">
        <v>1181</v>
      </c>
      <c r="H865" t="b">
        <v>1</v>
      </c>
      <c r="I865" t="s">
        <v>22</v>
      </c>
      <c r="J865" s="186" t="s">
        <v>1180</v>
      </c>
      <c r="M865">
        <f>IFERROR(_xlfn.XLOOKUP(A865,Fleet!A:A,Fleet!E:E,""),"")</f>
        <v>4</v>
      </c>
      <c r="N865" t="s">
        <v>22</v>
      </c>
      <c r="P865" t="str">
        <f>_xlfn.XLOOKUP(A865,'Classic Net to delete'!D:D,'Classic Net to delete'!A:A,"")</f>
        <v/>
      </c>
    </row>
    <row r="866" spans="1:16" x14ac:dyDescent="0.25">
      <c r="A866" t="s">
        <v>1236</v>
      </c>
      <c r="B866" t="s">
        <v>1237</v>
      </c>
      <c r="C866" t="s">
        <v>1237</v>
      </c>
      <c r="D866">
        <v>48.95</v>
      </c>
      <c r="E866" t="s">
        <v>3095</v>
      </c>
      <c r="F866" s="186" t="s">
        <v>1181</v>
      </c>
      <c r="H866" t="b">
        <v>1</v>
      </c>
      <c r="I866">
        <v>48.95</v>
      </c>
      <c r="J866" s="186" t="s">
        <v>1180</v>
      </c>
      <c r="M866">
        <f>IFERROR(_xlfn.XLOOKUP(A866,Fleet!A:A,Fleet!E:E,""),"")</f>
        <v>3</v>
      </c>
      <c r="N866" t="s">
        <v>22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1199</v>
      </c>
      <c r="B867" t="s">
        <v>1200</v>
      </c>
      <c r="C867" t="s">
        <v>1200</v>
      </c>
      <c r="D867">
        <v>57.3</v>
      </c>
      <c r="E867" t="s">
        <v>3095</v>
      </c>
      <c r="F867" s="186" t="s">
        <v>1186</v>
      </c>
      <c r="H867" t="b">
        <v>1</v>
      </c>
      <c r="I867">
        <v>57.300000000000004</v>
      </c>
      <c r="J867" s="186" t="s">
        <v>1180</v>
      </c>
      <c r="M867">
        <f>IFERROR(_xlfn.XLOOKUP(A867,Fleet!A:A,Fleet!E:E,""),"")</f>
        <v>30</v>
      </c>
      <c r="N867" t="s">
        <v>22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1239</v>
      </c>
      <c r="B868" t="s">
        <v>1240</v>
      </c>
      <c r="C868" t="s">
        <v>1240</v>
      </c>
      <c r="D868">
        <v>56.05</v>
      </c>
      <c r="E868" t="s">
        <v>3095</v>
      </c>
      <c r="F868" s="186" t="s">
        <v>1181</v>
      </c>
      <c r="H868" t="b">
        <v>1</v>
      </c>
      <c r="I868">
        <v>56.050000000000004</v>
      </c>
      <c r="J868" s="186" t="s">
        <v>1180</v>
      </c>
      <c r="M868">
        <f>IFERROR(_xlfn.XLOOKUP(A868,Fleet!A:A,Fleet!E:E,""),"")</f>
        <v>20</v>
      </c>
      <c r="N868" t="s">
        <v>22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1193</v>
      </c>
      <c r="B869" t="s">
        <v>1194</v>
      </c>
      <c r="C869" t="s">
        <v>1194</v>
      </c>
      <c r="D869">
        <v>48.95</v>
      </c>
      <c r="E869" t="s">
        <v>3095</v>
      </c>
      <c r="F869" s="186" t="s">
        <v>1186</v>
      </c>
      <c r="H869" t="b">
        <v>1</v>
      </c>
      <c r="I869" t="s">
        <v>22</v>
      </c>
      <c r="J869" s="186" t="s">
        <v>1180</v>
      </c>
      <c r="M869">
        <f>IFERROR(_xlfn.XLOOKUP(A869,Fleet!A:A,Fleet!E:E,""),"")</f>
        <v>8</v>
      </c>
      <c r="N869" t="s">
        <v>22</v>
      </c>
      <c r="P869" t="str">
        <f>_xlfn.XLOOKUP(A869,'Classic Net to delete'!D:D,'Classic Net to delete'!A:A,"")</f>
        <v/>
      </c>
    </row>
    <row r="870" spans="1:16" x14ac:dyDescent="0.25">
      <c r="A870" t="s">
        <v>1182</v>
      </c>
      <c r="B870" t="s">
        <v>1183</v>
      </c>
      <c r="C870" t="s">
        <v>1183</v>
      </c>
      <c r="D870">
        <v>50.1</v>
      </c>
      <c r="E870" t="s">
        <v>3095</v>
      </c>
      <c r="F870" s="186" t="s">
        <v>1181</v>
      </c>
      <c r="H870" t="b">
        <v>1</v>
      </c>
      <c r="I870" t="s">
        <v>22</v>
      </c>
      <c r="J870" s="186" t="s">
        <v>1180</v>
      </c>
      <c r="M870">
        <f>IFERROR(_xlfn.XLOOKUP(A870,Fleet!A:A,Fleet!E:E,""),"")</f>
        <v>11</v>
      </c>
      <c r="N870" t="s">
        <v>22</v>
      </c>
      <c r="P870" t="str">
        <f>_xlfn.XLOOKUP(A870,'Classic Net to delete'!D:D,'Classic Net to delete'!A:A,"")</f>
        <v/>
      </c>
    </row>
    <row r="871" spans="1:16" x14ac:dyDescent="0.25">
      <c r="A871" t="s">
        <v>1242</v>
      </c>
      <c r="B871" t="s">
        <v>1243</v>
      </c>
      <c r="C871" t="s">
        <v>1243</v>
      </c>
      <c r="D871">
        <v>65.349999999999994</v>
      </c>
      <c r="E871" t="s">
        <v>3095</v>
      </c>
      <c r="F871" s="186" t="s">
        <v>1181</v>
      </c>
      <c r="H871" t="b">
        <v>1</v>
      </c>
      <c r="I871">
        <v>65.350000000000009</v>
      </c>
      <c r="J871" s="186" t="s">
        <v>1180</v>
      </c>
      <c r="M871">
        <f>IFERROR(_xlfn.XLOOKUP(A871,Fleet!A:A,Fleet!E:E,""),"")</f>
        <v>7</v>
      </c>
      <c r="N871" t="s">
        <v>22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1248</v>
      </c>
      <c r="B872" t="s">
        <v>1249</v>
      </c>
      <c r="C872" t="s">
        <v>1249</v>
      </c>
      <c r="D872">
        <v>68.400000000000006</v>
      </c>
      <c r="E872" t="s">
        <v>3095</v>
      </c>
      <c r="F872" s="186" t="s">
        <v>1181</v>
      </c>
      <c r="H872" t="b">
        <v>1</v>
      </c>
      <c r="I872">
        <v>68.400000000000006</v>
      </c>
      <c r="J872" s="186" t="s">
        <v>1180</v>
      </c>
      <c r="M872">
        <f>IFERROR(_xlfn.XLOOKUP(A872,Fleet!A:A,Fleet!E:E,""),"")</f>
        <v>11</v>
      </c>
      <c r="N872" t="s">
        <v>22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1189</v>
      </c>
      <c r="B873" t="s">
        <v>1190</v>
      </c>
      <c r="C873" t="s">
        <v>1190</v>
      </c>
      <c r="D873">
        <v>57.3</v>
      </c>
      <c r="E873" t="s">
        <v>3095</v>
      </c>
      <c r="F873" s="186" t="s">
        <v>1186</v>
      </c>
      <c r="H873" t="b">
        <v>1</v>
      </c>
      <c r="I873" t="s">
        <v>22</v>
      </c>
      <c r="J873" s="186" t="s">
        <v>1180</v>
      </c>
      <c r="M873">
        <f>IFERROR(_xlfn.XLOOKUP(A873,Fleet!A:A,Fleet!E:E,""),"")</f>
        <v>3</v>
      </c>
      <c r="N873" t="s">
        <v>22</v>
      </c>
      <c r="P873" t="str">
        <f>_xlfn.XLOOKUP(A873,'Classic Net to delete'!D:D,'Classic Net to delete'!A:A,"")</f>
        <v/>
      </c>
    </row>
    <row r="874" spans="1:16" x14ac:dyDescent="0.25">
      <c r="A874" t="s">
        <v>1184</v>
      </c>
      <c r="B874" t="s">
        <v>3096</v>
      </c>
      <c r="C874" t="s">
        <v>1185</v>
      </c>
      <c r="D874">
        <v>70.45</v>
      </c>
      <c r="E874" t="s">
        <v>3095</v>
      </c>
      <c r="F874" s="186" t="s">
        <v>1186</v>
      </c>
      <c r="H874" t="b">
        <v>1</v>
      </c>
      <c r="I874" t="s">
        <v>22</v>
      </c>
      <c r="J874" s="186" t="s">
        <v>1180</v>
      </c>
      <c r="M874">
        <f>IFERROR(_xlfn.XLOOKUP(A874,Fleet!A:A,Fleet!E:E,""),"")</f>
        <v>1</v>
      </c>
      <c r="N874" t="s">
        <v>22</v>
      </c>
      <c r="P874" t="str">
        <f>_xlfn.XLOOKUP(A874,'Classic Net to delete'!D:D,'Classic Net to delete'!A:A,"")</f>
        <v/>
      </c>
    </row>
    <row r="875" spans="1:16" x14ac:dyDescent="0.25">
      <c r="A875" t="s">
        <v>1197</v>
      </c>
      <c r="B875" t="s">
        <v>1198</v>
      </c>
      <c r="C875" t="s">
        <v>1198</v>
      </c>
      <c r="D875">
        <v>77.849999999999994</v>
      </c>
      <c r="E875" t="s">
        <v>3095</v>
      </c>
      <c r="F875" s="186" t="s">
        <v>1186</v>
      </c>
      <c r="H875" t="b">
        <v>1</v>
      </c>
      <c r="I875" t="s">
        <v>22</v>
      </c>
      <c r="J875" s="186" t="s">
        <v>1180</v>
      </c>
      <c r="M875">
        <f>IFERROR(_xlfn.XLOOKUP(A875,Fleet!A:A,Fleet!E:E,""),"")</f>
        <v>3</v>
      </c>
      <c r="N875" t="s">
        <v>22</v>
      </c>
      <c r="P875" t="str">
        <f>_xlfn.XLOOKUP(A875,'Classic Net to delete'!D:D,'Classic Net to delete'!A:A,"")</f>
        <v/>
      </c>
    </row>
    <row r="876" spans="1:16" x14ac:dyDescent="0.25">
      <c r="A876" t="s">
        <v>1191</v>
      </c>
      <c r="B876" t="s">
        <v>1192</v>
      </c>
      <c r="C876" t="s">
        <v>1192</v>
      </c>
      <c r="D876">
        <v>67.5</v>
      </c>
      <c r="E876" t="s">
        <v>3095</v>
      </c>
      <c r="F876" s="186" t="s">
        <v>1186</v>
      </c>
      <c r="H876" t="b">
        <v>1</v>
      </c>
      <c r="I876" t="s">
        <v>22</v>
      </c>
      <c r="J876" s="186" t="s">
        <v>1180</v>
      </c>
      <c r="M876">
        <f>IFERROR(_xlfn.XLOOKUP(A876,Fleet!A:A,Fleet!E:E,""),"")</f>
        <v>3</v>
      </c>
      <c r="N876" t="s">
        <v>22</v>
      </c>
      <c r="P876" t="str">
        <f>_xlfn.XLOOKUP(A876,'Classic Net to delete'!D:D,'Classic Net to delete'!A:A,"")</f>
        <v/>
      </c>
    </row>
    <row r="877" spans="1:16" x14ac:dyDescent="0.25">
      <c r="A877" t="s">
        <v>1294</v>
      </c>
      <c r="B877" t="s">
        <v>1295</v>
      </c>
      <c r="C877" t="s">
        <v>1295</v>
      </c>
      <c r="D877">
        <v>16.850000000000001</v>
      </c>
      <c r="E877" t="s">
        <v>3097</v>
      </c>
      <c r="F877" s="186" t="s">
        <v>1259</v>
      </c>
      <c r="H877" t="b">
        <v>1</v>
      </c>
      <c r="I877">
        <v>16.850000000000001</v>
      </c>
      <c r="J877" s="186" t="s">
        <v>1255</v>
      </c>
      <c r="M877">
        <f>IFERROR(_xlfn.XLOOKUP(A877,Fleet!A:A,Fleet!E:E,""),"")</f>
        <v>2</v>
      </c>
      <c r="N877" t="s">
        <v>22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1276</v>
      </c>
      <c r="B878" t="s">
        <v>1277</v>
      </c>
      <c r="C878" t="s">
        <v>1277</v>
      </c>
      <c r="D878">
        <v>22.4</v>
      </c>
      <c r="E878" t="s">
        <v>3097</v>
      </c>
      <c r="F878" s="186" t="s">
        <v>1259</v>
      </c>
      <c r="H878" t="b">
        <v>1</v>
      </c>
      <c r="I878">
        <v>22.400000000000002</v>
      </c>
      <c r="J878" s="186" t="s">
        <v>1255</v>
      </c>
      <c r="M878">
        <f>IFERROR(_xlfn.XLOOKUP(A878,Fleet!A:A,Fleet!E:E,""),"")</f>
        <v>17</v>
      </c>
      <c r="N878" t="s">
        <v>22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1274</v>
      </c>
      <c r="B879" t="s">
        <v>3098</v>
      </c>
      <c r="C879" t="s">
        <v>1275</v>
      </c>
      <c r="D879">
        <v>48.95</v>
      </c>
      <c r="E879" t="s">
        <v>3097</v>
      </c>
      <c r="F879" s="186" t="s">
        <v>1259</v>
      </c>
      <c r="H879" t="b">
        <v>1</v>
      </c>
      <c r="I879">
        <v>48.95</v>
      </c>
      <c r="J879" s="186" t="s">
        <v>1255</v>
      </c>
      <c r="M879">
        <f>IFERROR(_xlfn.XLOOKUP(A879,Fleet!A:A,Fleet!E:E,""),"")</f>
        <v>15</v>
      </c>
      <c r="N879" t="s">
        <v>22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1296</v>
      </c>
      <c r="B880" t="s">
        <v>1297</v>
      </c>
      <c r="C880" t="s">
        <v>1297</v>
      </c>
      <c r="D880">
        <v>16.850000000000001</v>
      </c>
      <c r="E880" t="s">
        <v>3097</v>
      </c>
      <c r="F880" s="186" t="s">
        <v>1259</v>
      </c>
      <c r="H880" t="b">
        <v>1</v>
      </c>
      <c r="I880">
        <v>16.850000000000001</v>
      </c>
      <c r="J880" s="186" t="s">
        <v>1255</v>
      </c>
      <c r="M880">
        <f>IFERROR(_xlfn.XLOOKUP(A880,Fleet!A:A,Fleet!E:E,""),"")</f>
        <v>249</v>
      </c>
      <c r="N880" t="s">
        <v>22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1289</v>
      </c>
      <c r="B881" t="s">
        <v>1290</v>
      </c>
      <c r="C881" t="s">
        <v>1290</v>
      </c>
      <c r="D881">
        <v>35.700000000000003</v>
      </c>
      <c r="E881" t="s">
        <v>3097</v>
      </c>
      <c r="F881" s="186" t="s">
        <v>1259</v>
      </c>
      <c r="H881" t="b">
        <v>1</v>
      </c>
      <c r="I881">
        <v>35.700000000000003</v>
      </c>
      <c r="J881" s="186" t="s">
        <v>1255</v>
      </c>
      <c r="M881">
        <f>IFERROR(_xlfn.XLOOKUP(A881,Fleet!A:A,Fleet!E:E,""),"")</f>
        <v>149</v>
      </c>
      <c r="N881" t="s">
        <v>22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1257</v>
      </c>
      <c r="B882" t="s">
        <v>1258</v>
      </c>
      <c r="C882" t="s">
        <v>1258</v>
      </c>
      <c r="D882">
        <v>35.700000000000003</v>
      </c>
      <c r="E882" t="s">
        <v>3097</v>
      </c>
      <c r="F882" s="186" t="s">
        <v>1259</v>
      </c>
      <c r="H882" t="b">
        <v>0</v>
      </c>
      <c r="I882" t="s">
        <v>22</v>
      </c>
      <c r="J882" s="186" t="s">
        <v>1255</v>
      </c>
      <c r="M882">
        <f>IFERROR(_xlfn.XLOOKUP(A882,Fleet!A:A,Fleet!E:E,""),"")</f>
        <v>40</v>
      </c>
      <c r="N882" t="s">
        <v>22</v>
      </c>
      <c r="P882" t="str">
        <f>_xlfn.XLOOKUP(A882,'Classic Net to delete'!D:D,'Classic Net to delete'!A:A,"")</f>
        <v/>
      </c>
    </row>
    <row r="883" spans="1:16" x14ac:dyDescent="0.25">
      <c r="A883" t="s">
        <v>1260</v>
      </c>
      <c r="B883" t="s">
        <v>3099</v>
      </c>
      <c r="C883" t="s">
        <v>1261</v>
      </c>
      <c r="D883">
        <v>66.349999999999994</v>
      </c>
      <c r="E883" t="s">
        <v>3097</v>
      </c>
      <c r="F883" s="186" t="s">
        <v>1259</v>
      </c>
      <c r="H883" t="b">
        <v>0</v>
      </c>
      <c r="I883" t="s">
        <v>22</v>
      </c>
      <c r="J883" s="186" t="s">
        <v>1255</v>
      </c>
      <c r="M883">
        <f>IFERROR(_xlfn.XLOOKUP(A883,Fleet!A:A,Fleet!E:E,""),"")</f>
        <v>2</v>
      </c>
      <c r="N883" t="s">
        <v>22</v>
      </c>
      <c r="P883" t="str">
        <f>_xlfn.XLOOKUP(A883,'Classic Net to delete'!D:D,'Classic Net to delete'!A:A,"")</f>
        <v/>
      </c>
    </row>
    <row r="884" spans="1:16" x14ac:dyDescent="0.25">
      <c r="A884" t="s">
        <v>1270</v>
      </c>
      <c r="B884" t="s">
        <v>1271</v>
      </c>
      <c r="C884" t="s">
        <v>1271</v>
      </c>
      <c r="D884">
        <v>66.349999999999994</v>
      </c>
      <c r="E884" t="s">
        <v>3097</v>
      </c>
      <c r="F884" s="186" t="s">
        <v>1259</v>
      </c>
      <c r="H884" t="b">
        <v>1</v>
      </c>
      <c r="I884">
        <v>66.350000000000009</v>
      </c>
      <c r="J884" s="186" t="s">
        <v>1255</v>
      </c>
      <c r="M884">
        <f>IFERROR(_xlfn.XLOOKUP(A884,Fleet!A:A,Fleet!E:E,""),"")</f>
        <v>45</v>
      </c>
      <c r="N884" t="s">
        <v>22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1262</v>
      </c>
      <c r="B885" t="s">
        <v>3100</v>
      </c>
      <c r="C885" t="s">
        <v>1263</v>
      </c>
      <c r="D885">
        <v>102</v>
      </c>
      <c r="E885" t="s">
        <v>3097</v>
      </c>
      <c r="F885" s="186" t="s">
        <v>1259</v>
      </c>
      <c r="H885" t="b">
        <v>0</v>
      </c>
      <c r="I885" t="s">
        <v>22</v>
      </c>
      <c r="J885" s="186" t="s">
        <v>1255</v>
      </c>
      <c r="M885">
        <f>IFERROR(_xlfn.XLOOKUP(A885,Fleet!A:A,Fleet!E:E,""),"")</f>
        <v>11</v>
      </c>
      <c r="N885" t="s">
        <v>22</v>
      </c>
      <c r="P885" t="str">
        <f>_xlfn.XLOOKUP(A885,'Classic Net to delete'!D:D,'Classic Net to delete'!A:A,"")</f>
        <v/>
      </c>
    </row>
    <row r="886" spans="1:16" x14ac:dyDescent="0.25">
      <c r="A886" t="s">
        <v>1286</v>
      </c>
      <c r="B886" t="s">
        <v>1287</v>
      </c>
      <c r="C886" t="s">
        <v>1287</v>
      </c>
      <c r="D886">
        <v>61.1</v>
      </c>
      <c r="E886" t="s">
        <v>3097</v>
      </c>
      <c r="F886" s="186" t="s">
        <v>1259</v>
      </c>
      <c r="H886" t="b">
        <v>1</v>
      </c>
      <c r="I886">
        <v>61.1</v>
      </c>
      <c r="J886" s="186" t="s">
        <v>1255</v>
      </c>
      <c r="M886">
        <f>IFERROR(_xlfn.XLOOKUP(A886,Fleet!A:A,Fleet!E:E,""),"")</f>
        <v>228</v>
      </c>
      <c r="N886" t="s">
        <v>22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1266</v>
      </c>
      <c r="B887" t="s">
        <v>1267</v>
      </c>
      <c r="C887" t="s">
        <v>1267</v>
      </c>
      <c r="D887">
        <v>61.1</v>
      </c>
      <c r="E887" t="s">
        <v>3097</v>
      </c>
      <c r="F887" s="186" t="s">
        <v>1259</v>
      </c>
      <c r="H887" t="b">
        <v>0</v>
      </c>
      <c r="I887" t="s">
        <v>22</v>
      </c>
      <c r="J887" s="186" t="s">
        <v>1255</v>
      </c>
      <c r="M887">
        <f>IFERROR(_xlfn.XLOOKUP(A887,Fleet!A:A,Fleet!E:E,""),"")</f>
        <v>64</v>
      </c>
      <c r="N887" t="s">
        <v>22</v>
      </c>
      <c r="P887" t="str">
        <f>_xlfn.XLOOKUP(A887,'Classic Net to delete'!D:D,'Classic Net to delete'!A:A,"")</f>
        <v/>
      </c>
    </row>
    <row r="888" spans="1:16" x14ac:dyDescent="0.25">
      <c r="A888" t="s">
        <v>1314</v>
      </c>
      <c r="B888" t="s">
        <v>1315</v>
      </c>
      <c r="C888" t="s">
        <v>1315</v>
      </c>
      <c r="D888">
        <v>88.45</v>
      </c>
      <c r="E888" t="s">
        <v>3097</v>
      </c>
      <c r="F888" s="186" t="s">
        <v>3959</v>
      </c>
      <c r="H888" t="b">
        <v>1</v>
      </c>
      <c r="I888">
        <v>88.45</v>
      </c>
      <c r="J888" s="186" t="s">
        <v>1255</v>
      </c>
      <c r="M888">
        <f>IFERROR(_xlfn.XLOOKUP(A888,Fleet!A:A,Fleet!E:E,""),"")</f>
        <v>14</v>
      </c>
      <c r="N888" t="s">
        <v>22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1292</v>
      </c>
      <c r="B889" t="s">
        <v>1293</v>
      </c>
      <c r="C889" t="s">
        <v>1293</v>
      </c>
      <c r="D889">
        <v>104.95</v>
      </c>
      <c r="E889" t="s">
        <v>3097</v>
      </c>
      <c r="F889" s="186" t="s">
        <v>1259</v>
      </c>
      <c r="H889" t="b">
        <v>1</v>
      </c>
      <c r="I889">
        <v>104.95</v>
      </c>
      <c r="J889" s="186" t="s">
        <v>1255</v>
      </c>
      <c r="M889">
        <f>IFERROR(_xlfn.XLOOKUP(A889,Fleet!A:A,Fleet!E:E,""),"")</f>
        <v>17</v>
      </c>
      <c r="N889" t="s">
        <v>22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1282</v>
      </c>
      <c r="B890" t="s">
        <v>1283</v>
      </c>
      <c r="C890" t="s">
        <v>1283</v>
      </c>
      <c r="D890">
        <v>48.95</v>
      </c>
      <c r="E890" t="s">
        <v>3097</v>
      </c>
      <c r="F890" s="186" t="s">
        <v>1259</v>
      </c>
      <c r="H890" t="b">
        <v>1</v>
      </c>
      <c r="I890">
        <v>48.95</v>
      </c>
      <c r="J890" s="186" t="s">
        <v>1255</v>
      </c>
      <c r="M890">
        <f>IFERROR(_xlfn.XLOOKUP(A890,Fleet!A:A,Fleet!E:E,""),"")</f>
        <v>30</v>
      </c>
      <c r="N890" t="s">
        <v>22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1279</v>
      </c>
      <c r="B891" t="s">
        <v>1280</v>
      </c>
      <c r="C891" t="s">
        <v>1280</v>
      </c>
      <c r="D891">
        <v>222.5</v>
      </c>
      <c r="E891" t="s">
        <v>3097</v>
      </c>
      <c r="F891" s="186" t="s">
        <v>1259</v>
      </c>
      <c r="H891" t="b">
        <v>1</v>
      </c>
      <c r="I891">
        <v>222.5</v>
      </c>
      <c r="J891" s="186" t="s">
        <v>1255</v>
      </c>
      <c r="M891">
        <f>IFERROR(_xlfn.XLOOKUP(A891,Fleet!A:A,Fleet!E:E,""),"")</f>
        <v>11</v>
      </c>
      <c r="N891" t="s">
        <v>22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1264</v>
      </c>
      <c r="B892" t="s">
        <v>1265</v>
      </c>
      <c r="C892" t="s">
        <v>1265</v>
      </c>
      <c r="D892">
        <v>133.9</v>
      </c>
      <c r="E892" t="s">
        <v>3097</v>
      </c>
      <c r="F892" s="186" t="s">
        <v>1259</v>
      </c>
      <c r="H892" t="b">
        <v>1</v>
      </c>
      <c r="I892" t="s">
        <v>22</v>
      </c>
      <c r="J892" s="186" t="s">
        <v>1255</v>
      </c>
      <c r="M892">
        <f>IFERROR(_xlfn.XLOOKUP(A892,Fleet!A:A,Fleet!E:E,""),"")</f>
        <v>6</v>
      </c>
      <c r="N892" t="s">
        <v>22</v>
      </c>
      <c r="P892" t="str">
        <f>_xlfn.XLOOKUP(A892,'Classic Net to delete'!D:D,'Classic Net to delete'!A:A,"")</f>
        <v/>
      </c>
    </row>
    <row r="893" spans="1:16" x14ac:dyDescent="0.25">
      <c r="A893" t="s">
        <v>1268</v>
      </c>
      <c r="B893" t="s">
        <v>1269</v>
      </c>
      <c r="C893" t="s">
        <v>1269</v>
      </c>
      <c r="D893">
        <v>133.9</v>
      </c>
      <c r="E893" t="s">
        <v>3097</v>
      </c>
      <c r="F893" s="186" t="s">
        <v>1259</v>
      </c>
      <c r="H893" t="b">
        <v>0</v>
      </c>
      <c r="I893" t="s">
        <v>22</v>
      </c>
      <c r="J893" s="186" t="s">
        <v>1255</v>
      </c>
      <c r="M893" t="str">
        <f>IFERROR(_xlfn.XLOOKUP(A893,Fleet!A:A,Fleet!E:E,""),"")</f>
        <v/>
      </c>
      <c r="N893" t="s">
        <v>22</v>
      </c>
      <c r="P893" t="str">
        <f>_xlfn.XLOOKUP(A893,'Classic Net to delete'!D:D,'Classic Net to delete'!A:A,"")</f>
        <v/>
      </c>
    </row>
    <row r="894" spans="1:16" x14ac:dyDescent="0.25">
      <c r="A894" t="s">
        <v>3059</v>
      </c>
      <c r="B894" t="s">
        <v>3060</v>
      </c>
      <c r="C894" t="s">
        <v>3060</v>
      </c>
      <c r="E894" t="s">
        <v>3102</v>
      </c>
      <c r="F894" s="186" t="s">
        <v>1417</v>
      </c>
      <c r="H894" t="b">
        <v>0</v>
      </c>
      <c r="I894" t="s">
        <v>22</v>
      </c>
      <c r="M894">
        <f>IFERROR(_xlfn.XLOOKUP(A894,Fleet!A:A,Fleet!E:E,""),"")</f>
        <v>3</v>
      </c>
      <c r="N894" t="s">
        <v>22</v>
      </c>
      <c r="P894" t="str">
        <f>_xlfn.XLOOKUP(A894,'Classic Net to delete'!D:D,'Classic Net to delete'!A:A,"")</f>
        <v/>
      </c>
    </row>
    <row r="895" spans="1:16" x14ac:dyDescent="0.25">
      <c r="A895" t="s">
        <v>3057</v>
      </c>
      <c r="B895" t="s">
        <v>3058</v>
      </c>
      <c r="C895" t="s">
        <v>3058</v>
      </c>
      <c r="E895" t="s">
        <v>3102</v>
      </c>
      <c r="F895" s="186" t="s">
        <v>1417</v>
      </c>
      <c r="H895" t="b">
        <v>0</v>
      </c>
      <c r="I895" t="s">
        <v>22</v>
      </c>
      <c r="M895">
        <f>IFERROR(_xlfn.XLOOKUP(A895,Fleet!A:A,Fleet!E:E,""),"")</f>
        <v>2</v>
      </c>
      <c r="N895" t="s">
        <v>22</v>
      </c>
      <c r="P895" t="str">
        <f>_xlfn.XLOOKUP(A895,'Classic Net to delete'!D:D,'Classic Net to delete'!A:A,"")</f>
        <v/>
      </c>
    </row>
    <row r="896" spans="1:16" x14ac:dyDescent="0.25">
      <c r="A896" t="s">
        <v>3063</v>
      </c>
      <c r="B896" t="s">
        <v>3064</v>
      </c>
      <c r="C896" t="s">
        <v>3064</v>
      </c>
      <c r="E896" t="s">
        <v>3102</v>
      </c>
      <c r="F896" s="186" t="s">
        <v>1417</v>
      </c>
      <c r="H896" t="b">
        <v>0</v>
      </c>
      <c r="I896" t="s">
        <v>22</v>
      </c>
      <c r="M896">
        <f>IFERROR(_xlfn.XLOOKUP(A896,Fleet!A:A,Fleet!E:E,""),"")</f>
        <v>2</v>
      </c>
      <c r="N896" t="s">
        <v>22</v>
      </c>
      <c r="P896" t="str">
        <f>_xlfn.XLOOKUP(A896,'Classic Net to delete'!D:D,'Classic Net to delete'!A:A,"")</f>
        <v/>
      </c>
    </row>
    <row r="897" spans="1:16" x14ac:dyDescent="0.25">
      <c r="A897" t="s">
        <v>3051</v>
      </c>
      <c r="B897" t="s">
        <v>3052</v>
      </c>
      <c r="C897" t="s">
        <v>3052</v>
      </c>
      <c r="E897" t="s">
        <v>3102</v>
      </c>
      <c r="F897" s="186" t="s">
        <v>1417</v>
      </c>
      <c r="H897" t="b">
        <v>0</v>
      </c>
      <c r="I897" t="s">
        <v>22</v>
      </c>
      <c r="M897">
        <f>IFERROR(_xlfn.XLOOKUP(A897,Fleet!A:A,Fleet!E:E,""),"")</f>
        <v>2</v>
      </c>
      <c r="N897" t="s">
        <v>22</v>
      </c>
      <c r="P897" t="str">
        <f>_xlfn.XLOOKUP(A897,'Classic Net to delete'!D:D,'Classic Net to delete'!A:A,"")</f>
        <v/>
      </c>
    </row>
    <row r="898" spans="1:16" x14ac:dyDescent="0.25">
      <c r="A898" t="s">
        <v>3061</v>
      </c>
      <c r="B898" t="s">
        <v>3103</v>
      </c>
      <c r="C898" t="s">
        <v>3062</v>
      </c>
      <c r="E898" t="s">
        <v>3102</v>
      </c>
      <c r="F898" s="186" t="s">
        <v>1417</v>
      </c>
      <c r="H898" t="b">
        <v>0</v>
      </c>
      <c r="I898" t="s">
        <v>22</v>
      </c>
      <c r="M898">
        <f>IFERROR(_xlfn.XLOOKUP(A898,Fleet!A:A,Fleet!E:E,""),"")</f>
        <v>2</v>
      </c>
      <c r="N898" t="s">
        <v>22</v>
      </c>
      <c r="P898" t="str">
        <f>_xlfn.XLOOKUP(A898,'Classic Net to delete'!D:D,'Classic Net to delete'!A:A,"")</f>
        <v/>
      </c>
    </row>
    <row r="899" spans="1:16" x14ac:dyDescent="0.25">
      <c r="A899" t="s">
        <v>3055</v>
      </c>
      <c r="B899" t="s">
        <v>3056</v>
      </c>
      <c r="C899" t="s">
        <v>3056</v>
      </c>
      <c r="E899" t="s">
        <v>3102</v>
      </c>
      <c r="F899" s="186" t="s">
        <v>1417</v>
      </c>
      <c r="H899" t="b">
        <v>0</v>
      </c>
      <c r="I899" t="s">
        <v>22</v>
      </c>
      <c r="M899">
        <f>IFERROR(_xlfn.XLOOKUP(A899,Fleet!A:A,Fleet!E:E,""),"")</f>
        <v>3</v>
      </c>
      <c r="N899" t="s">
        <v>22</v>
      </c>
      <c r="P899" t="str">
        <f>_xlfn.XLOOKUP(A899,'Classic Net to delete'!D:D,'Classic Net to delete'!A:A,"")</f>
        <v/>
      </c>
    </row>
    <row r="900" spans="1:16" x14ac:dyDescent="0.25">
      <c r="A900" t="s">
        <v>3065</v>
      </c>
      <c r="B900" t="s">
        <v>3101</v>
      </c>
      <c r="C900" t="s">
        <v>3054</v>
      </c>
      <c r="E900" t="s">
        <v>3102</v>
      </c>
      <c r="F900" s="186" t="s">
        <v>1417</v>
      </c>
      <c r="H900" t="b">
        <v>0</v>
      </c>
      <c r="I900" t="s">
        <v>22</v>
      </c>
      <c r="M900">
        <f>IFERROR(_xlfn.XLOOKUP(A900,Fleet!A:A,Fleet!E:E,""),"")</f>
        <v>47</v>
      </c>
      <c r="N900" t="s">
        <v>22</v>
      </c>
      <c r="P900" t="str">
        <f>_xlfn.XLOOKUP(A900,'Classic Net to delete'!D:D,'Classic Net to delete'!A:A,"")</f>
        <v/>
      </c>
    </row>
    <row r="901" spans="1:16" x14ac:dyDescent="0.25">
      <c r="A901" t="s">
        <v>3053</v>
      </c>
      <c r="B901" t="s">
        <v>3960</v>
      </c>
      <c r="C901" t="s">
        <v>3054</v>
      </c>
      <c r="E901" t="s">
        <v>3102</v>
      </c>
      <c r="F901" s="186" t="s">
        <v>1417</v>
      </c>
      <c r="H901" t="b">
        <v>0</v>
      </c>
      <c r="I901" t="s">
        <v>22</v>
      </c>
      <c r="M901" t="str">
        <f>IFERROR(_xlfn.XLOOKUP(A901,Fleet!A:A,Fleet!E:E,""),"")</f>
        <v/>
      </c>
      <c r="N901" t="s">
        <v>22</v>
      </c>
      <c r="P901" t="str">
        <f>_xlfn.XLOOKUP(A901,'Classic Net to delete'!D:D,'Classic Net to delete'!A:A,"")</f>
        <v/>
      </c>
    </row>
    <row r="902" spans="1:16" x14ac:dyDescent="0.25">
      <c r="A902" t="s">
        <v>1340</v>
      </c>
      <c r="B902" t="s">
        <v>1341</v>
      </c>
      <c r="C902" t="s">
        <v>1341</v>
      </c>
      <c r="D902">
        <v>68.7</v>
      </c>
      <c r="E902" t="s">
        <v>3104</v>
      </c>
      <c r="F902" s="186" t="s">
        <v>1329</v>
      </c>
      <c r="H902" t="b">
        <v>1</v>
      </c>
      <c r="I902">
        <v>68.7</v>
      </c>
      <c r="J902" s="186" t="s">
        <v>1328</v>
      </c>
      <c r="M902">
        <f>IFERROR(_xlfn.XLOOKUP(A902,Fleet!A:A,Fleet!E:E,""),"")</f>
        <v>13</v>
      </c>
      <c r="N902" t="s">
        <v>22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1361</v>
      </c>
      <c r="B903" t="s">
        <v>3105</v>
      </c>
      <c r="C903" t="s">
        <v>1362</v>
      </c>
      <c r="D903">
        <v>18.600000000000001</v>
      </c>
      <c r="E903" t="s">
        <v>3104</v>
      </c>
      <c r="F903" s="186" t="s">
        <v>722</v>
      </c>
      <c r="H903" t="b">
        <v>1</v>
      </c>
      <c r="I903">
        <v>18.600000000000001</v>
      </c>
      <c r="J903" s="186" t="s">
        <v>1328</v>
      </c>
      <c r="M903">
        <f>IFERROR(_xlfn.XLOOKUP(A903,Fleet!A:A,Fleet!E:E,""),"")</f>
        <v>1</v>
      </c>
      <c r="N903" t="s">
        <v>22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1351</v>
      </c>
      <c r="B904" t="s">
        <v>1352</v>
      </c>
      <c r="C904" t="s">
        <v>1352</v>
      </c>
      <c r="D904">
        <v>68.7</v>
      </c>
      <c r="E904" t="s">
        <v>3104</v>
      </c>
      <c r="F904" s="186" t="s">
        <v>1329</v>
      </c>
      <c r="H904" t="b">
        <v>1</v>
      </c>
      <c r="I904">
        <v>68.7</v>
      </c>
      <c r="J904" s="186" t="s">
        <v>1328</v>
      </c>
      <c r="M904">
        <f>IFERROR(_xlfn.XLOOKUP(A904,Fleet!A:A,Fleet!E:E,""),"")</f>
        <v>1</v>
      </c>
      <c r="N904" t="s">
        <v>22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1353</v>
      </c>
      <c r="B905" t="s">
        <v>1354</v>
      </c>
      <c r="C905" t="s">
        <v>1354</v>
      </c>
      <c r="D905">
        <v>78.849999999999994</v>
      </c>
      <c r="E905" t="s">
        <v>3104</v>
      </c>
      <c r="F905" s="186" t="s">
        <v>1329</v>
      </c>
      <c r="H905" t="b">
        <v>1</v>
      </c>
      <c r="I905">
        <v>78.850000000000009</v>
      </c>
      <c r="J905" s="186" t="s">
        <v>1328</v>
      </c>
      <c r="M905">
        <f>IFERROR(_xlfn.XLOOKUP(A905,Fleet!A:A,Fleet!E:E,""),"")</f>
        <v>5</v>
      </c>
      <c r="N905" t="s">
        <v>22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1363</v>
      </c>
      <c r="B906" t="s">
        <v>1364</v>
      </c>
      <c r="C906" t="s">
        <v>1364</v>
      </c>
      <c r="D906">
        <v>21.25</v>
      </c>
      <c r="E906" t="s">
        <v>3104</v>
      </c>
      <c r="F906" s="186" t="s">
        <v>722</v>
      </c>
      <c r="H906" t="b">
        <v>1</v>
      </c>
      <c r="I906">
        <v>21.25</v>
      </c>
      <c r="J906" s="186" t="s">
        <v>1328</v>
      </c>
      <c r="M906">
        <f>IFERROR(_xlfn.XLOOKUP(A906,Fleet!A:A,Fleet!E:E,""),"")</f>
        <v>2</v>
      </c>
      <c r="N906" t="s">
        <v>22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1345</v>
      </c>
      <c r="B907" t="s">
        <v>1346</v>
      </c>
      <c r="C907" t="s">
        <v>1346</v>
      </c>
      <c r="D907">
        <v>62.25</v>
      </c>
      <c r="E907" t="s">
        <v>3104</v>
      </c>
      <c r="F907" s="186" t="s">
        <v>1329</v>
      </c>
      <c r="H907" t="b">
        <v>1</v>
      </c>
      <c r="I907">
        <v>62.25</v>
      </c>
      <c r="J907" s="186" t="s">
        <v>1328</v>
      </c>
      <c r="M907">
        <f>IFERROR(_xlfn.XLOOKUP(A907,Fleet!A:A,Fleet!E:E,""),"")</f>
        <v>4</v>
      </c>
      <c r="N907" t="s">
        <v>22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1349</v>
      </c>
      <c r="B908" t="s">
        <v>1350</v>
      </c>
      <c r="C908" t="s">
        <v>1350</v>
      </c>
      <c r="D908">
        <v>70.45</v>
      </c>
      <c r="E908" t="s">
        <v>3104</v>
      </c>
      <c r="F908" s="186" t="s">
        <v>1329</v>
      </c>
      <c r="H908" t="b">
        <v>1</v>
      </c>
      <c r="I908">
        <v>70.45</v>
      </c>
      <c r="J908" s="186" t="s">
        <v>1328</v>
      </c>
      <c r="M908">
        <f>IFERROR(_xlfn.XLOOKUP(A908,Fleet!A:A,Fleet!E:E,""),"")</f>
        <v>1</v>
      </c>
      <c r="N908" t="s">
        <v>22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1355</v>
      </c>
      <c r="B909" t="s">
        <v>1356</v>
      </c>
      <c r="C909" t="s">
        <v>1356</v>
      </c>
      <c r="D909">
        <v>53.05</v>
      </c>
      <c r="E909" t="s">
        <v>3104</v>
      </c>
      <c r="F909" s="186" t="s">
        <v>1329</v>
      </c>
      <c r="H909" t="b">
        <v>1</v>
      </c>
      <c r="I909">
        <v>53.050000000000004</v>
      </c>
      <c r="J909" s="186" t="s">
        <v>1328</v>
      </c>
      <c r="M909">
        <f>IFERROR(_xlfn.XLOOKUP(A909,Fleet!A:A,Fleet!E:E,""),"")</f>
        <v>5</v>
      </c>
      <c r="N909" t="s">
        <v>22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1337</v>
      </c>
      <c r="B910" t="s">
        <v>1338</v>
      </c>
      <c r="C910" t="s">
        <v>1338</v>
      </c>
      <c r="D910">
        <v>172.2</v>
      </c>
      <c r="E910" t="s">
        <v>3104</v>
      </c>
      <c r="F910" s="186" t="s">
        <v>1329</v>
      </c>
      <c r="H910" t="b">
        <v>1</v>
      </c>
      <c r="I910">
        <v>172.20000000000002</v>
      </c>
      <c r="J910" s="186" t="s">
        <v>1328</v>
      </c>
      <c r="M910">
        <f>IFERROR(_xlfn.XLOOKUP(A910,Fleet!A:A,Fleet!E:E,""),"")</f>
        <v>1</v>
      </c>
      <c r="N910" t="s">
        <v>22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1372</v>
      </c>
      <c r="B911" t="s">
        <v>1373</v>
      </c>
      <c r="C911" t="s">
        <v>1373</v>
      </c>
      <c r="D911">
        <v>107.35</v>
      </c>
      <c r="E911" t="s">
        <v>3104</v>
      </c>
      <c r="F911" s="186" t="s">
        <v>722</v>
      </c>
      <c r="H911" t="b">
        <v>1</v>
      </c>
      <c r="I911">
        <v>107.35000000000001</v>
      </c>
      <c r="J911" s="186" t="s">
        <v>1328</v>
      </c>
      <c r="M911">
        <f>IFERROR(_xlfn.XLOOKUP(A911,Fleet!A:A,Fleet!E:E,""),"")</f>
        <v>3</v>
      </c>
      <c r="N911" t="s">
        <v>22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1358</v>
      </c>
      <c r="B912" t="s">
        <v>1359</v>
      </c>
      <c r="C912" t="s">
        <v>1359</v>
      </c>
      <c r="D912">
        <v>98.15</v>
      </c>
      <c r="E912" t="s">
        <v>3104</v>
      </c>
      <c r="F912" s="186" t="s">
        <v>722</v>
      </c>
      <c r="H912" t="b">
        <v>1</v>
      </c>
      <c r="I912">
        <v>98.15</v>
      </c>
      <c r="J912" s="186" t="s">
        <v>1328</v>
      </c>
      <c r="M912">
        <f>IFERROR(_xlfn.XLOOKUP(A912,Fleet!A:A,Fleet!E:E,""),"")</f>
        <v>1</v>
      </c>
      <c r="N912" t="s">
        <v>22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1334</v>
      </c>
      <c r="B913" t="s">
        <v>1335</v>
      </c>
      <c r="C913" t="s">
        <v>1335</v>
      </c>
      <c r="D913">
        <v>95.2</v>
      </c>
      <c r="E913" t="s">
        <v>3104</v>
      </c>
      <c r="F913" s="186" t="s">
        <v>1329</v>
      </c>
      <c r="H913" t="b">
        <v>0</v>
      </c>
      <c r="I913">
        <v>95.2</v>
      </c>
      <c r="J913" s="186" t="s">
        <v>1328</v>
      </c>
      <c r="M913" t="str">
        <f>IFERROR(_xlfn.XLOOKUP(A913,Fleet!A:A,Fleet!E:E,""),"")</f>
        <v/>
      </c>
      <c r="N913" t="s">
        <v>22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1347</v>
      </c>
      <c r="B914" t="s">
        <v>1348</v>
      </c>
      <c r="C914" t="s">
        <v>1348</v>
      </c>
      <c r="D914">
        <v>62.25</v>
      </c>
      <c r="E914" t="s">
        <v>3104</v>
      </c>
      <c r="F914" s="186" t="s">
        <v>1329</v>
      </c>
      <c r="H914" t="b">
        <v>1</v>
      </c>
      <c r="I914">
        <v>62.25</v>
      </c>
      <c r="J914" s="186" t="s">
        <v>1328</v>
      </c>
      <c r="M914">
        <f>IFERROR(_xlfn.XLOOKUP(A914,Fleet!A:A,Fleet!E:E,""),"")</f>
        <v>5</v>
      </c>
      <c r="N914" t="s">
        <v>22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1342</v>
      </c>
      <c r="B915" t="s">
        <v>1343</v>
      </c>
      <c r="C915" t="s">
        <v>1343</v>
      </c>
      <c r="D915">
        <v>68.7</v>
      </c>
      <c r="E915" t="s">
        <v>3104</v>
      </c>
      <c r="F915" s="186" t="s">
        <v>1329</v>
      </c>
      <c r="H915" t="b">
        <v>1</v>
      </c>
      <c r="I915">
        <v>68.7</v>
      </c>
      <c r="J915" s="186" t="s">
        <v>1328</v>
      </c>
      <c r="M915">
        <f>IFERROR(_xlfn.XLOOKUP(A915,Fleet!A:A,Fleet!E:E,""),"")</f>
        <v>2</v>
      </c>
      <c r="N915" t="s">
        <v>22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1326</v>
      </c>
      <c r="B916" t="s">
        <v>1327</v>
      </c>
      <c r="C916" t="s">
        <v>1327</v>
      </c>
      <c r="D916">
        <v>78.849999999999994</v>
      </c>
      <c r="E916" t="s">
        <v>3104</v>
      </c>
      <c r="F916" s="186" t="s">
        <v>1329</v>
      </c>
      <c r="H916" t="b">
        <v>1</v>
      </c>
      <c r="I916" t="s">
        <v>22</v>
      </c>
      <c r="J916" s="186" t="s">
        <v>1328</v>
      </c>
      <c r="M916">
        <f>IFERROR(_xlfn.XLOOKUP(A916,Fleet!A:A,Fleet!E:E,""),"")</f>
        <v>2</v>
      </c>
      <c r="N916" t="s">
        <v>22</v>
      </c>
      <c r="P916" t="str">
        <f>_xlfn.XLOOKUP(A916,'Classic Net to delete'!D:D,'Classic Net to delete'!A:A,"")</f>
        <v/>
      </c>
    </row>
    <row r="917" spans="1:16" x14ac:dyDescent="0.25">
      <c r="A917" t="s">
        <v>1330</v>
      </c>
      <c r="B917" t="s">
        <v>1331</v>
      </c>
      <c r="C917" t="s">
        <v>1331</v>
      </c>
      <c r="D917">
        <v>78.849999999999994</v>
      </c>
      <c r="E917" t="s">
        <v>3104</v>
      </c>
      <c r="F917" s="186" t="s">
        <v>1329</v>
      </c>
      <c r="H917" t="b">
        <v>1</v>
      </c>
      <c r="I917" t="s">
        <v>22</v>
      </c>
      <c r="J917" s="186" t="s">
        <v>1328</v>
      </c>
      <c r="M917">
        <f>IFERROR(_xlfn.XLOOKUP(A917,Fleet!A:A,Fleet!E:E,""),"")</f>
        <v>2</v>
      </c>
      <c r="N917" t="s">
        <v>22</v>
      </c>
      <c r="P917" t="str">
        <f>_xlfn.XLOOKUP(A917,'Classic Net to delete'!D:D,'Classic Net to delete'!A:A,"")</f>
        <v/>
      </c>
    </row>
    <row r="918" spans="1:16" x14ac:dyDescent="0.25">
      <c r="A918" t="s">
        <v>1332</v>
      </c>
      <c r="B918" t="s">
        <v>1333</v>
      </c>
      <c r="C918" t="s">
        <v>1333</v>
      </c>
      <c r="D918">
        <v>133.9</v>
      </c>
      <c r="E918" t="s">
        <v>3104</v>
      </c>
      <c r="F918" s="186" t="s">
        <v>1329</v>
      </c>
      <c r="H918" t="b">
        <v>1</v>
      </c>
      <c r="I918" t="s">
        <v>22</v>
      </c>
      <c r="J918" s="186" t="s">
        <v>1328</v>
      </c>
      <c r="M918">
        <f>IFERROR(_xlfn.XLOOKUP(A918,Fleet!A:A,Fleet!E:E,""),"")</f>
        <v>2</v>
      </c>
      <c r="N918" t="s">
        <v>22</v>
      </c>
      <c r="P918" t="str">
        <f>_xlfn.XLOOKUP(A918,'Classic Net to delete'!D:D,'Classic Net to delete'!A:A,"")</f>
        <v/>
      </c>
    </row>
    <row r="919" spans="1:16" x14ac:dyDescent="0.25">
      <c r="A919" t="s">
        <v>1587</v>
      </c>
      <c r="B919" t="s">
        <v>1588</v>
      </c>
      <c r="C919" t="s">
        <v>1588</v>
      </c>
      <c r="D919">
        <v>73.45</v>
      </c>
      <c r="E919" t="s">
        <v>3106</v>
      </c>
      <c r="F919" s="186" t="s">
        <v>1459</v>
      </c>
      <c r="H919" t="b">
        <v>1</v>
      </c>
      <c r="I919">
        <v>73.45</v>
      </c>
      <c r="J919" s="186" t="s">
        <v>1380</v>
      </c>
      <c r="M919">
        <f>IFERROR(_xlfn.XLOOKUP(A919,Fleet!A:A,Fleet!E:E,""),"")</f>
        <v>20</v>
      </c>
      <c r="N919" t="s">
        <v>22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1406</v>
      </c>
      <c r="B920" t="s">
        <v>1407</v>
      </c>
      <c r="C920" t="s">
        <v>1407</v>
      </c>
      <c r="D920">
        <v>33.049999999999997</v>
      </c>
      <c r="E920" t="s">
        <v>3106</v>
      </c>
      <c r="F920" s="186" t="s">
        <v>1387</v>
      </c>
      <c r="H920" t="b">
        <v>0</v>
      </c>
      <c r="I920" t="s">
        <v>22</v>
      </c>
      <c r="J920" s="186" t="s">
        <v>1380</v>
      </c>
      <c r="M920">
        <f>IFERROR(_xlfn.XLOOKUP(A920,Fleet!A:A,Fleet!E:E,""),"")</f>
        <v>3</v>
      </c>
      <c r="N920" t="s">
        <v>22</v>
      </c>
      <c r="P920" t="str">
        <f>_xlfn.XLOOKUP(A920,'Classic Net to delete'!D:D,'Classic Net to delete'!A:A,"")</f>
        <v/>
      </c>
    </row>
    <row r="921" spans="1:16" x14ac:dyDescent="0.25">
      <c r="A921" t="s">
        <v>1542</v>
      </c>
      <c r="B921" t="s">
        <v>1543</v>
      </c>
      <c r="C921" t="s">
        <v>1543</v>
      </c>
      <c r="D921">
        <v>176.6</v>
      </c>
      <c r="E921" t="s">
        <v>3106</v>
      </c>
      <c r="F921" s="186" t="s">
        <v>1387</v>
      </c>
      <c r="H921" t="b">
        <v>1</v>
      </c>
      <c r="I921">
        <v>176.60000000000002</v>
      </c>
      <c r="J921" s="186" t="s">
        <v>1380</v>
      </c>
      <c r="M921">
        <f>IFERROR(_xlfn.XLOOKUP(A921,Fleet!A:A,Fleet!E:E,""),"")</f>
        <v>1</v>
      </c>
      <c r="N921" t="s">
        <v>22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1539</v>
      </c>
      <c r="B922" t="s">
        <v>1540</v>
      </c>
      <c r="C922" t="s">
        <v>1540</v>
      </c>
      <c r="D922">
        <v>33.049999999999997</v>
      </c>
      <c r="E922" t="s">
        <v>3106</v>
      </c>
      <c r="F922" s="186" t="s">
        <v>1387</v>
      </c>
      <c r="H922" t="b">
        <v>1</v>
      </c>
      <c r="I922">
        <v>33.050000000000004</v>
      </c>
      <c r="J922" s="186" t="s">
        <v>1380</v>
      </c>
      <c r="M922">
        <f>IFERROR(_xlfn.XLOOKUP(A922,Fleet!A:A,Fleet!E:E,""),"")</f>
        <v>11</v>
      </c>
      <c r="N922" t="s">
        <v>22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1624</v>
      </c>
      <c r="B923" t="s">
        <v>1625</v>
      </c>
      <c r="C923" t="s">
        <v>1625</v>
      </c>
      <c r="D923">
        <v>72.849999999999994</v>
      </c>
      <c r="E923" t="s">
        <v>3106</v>
      </c>
      <c r="F923" s="186" t="s">
        <v>1459</v>
      </c>
      <c r="H923" t="b">
        <v>1</v>
      </c>
      <c r="I923">
        <v>72.850000000000009</v>
      </c>
      <c r="J923" s="186" t="s">
        <v>1380</v>
      </c>
      <c r="M923">
        <f>IFERROR(_xlfn.XLOOKUP(A923,Fleet!A:A,Fleet!E:E,""),"")</f>
        <v>29</v>
      </c>
      <c r="N923" t="s">
        <v>22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1412</v>
      </c>
      <c r="B924" t="s">
        <v>3108</v>
      </c>
      <c r="C924" t="s">
        <v>1413</v>
      </c>
      <c r="D924">
        <v>31.9</v>
      </c>
      <c r="E924" t="s">
        <v>3106</v>
      </c>
      <c r="F924" s="186" t="s">
        <v>1387</v>
      </c>
      <c r="H924" t="b">
        <v>0</v>
      </c>
      <c r="I924">
        <v>31.900000000000002</v>
      </c>
      <c r="J924" s="186" t="s">
        <v>1380</v>
      </c>
      <c r="M924">
        <f>IFERROR(_xlfn.XLOOKUP(A924,Fleet!A:A,Fleet!E:E,""),"")</f>
        <v>1</v>
      </c>
      <c r="N924" t="s">
        <v>22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1385</v>
      </c>
      <c r="B925" t="s">
        <v>3109</v>
      </c>
      <c r="C925" t="s">
        <v>1386</v>
      </c>
      <c r="D925">
        <v>44.55</v>
      </c>
      <c r="E925" t="s">
        <v>3106</v>
      </c>
      <c r="F925" s="186" t="s">
        <v>1387</v>
      </c>
      <c r="H925" t="b">
        <v>0</v>
      </c>
      <c r="I925" t="s">
        <v>22</v>
      </c>
      <c r="J925" s="186" t="s">
        <v>1380</v>
      </c>
      <c r="M925">
        <f>IFERROR(_xlfn.XLOOKUP(A925,Fleet!A:A,Fleet!E:E,""),"")</f>
        <v>3</v>
      </c>
      <c r="N925" t="s">
        <v>22</v>
      </c>
      <c r="P925" t="str">
        <f>_xlfn.XLOOKUP(A925,'Classic Net to delete'!D:D,'Classic Net to delete'!A:A,"")</f>
        <v/>
      </c>
    </row>
    <row r="926" spans="1:16" x14ac:dyDescent="0.25">
      <c r="A926" t="s">
        <v>1388</v>
      </c>
      <c r="B926" t="s">
        <v>3110</v>
      </c>
      <c r="C926" t="s">
        <v>1389</v>
      </c>
      <c r="D926">
        <v>57.2</v>
      </c>
      <c r="E926" t="s">
        <v>3106</v>
      </c>
      <c r="F926" s="186" t="s">
        <v>1387</v>
      </c>
      <c r="H926" t="b">
        <v>0</v>
      </c>
      <c r="I926" t="s">
        <v>22</v>
      </c>
      <c r="J926" s="186" t="s">
        <v>1380</v>
      </c>
      <c r="M926">
        <f>IFERROR(_xlfn.XLOOKUP(A926,Fleet!A:A,Fleet!E:E,""),"")</f>
        <v>1</v>
      </c>
      <c r="N926" t="s">
        <v>22</v>
      </c>
      <c r="P926" t="str">
        <f>_xlfn.XLOOKUP(A926,'Classic Net to delete'!D:D,'Classic Net to delete'!A:A,"")</f>
        <v/>
      </c>
    </row>
    <row r="927" spans="1:16" x14ac:dyDescent="0.25">
      <c r="A927" t="s">
        <v>1390</v>
      </c>
      <c r="B927" t="s">
        <v>3107</v>
      </c>
      <c r="C927" t="s">
        <v>1391</v>
      </c>
      <c r="D927">
        <v>69.599999999999994</v>
      </c>
      <c r="E927" t="s">
        <v>3106</v>
      </c>
      <c r="F927" s="186" t="s">
        <v>1387</v>
      </c>
      <c r="H927" t="b">
        <v>0</v>
      </c>
      <c r="I927" t="s">
        <v>22</v>
      </c>
      <c r="J927" s="186" t="s">
        <v>1380</v>
      </c>
      <c r="M927">
        <f>IFERROR(_xlfn.XLOOKUP(A927,Fleet!A:A,Fleet!E:E,""),"")</f>
        <v>2</v>
      </c>
      <c r="N927" t="s">
        <v>22</v>
      </c>
      <c r="P927" t="str">
        <f>_xlfn.XLOOKUP(A927,'Classic Net to delete'!D:D,'Classic Net to delete'!A:A,"")</f>
        <v/>
      </c>
    </row>
    <row r="928" spans="1:16" x14ac:dyDescent="0.25">
      <c r="A928" t="s">
        <v>1466</v>
      </c>
      <c r="B928" t="s">
        <v>3112</v>
      </c>
      <c r="C928" t="s">
        <v>1467</v>
      </c>
      <c r="D928">
        <v>45.1</v>
      </c>
      <c r="E928" t="s">
        <v>3106</v>
      </c>
      <c r="F928" s="186" t="s">
        <v>1387</v>
      </c>
      <c r="H928" t="b">
        <v>1</v>
      </c>
      <c r="I928">
        <v>45.1</v>
      </c>
      <c r="J928" s="186" t="s">
        <v>1380</v>
      </c>
      <c r="M928">
        <f>IFERROR(_xlfn.XLOOKUP(A928,Fleet!A:A,Fleet!E:E,""),"")</f>
        <v>2</v>
      </c>
      <c r="N928" t="s">
        <v>22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1394</v>
      </c>
      <c r="B929" t="s">
        <v>3113</v>
      </c>
      <c r="C929" t="s">
        <v>1395</v>
      </c>
      <c r="D929">
        <v>57.8</v>
      </c>
      <c r="E929" t="s">
        <v>3106</v>
      </c>
      <c r="F929" s="186" t="s">
        <v>1387</v>
      </c>
      <c r="H929" t="b">
        <v>0</v>
      </c>
      <c r="I929" t="s">
        <v>22</v>
      </c>
      <c r="J929" s="186" t="s">
        <v>1380</v>
      </c>
      <c r="M929">
        <f>IFERROR(_xlfn.XLOOKUP(A929,Fleet!A:A,Fleet!E:E,""),"")</f>
        <v>1</v>
      </c>
      <c r="N929" t="s">
        <v>22</v>
      </c>
      <c r="P929" t="str">
        <f>_xlfn.XLOOKUP(A929,'Classic Net to delete'!D:D,'Classic Net to delete'!A:A,"")</f>
        <v/>
      </c>
    </row>
    <row r="930" spans="1:16" x14ac:dyDescent="0.25">
      <c r="A930" t="s">
        <v>1396</v>
      </c>
      <c r="B930" t="s">
        <v>3114</v>
      </c>
      <c r="C930" t="s">
        <v>1397</v>
      </c>
      <c r="D930">
        <v>70.45</v>
      </c>
      <c r="E930" t="s">
        <v>3106</v>
      </c>
      <c r="F930" s="186" t="s">
        <v>1387</v>
      </c>
      <c r="H930" t="b">
        <v>0</v>
      </c>
      <c r="I930" t="s">
        <v>22</v>
      </c>
      <c r="J930" s="186" t="s">
        <v>1380</v>
      </c>
      <c r="M930">
        <f>IFERROR(_xlfn.XLOOKUP(A930,Fleet!A:A,Fleet!E:E,""),"")</f>
        <v>1</v>
      </c>
      <c r="N930" t="s">
        <v>22</v>
      </c>
      <c r="P930" t="str">
        <f>_xlfn.XLOOKUP(A930,'Classic Net to delete'!D:D,'Classic Net to delete'!A:A,"")</f>
        <v/>
      </c>
    </row>
    <row r="931" spans="1:16" x14ac:dyDescent="0.25">
      <c r="A931" t="s">
        <v>1398</v>
      </c>
      <c r="B931" t="s">
        <v>3111</v>
      </c>
      <c r="C931" t="s">
        <v>1399</v>
      </c>
      <c r="D931">
        <v>82.85</v>
      </c>
      <c r="E931" t="s">
        <v>3106</v>
      </c>
      <c r="F931" s="186" t="s">
        <v>1387</v>
      </c>
      <c r="H931" t="b">
        <v>0</v>
      </c>
      <c r="I931" t="s">
        <v>22</v>
      </c>
      <c r="J931" s="186" t="s">
        <v>1380</v>
      </c>
      <c r="M931">
        <f>IFERROR(_xlfn.XLOOKUP(A931,Fleet!A:A,Fleet!E:E,""),"")</f>
        <v>2</v>
      </c>
      <c r="N931" t="s">
        <v>22</v>
      </c>
      <c r="P931" t="str">
        <f>_xlfn.XLOOKUP(A931,'Classic Net to delete'!D:D,'Classic Net to delete'!A:A,"")</f>
        <v/>
      </c>
    </row>
    <row r="932" spans="1:16" x14ac:dyDescent="0.25">
      <c r="A932" t="s">
        <v>1400</v>
      </c>
      <c r="B932" t="s">
        <v>3115</v>
      </c>
      <c r="C932" t="s">
        <v>1401</v>
      </c>
      <c r="D932">
        <v>66.95</v>
      </c>
      <c r="E932" t="s">
        <v>3106</v>
      </c>
      <c r="F932" s="186" t="s">
        <v>1387</v>
      </c>
      <c r="H932" t="b">
        <v>0</v>
      </c>
      <c r="I932" t="s">
        <v>22</v>
      </c>
      <c r="J932" s="186" t="s">
        <v>1380</v>
      </c>
      <c r="M932">
        <f>IFERROR(_xlfn.XLOOKUP(A932,Fleet!A:A,Fleet!E:E,""),"")</f>
        <v>4</v>
      </c>
      <c r="N932" t="s">
        <v>22</v>
      </c>
      <c r="P932" t="str">
        <f>_xlfn.XLOOKUP(A932,'Classic Net to delete'!D:D,'Classic Net to delete'!A:A,"")</f>
        <v/>
      </c>
    </row>
    <row r="933" spans="1:16" x14ac:dyDescent="0.25">
      <c r="A933" t="s">
        <v>1571</v>
      </c>
      <c r="B933" t="s">
        <v>1572</v>
      </c>
      <c r="C933" t="s">
        <v>1572</v>
      </c>
      <c r="D933">
        <v>17.399999999999999</v>
      </c>
      <c r="E933" t="s">
        <v>3106</v>
      </c>
      <c r="F933" s="186" t="s">
        <v>1387</v>
      </c>
      <c r="H933" t="b">
        <v>1</v>
      </c>
      <c r="I933">
        <v>17.400000000000002</v>
      </c>
      <c r="J933" s="186" t="s">
        <v>1380</v>
      </c>
      <c r="M933">
        <f>IFERROR(_xlfn.XLOOKUP(A933,Fleet!A:A,Fleet!E:E,""),"")</f>
        <v>2</v>
      </c>
      <c r="N933" t="s">
        <v>22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1504</v>
      </c>
      <c r="B934" t="s">
        <v>1505</v>
      </c>
      <c r="C934" t="s">
        <v>1505</v>
      </c>
      <c r="D934">
        <v>146.25</v>
      </c>
      <c r="E934" t="s">
        <v>3106</v>
      </c>
      <c r="F934" s="186" t="s">
        <v>1387</v>
      </c>
      <c r="H934" t="b">
        <v>1</v>
      </c>
      <c r="I934">
        <v>146.25</v>
      </c>
      <c r="J934" s="186" t="s">
        <v>1380</v>
      </c>
      <c r="M934">
        <f>IFERROR(_xlfn.XLOOKUP(A934,Fleet!A:A,Fleet!E:E,""),"")</f>
        <v>34</v>
      </c>
      <c r="N934" t="s">
        <v>22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1508</v>
      </c>
      <c r="B935" t="s">
        <v>1509</v>
      </c>
      <c r="C935" t="s">
        <v>1509</v>
      </c>
      <c r="D935">
        <v>166.5</v>
      </c>
      <c r="E935" t="s">
        <v>3106</v>
      </c>
      <c r="F935" s="186" t="s">
        <v>1387</v>
      </c>
      <c r="H935" t="b">
        <v>1</v>
      </c>
      <c r="I935">
        <v>166.5</v>
      </c>
      <c r="J935" s="186" t="s">
        <v>1380</v>
      </c>
      <c r="M935">
        <f>IFERROR(_xlfn.XLOOKUP(A935,Fleet!A:A,Fleet!E:E,""),"")</f>
        <v>35</v>
      </c>
      <c r="N935" t="s">
        <v>22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1491</v>
      </c>
      <c r="B936" t="s">
        <v>1492</v>
      </c>
      <c r="C936" t="s">
        <v>1492</v>
      </c>
      <c r="D936">
        <v>28.95</v>
      </c>
      <c r="E936" t="s">
        <v>3106</v>
      </c>
      <c r="F936" s="186" t="s">
        <v>1387</v>
      </c>
      <c r="H936" t="b">
        <v>1</v>
      </c>
      <c r="I936">
        <v>28.950000000000003</v>
      </c>
      <c r="J936" s="186" t="s">
        <v>1380</v>
      </c>
      <c r="M936">
        <f>IFERROR(_xlfn.XLOOKUP(A936,Fleet!A:A,Fleet!E:E,""),"")</f>
        <v>3</v>
      </c>
      <c r="N936" t="s">
        <v>22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1547</v>
      </c>
      <c r="B937" t="s">
        <v>1548</v>
      </c>
      <c r="C937" t="s">
        <v>1548</v>
      </c>
      <c r="D937">
        <v>226.45</v>
      </c>
      <c r="E937" t="s">
        <v>3106</v>
      </c>
      <c r="F937" s="186" t="s">
        <v>1387</v>
      </c>
      <c r="H937" t="b">
        <v>1</v>
      </c>
      <c r="I937">
        <v>226.45000000000002</v>
      </c>
      <c r="J937" s="186" t="s">
        <v>1380</v>
      </c>
      <c r="M937">
        <f>IFERROR(_xlfn.XLOOKUP(A937,Fleet!A:A,Fleet!E:E,""),"")</f>
        <v>4</v>
      </c>
      <c r="N937" t="s">
        <v>22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1618</v>
      </c>
      <c r="B938" t="s">
        <v>1619</v>
      </c>
      <c r="C938" t="s">
        <v>1619</v>
      </c>
      <c r="D938">
        <v>46.4</v>
      </c>
      <c r="E938" t="s">
        <v>3106</v>
      </c>
      <c r="F938" s="186" t="s">
        <v>1459</v>
      </c>
      <c r="H938" t="b">
        <v>1</v>
      </c>
      <c r="I938">
        <v>46.400000000000006</v>
      </c>
      <c r="J938" s="186" t="s">
        <v>1380</v>
      </c>
      <c r="M938">
        <f>IFERROR(_xlfn.XLOOKUP(A938,Fleet!A:A,Fleet!E:E,""),"")</f>
        <v>10</v>
      </c>
      <c r="N938" t="s">
        <v>22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1601</v>
      </c>
      <c r="B939" t="s">
        <v>1602</v>
      </c>
      <c r="C939" t="s">
        <v>1602</v>
      </c>
      <c r="D939">
        <v>33.65</v>
      </c>
      <c r="E939" t="s">
        <v>3106</v>
      </c>
      <c r="F939" s="186" t="s">
        <v>1459</v>
      </c>
      <c r="H939" t="b">
        <v>1</v>
      </c>
      <c r="I939">
        <v>33.65</v>
      </c>
      <c r="J939" s="186" t="s">
        <v>1380</v>
      </c>
      <c r="M939">
        <f>IFERROR(_xlfn.XLOOKUP(A939,Fleet!A:A,Fleet!E:E,""),"")</f>
        <v>61</v>
      </c>
      <c r="N939" t="s">
        <v>22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1584</v>
      </c>
      <c r="B940" t="s">
        <v>1585</v>
      </c>
      <c r="C940" t="s">
        <v>1585</v>
      </c>
      <c r="D940">
        <v>51.65</v>
      </c>
      <c r="E940" t="s">
        <v>3106</v>
      </c>
      <c r="F940" s="186" t="s">
        <v>1459</v>
      </c>
      <c r="H940" t="b">
        <v>1</v>
      </c>
      <c r="I940">
        <v>51.650000000000006</v>
      </c>
      <c r="J940" s="186" t="s">
        <v>1380</v>
      </c>
      <c r="M940">
        <f>IFERROR(_xlfn.XLOOKUP(A940,Fleet!A:A,Fleet!E:E,""),"")</f>
        <v>81</v>
      </c>
      <c r="N940" t="s">
        <v>22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1589</v>
      </c>
      <c r="B941" t="s">
        <v>1590</v>
      </c>
      <c r="C941" t="s">
        <v>1590</v>
      </c>
      <c r="D941">
        <v>64.849999999999994</v>
      </c>
      <c r="E941" t="s">
        <v>3106</v>
      </c>
      <c r="F941" s="186" t="s">
        <v>1459</v>
      </c>
      <c r="H941" t="b">
        <v>1</v>
      </c>
      <c r="I941">
        <v>64.850000000000009</v>
      </c>
      <c r="J941" s="186" t="s">
        <v>1380</v>
      </c>
      <c r="M941">
        <f>IFERROR(_xlfn.XLOOKUP(A941,Fleet!A:A,Fleet!E:E,""),"")</f>
        <v>8</v>
      </c>
      <c r="N941" t="s">
        <v>22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1596</v>
      </c>
      <c r="B942" t="s">
        <v>1597</v>
      </c>
      <c r="C942" t="s">
        <v>1597</v>
      </c>
      <c r="D942">
        <v>125.75</v>
      </c>
      <c r="E942" t="s">
        <v>3106</v>
      </c>
      <c r="F942" s="186" t="s">
        <v>1459</v>
      </c>
      <c r="H942" t="b">
        <v>1</v>
      </c>
      <c r="I942">
        <v>125.75</v>
      </c>
      <c r="J942" s="186" t="s">
        <v>1380</v>
      </c>
      <c r="M942">
        <f>IFERROR(_xlfn.XLOOKUP(A942,Fleet!A:A,Fleet!E:E,""),"")</f>
        <v>5</v>
      </c>
      <c r="N942" t="s">
        <v>22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1581</v>
      </c>
      <c r="B943" t="s">
        <v>1582</v>
      </c>
      <c r="C943" t="s">
        <v>1582</v>
      </c>
      <c r="D943">
        <v>28.95</v>
      </c>
      <c r="E943" t="s">
        <v>3106</v>
      </c>
      <c r="F943" s="186" t="s">
        <v>1459</v>
      </c>
      <c r="H943" t="b">
        <v>1</v>
      </c>
      <c r="I943">
        <v>28.950000000000003</v>
      </c>
      <c r="J943" s="186" t="s">
        <v>1380</v>
      </c>
      <c r="M943">
        <f>IFERROR(_xlfn.XLOOKUP(A943,Fleet!A:A,Fleet!E:E,""),"")</f>
        <v>4</v>
      </c>
      <c r="N943" t="s">
        <v>22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1536</v>
      </c>
      <c r="B944" t="s">
        <v>3118</v>
      </c>
      <c r="C944" t="s">
        <v>1537</v>
      </c>
      <c r="D944">
        <v>136.65</v>
      </c>
      <c r="E944" t="s">
        <v>3106</v>
      </c>
      <c r="F944" s="186" t="s">
        <v>1387</v>
      </c>
      <c r="H944" t="b">
        <v>1</v>
      </c>
      <c r="I944">
        <v>136.65</v>
      </c>
      <c r="J944" s="186" t="s">
        <v>1380</v>
      </c>
      <c r="M944">
        <f>IFERROR(_xlfn.XLOOKUP(A944,Fleet!A:A,Fleet!E:E,""),"")</f>
        <v>26</v>
      </c>
      <c r="N944" t="s">
        <v>22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1489</v>
      </c>
      <c r="B945" t="s">
        <v>1490</v>
      </c>
      <c r="C945" t="s">
        <v>1490</v>
      </c>
      <c r="D945">
        <v>74</v>
      </c>
      <c r="E945" t="s">
        <v>3106</v>
      </c>
      <c r="F945" s="186" t="s">
        <v>1387</v>
      </c>
      <c r="H945" t="b">
        <v>1</v>
      </c>
      <c r="I945">
        <v>74</v>
      </c>
      <c r="J945" s="186" t="s">
        <v>1380</v>
      </c>
      <c r="M945">
        <f>IFERROR(_xlfn.XLOOKUP(A945,Fleet!A:A,Fleet!E:E,""),"")</f>
        <v>1</v>
      </c>
      <c r="N945" t="s">
        <v>22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1609</v>
      </c>
      <c r="B946" t="s">
        <v>1610</v>
      </c>
      <c r="C946" t="s">
        <v>1610</v>
      </c>
      <c r="D946">
        <v>22.4</v>
      </c>
      <c r="E946" t="s">
        <v>3106</v>
      </c>
      <c r="F946" s="186" t="s">
        <v>1459</v>
      </c>
      <c r="H946" t="b">
        <v>1</v>
      </c>
      <c r="I946">
        <v>22.400000000000002</v>
      </c>
      <c r="J946" s="186" t="s">
        <v>1380</v>
      </c>
      <c r="M946">
        <f>IFERROR(_xlfn.XLOOKUP(A946,Fleet!A:A,Fleet!E:E,""),"")</f>
        <v>8</v>
      </c>
      <c r="N946" t="s">
        <v>22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1616</v>
      </c>
      <c r="B947" t="s">
        <v>1617</v>
      </c>
      <c r="C947" t="s">
        <v>1617</v>
      </c>
      <c r="D947">
        <v>43.95</v>
      </c>
      <c r="E947" t="s">
        <v>3106</v>
      </c>
      <c r="F947" s="186" t="s">
        <v>1459</v>
      </c>
      <c r="H947" t="b">
        <v>1</v>
      </c>
      <c r="I947">
        <v>43.95</v>
      </c>
      <c r="J947" s="186" t="s">
        <v>1380</v>
      </c>
      <c r="M947">
        <f>IFERROR(_xlfn.XLOOKUP(A947,Fleet!A:A,Fleet!E:E,""),"")</f>
        <v>1</v>
      </c>
      <c r="N947" t="s">
        <v>22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1577</v>
      </c>
      <c r="B948" t="s">
        <v>1578</v>
      </c>
      <c r="C948" t="s">
        <v>1578</v>
      </c>
      <c r="D948">
        <v>41</v>
      </c>
      <c r="E948" t="s">
        <v>3106</v>
      </c>
      <c r="F948" s="186" t="s">
        <v>1387</v>
      </c>
      <c r="H948" t="b">
        <v>1</v>
      </c>
      <c r="I948">
        <v>41</v>
      </c>
      <c r="J948" s="186" t="s">
        <v>1380</v>
      </c>
      <c r="M948">
        <f>IFERROR(_xlfn.XLOOKUP(A948,Fleet!A:A,Fleet!E:E,""),"")</f>
        <v>8</v>
      </c>
      <c r="N948" t="s">
        <v>22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1470</v>
      </c>
      <c r="B949" t="s">
        <v>3961</v>
      </c>
      <c r="C949" t="s">
        <v>1471</v>
      </c>
      <c r="D949">
        <v>54.3</v>
      </c>
      <c r="E949" t="s">
        <v>3106</v>
      </c>
      <c r="F949" s="186" t="s">
        <v>1387</v>
      </c>
      <c r="H949" t="b">
        <v>1</v>
      </c>
      <c r="I949">
        <v>54.300000000000004</v>
      </c>
      <c r="J949" s="186" t="s">
        <v>1380</v>
      </c>
      <c r="M949" t="str">
        <f>IFERROR(_xlfn.XLOOKUP(A949,Fleet!A:A,Fleet!E:E,""),"")</f>
        <v/>
      </c>
      <c r="N949" t="s">
        <v>22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1460</v>
      </c>
      <c r="B950" t="s">
        <v>1461</v>
      </c>
      <c r="C950" t="s">
        <v>1461</v>
      </c>
      <c r="D950">
        <v>51.65</v>
      </c>
      <c r="E950" t="s">
        <v>3106</v>
      </c>
      <c r="F950" s="186" t="s">
        <v>1459</v>
      </c>
      <c r="H950" t="b">
        <v>1</v>
      </c>
      <c r="I950" t="s">
        <v>22</v>
      </c>
      <c r="J950" s="186" t="s">
        <v>1380</v>
      </c>
      <c r="M950">
        <f>IFERROR(_xlfn.XLOOKUP(A950,Fleet!A:A,Fleet!E:E,""),"")</f>
        <v>6</v>
      </c>
      <c r="N950" t="s">
        <v>22</v>
      </c>
      <c r="P950" t="str">
        <f>_xlfn.XLOOKUP(A950,'Classic Net to delete'!D:D,'Classic Net to delete'!A:A,"")</f>
        <v/>
      </c>
    </row>
    <row r="951" spans="1:16" x14ac:dyDescent="0.25">
      <c r="A951" t="s">
        <v>1592</v>
      </c>
      <c r="B951" t="s">
        <v>1593</v>
      </c>
      <c r="C951" t="s">
        <v>1593</v>
      </c>
      <c r="D951">
        <v>74.650000000000006</v>
      </c>
      <c r="E951" t="s">
        <v>3106</v>
      </c>
      <c r="F951" s="186" t="s">
        <v>1459</v>
      </c>
      <c r="H951" t="b">
        <v>1</v>
      </c>
      <c r="I951">
        <v>74.650000000000006</v>
      </c>
      <c r="J951" s="186" t="s">
        <v>1380</v>
      </c>
      <c r="M951">
        <f>IFERROR(_xlfn.XLOOKUP(A951,Fleet!A:A,Fleet!E:E,""),"")</f>
        <v>7</v>
      </c>
      <c r="N951" t="s">
        <v>22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1464</v>
      </c>
      <c r="B952" t="s">
        <v>1465</v>
      </c>
      <c r="C952" t="s">
        <v>1465</v>
      </c>
      <c r="D952">
        <v>74.95</v>
      </c>
      <c r="E952" t="s">
        <v>3106</v>
      </c>
      <c r="F952" s="186" t="s">
        <v>1459</v>
      </c>
      <c r="H952" t="b">
        <v>1</v>
      </c>
      <c r="I952" t="s">
        <v>22</v>
      </c>
      <c r="J952" s="186" t="s">
        <v>1380</v>
      </c>
      <c r="M952">
        <f>IFERROR(_xlfn.XLOOKUP(A952,Fleet!A:A,Fleet!E:E,""),"")</f>
        <v>4</v>
      </c>
      <c r="N952" t="s">
        <v>22</v>
      </c>
      <c r="P952" t="str">
        <f>_xlfn.XLOOKUP(A952,'Classic Net to delete'!D:D,'Classic Net to delete'!A:A,"")</f>
        <v/>
      </c>
    </row>
    <row r="953" spans="1:16" x14ac:dyDescent="0.25">
      <c r="A953" t="s">
        <v>1640</v>
      </c>
      <c r="B953" t="s">
        <v>1641</v>
      </c>
      <c r="C953" t="s">
        <v>1641</v>
      </c>
      <c r="D953">
        <v>53.05</v>
      </c>
      <c r="E953" t="s">
        <v>3106</v>
      </c>
      <c r="F953" s="186" t="s">
        <v>1459</v>
      </c>
      <c r="H953" t="b">
        <v>1</v>
      </c>
      <c r="I953">
        <v>53.050000000000004</v>
      </c>
      <c r="J953" s="186" t="s">
        <v>1380</v>
      </c>
      <c r="M953">
        <f>IFERROR(_xlfn.XLOOKUP(A953,Fleet!A:A,Fleet!E:E,""),"")</f>
        <v>13</v>
      </c>
      <c r="N953" t="s">
        <v>22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1531</v>
      </c>
      <c r="B954" t="s">
        <v>1532</v>
      </c>
      <c r="C954" t="s">
        <v>1532</v>
      </c>
      <c r="D954">
        <v>135.05000000000001</v>
      </c>
      <c r="E954" t="s">
        <v>3106</v>
      </c>
      <c r="F954" s="186" t="s">
        <v>1387</v>
      </c>
      <c r="H954" t="b">
        <v>1</v>
      </c>
      <c r="I954">
        <v>135.05000000000001</v>
      </c>
      <c r="J954" s="186" t="s">
        <v>1380</v>
      </c>
      <c r="M954">
        <f>IFERROR(_xlfn.XLOOKUP(A954,Fleet!A:A,Fleet!E:E,""),"")</f>
        <v>21</v>
      </c>
      <c r="N954" t="s">
        <v>22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1565</v>
      </c>
      <c r="B955" t="s">
        <v>1566</v>
      </c>
      <c r="C955" t="s">
        <v>1566</v>
      </c>
      <c r="D955">
        <v>82</v>
      </c>
      <c r="E955" t="s">
        <v>3106</v>
      </c>
      <c r="F955" s="186" t="s">
        <v>1387</v>
      </c>
      <c r="H955" t="b">
        <v>1</v>
      </c>
      <c r="I955">
        <v>82</v>
      </c>
      <c r="J955" s="186" t="s">
        <v>1380</v>
      </c>
      <c r="M955">
        <f>IFERROR(_xlfn.XLOOKUP(A955,Fleet!A:A,Fleet!E:E,""),"")</f>
        <v>2</v>
      </c>
      <c r="N955" t="s">
        <v>22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1611</v>
      </c>
      <c r="B956" t="s">
        <v>1612</v>
      </c>
      <c r="C956" t="s">
        <v>1612</v>
      </c>
      <c r="D956">
        <v>30.7</v>
      </c>
      <c r="E956" t="s">
        <v>3106</v>
      </c>
      <c r="F956" s="186" t="s">
        <v>1459</v>
      </c>
      <c r="H956" t="b">
        <v>1</v>
      </c>
      <c r="I956">
        <v>30.700000000000003</v>
      </c>
      <c r="J956" s="186" t="s">
        <v>1380</v>
      </c>
      <c r="M956">
        <f>IFERROR(_xlfn.XLOOKUP(A956,Fleet!A:A,Fleet!E:E,""),"")</f>
        <v>4</v>
      </c>
      <c r="N956" t="s">
        <v>22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1402</v>
      </c>
      <c r="B957" t="s">
        <v>1403</v>
      </c>
      <c r="C957" t="s">
        <v>1403</v>
      </c>
      <c r="D957">
        <v>83.75</v>
      </c>
      <c r="E957" t="s">
        <v>3106</v>
      </c>
      <c r="F957" s="186" t="s">
        <v>1387</v>
      </c>
      <c r="H957" t="b">
        <v>1</v>
      </c>
      <c r="I957" t="s">
        <v>22</v>
      </c>
      <c r="J957" s="186" t="s">
        <v>1380</v>
      </c>
      <c r="M957">
        <f>IFERROR(_xlfn.XLOOKUP(A957,Fleet!A:A,Fleet!E:E,""),"")</f>
        <v>2</v>
      </c>
      <c r="N957" t="s">
        <v>22</v>
      </c>
      <c r="P957" t="str">
        <f>_xlfn.XLOOKUP(A957,'Classic Net to delete'!D:D,'Classic Net to delete'!A:A,"")</f>
        <v/>
      </c>
    </row>
    <row r="958" spans="1:16" x14ac:dyDescent="0.25">
      <c r="A958" t="s">
        <v>1404</v>
      </c>
      <c r="B958" t="s">
        <v>1405</v>
      </c>
      <c r="C958" t="s">
        <v>1405</v>
      </c>
      <c r="D958">
        <v>123.55</v>
      </c>
      <c r="E958" t="s">
        <v>3106</v>
      </c>
      <c r="F958" s="186" t="s">
        <v>1387</v>
      </c>
      <c r="H958" t="b">
        <v>1</v>
      </c>
      <c r="I958" t="s">
        <v>22</v>
      </c>
      <c r="J958" s="186" t="s">
        <v>1380</v>
      </c>
      <c r="M958">
        <f>IFERROR(_xlfn.XLOOKUP(A958,Fleet!A:A,Fleet!E:E,""),"")</f>
        <v>2</v>
      </c>
      <c r="N958" t="s">
        <v>22</v>
      </c>
      <c r="P958" t="str">
        <f>_xlfn.XLOOKUP(A958,'Classic Net to delete'!D:D,'Classic Net to delete'!A:A,"")</f>
        <v/>
      </c>
    </row>
    <row r="959" spans="1:16" x14ac:dyDescent="0.25">
      <c r="A959" t="s">
        <v>1568</v>
      </c>
      <c r="B959" t="s">
        <v>1569</v>
      </c>
      <c r="C959" t="s">
        <v>1569</v>
      </c>
      <c r="D959">
        <v>73.7</v>
      </c>
      <c r="E959" t="s">
        <v>3106</v>
      </c>
      <c r="F959" s="186" t="s">
        <v>1387</v>
      </c>
      <c r="H959" t="b">
        <v>1</v>
      </c>
      <c r="I959">
        <v>73.7</v>
      </c>
      <c r="J959" s="186" t="s">
        <v>1380</v>
      </c>
      <c r="M959">
        <f>IFERROR(_xlfn.XLOOKUP(A959,Fleet!A:A,Fleet!E:E,""),"")</f>
        <v>4</v>
      </c>
      <c r="N959" t="s">
        <v>22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1575</v>
      </c>
      <c r="B960" t="s">
        <v>1576</v>
      </c>
      <c r="C960" t="s">
        <v>1576</v>
      </c>
      <c r="D960">
        <v>25.35</v>
      </c>
      <c r="E960" t="s">
        <v>3106</v>
      </c>
      <c r="F960" s="186" t="s">
        <v>1387</v>
      </c>
      <c r="H960" t="b">
        <v>1</v>
      </c>
      <c r="I960">
        <v>25.35</v>
      </c>
      <c r="J960" s="186" t="s">
        <v>1380</v>
      </c>
      <c r="M960">
        <f>IFERROR(_xlfn.XLOOKUP(A960,Fleet!A:A,Fleet!E:E,""),"")</f>
        <v>3</v>
      </c>
      <c r="N960" t="s">
        <v>22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1473</v>
      </c>
      <c r="B961" t="s">
        <v>1474</v>
      </c>
      <c r="C961" t="s">
        <v>1474</v>
      </c>
      <c r="D961">
        <v>27.75</v>
      </c>
      <c r="E961" t="s">
        <v>3106</v>
      </c>
      <c r="F961" s="186" t="s">
        <v>1387</v>
      </c>
      <c r="H961" t="b">
        <v>1</v>
      </c>
      <c r="I961">
        <v>27.75</v>
      </c>
      <c r="J961" s="186" t="s">
        <v>1380</v>
      </c>
      <c r="M961">
        <f>IFERROR(_xlfn.XLOOKUP(A961,Fleet!A:A,Fleet!E:E,""),"")</f>
        <v>6</v>
      </c>
      <c r="N961" t="s">
        <v>22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1523</v>
      </c>
      <c r="B962" t="s">
        <v>1524</v>
      </c>
      <c r="C962" t="s">
        <v>1524</v>
      </c>
      <c r="D962">
        <v>106.15</v>
      </c>
      <c r="E962" t="s">
        <v>3106</v>
      </c>
      <c r="F962" s="186" t="s">
        <v>1387</v>
      </c>
      <c r="H962" t="b">
        <v>1</v>
      </c>
      <c r="I962">
        <v>106.15</v>
      </c>
      <c r="J962" s="186" t="s">
        <v>1380</v>
      </c>
      <c r="M962">
        <f>IFERROR(_xlfn.XLOOKUP(A962,Fleet!A:A,Fleet!E:E,""),"")</f>
        <v>4</v>
      </c>
      <c r="N962" t="s">
        <v>22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1392</v>
      </c>
      <c r="B963" t="s">
        <v>1393</v>
      </c>
      <c r="C963" t="s">
        <v>1393</v>
      </c>
      <c r="D963">
        <v>88.45</v>
      </c>
      <c r="E963" t="s">
        <v>3106</v>
      </c>
      <c r="F963" s="186" t="s">
        <v>1387</v>
      </c>
      <c r="H963" t="b">
        <v>1</v>
      </c>
      <c r="I963" t="s">
        <v>22</v>
      </c>
      <c r="J963" s="186" t="s">
        <v>1380</v>
      </c>
      <c r="M963">
        <f>IFERROR(_xlfn.XLOOKUP(A963,Fleet!A:A,Fleet!E:E,""),"")</f>
        <v>1</v>
      </c>
      <c r="N963" t="s">
        <v>22</v>
      </c>
      <c r="P963" t="str">
        <f>_xlfn.XLOOKUP(A963,'Classic Net to delete'!D:D,'Classic Net to delete'!A:A,"")</f>
        <v/>
      </c>
    </row>
    <row r="964" spans="1:16" x14ac:dyDescent="0.25">
      <c r="A964" t="s">
        <v>1520</v>
      </c>
      <c r="B964" t="s">
        <v>1521</v>
      </c>
      <c r="C964" t="s">
        <v>1521</v>
      </c>
      <c r="D964">
        <v>25.35</v>
      </c>
      <c r="E964" t="s">
        <v>3106</v>
      </c>
      <c r="F964" s="186" t="s">
        <v>1387</v>
      </c>
      <c r="H964" t="b">
        <v>1</v>
      </c>
      <c r="I964">
        <v>25.35</v>
      </c>
      <c r="J964" s="186" t="s">
        <v>1380</v>
      </c>
      <c r="M964">
        <f>IFERROR(_xlfn.XLOOKUP(A964,Fleet!A:A,Fleet!E:E,""),"")</f>
        <v>1</v>
      </c>
      <c r="N964" t="s">
        <v>22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1527</v>
      </c>
      <c r="B965" t="s">
        <v>1528</v>
      </c>
      <c r="C965" t="s">
        <v>1528</v>
      </c>
      <c r="D965">
        <v>32.75</v>
      </c>
      <c r="E965" t="s">
        <v>3106</v>
      </c>
      <c r="F965" s="186" t="s">
        <v>1387</v>
      </c>
      <c r="H965" t="b">
        <v>1</v>
      </c>
      <c r="I965">
        <v>32.75</v>
      </c>
      <c r="J965" s="186" t="s">
        <v>1380</v>
      </c>
      <c r="M965">
        <f>IFERROR(_xlfn.XLOOKUP(A965,Fleet!A:A,Fleet!E:E,""),"")</f>
        <v>7</v>
      </c>
      <c r="N965" t="s">
        <v>22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1635</v>
      </c>
      <c r="B966" t="s">
        <v>1636</v>
      </c>
      <c r="C966" t="s">
        <v>1636</v>
      </c>
      <c r="D966">
        <v>113.5</v>
      </c>
      <c r="E966" t="s">
        <v>3106</v>
      </c>
      <c r="F966" s="186" t="s">
        <v>1459</v>
      </c>
      <c r="H966" t="b">
        <v>1</v>
      </c>
      <c r="I966">
        <v>113.5</v>
      </c>
      <c r="J966" s="186" t="s">
        <v>1380</v>
      </c>
      <c r="M966" t="str">
        <f>IFERROR(_xlfn.XLOOKUP(A966,Fleet!A:A,Fleet!E:E,""),"")</f>
        <v/>
      </c>
      <c r="N966" t="s">
        <v>22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1627</v>
      </c>
      <c r="B967" t="s">
        <v>1628</v>
      </c>
      <c r="C967" t="s">
        <v>1628</v>
      </c>
      <c r="D967">
        <v>69.599999999999994</v>
      </c>
      <c r="E967" t="s">
        <v>3106</v>
      </c>
      <c r="F967" s="186" t="s">
        <v>1459</v>
      </c>
      <c r="H967" t="b">
        <v>1</v>
      </c>
      <c r="I967">
        <v>69.600000000000009</v>
      </c>
      <c r="J967" s="186" t="s">
        <v>1380</v>
      </c>
      <c r="M967">
        <f>IFERROR(_xlfn.XLOOKUP(A967,Fleet!A:A,Fleet!E:E,""),"")</f>
        <v>1</v>
      </c>
      <c r="N967" t="s">
        <v>22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1511</v>
      </c>
      <c r="B968" t="s">
        <v>1512</v>
      </c>
      <c r="C968" t="s">
        <v>1512</v>
      </c>
      <c r="D968">
        <v>172.05</v>
      </c>
      <c r="E968" t="s">
        <v>3106</v>
      </c>
      <c r="F968" s="186" t="s">
        <v>1387</v>
      </c>
      <c r="H968" t="b">
        <v>1</v>
      </c>
      <c r="I968">
        <v>172.05</v>
      </c>
      <c r="J968" s="186" t="s">
        <v>1380</v>
      </c>
      <c r="M968">
        <f>IFERROR(_xlfn.XLOOKUP(A968,Fleet!A:A,Fleet!E:E,""),"")</f>
        <v>2</v>
      </c>
      <c r="N968" t="s">
        <v>22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1514</v>
      </c>
      <c r="B969" t="s">
        <v>1515</v>
      </c>
      <c r="C969" t="s">
        <v>1515</v>
      </c>
      <c r="D969">
        <v>177.35</v>
      </c>
      <c r="E969" t="s">
        <v>3106</v>
      </c>
      <c r="F969" s="186" t="s">
        <v>1387</v>
      </c>
      <c r="H969" t="b">
        <v>1</v>
      </c>
      <c r="I969">
        <v>177.35000000000002</v>
      </c>
      <c r="J969" s="186" t="s">
        <v>1380</v>
      </c>
      <c r="M969">
        <f>IFERROR(_xlfn.XLOOKUP(A969,Fleet!A:A,Fleet!E:E,""),"")</f>
        <v>7</v>
      </c>
      <c r="N969" t="s">
        <v>22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1462</v>
      </c>
      <c r="B970" t="s">
        <v>1463</v>
      </c>
      <c r="C970" t="s">
        <v>1463</v>
      </c>
      <c r="D970">
        <v>28.95</v>
      </c>
      <c r="E970" t="s">
        <v>3106</v>
      </c>
      <c r="F970" s="186" t="s">
        <v>1459</v>
      </c>
      <c r="H970" t="b">
        <v>1</v>
      </c>
      <c r="I970" t="s">
        <v>22</v>
      </c>
      <c r="J970" s="186" t="s">
        <v>1380</v>
      </c>
      <c r="M970">
        <f>IFERROR(_xlfn.XLOOKUP(A970,Fleet!A:A,Fleet!E:E,""),"")</f>
        <v>4</v>
      </c>
      <c r="N970" t="s">
        <v>22</v>
      </c>
      <c r="P970" t="str">
        <f>_xlfn.XLOOKUP(A970,'Classic Net to delete'!D:D,'Classic Net to delete'!A:A,"")</f>
        <v/>
      </c>
    </row>
    <row r="971" spans="1:16" x14ac:dyDescent="0.25">
      <c r="A971" t="s">
        <v>1545</v>
      </c>
      <c r="B971" t="s">
        <v>1546</v>
      </c>
      <c r="C971" t="s">
        <v>1546</v>
      </c>
      <c r="D971">
        <v>189.25</v>
      </c>
      <c r="E971" t="s">
        <v>3106</v>
      </c>
      <c r="F971" s="186" t="s">
        <v>1387</v>
      </c>
      <c r="H971" t="b">
        <v>1</v>
      </c>
      <c r="I971">
        <v>189.25</v>
      </c>
      <c r="J971" s="186" t="s">
        <v>1380</v>
      </c>
      <c r="M971">
        <f>IFERROR(_xlfn.XLOOKUP(A971,Fleet!A:A,Fleet!E:E,""),"")</f>
        <v>10</v>
      </c>
      <c r="N971" t="s">
        <v>22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1633</v>
      </c>
      <c r="B972" t="s">
        <v>1634</v>
      </c>
      <c r="C972" t="s">
        <v>1634</v>
      </c>
      <c r="D972">
        <v>25.35</v>
      </c>
      <c r="E972" t="s">
        <v>3106</v>
      </c>
      <c r="F972" s="186" t="s">
        <v>1459</v>
      </c>
      <c r="H972" t="b">
        <v>1</v>
      </c>
      <c r="I972">
        <v>25.35</v>
      </c>
      <c r="J972" s="186" t="s">
        <v>1380</v>
      </c>
      <c r="M972">
        <f>IFERROR(_xlfn.XLOOKUP(A972,Fleet!A:A,Fleet!E:E,""),"")</f>
        <v>5</v>
      </c>
      <c r="N972" t="s">
        <v>22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1410</v>
      </c>
      <c r="B973" t="s">
        <v>1411</v>
      </c>
      <c r="C973" t="s">
        <v>1411</v>
      </c>
      <c r="D973">
        <v>224.05</v>
      </c>
      <c r="E973" t="s">
        <v>3106</v>
      </c>
      <c r="F973" s="186" t="s">
        <v>1387</v>
      </c>
      <c r="H973" t="b">
        <v>1</v>
      </c>
      <c r="I973" t="s">
        <v>22</v>
      </c>
      <c r="J973" s="186" t="s">
        <v>1380</v>
      </c>
      <c r="M973">
        <f>IFERROR(_xlfn.XLOOKUP(A973,Fleet!A:A,Fleet!E:E,""),"")</f>
        <v>2</v>
      </c>
      <c r="N973" t="s">
        <v>22</v>
      </c>
      <c r="P973" t="str">
        <f>_xlfn.XLOOKUP(A973,'Classic Net to delete'!D:D,'Classic Net to delete'!A:A,"")</f>
        <v/>
      </c>
    </row>
    <row r="974" spans="1:16" x14ac:dyDescent="0.25">
      <c r="A974" t="s">
        <v>1408</v>
      </c>
      <c r="B974" t="s">
        <v>1409</v>
      </c>
      <c r="C974" t="s">
        <v>1409</v>
      </c>
      <c r="D974">
        <v>39.549999999999997</v>
      </c>
      <c r="E974" t="s">
        <v>3106</v>
      </c>
      <c r="F974" s="186" t="s">
        <v>1387</v>
      </c>
      <c r="H974" t="b">
        <v>1</v>
      </c>
      <c r="I974" t="s">
        <v>22</v>
      </c>
      <c r="J974" s="186" t="s">
        <v>1380</v>
      </c>
      <c r="M974">
        <f>IFERROR(_xlfn.XLOOKUP(A974,Fleet!A:A,Fleet!E:E,""),"")</f>
        <v>1</v>
      </c>
      <c r="N974" t="s">
        <v>22</v>
      </c>
      <c r="P974" t="str">
        <f>_xlfn.XLOOKUP(A974,'Classic Net to delete'!D:D,'Classic Net to delete'!A:A,"")</f>
        <v/>
      </c>
    </row>
    <row r="975" spans="1:16" x14ac:dyDescent="0.25">
      <c r="A975" t="s">
        <v>1457</v>
      </c>
      <c r="B975" t="s">
        <v>1458</v>
      </c>
      <c r="C975" t="s">
        <v>1458</v>
      </c>
      <c r="D975">
        <v>33.65</v>
      </c>
      <c r="E975" t="s">
        <v>3106</v>
      </c>
      <c r="F975" s="186" t="s">
        <v>1459</v>
      </c>
      <c r="H975" t="b">
        <v>1</v>
      </c>
      <c r="I975" t="s">
        <v>22</v>
      </c>
      <c r="J975" s="186" t="s">
        <v>1380</v>
      </c>
      <c r="M975">
        <f>IFERROR(_xlfn.XLOOKUP(A975,Fleet!A:A,Fleet!E:E,""),"")</f>
        <v>6</v>
      </c>
      <c r="N975" t="s">
        <v>22</v>
      </c>
      <c r="P975" t="str">
        <f>_xlfn.XLOOKUP(A975,'Classic Net to delete'!D:D,'Classic Net to delete'!A:A,"")</f>
        <v/>
      </c>
    </row>
    <row r="976" spans="1:16" x14ac:dyDescent="0.25">
      <c r="A976" t="s">
        <v>1603</v>
      </c>
      <c r="B976" t="s">
        <v>1604</v>
      </c>
      <c r="C976" t="s">
        <v>1604</v>
      </c>
      <c r="D976">
        <v>33.65</v>
      </c>
      <c r="E976" t="s">
        <v>3106</v>
      </c>
      <c r="F976" s="186" t="s">
        <v>1459</v>
      </c>
      <c r="H976" t="b">
        <v>1</v>
      </c>
      <c r="I976">
        <v>33.65</v>
      </c>
      <c r="J976" s="186" t="s">
        <v>1380</v>
      </c>
      <c r="M976">
        <f>IFERROR(_xlfn.XLOOKUP(A976,Fleet!A:A,Fleet!E:E,""),"")</f>
        <v>84</v>
      </c>
      <c r="N976" t="s">
        <v>22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1621</v>
      </c>
      <c r="B977" t="s">
        <v>1622</v>
      </c>
      <c r="C977" t="s">
        <v>1622</v>
      </c>
      <c r="D977">
        <v>46.4</v>
      </c>
      <c r="E977" t="s">
        <v>3106</v>
      </c>
      <c r="F977" s="186" t="s">
        <v>1459</v>
      </c>
      <c r="H977" t="b">
        <v>1</v>
      </c>
      <c r="I977">
        <v>46.400000000000006</v>
      </c>
      <c r="J977" s="186" t="s">
        <v>1380</v>
      </c>
      <c r="M977">
        <f>IFERROR(_xlfn.XLOOKUP(A977,Fleet!A:A,Fleet!E:E,""),"")</f>
        <v>5</v>
      </c>
      <c r="N977" t="s">
        <v>22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1605</v>
      </c>
      <c r="B978" t="s">
        <v>1606</v>
      </c>
      <c r="C978" t="s">
        <v>1606</v>
      </c>
      <c r="D978">
        <v>41.1</v>
      </c>
      <c r="E978" t="s">
        <v>3106</v>
      </c>
      <c r="F978" s="186" t="s">
        <v>1459</v>
      </c>
      <c r="H978" t="b">
        <v>1</v>
      </c>
      <c r="I978">
        <v>41.1</v>
      </c>
      <c r="J978" s="186" t="s">
        <v>1380</v>
      </c>
      <c r="M978">
        <f>IFERROR(_xlfn.XLOOKUP(A978,Fleet!A:A,Fleet!E:E,""),"")</f>
        <v>2</v>
      </c>
      <c r="N978" t="s">
        <v>22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1594</v>
      </c>
      <c r="B979" t="s">
        <v>1595</v>
      </c>
      <c r="C979" t="s">
        <v>1595</v>
      </c>
      <c r="D979">
        <v>80.900000000000006</v>
      </c>
      <c r="E979" t="s">
        <v>3106</v>
      </c>
      <c r="F979" s="186" t="s">
        <v>1459</v>
      </c>
      <c r="H979" t="b">
        <v>1</v>
      </c>
      <c r="I979">
        <v>80.900000000000006</v>
      </c>
      <c r="J979" s="186" t="s">
        <v>1380</v>
      </c>
      <c r="M979">
        <f>IFERROR(_xlfn.XLOOKUP(A979,Fleet!A:A,Fleet!E:E,""),"")</f>
        <v>16</v>
      </c>
      <c r="N979" t="s">
        <v>22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1426</v>
      </c>
      <c r="B980" t="s">
        <v>3117</v>
      </c>
      <c r="C980" t="s">
        <v>1427</v>
      </c>
      <c r="D980">
        <v>360</v>
      </c>
      <c r="E980" t="s">
        <v>3106</v>
      </c>
      <c r="F980" s="186" t="s">
        <v>1417</v>
      </c>
      <c r="H980" t="b">
        <v>0</v>
      </c>
      <c r="I980" t="s">
        <v>22</v>
      </c>
      <c r="J980" s="186" t="s">
        <v>1380</v>
      </c>
      <c r="M980">
        <f>IFERROR(_xlfn.XLOOKUP(A980,Fleet!A:A,Fleet!E:E,""),"")</f>
        <v>30</v>
      </c>
      <c r="N980" t="s">
        <v>22</v>
      </c>
      <c r="P980" t="str">
        <f>_xlfn.XLOOKUP(A980,'Classic Net to delete'!D:D,'Classic Net to delete'!A:A,"")</f>
        <v/>
      </c>
    </row>
    <row r="981" spans="1:16" x14ac:dyDescent="0.25">
      <c r="A981" t="s">
        <v>1534</v>
      </c>
      <c r="B981" t="s">
        <v>1535</v>
      </c>
      <c r="C981" t="s">
        <v>1535</v>
      </c>
      <c r="D981">
        <v>68.95</v>
      </c>
      <c r="E981" t="s">
        <v>3106</v>
      </c>
      <c r="F981" s="186" t="s">
        <v>1459</v>
      </c>
      <c r="H981" t="b">
        <v>1</v>
      </c>
      <c r="I981">
        <v>68.95</v>
      </c>
      <c r="J981" s="186" t="s">
        <v>1380</v>
      </c>
      <c r="M981">
        <f>IFERROR(_xlfn.XLOOKUP(A981,Fleet!A:A,Fleet!E:E,""),"")</f>
        <v>2</v>
      </c>
      <c r="N981" t="s">
        <v>22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1525</v>
      </c>
      <c r="B982" t="s">
        <v>1526</v>
      </c>
      <c r="C982" t="s">
        <v>1526</v>
      </c>
      <c r="D982">
        <v>111.45</v>
      </c>
      <c r="E982" t="s">
        <v>3106</v>
      </c>
      <c r="F982" s="186" t="s">
        <v>1417</v>
      </c>
      <c r="H982" t="b">
        <v>1</v>
      </c>
      <c r="I982">
        <v>111.45</v>
      </c>
      <c r="J982" s="186" t="s">
        <v>1380</v>
      </c>
      <c r="M982">
        <f>IFERROR(_xlfn.XLOOKUP(A982,Fleet!A:A,Fleet!E:E,""),"")</f>
        <v>5</v>
      </c>
      <c r="N982" t="s">
        <v>22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1579</v>
      </c>
      <c r="B983" t="s">
        <v>1580</v>
      </c>
      <c r="C983" t="s">
        <v>1580</v>
      </c>
      <c r="D983">
        <v>113.3</v>
      </c>
      <c r="E983" t="s">
        <v>3106</v>
      </c>
      <c r="F983" s="186" t="s">
        <v>1417</v>
      </c>
      <c r="H983" t="b">
        <v>1</v>
      </c>
      <c r="I983">
        <v>113.30000000000001</v>
      </c>
      <c r="J983" s="186" t="s">
        <v>1380</v>
      </c>
      <c r="M983">
        <f>IFERROR(_xlfn.XLOOKUP(A983,Fleet!A:A,Fleet!E:E,""),"")</f>
        <v>10</v>
      </c>
      <c r="N983" t="s">
        <v>22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1631</v>
      </c>
      <c r="B984" t="s">
        <v>1632</v>
      </c>
      <c r="C984" t="s">
        <v>1632</v>
      </c>
      <c r="D984">
        <v>30.7</v>
      </c>
      <c r="E984" t="s">
        <v>3106</v>
      </c>
      <c r="F984" s="186" t="s">
        <v>1417</v>
      </c>
      <c r="H984" t="b">
        <v>1</v>
      </c>
      <c r="I984">
        <v>30.700000000000003</v>
      </c>
      <c r="J984" s="186" t="s">
        <v>1380</v>
      </c>
      <c r="M984">
        <f>IFERROR(_xlfn.XLOOKUP(A984,Fleet!A:A,Fleet!E:E,""),"")</f>
        <v>5</v>
      </c>
      <c r="N984" t="s">
        <v>22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1599</v>
      </c>
      <c r="B985" t="s">
        <v>1419</v>
      </c>
      <c r="C985" t="s">
        <v>1419</v>
      </c>
      <c r="D985">
        <v>229.95</v>
      </c>
      <c r="E985" t="s">
        <v>3106</v>
      </c>
      <c r="F985" s="186" t="s">
        <v>1459</v>
      </c>
      <c r="H985" t="b">
        <v>1</v>
      </c>
      <c r="I985">
        <v>229.95000000000002</v>
      </c>
      <c r="J985" s="186" t="s">
        <v>1380</v>
      </c>
      <c r="M985">
        <f>IFERROR(_xlfn.XLOOKUP(A985,Fleet!A:A,Fleet!E:E,""),"")</f>
        <v>32</v>
      </c>
      <c r="N985" t="s">
        <v>22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1607</v>
      </c>
      <c r="B986" t="s">
        <v>1608</v>
      </c>
      <c r="C986" t="s">
        <v>1608</v>
      </c>
      <c r="D986">
        <v>41.1</v>
      </c>
      <c r="E986" t="s">
        <v>3106</v>
      </c>
      <c r="F986" s="186" t="s">
        <v>1459</v>
      </c>
      <c r="H986" t="b">
        <v>1</v>
      </c>
      <c r="I986">
        <v>41.1</v>
      </c>
      <c r="J986" s="186" t="s">
        <v>1380</v>
      </c>
      <c r="M986">
        <f>IFERROR(_xlfn.XLOOKUP(A986,Fleet!A:A,Fleet!E:E,""),"")</f>
        <v>65</v>
      </c>
      <c r="N986" t="s">
        <v>22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1426</v>
      </c>
      <c r="B987" t="s">
        <v>3117</v>
      </c>
      <c r="C987" t="s">
        <v>1428</v>
      </c>
      <c r="D987">
        <v>500</v>
      </c>
      <c r="E987" t="s">
        <v>3106</v>
      </c>
      <c r="F987" s="186" t="s">
        <v>1417</v>
      </c>
      <c r="H987" t="b">
        <v>0</v>
      </c>
      <c r="I987" t="s">
        <v>22</v>
      </c>
      <c r="J987" s="186" t="s">
        <v>1380</v>
      </c>
      <c r="M987">
        <f>IFERROR(_xlfn.XLOOKUP(A987,Fleet!A:A,Fleet!E:E,""),"")</f>
        <v>30</v>
      </c>
      <c r="N987" t="s">
        <v>22</v>
      </c>
      <c r="P987" t="str">
        <f>_xlfn.XLOOKUP(A987,'Classic Net to delete'!D:D,'Classic Net to delete'!A:A,"")</f>
        <v/>
      </c>
    </row>
    <row r="988" spans="1:16" x14ac:dyDescent="0.25">
      <c r="A988" t="s">
        <v>1426</v>
      </c>
      <c r="B988" t="s">
        <v>3117</v>
      </c>
      <c r="C988" t="s">
        <v>1429</v>
      </c>
      <c r="D988">
        <v>500</v>
      </c>
      <c r="E988" t="s">
        <v>3106</v>
      </c>
      <c r="F988" s="186" t="s">
        <v>1417</v>
      </c>
      <c r="H988" t="b">
        <v>0</v>
      </c>
      <c r="I988" t="s">
        <v>22</v>
      </c>
      <c r="J988" s="186" t="s">
        <v>1380</v>
      </c>
      <c r="M988">
        <f>IFERROR(_xlfn.XLOOKUP(A988,Fleet!A:A,Fleet!E:E,""),"")</f>
        <v>30</v>
      </c>
      <c r="N988" t="s">
        <v>22</v>
      </c>
      <c r="P988" t="str">
        <f>_xlfn.XLOOKUP(A988,'Classic Net to delete'!D:D,'Classic Net to delete'!A:A,"")</f>
        <v/>
      </c>
    </row>
    <row r="989" spans="1:16" x14ac:dyDescent="0.25">
      <c r="A989" t="s">
        <v>1426</v>
      </c>
      <c r="B989" t="s">
        <v>3117</v>
      </c>
      <c r="C989" t="s">
        <v>1430</v>
      </c>
      <c r="D989">
        <v>500</v>
      </c>
      <c r="E989" t="s">
        <v>3106</v>
      </c>
      <c r="F989" s="186" t="s">
        <v>1417</v>
      </c>
      <c r="H989" t="b">
        <v>0</v>
      </c>
      <c r="I989" t="s">
        <v>22</v>
      </c>
      <c r="J989" s="186" t="s">
        <v>1380</v>
      </c>
      <c r="M989">
        <f>IFERROR(_xlfn.XLOOKUP(A989,Fleet!A:A,Fleet!E:E,""),"")</f>
        <v>30</v>
      </c>
      <c r="N989" t="s">
        <v>22</v>
      </c>
      <c r="P989" t="str">
        <f>_xlfn.XLOOKUP(A989,'Classic Net to delete'!D:D,'Classic Net to delete'!A:A,"")</f>
        <v/>
      </c>
    </row>
    <row r="990" spans="1:16" x14ac:dyDescent="0.25">
      <c r="A990" t="s">
        <v>1426</v>
      </c>
      <c r="B990" t="s">
        <v>3117</v>
      </c>
      <c r="C990" t="s">
        <v>1431</v>
      </c>
      <c r="D990">
        <v>500</v>
      </c>
      <c r="E990" t="s">
        <v>3106</v>
      </c>
      <c r="F990" s="186" t="s">
        <v>1417</v>
      </c>
      <c r="H990" t="b">
        <v>0</v>
      </c>
      <c r="I990" t="s">
        <v>22</v>
      </c>
      <c r="J990" s="186" t="s">
        <v>1380</v>
      </c>
      <c r="M990">
        <f>IFERROR(_xlfn.XLOOKUP(A990,Fleet!A:A,Fleet!E:E,""),"")</f>
        <v>30</v>
      </c>
      <c r="N990" t="s">
        <v>22</v>
      </c>
      <c r="P990" t="str">
        <f>_xlfn.XLOOKUP(A990,'Classic Net to delete'!D:D,'Classic Net to delete'!A:A,"")</f>
        <v/>
      </c>
    </row>
    <row r="991" spans="1:16" x14ac:dyDescent="0.25">
      <c r="A991" t="s">
        <v>1426</v>
      </c>
      <c r="B991" t="s">
        <v>3117</v>
      </c>
      <c r="C991" t="s">
        <v>1432</v>
      </c>
      <c r="D991">
        <v>500</v>
      </c>
      <c r="E991" t="s">
        <v>3106</v>
      </c>
      <c r="F991" s="186" t="s">
        <v>1417</v>
      </c>
      <c r="H991" t="b">
        <v>0</v>
      </c>
      <c r="I991" t="s">
        <v>22</v>
      </c>
      <c r="J991" s="186" t="s">
        <v>1380</v>
      </c>
      <c r="M991">
        <f>IFERROR(_xlfn.XLOOKUP(A991,Fleet!A:A,Fleet!E:E,""),"")</f>
        <v>30</v>
      </c>
      <c r="N991" t="s">
        <v>22</v>
      </c>
      <c r="P991" t="str">
        <f>_xlfn.XLOOKUP(A991,'Classic Net to delete'!D:D,'Classic Net to delete'!A:A,"")</f>
        <v/>
      </c>
    </row>
    <row r="992" spans="1:16" x14ac:dyDescent="0.25">
      <c r="A992" t="s">
        <v>1426</v>
      </c>
      <c r="B992" t="s">
        <v>3117</v>
      </c>
      <c r="C992" t="s">
        <v>1433</v>
      </c>
      <c r="D992">
        <v>500</v>
      </c>
      <c r="E992" t="s">
        <v>3106</v>
      </c>
      <c r="F992" s="186" t="s">
        <v>1417</v>
      </c>
      <c r="H992" t="b">
        <v>0</v>
      </c>
      <c r="I992" t="s">
        <v>22</v>
      </c>
      <c r="J992" s="186" t="s">
        <v>1380</v>
      </c>
      <c r="M992">
        <f>IFERROR(_xlfn.XLOOKUP(A992,Fleet!A:A,Fleet!E:E,""),"")</f>
        <v>30</v>
      </c>
      <c r="N992" t="s">
        <v>22</v>
      </c>
      <c r="P992" t="str">
        <f>_xlfn.XLOOKUP(A992,'Classic Net to delete'!D:D,'Classic Net to delete'!A:A,"")</f>
        <v/>
      </c>
    </row>
    <row r="993" spans="1:16" x14ac:dyDescent="0.25">
      <c r="A993" t="s">
        <v>1426</v>
      </c>
      <c r="B993" t="s">
        <v>3117</v>
      </c>
      <c r="C993" t="s">
        <v>1434</v>
      </c>
      <c r="D993">
        <v>500</v>
      </c>
      <c r="E993" t="s">
        <v>3106</v>
      </c>
      <c r="F993" s="186" t="s">
        <v>1417</v>
      </c>
      <c r="H993" t="b">
        <v>0</v>
      </c>
      <c r="I993" t="s">
        <v>22</v>
      </c>
      <c r="J993" s="186" t="s">
        <v>1380</v>
      </c>
      <c r="M993">
        <f>IFERROR(_xlfn.XLOOKUP(A993,Fleet!A:A,Fleet!E:E,""),"")</f>
        <v>30</v>
      </c>
      <c r="N993" t="s">
        <v>22</v>
      </c>
      <c r="P993" t="str">
        <f>_xlfn.XLOOKUP(A993,'Classic Net to delete'!D:D,'Classic Net to delete'!A:A,"")</f>
        <v/>
      </c>
    </row>
    <row r="994" spans="1:16" x14ac:dyDescent="0.25">
      <c r="A994" t="s">
        <v>1426</v>
      </c>
      <c r="B994" t="s">
        <v>3117</v>
      </c>
      <c r="C994" t="s">
        <v>1435</v>
      </c>
      <c r="D994">
        <v>500</v>
      </c>
      <c r="E994" t="s">
        <v>3106</v>
      </c>
      <c r="F994" s="186" t="s">
        <v>1417</v>
      </c>
      <c r="H994" t="b">
        <v>0</v>
      </c>
      <c r="I994" t="s">
        <v>22</v>
      </c>
      <c r="J994" s="186" t="s">
        <v>1380</v>
      </c>
      <c r="M994">
        <f>IFERROR(_xlfn.XLOOKUP(A994,Fleet!A:A,Fleet!E:E,""),"")</f>
        <v>30</v>
      </c>
      <c r="N994" t="s">
        <v>22</v>
      </c>
      <c r="P994" t="str">
        <f>_xlfn.XLOOKUP(A994,'Classic Net to delete'!D:D,'Classic Net to delete'!A:A,"")</f>
        <v/>
      </c>
    </row>
    <row r="995" spans="1:16" x14ac:dyDescent="0.25">
      <c r="A995" t="s">
        <v>1426</v>
      </c>
      <c r="B995" t="s">
        <v>3117</v>
      </c>
      <c r="C995" t="s">
        <v>1436</v>
      </c>
      <c r="D995">
        <v>500</v>
      </c>
      <c r="E995" t="s">
        <v>3106</v>
      </c>
      <c r="F995" s="186" t="s">
        <v>1417</v>
      </c>
      <c r="H995" t="b">
        <v>0</v>
      </c>
      <c r="I995" t="s">
        <v>22</v>
      </c>
      <c r="J995" s="186" t="s">
        <v>1380</v>
      </c>
      <c r="M995">
        <f>IFERROR(_xlfn.XLOOKUP(A995,Fleet!A:A,Fleet!E:E,""),"")</f>
        <v>30</v>
      </c>
      <c r="N995" t="s">
        <v>22</v>
      </c>
      <c r="P995" t="str">
        <f>_xlfn.XLOOKUP(A995,'Classic Net to delete'!D:D,'Classic Net to delete'!A:A,"")</f>
        <v/>
      </c>
    </row>
    <row r="996" spans="1:16" x14ac:dyDescent="0.25">
      <c r="A996" t="s">
        <v>1426</v>
      </c>
      <c r="B996" t="s">
        <v>3117</v>
      </c>
      <c r="C996" t="s">
        <v>1437</v>
      </c>
      <c r="D996">
        <v>500</v>
      </c>
      <c r="E996" t="s">
        <v>3106</v>
      </c>
      <c r="F996" s="186" t="s">
        <v>1417</v>
      </c>
      <c r="H996" t="b">
        <v>0</v>
      </c>
      <c r="I996" t="s">
        <v>22</v>
      </c>
      <c r="J996" s="186" t="s">
        <v>1380</v>
      </c>
      <c r="M996">
        <f>IFERROR(_xlfn.XLOOKUP(A996,Fleet!A:A,Fleet!E:E,""),"")</f>
        <v>30</v>
      </c>
      <c r="N996" t="s">
        <v>22</v>
      </c>
      <c r="P996" t="str">
        <f>_xlfn.XLOOKUP(A996,'Classic Net to delete'!D:D,'Classic Net to delete'!A:A,"")</f>
        <v/>
      </c>
    </row>
    <row r="997" spans="1:16" x14ac:dyDescent="0.25">
      <c r="A997" t="s">
        <v>1426</v>
      </c>
      <c r="B997" t="s">
        <v>3117</v>
      </c>
      <c r="C997" t="s">
        <v>1438</v>
      </c>
      <c r="D997">
        <v>500</v>
      </c>
      <c r="E997" t="s">
        <v>3106</v>
      </c>
      <c r="F997" s="186" t="s">
        <v>1417</v>
      </c>
      <c r="H997" t="b">
        <v>0</v>
      </c>
      <c r="I997" t="s">
        <v>22</v>
      </c>
      <c r="J997" s="186" t="s">
        <v>1380</v>
      </c>
      <c r="M997">
        <f>IFERROR(_xlfn.XLOOKUP(A997,Fleet!A:A,Fleet!E:E,""),"")</f>
        <v>30</v>
      </c>
      <c r="N997" t="s">
        <v>22</v>
      </c>
      <c r="P997" t="str">
        <f>_xlfn.XLOOKUP(A997,'Classic Net to delete'!D:D,'Classic Net to delete'!A:A,"")</f>
        <v/>
      </c>
    </row>
    <row r="998" spans="1:16" x14ac:dyDescent="0.25">
      <c r="A998" t="s">
        <v>1426</v>
      </c>
      <c r="B998" t="s">
        <v>3117</v>
      </c>
      <c r="C998" t="s">
        <v>1439</v>
      </c>
      <c r="D998">
        <v>500</v>
      </c>
      <c r="E998" t="s">
        <v>3106</v>
      </c>
      <c r="F998" s="186" t="s">
        <v>1417</v>
      </c>
      <c r="H998" t="b">
        <v>0</v>
      </c>
      <c r="I998" t="s">
        <v>22</v>
      </c>
      <c r="J998" s="186" t="s">
        <v>1380</v>
      </c>
      <c r="M998">
        <f>IFERROR(_xlfn.XLOOKUP(A998,Fleet!A:A,Fleet!E:E,""),"")</f>
        <v>30</v>
      </c>
      <c r="N998" t="s">
        <v>22</v>
      </c>
      <c r="P998" t="str">
        <f>_xlfn.XLOOKUP(A998,'Classic Net to delete'!D:D,'Classic Net to delete'!A:A,"")</f>
        <v/>
      </c>
    </row>
    <row r="999" spans="1:16" x14ac:dyDescent="0.25">
      <c r="A999" t="s">
        <v>1426</v>
      </c>
      <c r="B999" t="s">
        <v>3117</v>
      </c>
      <c r="C999" t="s">
        <v>1440</v>
      </c>
      <c r="D999">
        <v>500</v>
      </c>
      <c r="E999" t="s">
        <v>3106</v>
      </c>
      <c r="F999" s="186" t="s">
        <v>1417</v>
      </c>
      <c r="H999" t="b">
        <v>0</v>
      </c>
      <c r="I999" t="s">
        <v>22</v>
      </c>
      <c r="J999" s="186" t="s">
        <v>1380</v>
      </c>
      <c r="M999">
        <f>IFERROR(_xlfn.XLOOKUP(A999,Fleet!A:A,Fleet!E:E,""),"")</f>
        <v>30</v>
      </c>
      <c r="N999" t="s">
        <v>22</v>
      </c>
      <c r="P999" t="str">
        <f>_xlfn.XLOOKUP(A999,'Classic Net to delete'!D:D,'Classic Net to delete'!A:A,"")</f>
        <v/>
      </c>
    </row>
    <row r="1000" spans="1:16" x14ac:dyDescent="0.25">
      <c r="A1000" t="s">
        <v>1426</v>
      </c>
      <c r="B1000" t="s">
        <v>3117</v>
      </c>
      <c r="C1000" t="s">
        <v>1441</v>
      </c>
      <c r="D1000">
        <v>500</v>
      </c>
      <c r="E1000" t="s">
        <v>3106</v>
      </c>
      <c r="F1000" s="186" t="s">
        <v>1417</v>
      </c>
      <c r="H1000" t="b">
        <v>0</v>
      </c>
      <c r="I1000" t="s">
        <v>22</v>
      </c>
      <c r="J1000" s="186" t="s">
        <v>1380</v>
      </c>
      <c r="M1000">
        <f>IFERROR(_xlfn.XLOOKUP(A1000,Fleet!A:A,Fleet!E:E,""),"")</f>
        <v>30</v>
      </c>
      <c r="N1000" t="s">
        <v>22</v>
      </c>
      <c r="P1000" t="str">
        <f>_xlfn.XLOOKUP(A1000,'Classic Net to delete'!D:D,'Classic Net to delete'!A:A,"")</f>
        <v/>
      </c>
    </row>
    <row r="1001" spans="1:16" x14ac:dyDescent="0.25">
      <c r="A1001" t="s">
        <v>1426</v>
      </c>
      <c r="B1001" t="s">
        <v>3117</v>
      </c>
      <c r="C1001" t="s">
        <v>1442</v>
      </c>
      <c r="D1001">
        <v>500</v>
      </c>
      <c r="E1001" t="s">
        <v>3106</v>
      </c>
      <c r="F1001" s="186" t="s">
        <v>1417</v>
      </c>
      <c r="H1001" t="b">
        <v>0</v>
      </c>
      <c r="I1001" t="s">
        <v>22</v>
      </c>
      <c r="J1001" s="186" t="s">
        <v>1380</v>
      </c>
      <c r="M1001">
        <f>IFERROR(_xlfn.XLOOKUP(A1001,Fleet!A:A,Fleet!E:E,""),"")</f>
        <v>30</v>
      </c>
      <c r="N1001" t="s">
        <v>22</v>
      </c>
      <c r="P1001" t="str">
        <f>_xlfn.XLOOKUP(A1001,'Classic Net to delete'!D:D,'Classic Net to delete'!A:A,"")</f>
        <v/>
      </c>
    </row>
    <row r="1002" spans="1:16" x14ac:dyDescent="0.25">
      <c r="A1002" t="s">
        <v>1426</v>
      </c>
      <c r="B1002" t="s">
        <v>3117</v>
      </c>
      <c r="C1002" t="s">
        <v>1443</v>
      </c>
      <c r="D1002">
        <v>500</v>
      </c>
      <c r="E1002" t="s">
        <v>3106</v>
      </c>
      <c r="F1002" s="186" t="s">
        <v>1417</v>
      </c>
      <c r="H1002" t="b">
        <v>0</v>
      </c>
      <c r="I1002" t="s">
        <v>22</v>
      </c>
      <c r="J1002" s="186" t="s">
        <v>1380</v>
      </c>
      <c r="M1002">
        <f>IFERROR(_xlfn.XLOOKUP(A1002,Fleet!A:A,Fleet!E:E,""),"")</f>
        <v>30</v>
      </c>
      <c r="N1002" t="s">
        <v>22</v>
      </c>
      <c r="P1002" t="str">
        <f>_xlfn.XLOOKUP(A1002,'Classic Net to delete'!D:D,'Classic Net to delete'!A:A,"")</f>
        <v/>
      </c>
    </row>
    <row r="1003" spans="1:16" x14ac:dyDescent="0.25">
      <c r="A1003" t="s">
        <v>1426</v>
      </c>
      <c r="B1003" t="s">
        <v>3117</v>
      </c>
      <c r="C1003" t="s">
        <v>1444</v>
      </c>
      <c r="D1003">
        <v>500</v>
      </c>
      <c r="E1003" t="s">
        <v>3106</v>
      </c>
      <c r="F1003" s="186" t="s">
        <v>1417</v>
      </c>
      <c r="H1003" t="b">
        <v>0</v>
      </c>
      <c r="I1003" t="s">
        <v>22</v>
      </c>
      <c r="J1003" s="186" t="s">
        <v>1380</v>
      </c>
      <c r="M1003">
        <f>IFERROR(_xlfn.XLOOKUP(A1003,Fleet!A:A,Fleet!E:E,""),"")</f>
        <v>30</v>
      </c>
      <c r="N1003" t="s">
        <v>22</v>
      </c>
      <c r="P1003" t="str">
        <f>_xlfn.XLOOKUP(A1003,'Classic Net to delete'!D:D,'Classic Net to delete'!A:A,"")</f>
        <v/>
      </c>
    </row>
    <row r="1004" spans="1:16" x14ac:dyDescent="0.25">
      <c r="A1004" t="s">
        <v>1426</v>
      </c>
      <c r="B1004" t="s">
        <v>3117</v>
      </c>
      <c r="C1004" t="s">
        <v>1445</v>
      </c>
      <c r="D1004">
        <v>500</v>
      </c>
      <c r="E1004" t="s">
        <v>3106</v>
      </c>
      <c r="F1004" s="186" t="s">
        <v>1417</v>
      </c>
      <c r="H1004" t="b">
        <v>0</v>
      </c>
      <c r="I1004" t="s">
        <v>22</v>
      </c>
      <c r="J1004" s="186" t="s">
        <v>1380</v>
      </c>
      <c r="M1004">
        <f>IFERROR(_xlfn.XLOOKUP(A1004,Fleet!A:A,Fleet!E:E,""),"")</f>
        <v>30</v>
      </c>
      <c r="N1004" t="s">
        <v>22</v>
      </c>
      <c r="P1004" t="str">
        <f>_xlfn.XLOOKUP(A1004,'Classic Net to delete'!D:D,'Classic Net to delete'!A:A,"")</f>
        <v/>
      </c>
    </row>
    <row r="1005" spans="1:16" x14ac:dyDescent="0.25">
      <c r="A1005" t="s">
        <v>1426</v>
      </c>
      <c r="B1005" t="s">
        <v>3117</v>
      </c>
      <c r="C1005" t="s">
        <v>1446</v>
      </c>
      <c r="D1005">
        <v>500</v>
      </c>
      <c r="E1005" t="s">
        <v>3106</v>
      </c>
      <c r="F1005" s="186" t="s">
        <v>1417</v>
      </c>
      <c r="H1005" t="b">
        <v>0</v>
      </c>
      <c r="I1005" t="s">
        <v>22</v>
      </c>
      <c r="J1005" s="186" t="s">
        <v>1380</v>
      </c>
      <c r="M1005">
        <f>IFERROR(_xlfn.XLOOKUP(A1005,Fleet!A:A,Fleet!E:E,""),"")</f>
        <v>30</v>
      </c>
      <c r="N1005" t="s">
        <v>22</v>
      </c>
      <c r="P1005" t="str">
        <f>_xlfn.XLOOKUP(A1005,'Classic Net to delete'!D:D,'Classic Net to delete'!A:A,"")</f>
        <v/>
      </c>
    </row>
    <row r="1006" spans="1:16" x14ac:dyDescent="0.25">
      <c r="A1006" t="s">
        <v>1426</v>
      </c>
      <c r="B1006" t="s">
        <v>3117</v>
      </c>
      <c r="C1006" t="s">
        <v>1447</v>
      </c>
      <c r="D1006">
        <v>500</v>
      </c>
      <c r="E1006" t="s">
        <v>3106</v>
      </c>
      <c r="F1006" s="186" t="s">
        <v>1417</v>
      </c>
      <c r="H1006" t="b">
        <v>0</v>
      </c>
      <c r="I1006" t="s">
        <v>22</v>
      </c>
      <c r="J1006" s="186" t="s">
        <v>1380</v>
      </c>
      <c r="M1006">
        <f>IFERROR(_xlfn.XLOOKUP(A1006,Fleet!A:A,Fleet!E:E,""),"")</f>
        <v>30</v>
      </c>
      <c r="N1006" t="s">
        <v>22</v>
      </c>
      <c r="P1006" t="str">
        <f>_xlfn.XLOOKUP(A1006,'Classic Net to delete'!D:D,'Classic Net to delete'!A:A,"")</f>
        <v/>
      </c>
    </row>
    <row r="1007" spans="1:16" x14ac:dyDescent="0.25">
      <c r="A1007" t="s">
        <v>1426</v>
      </c>
      <c r="B1007" t="s">
        <v>3117</v>
      </c>
      <c r="C1007" t="s">
        <v>1448</v>
      </c>
      <c r="D1007">
        <v>500</v>
      </c>
      <c r="E1007" t="s">
        <v>3106</v>
      </c>
      <c r="F1007" s="186" t="s">
        <v>1417</v>
      </c>
      <c r="H1007" t="b">
        <v>0</v>
      </c>
      <c r="I1007" t="s">
        <v>22</v>
      </c>
      <c r="J1007" s="186" t="s">
        <v>1380</v>
      </c>
      <c r="M1007">
        <f>IFERROR(_xlfn.XLOOKUP(A1007,Fleet!A:A,Fleet!E:E,""),"")</f>
        <v>30</v>
      </c>
      <c r="N1007" t="s">
        <v>22</v>
      </c>
      <c r="P1007" t="str">
        <f>_xlfn.XLOOKUP(A1007,'Classic Net to delete'!D:D,'Classic Net to delete'!A:A,"")</f>
        <v/>
      </c>
    </row>
    <row r="1008" spans="1:16" x14ac:dyDescent="0.25">
      <c r="A1008" t="s">
        <v>1426</v>
      </c>
      <c r="B1008" t="s">
        <v>3117</v>
      </c>
      <c r="C1008" t="s">
        <v>1449</v>
      </c>
      <c r="D1008">
        <v>500</v>
      </c>
      <c r="E1008" t="s">
        <v>3106</v>
      </c>
      <c r="F1008" s="186" t="s">
        <v>1417</v>
      </c>
      <c r="H1008" t="b">
        <v>0</v>
      </c>
      <c r="I1008" t="s">
        <v>22</v>
      </c>
      <c r="J1008" s="186" t="s">
        <v>1380</v>
      </c>
      <c r="M1008">
        <f>IFERROR(_xlfn.XLOOKUP(A1008,Fleet!A:A,Fleet!E:E,""),"")</f>
        <v>30</v>
      </c>
      <c r="N1008" t="s">
        <v>22</v>
      </c>
      <c r="P1008" t="str">
        <f>_xlfn.XLOOKUP(A1008,'Classic Net to delete'!D:D,'Classic Net to delete'!A:A,"")</f>
        <v/>
      </c>
    </row>
    <row r="1009" spans="1:16" x14ac:dyDescent="0.25">
      <c r="A1009" t="s">
        <v>1426</v>
      </c>
      <c r="B1009" t="s">
        <v>3117</v>
      </c>
      <c r="C1009" t="s">
        <v>1450</v>
      </c>
      <c r="D1009">
        <v>500</v>
      </c>
      <c r="E1009" t="s">
        <v>3106</v>
      </c>
      <c r="F1009" s="186" t="s">
        <v>1417</v>
      </c>
      <c r="H1009" t="b">
        <v>0</v>
      </c>
      <c r="I1009" t="s">
        <v>22</v>
      </c>
      <c r="J1009" s="186" t="s">
        <v>1380</v>
      </c>
      <c r="M1009">
        <f>IFERROR(_xlfn.XLOOKUP(A1009,Fleet!A:A,Fleet!E:E,""),"")</f>
        <v>30</v>
      </c>
      <c r="N1009" t="s">
        <v>22</v>
      </c>
      <c r="P1009" t="str">
        <f>_xlfn.XLOOKUP(A1009,'Classic Net to delete'!D:D,'Classic Net to delete'!A:A,"")</f>
        <v/>
      </c>
    </row>
    <row r="1010" spans="1:16" x14ac:dyDescent="0.25">
      <c r="A1010" t="s">
        <v>1426</v>
      </c>
      <c r="B1010" t="s">
        <v>3117</v>
      </c>
      <c r="C1010" t="s">
        <v>1451</v>
      </c>
      <c r="D1010">
        <v>500</v>
      </c>
      <c r="E1010" t="s">
        <v>3106</v>
      </c>
      <c r="F1010" s="186" t="s">
        <v>1417</v>
      </c>
      <c r="H1010" t="b">
        <v>0</v>
      </c>
      <c r="I1010" t="s">
        <v>22</v>
      </c>
      <c r="J1010" s="186" t="s">
        <v>1380</v>
      </c>
      <c r="M1010">
        <f>IFERROR(_xlfn.XLOOKUP(A1010,Fleet!A:A,Fleet!E:E,""),"")</f>
        <v>30</v>
      </c>
      <c r="N1010" t="s">
        <v>22</v>
      </c>
      <c r="P1010" t="str">
        <f>_xlfn.XLOOKUP(A1010,'Classic Net to delete'!D:D,'Classic Net to delete'!A:A,"")</f>
        <v/>
      </c>
    </row>
    <row r="1011" spans="1:16" x14ac:dyDescent="0.25">
      <c r="A1011" t="s">
        <v>1426</v>
      </c>
      <c r="B1011" t="s">
        <v>3117</v>
      </c>
      <c r="C1011" t="s">
        <v>1452</v>
      </c>
      <c r="D1011">
        <v>500</v>
      </c>
      <c r="E1011" t="s">
        <v>3106</v>
      </c>
      <c r="F1011" s="186" t="s">
        <v>1417</v>
      </c>
      <c r="H1011" t="b">
        <v>0</v>
      </c>
      <c r="I1011" t="s">
        <v>22</v>
      </c>
      <c r="J1011" s="186" t="s">
        <v>1380</v>
      </c>
      <c r="M1011">
        <f>IFERROR(_xlfn.XLOOKUP(A1011,Fleet!A:A,Fleet!E:E,""),"")</f>
        <v>30</v>
      </c>
      <c r="N1011" t="s">
        <v>22</v>
      </c>
      <c r="P1011" t="str">
        <f>_xlfn.XLOOKUP(A1011,'Classic Net to delete'!D:D,'Classic Net to delete'!A:A,"")</f>
        <v/>
      </c>
    </row>
    <row r="1012" spans="1:16" x14ac:dyDescent="0.25">
      <c r="A1012" t="s">
        <v>1426</v>
      </c>
      <c r="B1012" t="s">
        <v>3117</v>
      </c>
      <c r="C1012" t="s">
        <v>1453</v>
      </c>
      <c r="D1012">
        <v>500</v>
      </c>
      <c r="E1012" t="s">
        <v>3106</v>
      </c>
      <c r="F1012" s="186" t="s">
        <v>1417</v>
      </c>
      <c r="H1012" t="b">
        <v>0</v>
      </c>
      <c r="I1012" t="s">
        <v>22</v>
      </c>
      <c r="J1012" s="186" t="s">
        <v>1380</v>
      </c>
      <c r="M1012">
        <f>IFERROR(_xlfn.XLOOKUP(A1012,Fleet!A:A,Fleet!E:E,""),"")</f>
        <v>30</v>
      </c>
      <c r="N1012" t="s">
        <v>22</v>
      </c>
      <c r="P1012" t="str">
        <f>_xlfn.XLOOKUP(A1012,'Classic Net to delete'!D:D,'Classic Net to delete'!A:A,"")</f>
        <v/>
      </c>
    </row>
    <row r="1013" spans="1:16" x14ac:dyDescent="0.25">
      <c r="A1013" t="s">
        <v>1426</v>
      </c>
      <c r="B1013" t="s">
        <v>3117</v>
      </c>
      <c r="C1013" t="s">
        <v>1454</v>
      </c>
      <c r="D1013">
        <v>500</v>
      </c>
      <c r="E1013" t="s">
        <v>3106</v>
      </c>
      <c r="F1013" s="186" t="s">
        <v>1417</v>
      </c>
      <c r="H1013" t="b">
        <v>0</v>
      </c>
      <c r="I1013" t="s">
        <v>22</v>
      </c>
      <c r="J1013" s="186" t="s">
        <v>1380</v>
      </c>
      <c r="M1013">
        <f>IFERROR(_xlfn.XLOOKUP(A1013,Fleet!A:A,Fleet!E:E,""),"")</f>
        <v>30</v>
      </c>
      <c r="N1013" t="s">
        <v>22</v>
      </c>
      <c r="P1013" t="str">
        <f>_xlfn.XLOOKUP(A1013,'Classic Net to delete'!D:D,'Classic Net to delete'!A:A,"")</f>
        <v/>
      </c>
    </row>
    <row r="1014" spans="1:16" x14ac:dyDescent="0.25">
      <c r="A1014" t="s">
        <v>1426</v>
      </c>
      <c r="B1014" t="s">
        <v>3117</v>
      </c>
      <c r="C1014" t="s">
        <v>1455</v>
      </c>
      <c r="D1014">
        <v>500</v>
      </c>
      <c r="E1014" t="s">
        <v>3106</v>
      </c>
      <c r="F1014" s="186" t="s">
        <v>1417</v>
      </c>
      <c r="H1014" t="b">
        <v>0</v>
      </c>
      <c r="I1014" t="s">
        <v>22</v>
      </c>
      <c r="J1014" s="186" t="s">
        <v>1380</v>
      </c>
      <c r="M1014">
        <f>IFERROR(_xlfn.XLOOKUP(A1014,Fleet!A:A,Fleet!E:E,""),"")</f>
        <v>30</v>
      </c>
      <c r="N1014" t="s">
        <v>22</v>
      </c>
      <c r="P1014" t="str">
        <f>_xlfn.XLOOKUP(A1014,'Classic Net to delete'!D:D,'Classic Net to delete'!A:A,"")</f>
        <v/>
      </c>
    </row>
    <row r="1015" spans="1:16" x14ac:dyDescent="0.25">
      <c r="A1015" t="s">
        <v>1426</v>
      </c>
      <c r="B1015" t="s">
        <v>3117</v>
      </c>
      <c r="C1015" t="s">
        <v>1456</v>
      </c>
      <c r="D1015">
        <v>500</v>
      </c>
      <c r="E1015" t="s">
        <v>3106</v>
      </c>
      <c r="F1015" s="186" t="s">
        <v>1417</v>
      </c>
      <c r="H1015" t="b">
        <v>0</v>
      </c>
      <c r="I1015" t="s">
        <v>22</v>
      </c>
      <c r="J1015" s="186" t="s">
        <v>1380</v>
      </c>
      <c r="M1015">
        <f>IFERROR(_xlfn.XLOOKUP(A1015,Fleet!A:A,Fleet!E:E,""),"")</f>
        <v>30</v>
      </c>
      <c r="N1015" t="s">
        <v>22</v>
      </c>
      <c r="P1015" t="str">
        <f>_xlfn.XLOOKUP(A1015,'Classic Net to delete'!D:D,'Classic Net to delete'!A:A,"")</f>
        <v/>
      </c>
    </row>
    <row r="1016" spans="1:16" x14ac:dyDescent="0.25">
      <c r="A1016" t="s">
        <v>1638</v>
      </c>
      <c r="B1016" t="s">
        <v>1639</v>
      </c>
      <c r="C1016" t="s">
        <v>1639</v>
      </c>
      <c r="D1016">
        <v>151.55000000000001</v>
      </c>
      <c r="E1016" t="s">
        <v>3106</v>
      </c>
      <c r="F1016" s="186" t="s">
        <v>1417</v>
      </c>
      <c r="H1016" t="b">
        <v>1</v>
      </c>
      <c r="I1016">
        <v>151.55000000000001</v>
      </c>
      <c r="J1016" s="186" t="s">
        <v>1380</v>
      </c>
      <c r="M1016" t="str">
        <f>IFERROR(_xlfn.XLOOKUP(A1016,Fleet!A:A,Fleet!E:E,""),"")</f>
        <v/>
      </c>
      <c r="N1016" t="s">
        <v>22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1424</v>
      </c>
      <c r="B1017" t="s">
        <v>1425</v>
      </c>
      <c r="C1017" t="s">
        <v>1425</v>
      </c>
      <c r="D1017">
        <v>133.9</v>
      </c>
      <c r="E1017" t="s">
        <v>3106</v>
      </c>
      <c r="F1017" s="186" t="s">
        <v>1417</v>
      </c>
      <c r="H1017" t="b">
        <v>1</v>
      </c>
      <c r="I1017" t="s">
        <v>22</v>
      </c>
      <c r="J1017" s="186" t="s">
        <v>1380</v>
      </c>
      <c r="M1017">
        <f>IFERROR(_xlfn.XLOOKUP(A1017,Fleet!A:A,Fleet!E:E,""),"")</f>
        <v>2</v>
      </c>
      <c r="N1017" t="s">
        <v>22</v>
      </c>
      <c r="P1017" t="str">
        <f>_xlfn.XLOOKUP(A1017,'Classic Net to delete'!D:D,'Classic Net to delete'!A:A,"")</f>
        <v/>
      </c>
    </row>
    <row r="1018" spans="1:16" x14ac:dyDescent="0.25">
      <c r="A1018" t="s">
        <v>1614</v>
      </c>
      <c r="B1018" t="s">
        <v>1615</v>
      </c>
      <c r="C1018" t="s">
        <v>1615</v>
      </c>
      <c r="D1018">
        <v>25.35</v>
      </c>
      <c r="E1018" t="s">
        <v>3106</v>
      </c>
      <c r="F1018" s="186" t="s">
        <v>1417</v>
      </c>
      <c r="H1018" t="b">
        <v>1</v>
      </c>
      <c r="I1018">
        <v>25.35</v>
      </c>
      <c r="J1018" s="186" t="s">
        <v>1380</v>
      </c>
      <c r="M1018">
        <f>IFERROR(_xlfn.XLOOKUP(A1018,Fleet!A:A,Fleet!E:E,""),"")</f>
        <v>3</v>
      </c>
      <c r="N1018" t="s">
        <v>22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1418</v>
      </c>
      <c r="B1019" t="s">
        <v>1419</v>
      </c>
      <c r="C1019" t="s">
        <v>1419</v>
      </c>
      <c r="D1019">
        <v>229.95</v>
      </c>
      <c r="E1019" t="s">
        <v>3106</v>
      </c>
      <c r="F1019" s="186" t="s">
        <v>1417</v>
      </c>
      <c r="H1019" t="b">
        <v>1</v>
      </c>
      <c r="I1019" t="s">
        <v>22</v>
      </c>
      <c r="J1019" s="186" t="s">
        <v>1380</v>
      </c>
      <c r="M1019">
        <f>IFERROR(_xlfn.XLOOKUP(A1019,Fleet!A:A,Fleet!E:E,""),"")</f>
        <v>1</v>
      </c>
      <c r="N1019" t="s">
        <v>22</v>
      </c>
      <c r="P1019" t="str">
        <f>_xlfn.XLOOKUP(A1019,'Classic Net to delete'!D:D,'Classic Net to delete'!A:A,"")</f>
        <v/>
      </c>
    </row>
    <row r="1020" spans="1:16" x14ac:dyDescent="0.25">
      <c r="A1020" t="s">
        <v>1422</v>
      </c>
      <c r="B1020" t="s">
        <v>1423</v>
      </c>
      <c r="C1020" t="s">
        <v>1423</v>
      </c>
      <c r="D1020">
        <v>65</v>
      </c>
      <c r="E1020" t="s">
        <v>3106</v>
      </c>
      <c r="F1020" s="186" t="s">
        <v>1417</v>
      </c>
      <c r="H1020" t="b">
        <v>1</v>
      </c>
      <c r="I1020" t="s">
        <v>22</v>
      </c>
      <c r="J1020" s="186" t="s">
        <v>1380</v>
      </c>
      <c r="M1020">
        <f>IFERROR(_xlfn.XLOOKUP(A1020,Fleet!A:A,Fleet!E:E,""),"")</f>
        <v>4</v>
      </c>
      <c r="N1020" t="s">
        <v>22</v>
      </c>
      <c r="P1020" t="str">
        <f>_xlfn.XLOOKUP(A1020,'Classic Net to delete'!D:D,'Classic Net to delete'!A:A,"")</f>
        <v/>
      </c>
    </row>
    <row r="1021" spans="1:16" x14ac:dyDescent="0.25">
      <c r="A1021" t="s">
        <v>1415</v>
      </c>
      <c r="B1021" t="s">
        <v>1416</v>
      </c>
      <c r="C1021" t="s">
        <v>1416</v>
      </c>
      <c r="D1021">
        <v>50.45</v>
      </c>
      <c r="E1021" t="s">
        <v>3106</v>
      </c>
      <c r="F1021" s="186" t="s">
        <v>1417</v>
      </c>
      <c r="H1021" t="b">
        <v>1</v>
      </c>
      <c r="I1021" t="s">
        <v>22</v>
      </c>
      <c r="J1021" s="186" t="s">
        <v>1380</v>
      </c>
      <c r="M1021">
        <f>IFERROR(_xlfn.XLOOKUP(A1021,Fleet!A:A,Fleet!E:E,""),"")</f>
        <v>6</v>
      </c>
      <c r="N1021" t="s">
        <v>22</v>
      </c>
      <c r="P1021" t="str">
        <f>_xlfn.XLOOKUP(A1021,'Classic Net to delete'!D:D,'Classic Net to delete'!A:A,"")</f>
        <v/>
      </c>
    </row>
    <row r="1022" spans="1:16" x14ac:dyDescent="0.25">
      <c r="A1022" t="s">
        <v>1420</v>
      </c>
      <c r="B1022" t="s">
        <v>1421</v>
      </c>
      <c r="C1022" t="s">
        <v>1421</v>
      </c>
      <c r="D1022">
        <v>87.55</v>
      </c>
      <c r="E1022" t="s">
        <v>3106</v>
      </c>
      <c r="F1022" s="186" t="s">
        <v>1417</v>
      </c>
      <c r="H1022" t="b">
        <v>1</v>
      </c>
      <c r="I1022" t="s">
        <v>22</v>
      </c>
      <c r="J1022" s="186" t="s">
        <v>1380</v>
      </c>
      <c r="M1022">
        <f>IFERROR(_xlfn.XLOOKUP(A1022,Fleet!A:A,Fleet!E:E,""),"")</f>
        <v>6</v>
      </c>
      <c r="N1022" t="s">
        <v>22</v>
      </c>
      <c r="P1022" t="str">
        <f>_xlfn.XLOOKUP(A1022,'Classic Net to delete'!D:D,'Classic Net to delete'!A:A,"")</f>
        <v/>
      </c>
    </row>
    <row r="1023" spans="1:16" x14ac:dyDescent="0.25">
      <c r="A1023" t="s">
        <v>1687</v>
      </c>
      <c r="B1023" t="s">
        <v>1688</v>
      </c>
      <c r="C1023" t="s">
        <v>1688</v>
      </c>
      <c r="D1023">
        <v>22.75</v>
      </c>
      <c r="E1023" t="s">
        <v>3120</v>
      </c>
      <c r="F1023" s="186" t="s">
        <v>1661</v>
      </c>
      <c r="H1023" t="b">
        <v>1</v>
      </c>
      <c r="I1023">
        <v>22.75</v>
      </c>
      <c r="J1023" s="186" t="s">
        <v>1660</v>
      </c>
      <c r="M1023">
        <f>IFERROR(_xlfn.XLOOKUP(A1023,Fleet!A:A,Fleet!E:E,""),"")</f>
        <v>3</v>
      </c>
      <c r="N1023" t="s">
        <v>22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1696</v>
      </c>
      <c r="B1024" t="s">
        <v>1697</v>
      </c>
      <c r="C1024" t="s">
        <v>1697</v>
      </c>
      <c r="D1024">
        <v>35.700000000000003</v>
      </c>
      <c r="E1024" t="s">
        <v>3120</v>
      </c>
      <c r="F1024" s="186" t="s">
        <v>1661</v>
      </c>
      <c r="H1024" t="b">
        <v>1</v>
      </c>
      <c r="I1024">
        <v>35.700000000000003</v>
      </c>
      <c r="J1024" s="186" t="s">
        <v>1660</v>
      </c>
      <c r="M1024">
        <f>IFERROR(_xlfn.XLOOKUP(A1024,Fleet!A:A,Fleet!E:E,""),"")</f>
        <v>1</v>
      </c>
      <c r="N1024" t="s">
        <v>22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1708</v>
      </c>
      <c r="B1025" t="s">
        <v>1709</v>
      </c>
      <c r="C1025" t="s">
        <v>1709</v>
      </c>
      <c r="D1025">
        <v>18.899999999999999</v>
      </c>
      <c r="E1025" t="s">
        <v>3120</v>
      </c>
      <c r="F1025" s="186" t="s">
        <v>1661</v>
      </c>
      <c r="H1025" t="b">
        <v>1</v>
      </c>
      <c r="I1025">
        <v>18.900000000000002</v>
      </c>
      <c r="J1025" s="186" t="s">
        <v>1660</v>
      </c>
      <c r="M1025">
        <f>IFERROR(_xlfn.XLOOKUP(A1025,Fleet!A:A,Fleet!E:E,""),"")</f>
        <v>15</v>
      </c>
      <c r="N1025" t="s">
        <v>22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1658</v>
      </c>
      <c r="B1026" t="s">
        <v>1659</v>
      </c>
      <c r="C1026" t="s">
        <v>1659</v>
      </c>
      <c r="D1026">
        <v>48.65</v>
      </c>
      <c r="E1026" t="s">
        <v>3120</v>
      </c>
      <c r="F1026" s="186" t="s">
        <v>1661</v>
      </c>
      <c r="H1026" t="b">
        <v>0</v>
      </c>
      <c r="I1026" t="s">
        <v>22</v>
      </c>
      <c r="J1026" s="186" t="s">
        <v>1660</v>
      </c>
      <c r="M1026">
        <f>IFERROR(_xlfn.XLOOKUP(A1026,Fleet!A:A,Fleet!E:E,""),"")</f>
        <v>1</v>
      </c>
      <c r="N1026" t="s">
        <v>22</v>
      </c>
      <c r="P1026" t="str">
        <f>_xlfn.XLOOKUP(A1026,'Classic Net to delete'!D:D,'Classic Net to delete'!A:A,"")</f>
        <v/>
      </c>
    </row>
    <row r="1027" spans="1:16" x14ac:dyDescent="0.25">
      <c r="A1027" t="s">
        <v>1719</v>
      </c>
      <c r="B1027" t="s">
        <v>3121</v>
      </c>
      <c r="C1027" t="s">
        <v>1720</v>
      </c>
      <c r="D1027">
        <v>7.4</v>
      </c>
      <c r="E1027" t="s">
        <v>3120</v>
      </c>
      <c r="F1027" s="186" t="s">
        <v>1661</v>
      </c>
      <c r="H1027" t="b">
        <v>1</v>
      </c>
      <c r="I1027">
        <v>7.4</v>
      </c>
      <c r="J1027" s="186" t="s">
        <v>1660</v>
      </c>
      <c r="M1027">
        <f>IFERROR(_xlfn.XLOOKUP(A1027,Fleet!A:A,Fleet!E:E,""),"")</f>
        <v>12</v>
      </c>
      <c r="N1027" t="s">
        <v>22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1664</v>
      </c>
      <c r="B1028" t="s">
        <v>1665</v>
      </c>
      <c r="C1028" t="s">
        <v>1665</v>
      </c>
      <c r="D1028">
        <v>23.9</v>
      </c>
      <c r="E1028" t="s">
        <v>3120</v>
      </c>
      <c r="F1028" s="186" t="s">
        <v>1661</v>
      </c>
      <c r="H1028" t="b">
        <v>0</v>
      </c>
      <c r="I1028" t="s">
        <v>22</v>
      </c>
      <c r="J1028" s="186" t="s">
        <v>1660</v>
      </c>
      <c r="M1028">
        <f>IFERROR(_xlfn.XLOOKUP(A1028,Fleet!A:A,Fleet!E:E,""),"")</f>
        <v>0</v>
      </c>
      <c r="N1028" t="s">
        <v>22</v>
      </c>
      <c r="P1028" t="str">
        <f>_xlfn.XLOOKUP(A1028,'Classic Net to delete'!D:D,'Classic Net to delete'!A:A,"")</f>
        <v/>
      </c>
    </row>
    <row r="1029" spans="1:16" x14ac:dyDescent="0.25">
      <c r="A1029" t="s">
        <v>1710</v>
      </c>
      <c r="B1029" t="s">
        <v>1711</v>
      </c>
      <c r="C1029" t="s">
        <v>1711</v>
      </c>
      <c r="D1029">
        <v>57.2</v>
      </c>
      <c r="E1029" t="s">
        <v>3120</v>
      </c>
      <c r="F1029" s="186" t="s">
        <v>1661</v>
      </c>
      <c r="H1029" t="b">
        <v>1</v>
      </c>
      <c r="I1029">
        <v>57.2</v>
      </c>
      <c r="J1029" s="186" t="s">
        <v>1660</v>
      </c>
      <c r="M1029">
        <f>IFERROR(_xlfn.XLOOKUP(A1029,Fleet!A:A,Fleet!E:E,""),"")</f>
        <v>6</v>
      </c>
      <c r="N1029" t="s">
        <v>22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1713</v>
      </c>
      <c r="B1030" t="s">
        <v>1714</v>
      </c>
      <c r="C1030" t="s">
        <v>1714</v>
      </c>
      <c r="D1030">
        <v>28.4</v>
      </c>
      <c r="E1030" t="s">
        <v>3120</v>
      </c>
      <c r="F1030" s="186" t="s">
        <v>1661</v>
      </c>
      <c r="H1030" t="b">
        <v>1</v>
      </c>
      <c r="I1030">
        <v>28.400000000000002</v>
      </c>
      <c r="J1030" s="186" t="s">
        <v>1660</v>
      </c>
      <c r="M1030">
        <f>IFERROR(_xlfn.XLOOKUP(A1030,Fleet!A:A,Fleet!E:E,""),"")</f>
        <v>22</v>
      </c>
      <c r="N1030" t="s">
        <v>22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1681</v>
      </c>
      <c r="B1031" t="s">
        <v>1682</v>
      </c>
      <c r="C1031" t="s">
        <v>1682</v>
      </c>
      <c r="D1031">
        <v>69.3</v>
      </c>
      <c r="E1031" t="s">
        <v>3120</v>
      </c>
      <c r="F1031" s="186" t="s">
        <v>1661</v>
      </c>
      <c r="H1031" t="b">
        <v>1</v>
      </c>
      <c r="I1031">
        <v>69.3</v>
      </c>
      <c r="J1031" s="186" t="s">
        <v>1660</v>
      </c>
      <c r="M1031">
        <f>IFERROR(_xlfn.XLOOKUP(A1031,Fleet!A:A,Fleet!E:E,""),"")</f>
        <v>62</v>
      </c>
      <c r="N1031" t="s">
        <v>22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1699</v>
      </c>
      <c r="B1032" t="s">
        <v>1700</v>
      </c>
      <c r="C1032" t="s">
        <v>1700</v>
      </c>
      <c r="D1032">
        <v>45.05</v>
      </c>
      <c r="E1032" t="s">
        <v>3120</v>
      </c>
      <c r="F1032" s="186" t="s">
        <v>1661</v>
      </c>
      <c r="H1032" t="b">
        <v>1</v>
      </c>
      <c r="I1032">
        <v>45.050000000000004</v>
      </c>
      <c r="J1032" s="186" t="s">
        <v>1660</v>
      </c>
      <c r="M1032">
        <f>IFERROR(_xlfn.XLOOKUP(A1032,Fleet!A:A,Fleet!E:E,""),"")</f>
        <v>80</v>
      </c>
      <c r="N1032" t="s">
        <v>22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1716</v>
      </c>
      <c r="B1033" t="s">
        <v>1717</v>
      </c>
      <c r="C1033" t="s">
        <v>1717</v>
      </c>
      <c r="D1033">
        <v>23.9</v>
      </c>
      <c r="E1033" t="s">
        <v>3120</v>
      </c>
      <c r="F1033" s="186" t="s">
        <v>1661</v>
      </c>
      <c r="H1033" t="b">
        <v>1</v>
      </c>
      <c r="I1033">
        <v>23.900000000000002</v>
      </c>
      <c r="J1033" s="186" t="s">
        <v>1660</v>
      </c>
      <c r="M1033">
        <f>IFERROR(_xlfn.XLOOKUP(A1033,Fleet!A:A,Fleet!E:E,""),"")</f>
        <v>0</v>
      </c>
      <c r="N1033" t="s">
        <v>22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1684</v>
      </c>
      <c r="B1034" t="s">
        <v>1685</v>
      </c>
      <c r="C1034" t="s">
        <v>1685</v>
      </c>
      <c r="D1034">
        <v>27.75</v>
      </c>
      <c r="E1034" t="s">
        <v>3120</v>
      </c>
      <c r="F1034" s="186" t="s">
        <v>1661</v>
      </c>
      <c r="H1034" t="b">
        <v>1</v>
      </c>
      <c r="I1034">
        <v>27.75</v>
      </c>
      <c r="J1034" s="186" t="s">
        <v>1660</v>
      </c>
      <c r="M1034">
        <f>IFERROR(_xlfn.XLOOKUP(A1034,Fleet!A:A,Fleet!E:E,""),"")</f>
        <v>46</v>
      </c>
      <c r="N1034" t="s">
        <v>22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1690</v>
      </c>
      <c r="B1035" t="s">
        <v>1691</v>
      </c>
      <c r="C1035" t="s">
        <v>1691</v>
      </c>
      <c r="D1035">
        <v>24</v>
      </c>
      <c r="E1035" t="s">
        <v>3120</v>
      </c>
      <c r="F1035" s="186" t="s">
        <v>1661</v>
      </c>
      <c r="H1035" t="b">
        <v>1</v>
      </c>
      <c r="I1035">
        <v>24</v>
      </c>
      <c r="J1035" s="186" t="s">
        <v>1660</v>
      </c>
      <c r="M1035">
        <f>IFERROR(_xlfn.XLOOKUP(A1035,Fleet!A:A,Fleet!E:E,""),"")</f>
        <v>235</v>
      </c>
      <c r="N1035" t="s">
        <v>22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1693</v>
      </c>
      <c r="B1036" t="s">
        <v>1694</v>
      </c>
      <c r="C1036" t="s">
        <v>1694</v>
      </c>
      <c r="D1036">
        <v>43.95</v>
      </c>
      <c r="E1036" t="s">
        <v>3120</v>
      </c>
      <c r="F1036" s="186" t="s">
        <v>1661</v>
      </c>
      <c r="H1036" t="b">
        <v>1</v>
      </c>
      <c r="I1036">
        <v>43.95</v>
      </c>
      <c r="J1036" s="186" t="s">
        <v>1660</v>
      </c>
      <c r="M1036">
        <f>IFERROR(_xlfn.XLOOKUP(A1036,Fleet!A:A,Fleet!E:E,""),"")</f>
        <v>16</v>
      </c>
      <c r="N1036" t="s">
        <v>22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1674</v>
      </c>
      <c r="B1037" t="s">
        <v>3122</v>
      </c>
      <c r="C1037" t="s">
        <v>1675</v>
      </c>
      <c r="D1037">
        <v>500</v>
      </c>
      <c r="E1037" t="s">
        <v>3120</v>
      </c>
      <c r="F1037" s="186" t="s">
        <v>1661</v>
      </c>
      <c r="H1037" t="b">
        <v>0</v>
      </c>
      <c r="I1037" t="s">
        <v>22</v>
      </c>
      <c r="J1037" s="186" t="s">
        <v>1660</v>
      </c>
      <c r="M1037">
        <f>IFERROR(_xlfn.XLOOKUP(A1037,Fleet!A:A,Fleet!E:E,""),"")</f>
        <v>2</v>
      </c>
      <c r="N1037" t="s">
        <v>22</v>
      </c>
      <c r="P1037" t="str">
        <f>_xlfn.XLOOKUP(A1037,'Classic Net to delete'!D:D,'Classic Net to delete'!A:A,"")</f>
        <v/>
      </c>
    </row>
    <row r="1038" spans="1:16" x14ac:dyDescent="0.25">
      <c r="A1038" t="s">
        <v>1674</v>
      </c>
      <c r="B1038" t="s">
        <v>3122</v>
      </c>
      <c r="C1038" t="s">
        <v>1676</v>
      </c>
      <c r="D1038">
        <v>500</v>
      </c>
      <c r="E1038" t="s">
        <v>3120</v>
      </c>
      <c r="F1038" s="186" t="s">
        <v>1661</v>
      </c>
      <c r="H1038" t="b">
        <v>0</v>
      </c>
      <c r="I1038" t="s">
        <v>22</v>
      </c>
      <c r="J1038" s="186" t="s">
        <v>1660</v>
      </c>
      <c r="M1038">
        <f>IFERROR(_xlfn.XLOOKUP(A1038,Fleet!A:A,Fleet!E:E,""),"")</f>
        <v>2</v>
      </c>
      <c r="N1038" t="s">
        <v>22</v>
      </c>
      <c r="P1038" t="str">
        <f>_xlfn.XLOOKUP(A1038,'Classic Net to delete'!D:D,'Classic Net to delete'!A:A,"")</f>
        <v/>
      </c>
    </row>
    <row r="1039" spans="1:16" x14ac:dyDescent="0.25">
      <c r="A1039" t="s">
        <v>1701</v>
      </c>
      <c r="B1039" t="s">
        <v>1702</v>
      </c>
      <c r="C1039" t="s">
        <v>1702</v>
      </c>
      <c r="D1039">
        <v>14.45</v>
      </c>
      <c r="E1039" t="s">
        <v>3120</v>
      </c>
      <c r="F1039" s="186" t="s">
        <v>1661</v>
      </c>
      <c r="H1039" t="b">
        <v>1</v>
      </c>
      <c r="I1039">
        <v>14.450000000000001</v>
      </c>
      <c r="J1039" s="186" t="s">
        <v>1660</v>
      </c>
      <c r="M1039">
        <f>IFERROR(_xlfn.XLOOKUP(A1039,Fleet!A:A,Fleet!E:E,""),"")</f>
        <v>61</v>
      </c>
      <c r="N1039" t="s">
        <v>22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1705</v>
      </c>
      <c r="B1040" t="s">
        <v>1706</v>
      </c>
      <c r="C1040" t="s">
        <v>1706</v>
      </c>
      <c r="D1040">
        <v>23.9</v>
      </c>
      <c r="E1040" t="s">
        <v>3120</v>
      </c>
      <c r="F1040" s="186" t="s">
        <v>1661</v>
      </c>
      <c r="H1040" t="b">
        <v>1</v>
      </c>
      <c r="I1040">
        <v>23.900000000000002</v>
      </c>
      <c r="J1040" s="186" t="s">
        <v>1660</v>
      </c>
      <c r="M1040">
        <f>IFERROR(_xlfn.XLOOKUP(A1040,Fleet!A:A,Fleet!E:E,""),"")</f>
        <v>28</v>
      </c>
      <c r="N1040" t="s">
        <v>22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1670</v>
      </c>
      <c r="B1041" t="s">
        <v>1671</v>
      </c>
      <c r="C1041" t="s">
        <v>1671</v>
      </c>
      <c r="D1041">
        <v>23</v>
      </c>
      <c r="E1041" t="s">
        <v>3120</v>
      </c>
      <c r="F1041" s="186" t="s">
        <v>1661</v>
      </c>
      <c r="H1041" t="b">
        <v>0</v>
      </c>
      <c r="I1041" t="s">
        <v>22</v>
      </c>
      <c r="J1041" s="186" t="s">
        <v>1660</v>
      </c>
      <c r="M1041" t="str">
        <f>IFERROR(_xlfn.XLOOKUP(A1041,Fleet!A:A,Fleet!E:E,""),"")</f>
        <v/>
      </c>
      <c r="N1041" t="s">
        <v>22</v>
      </c>
      <c r="P1041" t="str">
        <f>_xlfn.XLOOKUP(A1041,'Classic Net to delete'!D:D,'Classic Net to delete'!A:A,"")</f>
        <v/>
      </c>
    </row>
    <row r="1042" spans="1:16" x14ac:dyDescent="0.25">
      <c r="A1042" t="s">
        <v>1672</v>
      </c>
      <c r="B1042" t="s">
        <v>1673</v>
      </c>
      <c r="C1042" t="s">
        <v>1673</v>
      </c>
      <c r="D1042">
        <v>27.75</v>
      </c>
      <c r="E1042" t="s">
        <v>3120</v>
      </c>
      <c r="F1042" s="186" t="s">
        <v>1661</v>
      </c>
      <c r="H1042" t="b">
        <v>0</v>
      </c>
      <c r="I1042" t="s">
        <v>22</v>
      </c>
      <c r="J1042" s="186" t="s">
        <v>1660</v>
      </c>
      <c r="M1042">
        <f>IFERROR(_xlfn.XLOOKUP(A1042,Fleet!A:A,Fleet!E:E,""),"")</f>
        <v>4</v>
      </c>
      <c r="N1042" t="s">
        <v>22</v>
      </c>
      <c r="P1042" t="str">
        <f>_xlfn.XLOOKUP(A1042,'Classic Net to delete'!D:D,'Classic Net to delete'!A:A,"")</f>
        <v/>
      </c>
    </row>
    <row r="1043" spans="1:16" x14ac:dyDescent="0.25">
      <c r="A1043" t="s">
        <v>1677</v>
      </c>
      <c r="B1043" t="s">
        <v>1678</v>
      </c>
      <c r="C1043" t="s">
        <v>1678</v>
      </c>
      <c r="D1043">
        <v>22.4</v>
      </c>
      <c r="E1043" t="s">
        <v>3120</v>
      </c>
      <c r="F1043" s="186" t="s">
        <v>1661</v>
      </c>
      <c r="H1043" t="b">
        <v>1</v>
      </c>
      <c r="I1043">
        <v>22.400000000000002</v>
      </c>
      <c r="J1043" s="186" t="s">
        <v>1660</v>
      </c>
      <c r="M1043">
        <f>IFERROR(_xlfn.XLOOKUP(A1043,Fleet!A:A,Fleet!E:E,""),"")</f>
        <v>5</v>
      </c>
      <c r="N1043" t="s">
        <v>22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1666</v>
      </c>
      <c r="B1044" t="s">
        <v>1667</v>
      </c>
      <c r="C1044" t="s">
        <v>1667</v>
      </c>
      <c r="D1044">
        <v>61.8</v>
      </c>
      <c r="E1044" t="s">
        <v>3120</v>
      </c>
      <c r="F1044" s="186" t="s">
        <v>1661</v>
      </c>
      <c r="H1044" t="b">
        <v>1</v>
      </c>
      <c r="I1044" t="s">
        <v>22</v>
      </c>
      <c r="J1044" s="186" t="s">
        <v>1660</v>
      </c>
      <c r="M1044">
        <f>IFERROR(_xlfn.XLOOKUP(A1044,Fleet!A:A,Fleet!E:E,""),"")</f>
        <v>2</v>
      </c>
      <c r="N1044" t="s">
        <v>22</v>
      </c>
      <c r="P1044" t="str">
        <f>_xlfn.XLOOKUP(A1044,'Classic Net to delete'!D:D,'Classic Net to delete'!A:A,"")</f>
        <v/>
      </c>
    </row>
    <row r="1045" spans="1:16" x14ac:dyDescent="0.25">
      <c r="A1045" t="s">
        <v>1668</v>
      </c>
      <c r="B1045" t="s">
        <v>1669</v>
      </c>
      <c r="C1045" t="s">
        <v>1669</v>
      </c>
      <c r="D1045">
        <v>61.8</v>
      </c>
      <c r="E1045" t="s">
        <v>3120</v>
      </c>
      <c r="F1045" s="186" t="s">
        <v>1661</v>
      </c>
      <c r="H1045" t="b">
        <v>1</v>
      </c>
      <c r="I1045" t="s">
        <v>22</v>
      </c>
      <c r="J1045" s="186" t="s">
        <v>1660</v>
      </c>
      <c r="M1045">
        <f>IFERROR(_xlfn.XLOOKUP(A1045,Fleet!A:A,Fleet!E:E,""),"")</f>
        <v>2</v>
      </c>
      <c r="N1045" t="s">
        <v>22</v>
      </c>
      <c r="P1045" t="str">
        <f>_xlfn.XLOOKUP(A1045,'Classic Net to delete'!D:D,'Classic Net to delete'!A:A,"")</f>
        <v/>
      </c>
    </row>
    <row r="1046" spans="1:16" x14ac:dyDescent="0.25">
      <c r="A1046" t="s">
        <v>1662</v>
      </c>
      <c r="B1046" t="s">
        <v>1663</v>
      </c>
      <c r="C1046" t="s">
        <v>1663</v>
      </c>
      <c r="D1046">
        <v>61.8</v>
      </c>
      <c r="E1046" t="s">
        <v>3120</v>
      </c>
      <c r="F1046" s="186" t="s">
        <v>1661</v>
      </c>
      <c r="H1046" t="b">
        <v>1</v>
      </c>
      <c r="I1046" t="s">
        <v>22</v>
      </c>
      <c r="J1046" s="186" t="s">
        <v>1660</v>
      </c>
      <c r="M1046">
        <f>IFERROR(_xlfn.XLOOKUP(A1046,Fleet!A:A,Fleet!E:E,""),"")</f>
        <v>5</v>
      </c>
      <c r="N1046" t="s">
        <v>22</v>
      </c>
      <c r="P1046" t="str">
        <f>_xlfn.XLOOKUP(A1046,'Classic Net to delete'!D:D,'Classic Net to delete'!A:A,"")</f>
        <v/>
      </c>
    </row>
    <row r="1047" spans="1:16" x14ac:dyDescent="0.25">
      <c r="A1047" t="s">
        <v>1728</v>
      </c>
      <c r="B1047" t="s">
        <v>1729</v>
      </c>
      <c r="C1047" t="s">
        <v>1729</v>
      </c>
      <c r="D1047">
        <v>199.9</v>
      </c>
      <c r="E1047" t="s">
        <v>3123</v>
      </c>
      <c r="F1047" s="186" t="s">
        <v>1725</v>
      </c>
      <c r="H1047" t="b">
        <v>1</v>
      </c>
      <c r="I1047">
        <v>199.9</v>
      </c>
      <c r="J1047" s="186" t="s">
        <v>1724</v>
      </c>
      <c r="M1047">
        <f>IFERROR(_xlfn.XLOOKUP(A1047,Fleet!A:A,Fleet!E:E,""),"")</f>
        <v>4</v>
      </c>
      <c r="N1047" t="s">
        <v>22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1747</v>
      </c>
      <c r="B1048" t="s">
        <v>1748</v>
      </c>
      <c r="C1048" t="s">
        <v>1748</v>
      </c>
      <c r="D1048">
        <v>26.5</v>
      </c>
      <c r="E1048" t="s">
        <v>3123</v>
      </c>
      <c r="F1048" s="186" t="s">
        <v>1725</v>
      </c>
      <c r="H1048" t="b">
        <v>1</v>
      </c>
      <c r="I1048">
        <v>26.5</v>
      </c>
      <c r="J1048" s="186" t="s">
        <v>1724</v>
      </c>
      <c r="M1048">
        <f>IFERROR(_xlfn.XLOOKUP(A1048,Fleet!A:A,Fleet!E:E,""),"")</f>
        <v>16</v>
      </c>
      <c r="N1048" t="s">
        <v>22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1743</v>
      </c>
      <c r="B1049" t="s">
        <v>1744</v>
      </c>
      <c r="C1049" t="s">
        <v>1744</v>
      </c>
      <c r="D1049">
        <v>70.45</v>
      </c>
      <c r="E1049" t="s">
        <v>3123</v>
      </c>
      <c r="F1049" s="186" t="s">
        <v>1725</v>
      </c>
      <c r="H1049" t="b">
        <v>1</v>
      </c>
      <c r="I1049">
        <v>70.45</v>
      </c>
      <c r="J1049" s="186" t="s">
        <v>1724</v>
      </c>
      <c r="M1049">
        <f>IFERROR(_xlfn.XLOOKUP(A1049,Fleet!A:A,Fleet!E:E,""),"")</f>
        <v>19</v>
      </c>
      <c r="N1049" t="s">
        <v>22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1736</v>
      </c>
      <c r="B1050" t="s">
        <v>1737</v>
      </c>
      <c r="C1050" t="s">
        <v>1737</v>
      </c>
      <c r="D1050">
        <v>41</v>
      </c>
      <c r="E1050" t="s">
        <v>3123</v>
      </c>
      <c r="F1050" s="186" t="s">
        <v>1725</v>
      </c>
      <c r="H1050" t="b">
        <v>1</v>
      </c>
      <c r="I1050">
        <v>41</v>
      </c>
      <c r="J1050" s="186" t="s">
        <v>1724</v>
      </c>
      <c r="M1050">
        <f>IFERROR(_xlfn.XLOOKUP(A1050,Fleet!A:A,Fleet!E:E,""),"")</f>
        <v>12</v>
      </c>
      <c r="N1050" t="s">
        <v>22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1726</v>
      </c>
      <c r="B1051" t="s">
        <v>1727</v>
      </c>
      <c r="C1051" t="s">
        <v>1727</v>
      </c>
      <c r="D1051">
        <v>41</v>
      </c>
      <c r="E1051" t="s">
        <v>3123</v>
      </c>
      <c r="F1051" s="186" t="s">
        <v>1725</v>
      </c>
      <c r="H1051" t="b">
        <v>0</v>
      </c>
      <c r="I1051" t="s">
        <v>22</v>
      </c>
      <c r="J1051" s="186" t="s">
        <v>1724</v>
      </c>
      <c r="M1051">
        <f>IFERROR(_xlfn.XLOOKUP(A1051,Fleet!A:A,Fleet!E:E,""),"")</f>
        <v>0</v>
      </c>
      <c r="N1051" t="s">
        <v>22</v>
      </c>
      <c r="P1051" t="str">
        <f>_xlfn.XLOOKUP(A1051,'Classic Net to delete'!D:D,'Classic Net to delete'!A:A,"")</f>
        <v/>
      </c>
    </row>
    <row r="1052" spans="1:16" x14ac:dyDescent="0.25">
      <c r="A1052" t="s">
        <v>1750</v>
      </c>
      <c r="B1052" t="s">
        <v>1751</v>
      </c>
      <c r="C1052" t="s">
        <v>1751</v>
      </c>
      <c r="D1052">
        <v>19.8</v>
      </c>
      <c r="E1052" t="s">
        <v>3123</v>
      </c>
      <c r="F1052" s="186" t="s">
        <v>1725</v>
      </c>
      <c r="H1052" t="b">
        <v>1</v>
      </c>
      <c r="I1052">
        <v>19.8</v>
      </c>
      <c r="J1052" s="186" t="s">
        <v>1724</v>
      </c>
      <c r="M1052">
        <f>IFERROR(_xlfn.XLOOKUP(A1052,Fleet!A:A,Fleet!E:E,""),"")</f>
        <v>3</v>
      </c>
      <c r="N1052" t="s">
        <v>22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1722</v>
      </c>
      <c r="B1053" t="s">
        <v>1723</v>
      </c>
      <c r="C1053" t="s">
        <v>1723</v>
      </c>
      <c r="D1053">
        <v>82</v>
      </c>
      <c r="E1053" t="s">
        <v>3123</v>
      </c>
      <c r="F1053" s="186" t="s">
        <v>1725</v>
      </c>
      <c r="H1053" t="b">
        <v>0</v>
      </c>
      <c r="I1053" t="s">
        <v>22</v>
      </c>
      <c r="J1053" s="186" t="s">
        <v>1724</v>
      </c>
      <c r="M1053">
        <f>IFERROR(_xlfn.XLOOKUP(A1053,Fleet!A:A,Fleet!E:E,""),"")</f>
        <v>2</v>
      </c>
      <c r="N1053" t="s">
        <v>22</v>
      </c>
      <c r="P1053" t="str">
        <f>_xlfn.XLOOKUP(A1053,'Classic Net to delete'!D:D,'Classic Net to delete'!A:A,"")</f>
        <v/>
      </c>
    </row>
    <row r="1054" spans="1:16" x14ac:dyDescent="0.25">
      <c r="A1054" t="s">
        <v>1745</v>
      </c>
      <c r="B1054" t="s">
        <v>1746</v>
      </c>
      <c r="C1054" t="s">
        <v>1746</v>
      </c>
      <c r="D1054">
        <v>94.55</v>
      </c>
      <c r="E1054" t="s">
        <v>3123</v>
      </c>
      <c r="F1054" s="186" t="s">
        <v>1725</v>
      </c>
      <c r="H1054" t="b">
        <v>1</v>
      </c>
      <c r="I1054">
        <v>94.550000000000011</v>
      </c>
      <c r="J1054" s="186" t="s">
        <v>1724</v>
      </c>
      <c r="M1054">
        <f>IFERROR(_xlfn.XLOOKUP(A1054,Fleet!A:A,Fleet!E:E,""),"")</f>
        <v>4</v>
      </c>
      <c r="N1054" t="s">
        <v>22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1839</v>
      </c>
      <c r="B1055" t="s">
        <v>1840</v>
      </c>
      <c r="C1055" t="s">
        <v>1840</v>
      </c>
      <c r="D1055">
        <v>51.6</v>
      </c>
      <c r="E1055" t="s">
        <v>3124</v>
      </c>
      <c r="F1055" s="186" t="s">
        <v>3924</v>
      </c>
      <c r="H1055" t="b">
        <v>1</v>
      </c>
      <c r="I1055">
        <v>51.6</v>
      </c>
      <c r="J1055" s="186" t="s">
        <v>1772</v>
      </c>
      <c r="M1055">
        <f>IFERROR(_xlfn.XLOOKUP(A1055,Fleet!A:A,Fleet!E:E,""),"")</f>
        <v>2</v>
      </c>
      <c r="N1055" t="s">
        <v>22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1836</v>
      </c>
      <c r="B1056" t="s">
        <v>1837</v>
      </c>
      <c r="C1056" t="s">
        <v>1837</v>
      </c>
      <c r="D1056">
        <v>45.1</v>
      </c>
      <c r="E1056" t="s">
        <v>3124</v>
      </c>
      <c r="F1056" s="186" t="s">
        <v>1773</v>
      </c>
      <c r="H1056" t="b">
        <v>1</v>
      </c>
      <c r="I1056">
        <v>45.1</v>
      </c>
      <c r="J1056" s="186" t="s">
        <v>1772</v>
      </c>
      <c r="M1056">
        <f>IFERROR(_xlfn.XLOOKUP(A1056,Fleet!A:A,Fleet!E:E,""),"")</f>
        <v>1</v>
      </c>
      <c r="N1056" t="s">
        <v>22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1832</v>
      </c>
      <c r="B1057" t="s">
        <v>1833</v>
      </c>
      <c r="C1057" t="s">
        <v>1833</v>
      </c>
      <c r="D1057">
        <v>151.25</v>
      </c>
      <c r="E1057" t="s">
        <v>3124</v>
      </c>
      <c r="F1057" s="186" t="s">
        <v>1773</v>
      </c>
      <c r="H1057" t="b">
        <v>1</v>
      </c>
      <c r="I1057">
        <v>151.25</v>
      </c>
      <c r="J1057" s="186" t="s">
        <v>1772</v>
      </c>
      <c r="M1057">
        <f>IFERROR(_xlfn.XLOOKUP(A1057,Fleet!A:A,Fleet!E:E,""),"")</f>
        <v>2</v>
      </c>
      <c r="N1057" t="s">
        <v>22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1826</v>
      </c>
      <c r="B1058" t="s">
        <v>1827</v>
      </c>
      <c r="C1058" t="s">
        <v>1827</v>
      </c>
      <c r="D1058">
        <v>18.600000000000001</v>
      </c>
      <c r="E1058" t="s">
        <v>3124</v>
      </c>
      <c r="F1058" s="186" t="s">
        <v>1773</v>
      </c>
      <c r="H1058" t="b">
        <v>1</v>
      </c>
      <c r="I1058">
        <v>18.600000000000001</v>
      </c>
      <c r="J1058" s="186" t="s">
        <v>1772</v>
      </c>
      <c r="M1058">
        <f>IFERROR(_xlfn.XLOOKUP(A1058,Fleet!A:A,Fleet!E:E,""),"")</f>
        <v>2</v>
      </c>
      <c r="N1058" t="s">
        <v>22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1828</v>
      </c>
      <c r="B1059" t="s">
        <v>1829</v>
      </c>
      <c r="C1059" t="s">
        <v>1829</v>
      </c>
      <c r="D1059">
        <v>23.9</v>
      </c>
      <c r="E1059" t="s">
        <v>3124</v>
      </c>
      <c r="F1059" s="186" t="s">
        <v>1773</v>
      </c>
      <c r="H1059" t="b">
        <v>1</v>
      </c>
      <c r="I1059">
        <v>23.900000000000002</v>
      </c>
      <c r="J1059" s="186" t="s">
        <v>1772</v>
      </c>
      <c r="M1059">
        <f>IFERROR(_xlfn.XLOOKUP(A1059,Fleet!A:A,Fleet!E:E,""),"")</f>
        <v>2</v>
      </c>
      <c r="N1059" t="s">
        <v>22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1800</v>
      </c>
      <c r="B1060" t="s">
        <v>1801</v>
      </c>
      <c r="C1060" t="s">
        <v>1801</v>
      </c>
      <c r="D1060">
        <v>53.05</v>
      </c>
      <c r="E1060" t="s">
        <v>3124</v>
      </c>
      <c r="F1060" s="186" t="s">
        <v>1773</v>
      </c>
      <c r="H1060" t="b">
        <v>1</v>
      </c>
      <c r="I1060">
        <v>53.050000000000004</v>
      </c>
      <c r="J1060" s="186" t="s">
        <v>1772</v>
      </c>
      <c r="M1060">
        <f>IFERROR(_xlfn.XLOOKUP(A1060,Fleet!A:A,Fleet!E:E,""),"")</f>
        <v>4</v>
      </c>
      <c r="N1060" t="s">
        <v>22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1781</v>
      </c>
      <c r="B1061" t="s">
        <v>1782</v>
      </c>
      <c r="C1061" t="s">
        <v>1782</v>
      </c>
      <c r="D1061">
        <v>91.35</v>
      </c>
      <c r="E1061" t="s">
        <v>3124</v>
      </c>
      <c r="F1061" s="186" t="s">
        <v>1773</v>
      </c>
      <c r="H1061" t="b">
        <v>1</v>
      </c>
      <c r="I1061">
        <v>91.350000000000009</v>
      </c>
      <c r="J1061" s="186" t="s">
        <v>1772</v>
      </c>
      <c r="M1061">
        <f>IFERROR(_xlfn.XLOOKUP(A1061,Fleet!A:A,Fleet!E:E,""),"")</f>
        <v>2</v>
      </c>
      <c r="N1061" t="s">
        <v>22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1784</v>
      </c>
      <c r="B1062" t="s">
        <v>1785</v>
      </c>
      <c r="C1062" t="s">
        <v>1785</v>
      </c>
      <c r="D1062">
        <v>131.19999999999999</v>
      </c>
      <c r="E1062" t="s">
        <v>3124</v>
      </c>
      <c r="F1062" s="186" t="s">
        <v>1773</v>
      </c>
      <c r="H1062" t="b">
        <v>1</v>
      </c>
      <c r="I1062">
        <v>131.20000000000002</v>
      </c>
      <c r="J1062" s="186" t="s">
        <v>1772</v>
      </c>
      <c r="M1062">
        <f>IFERROR(_xlfn.XLOOKUP(A1062,Fleet!A:A,Fleet!E:E,""),"")</f>
        <v>4</v>
      </c>
      <c r="N1062" t="s">
        <v>22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1787</v>
      </c>
      <c r="B1063" t="s">
        <v>1788</v>
      </c>
      <c r="C1063" t="s">
        <v>1788</v>
      </c>
      <c r="D1063">
        <v>148.25</v>
      </c>
      <c r="E1063" t="s">
        <v>3124</v>
      </c>
      <c r="F1063" s="186" t="s">
        <v>1773</v>
      </c>
      <c r="H1063" t="b">
        <v>1</v>
      </c>
      <c r="I1063">
        <v>148.25</v>
      </c>
      <c r="J1063" s="186" t="s">
        <v>1772</v>
      </c>
      <c r="M1063">
        <f>IFERROR(_xlfn.XLOOKUP(A1063,Fleet!A:A,Fleet!E:E,""),"")</f>
        <v>1</v>
      </c>
      <c r="N1063" t="s">
        <v>22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1774</v>
      </c>
      <c r="B1064" t="s">
        <v>1775</v>
      </c>
      <c r="C1064" t="s">
        <v>1775</v>
      </c>
      <c r="D1064">
        <v>45.1</v>
      </c>
      <c r="E1064" t="s">
        <v>3124</v>
      </c>
      <c r="F1064" s="186" t="s">
        <v>1773</v>
      </c>
      <c r="H1064" t="b">
        <v>1</v>
      </c>
      <c r="I1064">
        <v>45.1</v>
      </c>
      <c r="J1064" s="186" t="s">
        <v>1772</v>
      </c>
      <c r="M1064">
        <f>IFERROR(_xlfn.XLOOKUP(A1064,Fleet!A:A,Fleet!E:E,""),"")</f>
        <v>1</v>
      </c>
      <c r="N1064" t="s">
        <v>22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1778</v>
      </c>
      <c r="B1065" t="s">
        <v>1779</v>
      </c>
      <c r="C1065" t="s">
        <v>1779</v>
      </c>
      <c r="D1065">
        <v>45.1</v>
      </c>
      <c r="E1065" t="s">
        <v>3124</v>
      </c>
      <c r="F1065" s="186" t="s">
        <v>1773</v>
      </c>
      <c r="H1065" t="b">
        <v>1</v>
      </c>
      <c r="I1065">
        <v>45.1</v>
      </c>
      <c r="J1065" s="186" t="s">
        <v>1772</v>
      </c>
      <c r="M1065">
        <f>IFERROR(_xlfn.XLOOKUP(A1065,Fleet!A:A,Fleet!E:E,""),"")</f>
        <v>2</v>
      </c>
      <c r="N1065" t="s">
        <v>22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1812</v>
      </c>
      <c r="B1066" t="s">
        <v>1813</v>
      </c>
      <c r="C1066" t="s">
        <v>1813</v>
      </c>
      <c r="D1066">
        <v>43.95</v>
      </c>
      <c r="E1066" t="s">
        <v>3124</v>
      </c>
      <c r="F1066" s="186" t="s">
        <v>1773</v>
      </c>
      <c r="H1066" t="b">
        <v>1</v>
      </c>
      <c r="I1066">
        <v>43.95</v>
      </c>
      <c r="J1066" s="186" t="s">
        <v>1772</v>
      </c>
      <c r="M1066">
        <f>IFERROR(_xlfn.XLOOKUP(A1066,Fleet!A:A,Fleet!E:E,""),"")</f>
        <v>1</v>
      </c>
      <c r="N1066" t="s">
        <v>22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1803</v>
      </c>
      <c r="B1067" t="s">
        <v>1804</v>
      </c>
      <c r="C1067" t="s">
        <v>1804</v>
      </c>
      <c r="D1067">
        <v>46.35</v>
      </c>
      <c r="E1067" t="s">
        <v>3124</v>
      </c>
      <c r="F1067" s="186" t="s">
        <v>1773</v>
      </c>
      <c r="H1067" t="b">
        <v>1</v>
      </c>
      <c r="I1067">
        <v>46.35</v>
      </c>
      <c r="J1067" s="186" t="s">
        <v>1772</v>
      </c>
      <c r="M1067">
        <f>IFERROR(_xlfn.XLOOKUP(A1067,Fleet!A:A,Fleet!E:E,""),"")</f>
        <v>1</v>
      </c>
      <c r="N1067" t="s">
        <v>22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1816</v>
      </c>
      <c r="B1068" t="s">
        <v>1817</v>
      </c>
      <c r="C1068" t="s">
        <v>1817</v>
      </c>
      <c r="D1068">
        <v>46.35</v>
      </c>
      <c r="E1068" t="s">
        <v>3124</v>
      </c>
      <c r="F1068" s="186" t="s">
        <v>1773</v>
      </c>
      <c r="H1068" t="b">
        <v>1</v>
      </c>
      <c r="I1068">
        <v>46.35</v>
      </c>
      <c r="J1068" s="186" t="s">
        <v>1772</v>
      </c>
      <c r="M1068">
        <f>IFERROR(_xlfn.XLOOKUP(A1068,Fleet!A:A,Fleet!E:E,""),"")</f>
        <v>14</v>
      </c>
      <c r="N1068" t="s">
        <v>22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1814</v>
      </c>
      <c r="B1069" t="s">
        <v>1815</v>
      </c>
      <c r="C1069" t="s">
        <v>1815</v>
      </c>
      <c r="D1069">
        <v>57.2</v>
      </c>
      <c r="E1069" t="s">
        <v>3124</v>
      </c>
      <c r="F1069" s="186" t="s">
        <v>1773</v>
      </c>
      <c r="H1069" t="b">
        <v>1</v>
      </c>
      <c r="I1069">
        <v>57.2</v>
      </c>
      <c r="J1069" s="186" t="s">
        <v>1772</v>
      </c>
      <c r="M1069">
        <f>IFERROR(_xlfn.XLOOKUP(A1069,Fleet!A:A,Fleet!E:E,""),"")</f>
        <v>0</v>
      </c>
      <c r="N1069" t="s">
        <v>22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1922</v>
      </c>
      <c r="B1070" t="s">
        <v>1923</v>
      </c>
      <c r="C1070" t="s">
        <v>1923</v>
      </c>
      <c r="D1070">
        <v>205.55</v>
      </c>
      <c r="E1070" t="s">
        <v>3124</v>
      </c>
      <c r="F1070" s="186" t="s">
        <v>1901</v>
      </c>
      <c r="H1070" t="b">
        <v>1</v>
      </c>
      <c r="I1070">
        <v>205.55</v>
      </c>
      <c r="J1070" s="186" t="s">
        <v>1872</v>
      </c>
      <c r="M1070">
        <f>IFERROR(_xlfn.XLOOKUP(A1070,Fleet!A:A,Fleet!E:E,""),"")</f>
        <v>3</v>
      </c>
      <c r="N1070" t="s">
        <v>22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1795</v>
      </c>
      <c r="B1071" t="s">
        <v>1796</v>
      </c>
      <c r="C1071" t="s">
        <v>1796</v>
      </c>
      <c r="D1071">
        <v>70.75</v>
      </c>
      <c r="E1071" t="s">
        <v>3124</v>
      </c>
      <c r="F1071" s="186" t="s">
        <v>1773</v>
      </c>
      <c r="H1071" t="b">
        <v>1</v>
      </c>
      <c r="I1071">
        <v>70.75</v>
      </c>
      <c r="J1071" s="186" t="s">
        <v>1772</v>
      </c>
      <c r="M1071">
        <f>IFERROR(_xlfn.XLOOKUP(A1071,Fleet!A:A,Fleet!E:E,""),"")</f>
        <v>15</v>
      </c>
      <c r="N1071" t="s">
        <v>22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1797</v>
      </c>
      <c r="B1072" t="s">
        <v>1798</v>
      </c>
      <c r="C1072" t="s">
        <v>1798</v>
      </c>
      <c r="D1072">
        <v>21.55</v>
      </c>
      <c r="E1072" t="s">
        <v>3124</v>
      </c>
      <c r="F1072" s="186" t="s">
        <v>1773</v>
      </c>
      <c r="H1072" t="b">
        <v>1</v>
      </c>
      <c r="I1072">
        <v>21.55</v>
      </c>
      <c r="J1072" s="186" t="s">
        <v>1772</v>
      </c>
      <c r="M1072">
        <f>IFERROR(_xlfn.XLOOKUP(A1072,Fleet!A:A,Fleet!E:E,""),"")</f>
        <v>1</v>
      </c>
      <c r="N1072" t="s">
        <v>22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1793</v>
      </c>
      <c r="B1073" t="s">
        <v>1794</v>
      </c>
      <c r="C1073" t="s">
        <v>1794</v>
      </c>
      <c r="D1073">
        <v>58.15</v>
      </c>
      <c r="E1073" t="s">
        <v>3124</v>
      </c>
      <c r="F1073" s="186" t="s">
        <v>1773</v>
      </c>
      <c r="H1073" t="b">
        <v>1</v>
      </c>
      <c r="I1073">
        <v>58.150000000000006</v>
      </c>
      <c r="J1073" s="186" t="s">
        <v>1772</v>
      </c>
      <c r="M1073">
        <f>IFERROR(_xlfn.XLOOKUP(A1073,Fleet!A:A,Fleet!E:E,""),"")</f>
        <v>110</v>
      </c>
      <c r="N1073" t="s">
        <v>22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1830</v>
      </c>
      <c r="B1074" t="s">
        <v>1831</v>
      </c>
      <c r="C1074" t="s">
        <v>1831</v>
      </c>
      <c r="D1074">
        <v>25.35</v>
      </c>
      <c r="E1074" t="s">
        <v>3124</v>
      </c>
      <c r="F1074" s="186" t="s">
        <v>1773</v>
      </c>
      <c r="H1074" t="b">
        <v>1</v>
      </c>
      <c r="I1074">
        <v>25.35</v>
      </c>
      <c r="J1074" s="186" t="s">
        <v>1772</v>
      </c>
      <c r="M1074">
        <f>IFERROR(_xlfn.XLOOKUP(A1074,Fleet!A:A,Fleet!E:E,""),"")</f>
        <v>1</v>
      </c>
      <c r="N1074" t="s">
        <v>22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1807</v>
      </c>
      <c r="B1075" t="s">
        <v>1808</v>
      </c>
      <c r="C1075" t="s">
        <v>1808</v>
      </c>
      <c r="D1075">
        <v>106.15</v>
      </c>
      <c r="E1075" t="s">
        <v>3124</v>
      </c>
      <c r="F1075" s="186" t="s">
        <v>1773</v>
      </c>
      <c r="H1075" t="b">
        <v>1</v>
      </c>
      <c r="I1075">
        <v>106.15</v>
      </c>
      <c r="J1075" s="186" t="s">
        <v>1772</v>
      </c>
      <c r="M1075">
        <f>IFERROR(_xlfn.XLOOKUP(A1075,Fleet!A:A,Fleet!E:E,""),"")</f>
        <v>2</v>
      </c>
      <c r="N1075" t="s">
        <v>22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1809</v>
      </c>
      <c r="B1076" t="s">
        <v>1810</v>
      </c>
      <c r="C1076" t="s">
        <v>1810</v>
      </c>
      <c r="D1076">
        <v>49.3</v>
      </c>
      <c r="E1076" t="s">
        <v>3124</v>
      </c>
      <c r="F1076" s="186" t="s">
        <v>1773</v>
      </c>
      <c r="H1076" t="b">
        <v>1</v>
      </c>
      <c r="I1076">
        <v>49.300000000000004</v>
      </c>
      <c r="J1076" s="186" t="s">
        <v>1772</v>
      </c>
      <c r="M1076">
        <f>IFERROR(_xlfn.XLOOKUP(A1076,Fleet!A:A,Fleet!E:E,""),"")</f>
        <v>1</v>
      </c>
      <c r="N1076" t="s">
        <v>22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1770</v>
      </c>
      <c r="B1077" t="s">
        <v>3962</v>
      </c>
      <c r="C1077" t="s">
        <v>1771</v>
      </c>
      <c r="D1077">
        <v>58.15</v>
      </c>
      <c r="E1077" t="s">
        <v>3124</v>
      </c>
      <c r="F1077" s="186" t="s">
        <v>1773</v>
      </c>
      <c r="H1077" t="b">
        <v>0</v>
      </c>
      <c r="I1077" t="s">
        <v>22</v>
      </c>
      <c r="J1077" s="186" t="s">
        <v>1772</v>
      </c>
      <c r="M1077" t="str">
        <f>IFERROR(_xlfn.XLOOKUP(A1077,Fleet!A:A,Fleet!E:E,""),"")</f>
        <v/>
      </c>
      <c r="N1077" t="s">
        <v>22</v>
      </c>
      <c r="P1077" t="str">
        <f>_xlfn.XLOOKUP(A1077,'Classic Net to delete'!D:D,'Classic Net to delete'!A:A,"")</f>
        <v/>
      </c>
    </row>
    <row r="1078" spans="1:16" x14ac:dyDescent="0.25">
      <c r="A1078" t="s">
        <v>1899</v>
      </c>
      <c r="B1078" t="s">
        <v>3125</v>
      </c>
      <c r="C1078" t="s">
        <v>1900</v>
      </c>
      <c r="D1078">
        <v>500</v>
      </c>
      <c r="E1078" t="s">
        <v>3124</v>
      </c>
      <c r="F1078" s="186" t="s">
        <v>1901</v>
      </c>
      <c r="H1078" t="b">
        <v>0</v>
      </c>
      <c r="I1078" t="s">
        <v>22</v>
      </c>
      <c r="J1078" s="186" t="s">
        <v>1872</v>
      </c>
      <c r="M1078">
        <f>IFERROR(_xlfn.XLOOKUP(A1078,Fleet!A:A,Fleet!E:E,""),"")</f>
        <v>2</v>
      </c>
      <c r="N1078" t="s">
        <v>22</v>
      </c>
      <c r="P1078" t="str">
        <f>_xlfn.XLOOKUP(A1078,'Classic Net to delete'!D:D,'Classic Net to delete'!A:A,"")</f>
        <v/>
      </c>
    </row>
    <row r="1079" spans="1:16" x14ac:dyDescent="0.25">
      <c r="A1079" t="s">
        <v>1899</v>
      </c>
      <c r="B1079" t="s">
        <v>3125</v>
      </c>
      <c r="C1079" t="s">
        <v>1902</v>
      </c>
      <c r="D1079">
        <v>500</v>
      </c>
      <c r="E1079" t="s">
        <v>3124</v>
      </c>
      <c r="F1079" s="186" t="s">
        <v>1901</v>
      </c>
      <c r="H1079" t="b">
        <v>0</v>
      </c>
      <c r="I1079" t="s">
        <v>22</v>
      </c>
      <c r="J1079" s="186" t="s">
        <v>1872</v>
      </c>
      <c r="M1079">
        <f>IFERROR(_xlfn.XLOOKUP(A1079,Fleet!A:A,Fleet!E:E,""),"")</f>
        <v>2</v>
      </c>
      <c r="N1079" t="s">
        <v>22</v>
      </c>
      <c r="P1079" t="str">
        <f>_xlfn.XLOOKUP(A1079,'Classic Net to delete'!D:D,'Classic Net to delete'!A:A,"")</f>
        <v/>
      </c>
    </row>
    <row r="1080" spans="1:16" x14ac:dyDescent="0.25">
      <c r="A1080" t="s">
        <v>1752</v>
      </c>
      <c r="B1080" t="s">
        <v>3963</v>
      </c>
      <c r="C1080" t="s">
        <v>1753</v>
      </c>
      <c r="D1080">
        <v>500</v>
      </c>
      <c r="E1080" t="s">
        <v>1755</v>
      </c>
      <c r="F1080" s="186" t="s">
        <v>1755</v>
      </c>
      <c r="H1080" t="b">
        <v>0</v>
      </c>
      <c r="I1080" t="s">
        <v>22</v>
      </c>
      <c r="J1080" s="186" t="s">
        <v>1754</v>
      </c>
      <c r="M1080" t="str">
        <f>IFERROR(_xlfn.XLOOKUP(A1080,Fleet!A:A,Fleet!E:E,""),"")</f>
        <v/>
      </c>
      <c r="N1080" t="s">
        <v>22</v>
      </c>
      <c r="P1080" t="str">
        <f>_xlfn.XLOOKUP(A1080,'Classic Net to delete'!D:D,'Classic Net to delete'!A:A,"")</f>
        <v/>
      </c>
    </row>
    <row r="1081" spans="1:16" x14ac:dyDescent="0.25">
      <c r="A1081" t="s">
        <v>1752</v>
      </c>
      <c r="B1081" t="s">
        <v>3963</v>
      </c>
      <c r="C1081" t="s">
        <v>1756</v>
      </c>
      <c r="D1081">
        <v>500</v>
      </c>
      <c r="E1081" t="s">
        <v>1755</v>
      </c>
      <c r="F1081" s="186" t="s">
        <v>1755</v>
      </c>
      <c r="H1081" t="b">
        <v>0</v>
      </c>
      <c r="I1081" t="s">
        <v>22</v>
      </c>
      <c r="J1081" s="186" t="s">
        <v>1754</v>
      </c>
      <c r="M1081" t="str">
        <f>IFERROR(_xlfn.XLOOKUP(A1081,Fleet!A:A,Fleet!E:E,""),"")</f>
        <v/>
      </c>
      <c r="N1081" t="s">
        <v>22</v>
      </c>
      <c r="P1081" t="str">
        <f>_xlfn.XLOOKUP(A1081,'Classic Net to delete'!D:D,'Classic Net to delete'!A:A,"")</f>
        <v/>
      </c>
    </row>
    <row r="1082" spans="1:16" x14ac:dyDescent="0.25">
      <c r="A1082" t="s">
        <v>1752</v>
      </c>
      <c r="B1082" t="s">
        <v>3963</v>
      </c>
      <c r="C1082" t="s">
        <v>1757</v>
      </c>
      <c r="D1082">
        <v>500</v>
      </c>
      <c r="E1082" t="s">
        <v>1755</v>
      </c>
      <c r="F1082" s="186" t="s">
        <v>1755</v>
      </c>
      <c r="H1082" t="b">
        <v>0</v>
      </c>
      <c r="I1082" t="s">
        <v>22</v>
      </c>
      <c r="J1082" s="186" t="s">
        <v>1754</v>
      </c>
      <c r="M1082" t="str">
        <f>IFERROR(_xlfn.XLOOKUP(A1082,Fleet!A:A,Fleet!E:E,""),"")</f>
        <v/>
      </c>
      <c r="N1082" t="s">
        <v>22</v>
      </c>
      <c r="P1082" t="str">
        <f>_xlfn.XLOOKUP(A1082,'Classic Net to delete'!D:D,'Classic Net to delete'!A:A,"")</f>
        <v/>
      </c>
    </row>
    <row r="1083" spans="1:16" x14ac:dyDescent="0.25">
      <c r="A1083" t="s">
        <v>1752</v>
      </c>
      <c r="B1083" t="s">
        <v>3963</v>
      </c>
      <c r="C1083" t="s">
        <v>1758</v>
      </c>
      <c r="D1083">
        <v>500</v>
      </c>
      <c r="E1083" t="s">
        <v>1755</v>
      </c>
      <c r="F1083" s="186" t="s">
        <v>1755</v>
      </c>
      <c r="H1083" t="b">
        <v>0</v>
      </c>
      <c r="I1083" t="s">
        <v>22</v>
      </c>
      <c r="J1083" s="186" t="s">
        <v>1754</v>
      </c>
      <c r="M1083" t="str">
        <f>IFERROR(_xlfn.XLOOKUP(A1083,Fleet!A:A,Fleet!E:E,""),"")</f>
        <v/>
      </c>
      <c r="N1083" t="s">
        <v>22</v>
      </c>
      <c r="P1083" t="str">
        <f>_xlfn.XLOOKUP(A1083,'Classic Net to delete'!D:D,'Classic Net to delete'!A:A,"")</f>
        <v/>
      </c>
    </row>
    <row r="1084" spans="1:16" x14ac:dyDescent="0.25">
      <c r="A1084" t="s">
        <v>1752</v>
      </c>
      <c r="B1084" t="s">
        <v>3963</v>
      </c>
      <c r="C1084" t="s">
        <v>1759</v>
      </c>
      <c r="D1084">
        <v>500</v>
      </c>
      <c r="E1084" t="s">
        <v>1755</v>
      </c>
      <c r="F1084" s="186" t="s">
        <v>1755</v>
      </c>
      <c r="H1084" t="b">
        <v>0</v>
      </c>
      <c r="I1084" t="s">
        <v>22</v>
      </c>
      <c r="J1084" s="186" t="s">
        <v>1754</v>
      </c>
      <c r="M1084" t="str">
        <f>IFERROR(_xlfn.XLOOKUP(A1084,Fleet!A:A,Fleet!E:E,""),"")</f>
        <v/>
      </c>
      <c r="N1084" t="s">
        <v>22</v>
      </c>
      <c r="P1084" t="str">
        <f>_xlfn.XLOOKUP(A1084,'Classic Net to delete'!D:D,'Classic Net to delete'!A:A,"")</f>
        <v/>
      </c>
    </row>
    <row r="1085" spans="1:16" x14ac:dyDescent="0.25">
      <c r="A1085" t="s">
        <v>1752</v>
      </c>
      <c r="B1085" t="s">
        <v>3963</v>
      </c>
      <c r="C1085" t="s">
        <v>1760</v>
      </c>
      <c r="D1085">
        <v>500</v>
      </c>
      <c r="E1085" t="s">
        <v>1755</v>
      </c>
      <c r="F1085" s="186" t="s">
        <v>1755</v>
      </c>
      <c r="H1085" t="b">
        <v>0</v>
      </c>
      <c r="I1085" t="s">
        <v>22</v>
      </c>
      <c r="J1085" s="186" t="s">
        <v>1754</v>
      </c>
      <c r="M1085" t="str">
        <f>IFERROR(_xlfn.XLOOKUP(A1085,Fleet!A:A,Fleet!E:E,""),"")</f>
        <v/>
      </c>
      <c r="N1085" t="s">
        <v>22</v>
      </c>
      <c r="P1085" t="str">
        <f>_xlfn.XLOOKUP(A1085,'Classic Net to delete'!D:D,'Classic Net to delete'!A:A,"")</f>
        <v/>
      </c>
    </row>
    <row r="1086" spans="1:16" x14ac:dyDescent="0.25">
      <c r="A1086" t="s">
        <v>1752</v>
      </c>
      <c r="B1086" t="s">
        <v>3963</v>
      </c>
      <c r="C1086" t="s">
        <v>1761</v>
      </c>
      <c r="D1086">
        <v>500</v>
      </c>
      <c r="E1086" t="s">
        <v>1755</v>
      </c>
      <c r="F1086" s="186" t="s">
        <v>1755</v>
      </c>
      <c r="H1086" t="b">
        <v>0</v>
      </c>
      <c r="I1086" t="s">
        <v>22</v>
      </c>
      <c r="J1086" s="186" t="s">
        <v>1754</v>
      </c>
      <c r="M1086" t="str">
        <f>IFERROR(_xlfn.XLOOKUP(A1086,Fleet!A:A,Fleet!E:E,""),"")</f>
        <v/>
      </c>
      <c r="N1086" t="s">
        <v>22</v>
      </c>
      <c r="P1086" t="str">
        <f>_xlfn.XLOOKUP(A1086,'Classic Net to delete'!D:D,'Classic Net to delete'!A:A,"")</f>
        <v/>
      </c>
    </row>
    <row r="1087" spans="1:16" x14ac:dyDescent="0.25">
      <c r="A1087" t="s">
        <v>1752</v>
      </c>
      <c r="B1087" t="s">
        <v>3963</v>
      </c>
      <c r="C1087" t="s">
        <v>1762</v>
      </c>
      <c r="D1087">
        <v>500</v>
      </c>
      <c r="E1087" t="s">
        <v>1755</v>
      </c>
      <c r="F1087" s="186" t="s">
        <v>1755</v>
      </c>
      <c r="H1087" t="b">
        <v>0</v>
      </c>
      <c r="I1087" t="s">
        <v>22</v>
      </c>
      <c r="J1087" s="186" t="s">
        <v>1754</v>
      </c>
      <c r="M1087" t="str">
        <f>IFERROR(_xlfn.XLOOKUP(A1087,Fleet!A:A,Fleet!E:E,""),"")</f>
        <v/>
      </c>
      <c r="N1087" t="s">
        <v>22</v>
      </c>
      <c r="P1087" t="str">
        <f>_xlfn.XLOOKUP(A1087,'Classic Net to delete'!D:D,'Classic Net to delete'!A:A,"")</f>
        <v/>
      </c>
    </row>
    <row r="1088" spans="1:16" x14ac:dyDescent="0.25">
      <c r="A1088" t="s">
        <v>1752</v>
      </c>
      <c r="B1088" t="s">
        <v>3963</v>
      </c>
      <c r="C1088" t="s">
        <v>1763</v>
      </c>
      <c r="D1088">
        <v>500</v>
      </c>
      <c r="E1088" t="s">
        <v>1755</v>
      </c>
      <c r="F1088" s="186" t="s">
        <v>1755</v>
      </c>
      <c r="H1088" t="b">
        <v>0</v>
      </c>
      <c r="I1088" t="s">
        <v>22</v>
      </c>
      <c r="J1088" s="186" t="s">
        <v>1754</v>
      </c>
      <c r="M1088" t="str">
        <f>IFERROR(_xlfn.XLOOKUP(A1088,Fleet!A:A,Fleet!E:E,""),"")</f>
        <v/>
      </c>
      <c r="N1088" t="s">
        <v>22</v>
      </c>
      <c r="P1088" t="str">
        <f>_xlfn.XLOOKUP(A1088,'Classic Net to delete'!D:D,'Classic Net to delete'!A:A,"")</f>
        <v/>
      </c>
    </row>
    <row r="1089" spans="1:16" x14ac:dyDescent="0.25">
      <c r="A1089" t="s">
        <v>1752</v>
      </c>
      <c r="B1089" t="s">
        <v>3963</v>
      </c>
      <c r="C1089" t="s">
        <v>1764</v>
      </c>
      <c r="D1089">
        <v>500</v>
      </c>
      <c r="E1089" t="s">
        <v>1755</v>
      </c>
      <c r="F1089" s="186" t="s">
        <v>1755</v>
      </c>
      <c r="H1089" t="b">
        <v>0</v>
      </c>
      <c r="I1089" t="s">
        <v>22</v>
      </c>
      <c r="J1089" s="186" t="s">
        <v>1754</v>
      </c>
      <c r="M1089" t="str">
        <f>IFERROR(_xlfn.XLOOKUP(A1089,Fleet!A:A,Fleet!E:E,""),"")</f>
        <v/>
      </c>
      <c r="N1089" t="s">
        <v>22</v>
      </c>
      <c r="P1089" t="str">
        <f>_xlfn.XLOOKUP(A1089,'Classic Net to delete'!D:D,'Classic Net to delete'!A:A,"")</f>
        <v/>
      </c>
    </row>
    <row r="1090" spans="1:16" x14ac:dyDescent="0.25">
      <c r="A1090" t="s">
        <v>1752</v>
      </c>
      <c r="B1090" t="s">
        <v>3963</v>
      </c>
      <c r="C1090" t="s">
        <v>1765</v>
      </c>
      <c r="D1090">
        <v>500</v>
      </c>
      <c r="E1090" t="s">
        <v>1755</v>
      </c>
      <c r="F1090" s="186" t="s">
        <v>1755</v>
      </c>
      <c r="H1090" t="b">
        <v>0</v>
      </c>
      <c r="I1090" t="s">
        <v>22</v>
      </c>
      <c r="J1090" s="186" t="s">
        <v>1754</v>
      </c>
      <c r="M1090" t="str">
        <f>IFERROR(_xlfn.XLOOKUP(A1090,Fleet!A:A,Fleet!E:E,""),"")</f>
        <v/>
      </c>
      <c r="N1090" t="s">
        <v>22</v>
      </c>
      <c r="P1090" t="str">
        <f>_xlfn.XLOOKUP(A1090,'Classic Net to delete'!D:D,'Classic Net to delete'!A:A,"")</f>
        <v/>
      </c>
    </row>
    <row r="1091" spans="1:16" x14ac:dyDescent="0.25">
      <c r="A1091" t="s">
        <v>1752</v>
      </c>
      <c r="B1091" t="s">
        <v>3963</v>
      </c>
      <c r="C1091" t="s">
        <v>1766</v>
      </c>
      <c r="D1091">
        <v>500</v>
      </c>
      <c r="E1091" t="s">
        <v>1755</v>
      </c>
      <c r="F1091" s="186" t="s">
        <v>1755</v>
      </c>
      <c r="H1091" t="b">
        <v>0</v>
      </c>
      <c r="I1091" t="s">
        <v>22</v>
      </c>
      <c r="J1091" s="186" t="s">
        <v>1754</v>
      </c>
      <c r="M1091" t="str">
        <f>IFERROR(_xlfn.XLOOKUP(A1091,Fleet!A:A,Fleet!E:E,""),"")</f>
        <v/>
      </c>
      <c r="N1091" t="s">
        <v>22</v>
      </c>
      <c r="P1091" t="str">
        <f>_xlfn.XLOOKUP(A1091,'Classic Net to delete'!D:D,'Classic Net to delete'!A:A,"")</f>
        <v/>
      </c>
    </row>
    <row r="1092" spans="1:16" x14ac:dyDescent="0.25">
      <c r="A1092" t="s">
        <v>1752</v>
      </c>
      <c r="B1092" t="s">
        <v>3963</v>
      </c>
      <c r="C1092" t="s">
        <v>1767</v>
      </c>
      <c r="D1092">
        <v>500</v>
      </c>
      <c r="E1092" t="s">
        <v>1755</v>
      </c>
      <c r="F1092" s="186" t="s">
        <v>1755</v>
      </c>
      <c r="H1092" t="b">
        <v>0</v>
      </c>
      <c r="I1092" t="s">
        <v>22</v>
      </c>
      <c r="J1092" s="186" t="s">
        <v>1754</v>
      </c>
      <c r="M1092" t="str">
        <f>IFERROR(_xlfn.XLOOKUP(A1092,Fleet!A:A,Fleet!E:E,""),"")</f>
        <v/>
      </c>
      <c r="N1092" t="s">
        <v>22</v>
      </c>
      <c r="P1092" t="str">
        <f>_xlfn.XLOOKUP(A1092,'Classic Net to delete'!D:D,'Classic Net to delete'!A:A,"")</f>
        <v/>
      </c>
    </row>
    <row r="1093" spans="1:16" x14ac:dyDescent="0.25">
      <c r="A1093" t="s">
        <v>1752</v>
      </c>
      <c r="B1093" t="s">
        <v>3963</v>
      </c>
      <c r="C1093" t="s">
        <v>1768</v>
      </c>
      <c r="D1093">
        <v>500</v>
      </c>
      <c r="E1093" t="s">
        <v>1755</v>
      </c>
      <c r="F1093" s="186" t="s">
        <v>1755</v>
      </c>
      <c r="H1093" t="b">
        <v>0</v>
      </c>
      <c r="I1093" t="s">
        <v>22</v>
      </c>
      <c r="J1093" s="186" t="s">
        <v>1754</v>
      </c>
      <c r="M1093" t="str">
        <f>IFERROR(_xlfn.XLOOKUP(A1093,Fleet!A:A,Fleet!E:E,""),"")</f>
        <v/>
      </c>
      <c r="N1093" t="s">
        <v>22</v>
      </c>
      <c r="P1093" t="str">
        <f>_xlfn.XLOOKUP(A1093,'Classic Net to delete'!D:D,'Classic Net to delete'!A:A,"")</f>
        <v/>
      </c>
    </row>
    <row r="1094" spans="1:16" x14ac:dyDescent="0.25">
      <c r="A1094" t="s">
        <v>1752</v>
      </c>
      <c r="B1094" t="s">
        <v>3963</v>
      </c>
      <c r="C1094" t="s">
        <v>1769</v>
      </c>
      <c r="D1094">
        <v>500</v>
      </c>
      <c r="E1094" t="s">
        <v>1755</v>
      </c>
      <c r="F1094" s="186" t="s">
        <v>1755</v>
      </c>
      <c r="H1094" t="b">
        <v>0</v>
      </c>
      <c r="I1094" t="s">
        <v>22</v>
      </c>
      <c r="J1094" s="186" t="s">
        <v>1754</v>
      </c>
      <c r="M1094" t="str">
        <f>IFERROR(_xlfn.XLOOKUP(A1094,Fleet!A:A,Fleet!E:E,""),"")</f>
        <v/>
      </c>
      <c r="N1094" t="s">
        <v>22</v>
      </c>
      <c r="P1094" t="str">
        <f>_xlfn.XLOOKUP(A1094,'Classic Net to delete'!D:D,'Classic Net to delete'!A:A,"")</f>
        <v/>
      </c>
    </row>
    <row r="1095" spans="1:16" x14ac:dyDescent="0.25">
      <c r="A1095" t="s">
        <v>1752</v>
      </c>
      <c r="B1095" t="s">
        <v>3963</v>
      </c>
      <c r="C1095" t="s">
        <v>2219</v>
      </c>
      <c r="D1095">
        <v>500</v>
      </c>
      <c r="E1095" t="s">
        <v>1755</v>
      </c>
      <c r="F1095" s="186" t="s">
        <v>1417</v>
      </c>
      <c r="H1095" t="b">
        <v>0</v>
      </c>
      <c r="I1095" t="s">
        <v>22</v>
      </c>
      <c r="J1095" s="186" t="s">
        <v>2220</v>
      </c>
      <c r="M1095" t="str">
        <f>IFERROR(_xlfn.XLOOKUP(A1095,Fleet!A:A,Fleet!E:E,""),"")</f>
        <v/>
      </c>
      <c r="N1095" t="s">
        <v>22</v>
      </c>
      <c r="P1095" t="str">
        <f>_xlfn.XLOOKUP(A1095,'Classic Net to delete'!D:D,'Classic Net to delete'!A:A,"")</f>
        <v/>
      </c>
    </row>
    <row r="1096" spans="1:16" x14ac:dyDescent="0.25">
      <c r="A1096" t="s">
        <v>1752</v>
      </c>
      <c r="B1096" t="s">
        <v>3963</v>
      </c>
      <c r="C1096" t="s">
        <v>2221</v>
      </c>
      <c r="D1096">
        <v>500</v>
      </c>
      <c r="E1096" t="s">
        <v>1755</v>
      </c>
      <c r="F1096" s="186" t="s">
        <v>1417</v>
      </c>
      <c r="H1096" t="b">
        <v>0</v>
      </c>
      <c r="I1096" t="s">
        <v>22</v>
      </c>
      <c r="J1096" s="186" t="s">
        <v>2220</v>
      </c>
      <c r="M1096" t="str">
        <f>IFERROR(_xlfn.XLOOKUP(A1096,Fleet!A:A,Fleet!E:E,""),"")</f>
        <v/>
      </c>
      <c r="N1096" t="s">
        <v>22</v>
      </c>
      <c r="P1096" t="str">
        <f>_xlfn.XLOOKUP(A1096,'Classic Net to delete'!D:D,'Classic Net to delete'!A:A,"")</f>
        <v/>
      </c>
    </row>
    <row r="1097" spans="1:16" x14ac:dyDescent="0.25">
      <c r="A1097" t="s">
        <v>83</v>
      </c>
      <c r="B1097" t="s">
        <v>84</v>
      </c>
      <c r="C1097" t="s">
        <v>84</v>
      </c>
      <c r="D1097">
        <v>242.05</v>
      </c>
      <c r="E1097" t="s">
        <v>55</v>
      </c>
      <c r="F1097" s="186" t="s">
        <v>55</v>
      </c>
      <c r="H1097" t="b">
        <v>1</v>
      </c>
      <c r="I1097">
        <v>242.05</v>
      </c>
      <c r="J1097" s="186" t="s">
        <v>3951</v>
      </c>
      <c r="K1097" t="s">
        <v>55</v>
      </c>
      <c r="M1097">
        <f>IFERROR(_xlfn.XLOOKUP(A1097,Fleet!A:A,Fleet!E:E,""),"")</f>
        <v>20</v>
      </c>
      <c r="N1097" t="s">
        <v>22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52</v>
      </c>
      <c r="B1098" t="s">
        <v>53</v>
      </c>
      <c r="C1098" t="s">
        <v>53</v>
      </c>
      <c r="D1098">
        <v>210.8</v>
      </c>
      <c r="E1098" t="s">
        <v>55</v>
      </c>
      <c r="F1098" s="186" t="s">
        <v>55</v>
      </c>
      <c r="H1098" t="b">
        <v>1</v>
      </c>
      <c r="I1098" t="s">
        <v>22</v>
      </c>
      <c r="J1098" s="186" t="s">
        <v>3951</v>
      </c>
      <c r="K1098" t="s">
        <v>55</v>
      </c>
      <c r="M1098">
        <f>IFERROR(_xlfn.XLOOKUP(A1098,Fleet!A:A,Fleet!E:E,""),"")</f>
        <v>22</v>
      </c>
      <c r="N1098" t="s">
        <v>22</v>
      </c>
      <c r="P1098" t="str">
        <f>_xlfn.XLOOKUP(A1098,'Classic Net to delete'!D:D,'Classic Net to delete'!A:A,"")</f>
        <v/>
      </c>
    </row>
    <row r="1099" spans="1:16" x14ac:dyDescent="0.25">
      <c r="A1099" t="s">
        <v>77</v>
      </c>
      <c r="B1099" t="s">
        <v>78</v>
      </c>
      <c r="C1099" t="s">
        <v>78</v>
      </c>
      <c r="D1099">
        <v>205.85</v>
      </c>
      <c r="E1099" t="s">
        <v>55</v>
      </c>
      <c r="F1099" s="186" t="s">
        <v>55</v>
      </c>
      <c r="H1099" t="b">
        <v>1</v>
      </c>
      <c r="I1099">
        <v>205.85000000000002</v>
      </c>
      <c r="J1099" s="186" t="s">
        <v>3951</v>
      </c>
      <c r="K1099" t="s">
        <v>55</v>
      </c>
      <c r="M1099">
        <f>IFERROR(_xlfn.XLOOKUP(A1099,Fleet!A:A,Fleet!E:E,""),"")</f>
        <v>19</v>
      </c>
      <c r="N1099" t="s">
        <v>22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87</v>
      </c>
      <c r="B1100" t="s">
        <v>88</v>
      </c>
      <c r="C1100" t="s">
        <v>88</v>
      </c>
      <c r="D1100">
        <v>222.55</v>
      </c>
      <c r="E1100" t="s">
        <v>55</v>
      </c>
      <c r="F1100" s="186" t="s">
        <v>55</v>
      </c>
      <c r="H1100" t="b">
        <v>1</v>
      </c>
      <c r="I1100">
        <v>222.55</v>
      </c>
      <c r="J1100" s="186" t="s">
        <v>3951</v>
      </c>
      <c r="K1100" t="s">
        <v>55</v>
      </c>
      <c r="M1100">
        <f>IFERROR(_xlfn.XLOOKUP(A1100,Fleet!A:A,Fleet!E:E,""),"")</f>
        <v>20</v>
      </c>
      <c r="N1100" t="s">
        <v>22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60</v>
      </c>
      <c r="B1101" t="s">
        <v>3126</v>
      </c>
      <c r="C1101" t="s">
        <v>57</v>
      </c>
      <c r="D1101">
        <v>500</v>
      </c>
      <c r="E1101" t="s">
        <v>55</v>
      </c>
      <c r="F1101" s="186" t="s">
        <v>55</v>
      </c>
      <c r="H1101" t="b">
        <v>0</v>
      </c>
      <c r="I1101" t="s">
        <v>22</v>
      </c>
      <c r="J1101" s="186" t="s">
        <v>3951</v>
      </c>
      <c r="K1101" t="s">
        <v>55</v>
      </c>
      <c r="M1101">
        <f>IFERROR(_xlfn.XLOOKUP(A1101,Fleet!A:A,Fleet!E:E,""),"")</f>
        <v>17</v>
      </c>
      <c r="N1101" t="s">
        <v>22</v>
      </c>
      <c r="P1101" t="str">
        <f>_xlfn.XLOOKUP(A1101,'Classic Net to delete'!D:D,'Classic Net to delete'!A:A,"")</f>
        <v/>
      </c>
    </row>
    <row r="1102" spans="1:16" x14ac:dyDescent="0.25">
      <c r="A1102" t="s">
        <v>60</v>
      </c>
      <c r="B1102" t="s">
        <v>3126</v>
      </c>
      <c r="C1102" t="s">
        <v>61</v>
      </c>
      <c r="D1102">
        <v>500</v>
      </c>
      <c r="E1102" t="s">
        <v>55</v>
      </c>
      <c r="F1102" s="186" t="s">
        <v>55</v>
      </c>
      <c r="H1102" t="b">
        <v>0</v>
      </c>
      <c r="I1102" t="s">
        <v>22</v>
      </c>
      <c r="J1102" s="186" t="s">
        <v>3951</v>
      </c>
      <c r="K1102" t="s">
        <v>55</v>
      </c>
      <c r="M1102">
        <f>IFERROR(_xlfn.XLOOKUP(A1102,Fleet!A:A,Fleet!E:E,""),"")</f>
        <v>17</v>
      </c>
      <c r="N1102" t="s">
        <v>22</v>
      </c>
      <c r="P1102" t="str">
        <f>_xlfn.XLOOKUP(A1102,'Classic Net to delete'!D:D,'Classic Net to delete'!A:A,"")</f>
        <v/>
      </c>
    </row>
    <row r="1103" spans="1:16" x14ac:dyDescent="0.25">
      <c r="A1103" t="s">
        <v>60</v>
      </c>
      <c r="B1103" t="s">
        <v>3126</v>
      </c>
      <c r="C1103" t="s">
        <v>62</v>
      </c>
      <c r="D1103">
        <v>500</v>
      </c>
      <c r="E1103" t="s">
        <v>55</v>
      </c>
      <c r="F1103" s="186" t="s">
        <v>55</v>
      </c>
      <c r="H1103" t="b">
        <v>0</v>
      </c>
      <c r="I1103" t="s">
        <v>22</v>
      </c>
      <c r="J1103" s="186" t="s">
        <v>3951</v>
      </c>
      <c r="K1103" t="s">
        <v>55</v>
      </c>
      <c r="M1103">
        <f>IFERROR(_xlfn.XLOOKUP(A1103,Fleet!A:A,Fleet!E:E,""),"")</f>
        <v>17</v>
      </c>
      <c r="N1103" t="s">
        <v>22</v>
      </c>
      <c r="P1103" t="str">
        <f>_xlfn.XLOOKUP(A1103,'Classic Net to delete'!D:D,'Classic Net to delete'!A:A,"")</f>
        <v/>
      </c>
    </row>
    <row r="1104" spans="1:16" x14ac:dyDescent="0.25">
      <c r="A1104" t="s">
        <v>60</v>
      </c>
      <c r="B1104" t="s">
        <v>3126</v>
      </c>
      <c r="C1104" t="s">
        <v>63</v>
      </c>
      <c r="D1104">
        <v>500</v>
      </c>
      <c r="E1104" t="s">
        <v>55</v>
      </c>
      <c r="F1104" s="186" t="s">
        <v>55</v>
      </c>
      <c r="H1104" t="b">
        <v>0</v>
      </c>
      <c r="I1104" t="s">
        <v>22</v>
      </c>
      <c r="J1104" s="186" t="s">
        <v>3951</v>
      </c>
      <c r="K1104" t="s">
        <v>55</v>
      </c>
      <c r="M1104">
        <f>IFERROR(_xlfn.XLOOKUP(A1104,Fleet!A:A,Fleet!E:E,""),"")</f>
        <v>17</v>
      </c>
      <c r="N1104" t="s">
        <v>22</v>
      </c>
      <c r="P1104" t="str">
        <f>_xlfn.XLOOKUP(A1104,'Classic Net to delete'!D:D,'Classic Net to delete'!A:A,"")</f>
        <v/>
      </c>
    </row>
    <row r="1105" spans="1:16" x14ac:dyDescent="0.25">
      <c r="A1105" t="s">
        <v>80</v>
      </c>
      <c r="B1105" t="s">
        <v>81</v>
      </c>
      <c r="C1105" t="s">
        <v>81</v>
      </c>
      <c r="D1105">
        <v>210.8</v>
      </c>
      <c r="E1105" t="s">
        <v>55</v>
      </c>
      <c r="F1105" s="186" t="s">
        <v>55</v>
      </c>
      <c r="H1105" t="b">
        <v>1</v>
      </c>
      <c r="I1105">
        <v>210.8</v>
      </c>
      <c r="J1105" s="186" t="s">
        <v>3951</v>
      </c>
      <c r="K1105" t="s">
        <v>55</v>
      </c>
      <c r="M1105">
        <f>IFERROR(_xlfn.XLOOKUP(A1105,Fleet!A:A,Fleet!E:E,""),"")</f>
        <v>20</v>
      </c>
      <c r="N1105" t="s">
        <v>22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60</v>
      </c>
      <c r="B1106" t="s">
        <v>3126</v>
      </c>
      <c r="C1106" t="s">
        <v>64</v>
      </c>
      <c r="D1106">
        <v>500</v>
      </c>
      <c r="E1106" t="s">
        <v>55</v>
      </c>
      <c r="F1106" s="186" t="s">
        <v>55</v>
      </c>
      <c r="H1106" t="b">
        <v>0</v>
      </c>
      <c r="I1106" t="s">
        <v>22</v>
      </c>
      <c r="J1106" s="186" t="s">
        <v>3951</v>
      </c>
      <c r="K1106" t="s">
        <v>55</v>
      </c>
      <c r="M1106">
        <f>IFERROR(_xlfn.XLOOKUP(A1106,Fleet!A:A,Fleet!E:E,""),"")</f>
        <v>17</v>
      </c>
      <c r="N1106" t="s">
        <v>22</v>
      </c>
      <c r="P1106" t="str">
        <f>_xlfn.XLOOKUP(A1106,'Classic Net to delete'!D:D,'Classic Net to delete'!A:A,"")</f>
        <v/>
      </c>
    </row>
    <row r="1107" spans="1:16" x14ac:dyDescent="0.25">
      <c r="A1107" t="s">
        <v>60</v>
      </c>
      <c r="B1107" t="s">
        <v>3126</v>
      </c>
      <c r="C1107" t="s">
        <v>65</v>
      </c>
      <c r="D1107">
        <v>500</v>
      </c>
      <c r="E1107" t="s">
        <v>55</v>
      </c>
      <c r="F1107" s="186" t="s">
        <v>55</v>
      </c>
      <c r="H1107" t="b">
        <v>0</v>
      </c>
      <c r="I1107" t="s">
        <v>22</v>
      </c>
      <c r="J1107" s="186" t="s">
        <v>3951</v>
      </c>
      <c r="K1107" t="s">
        <v>55</v>
      </c>
      <c r="M1107">
        <f>IFERROR(_xlfn.XLOOKUP(A1107,Fleet!A:A,Fleet!E:E,""),"")</f>
        <v>17</v>
      </c>
      <c r="N1107" t="s">
        <v>22</v>
      </c>
      <c r="P1107" t="str">
        <f>_xlfn.XLOOKUP(A1107,'Classic Net to delete'!D:D,'Classic Net to delete'!A:A,"")</f>
        <v/>
      </c>
    </row>
    <row r="1108" spans="1:16" x14ac:dyDescent="0.25">
      <c r="A1108" t="s">
        <v>60</v>
      </c>
      <c r="B1108" t="s">
        <v>3126</v>
      </c>
      <c r="C1108" t="s">
        <v>66</v>
      </c>
      <c r="D1108">
        <v>500</v>
      </c>
      <c r="E1108" t="s">
        <v>55</v>
      </c>
      <c r="F1108" s="186" t="s">
        <v>55</v>
      </c>
      <c r="H1108" t="b">
        <v>0</v>
      </c>
      <c r="I1108" t="s">
        <v>22</v>
      </c>
      <c r="J1108" s="186" t="s">
        <v>3951</v>
      </c>
      <c r="K1108" t="s">
        <v>55</v>
      </c>
      <c r="M1108">
        <f>IFERROR(_xlfn.XLOOKUP(A1108,Fleet!A:A,Fleet!E:E,""),"")</f>
        <v>17</v>
      </c>
      <c r="N1108" t="s">
        <v>22</v>
      </c>
      <c r="P1108" t="str">
        <f>_xlfn.XLOOKUP(A1108,'Classic Net to delete'!D:D,'Classic Net to delete'!A:A,"")</f>
        <v/>
      </c>
    </row>
    <row r="1109" spans="1:16" x14ac:dyDescent="0.25">
      <c r="A1109" t="s">
        <v>60</v>
      </c>
      <c r="B1109" t="s">
        <v>3126</v>
      </c>
      <c r="C1109" t="s">
        <v>67</v>
      </c>
      <c r="D1109">
        <v>500</v>
      </c>
      <c r="E1109" t="s">
        <v>55</v>
      </c>
      <c r="F1109" s="186" t="s">
        <v>55</v>
      </c>
      <c r="H1109" t="b">
        <v>0</v>
      </c>
      <c r="I1109" t="s">
        <v>22</v>
      </c>
      <c r="J1109" s="186" t="s">
        <v>3951</v>
      </c>
      <c r="K1109" t="s">
        <v>55</v>
      </c>
      <c r="M1109">
        <f>IFERROR(_xlfn.XLOOKUP(A1109,Fleet!A:A,Fleet!E:E,""),"")</f>
        <v>17</v>
      </c>
      <c r="N1109" t="s">
        <v>22</v>
      </c>
      <c r="P1109" t="str">
        <f>_xlfn.XLOOKUP(A1109,'Classic Net to delete'!D:D,'Classic Net to delete'!A:A,"")</f>
        <v/>
      </c>
    </row>
    <row r="1110" spans="1:16" x14ac:dyDescent="0.25">
      <c r="A1110" t="s">
        <v>60</v>
      </c>
      <c r="B1110" t="s">
        <v>3126</v>
      </c>
      <c r="C1110" t="s">
        <v>68</v>
      </c>
      <c r="D1110">
        <v>500</v>
      </c>
      <c r="E1110" t="s">
        <v>55</v>
      </c>
      <c r="F1110" s="186" t="s">
        <v>55</v>
      </c>
      <c r="H1110" t="b">
        <v>0</v>
      </c>
      <c r="I1110" t="s">
        <v>22</v>
      </c>
      <c r="J1110" s="186" t="s">
        <v>3951</v>
      </c>
      <c r="K1110" t="s">
        <v>55</v>
      </c>
      <c r="M1110">
        <f>IFERROR(_xlfn.XLOOKUP(A1110,Fleet!A:A,Fleet!E:E,""),"")</f>
        <v>17</v>
      </c>
      <c r="N1110" t="s">
        <v>22</v>
      </c>
      <c r="P1110" t="str">
        <f>_xlfn.XLOOKUP(A1110,'Classic Net to delete'!D:D,'Classic Net to delete'!A:A,"")</f>
        <v/>
      </c>
    </row>
    <row r="1111" spans="1:16" x14ac:dyDescent="0.25">
      <c r="A1111" t="s">
        <v>60</v>
      </c>
      <c r="B1111" t="s">
        <v>3126</v>
      </c>
      <c r="C1111" t="s">
        <v>69</v>
      </c>
      <c r="D1111">
        <v>500</v>
      </c>
      <c r="E1111" t="s">
        <v>55</v>
      </c>
      <c r="F1111" s="186" t="s">
        <v>55</v>
      </c>
      <c r="H1111" t="b">
        <v>0</v>
      </c>
      <c r="I1111" t="s">
        <v>22</v>
      </c>
      <c r="J1111" s="186" t="s">
        <v>3951</v>
      </c>
      <c r="K1111" t="s">
        <v>55</v>
      </c>
      <c r="M1111">
        <f>IFERROR(_xlfn.XLOOKUP(A1111,Fleet!A:A,Fleet!E:E,""),"")</f>
        <v>17</v>
      </c>
      <c r="N1111" t="s">
        <v>22</v>
      </c>
      <c r="P1111" t="str">
        <f>_xlfn.XLOOKUP(A1111,'Classic Net to delete'!D:D,'Classic Net to delete'!A:A,"")</f>
        <v/>
      </c>
    </row>
    <row r="1112" spans="1:16" x14ac:dyDescent="0.25">
      <c r="A1112" t="s">
        <v>60</v>
      </c>
      <c r="B1112" t="s">
        <v>3126</v>
      </c>
      <c r="C1112" t="s">
        <v>70</v>
      </c>
      <c r="D1112">
        <v>500</v>
      </c>
      <c r="E1112" t="s">
        <v>55</v>
      </c>
      <c r="F1112" s="186" t="s">
        <v>55</v>
      </c>
      <c r="H1112" t="b">
        <v>0</v>
      </c>
      <c r="I1112" t="s">
        <v>22</v>
      </c>
      <c r="J1112" s="186" t="s">
        <v>3951</v>
      </c>
      <c r="K1112" t="s">
        <v>55</v>
      </c>
      <c r="M1112">
        <f>IFERROR(_xlfn.XLOOKUP(A1112,Fleet!A:A,Fleet!E:E,""),"")</f>
        <v>17</v>
      </c>
      <c r="N1112" t="s">
        <v>22</v>
      </c>
      <c r="P1112" t="str">
        <f>_xlfn.XLOOKUP(A1112,'Classic Net to delete'!D:D,'Classic Net to delete'!A:A,"")</f>
        <v/>
      </c>
    </row>
    <row r="1113" spans="1:16" x14ac:dyDescent="0.25">
      <c r="A1113" t="s">
        <v>60</v>
      </c>
      <c r="B1113" t="s">
        <v>3126</v>
      </c>
      <c r="C1113" t="s">
        <v>71</v>
      </c>
      <c r="D1113">
        <v>500</v>
      </c>
      <c r="E1113" t="s">
        <v>55</v>
      </c>
      <c r="F1113" s="186" t="s">
        <v>55</v>
      </c>
      <c r="H1113" t="b">
        <v>0</v>
      </c>
      <c r="I1113" t="s">
        <v>22</v>
      </c>
      <c r="J1113" s="186" t="s">
        <v>3951</v>
      </c>
      <c r="K1113" t="s">
        <v>55</v>
      </c>
      <c r="M1113">
        <f>IFERROR(_xlfn.XLOOKUP(A1113,Fleet!A:A,Fleet!E:E,""),"")</f>
        <v>17</v>
      </c>
      <c r="N1113" t="s">
        <v>22</v>
      </c>
      <c r="P1113" t="str">
        <f>_xlfn.XLOOKUP(A1113,'Classic Net to delete'!D:D,'Classic Net to delete'!A:A,"")</f>
        <v/>
      </c>
    </row>
    <row r="1114" spans="1:16" x14ac:dyDescent="0.25">
      <c r="A1114" t="s">
        <v>60</v>
      </c>
      <c r="B1114" t="s">
        <v>3126</v>
      </c>
      <c r="C1114" t="s">
        <v>72</v>
      </c>
      <c r="D1114">
        <v>500</v>
      </c>
      <c r="E1114" t="s">
        <v>55</v>
      </c>
      <c r="F1114" s="186" t="s">
        <v>55</v>
      </c>
      <c r="H1114" t="b">
        <v>0</v>
      </c>
      <c r="I1114" t="s">
        <v>22</v>
      </c>
      <c r="J1114" s="186" t="s">
        <v>3951</v>
      </c>
      <c r="K1114" t="s">
        <v>55</v>
      </c>
      <c r="M1114">
        <f>IFERROR(_xlfn.XLOOKUP(A1114,Fleet!A:A,Fleet!E:E,""),"")</f>
        <v>17</v>
      </c>
      <c r="N1114" t="s">
        <v>22</v>
      </c>
      <c r="P1114" t="str">
        <f>_xlfn.XLOOKUP(A1114,'Classic Net to delete'!D:D,'Classic Net to delete'!A:A,"")</f>
        <v/>
      </c>
    </row>
    <row r="1115" spans="1:16" x14ac:dyDescent="0.25">
      <c r="A1115" t="s">
        <v>60</v>
      </c>
      <c r="B1115" t="s">
        <v>3126</v>
      </c>
      <c r="C1115" t="s">
        <v>73</v>
      </c>
      <c r="D1115">
        <v>500</v>
      </c>
      <c r="E1115" t="s">
        <v>55</v>
      </c>
      <c r="F1115" s="186" t="s">
        <v>55</v>
      </c>
      <c r="H1115" t="b">
        <v>0</v>
      </c>
      <c r="I1115" t="s">
        <v>22</v>
      </c>
      <c r="J1115" s="186" t="s">
        <v>3951</v>
      </c>
      <c r="K1115" t="s">
        <v>55</v>
      </c>
      <c r="M1115">
        <f>IFERROR(_xlfn.XLOOKUP(A1115,Fleet!A:A,Fleet!E:E,""),"")</f>
        <v>17</v>
      </c>
      <c r="N1115" t="s">
        <v>22</v>
      </c>
      <c r="P1115" t="str">
        <f>_xlfn.XLOOKUP(A1115,'Classic Net to delete'!D:D,'Classic Net to delete'!A:A,"")</f>
        <v/>
      </c>
    </row>
    <row r="1116" spans="1:16" x14ac:dyDescent="0.25">
      <c r="A1116" t="s">
        <v>60</v>
      </c>
      <c r="B1116" t="s">
        <v>3126</v>
      </c>
      <c r="C1116" t="s">
        <v>74</v>
      </c>
      <c r="D1116">
        <v>500</v>
      </c>
      <c r="E1116" t="s">
        <v>55</v>
      </c>
      <c r="F1116" s="186" t="s">
        <v>55</v>
      </c>
      <c r="H1116" t="b">
        <v>0</v>
      </c>
      <c r="I1116" t="s">
        <v>22</v>
      </c>
      <c r="J1116" s="186" t="s">
        <v>3951</v>
      </c>
      <c r="K1116" t="s">
        <v>55</v>
      </c>
      <c r="M1116">
        <f>IFERROR(_xlfn.XLOOKUP(A1116,Fleet!A:A,Fleet!E:E,""),"")</f>
        <v>17</v>
      </c>
      <c r="N1116" t="s">
        <v>22</v>
      </c>
      <c r="P1116" t="str">
        <f>_xlfn.XLOOKUP(A1116,'Classic Net to delete'!D:D,'Classic Net to delete'!A:A,"")</f>
        <v/>
      </c>
    </row>
    <row r="1117" spans="1:16" x14ac:dyDescent="0.25">
      <c r="A1117" t="s">
        <v>60</v>
      </c>
      <c r="B1117" t="s">
        <v>3126</v>
      </c>
      <c r="C1117" t="s">
        <v>75</v>
      </c>
      <c r="D1117">
        <v>500</v>
      </c>
      <c r="E1117" t="s">
        <v>55</v>
      </c>
      <c r="F1117" s="186" t="s">
        <v>55</v>
      </c>
      <c r="H1117" t="b">
        <v>0</v>
      </c>
      <c r="I1117" t="s">
        <v>22</v>
      </c>
      <c r="J1117" s="186" t="s">
        <v>3951</v>
      </c>
      <c r="K1117" t="s">
        <v>55</v>
      </c>
      <c r="M1117">
        <f>IFERROR(_xlfn.XLOOKUP(A1117,Fleet!A:A,Fleet!E:E,""),"")</f>
        <v>17</v>
      </c>
      <c r="N1117" t="s">
        <v>22</v>
      </c>
      <c r="P1117" t="str">
        <f>_xlfn.XLOOKUP(A1117,'Classic Net to delete'!D:D,'Classic Net to delete'!A:A,"")</f>
        <v/>
      </c>
    </row>
    <row r="1118" spans="1:16" x14ac:dyDescent="0.25">
      <c r="A1118" t="s">
        <v>60</v>
      </c>
      <c r="B1118" t="s">
        <v>3126</v>
      </c>
      <c r="C1118" t="s">
        <v>76</v>
      </c>
      <c r="D1118">
        <v>500</v>
      </c>
      <c r="E1118" t="s">
        <v>55</v>
      </c>
      <c r="F1118" s="186" t="s">
        <v>55</v>
      </c>
      <c r="H1118" t="b">
        <v>0</v>
      </c>
      <c r="I1118" t="s">
        <v>22</v>
      </c>
      <c r="J1118" s="186" t="s">
        <v>3951</v>
      </c>
      <c r="K1118" t="s">
        <v>55</v>
      </c>
      <c r="M1118">
        <f>IFERROR(_xlfn.XLOOKUP(A1118,Fleet!A:A,Fleet!E:E,""),"")</f>
        <v>17</v>
      </c>
      <c r="N1118" t="s">
        <v>22</v>
      </c>
      <c r="P1118" t="str">
        <f>_xlfn.XLOOKUP(A1118,'Classic Net to delete'!D:D,'Classic Net to delete'!A:A,"")</f>
        <v/>
      </c>
    </row>
    <row r="1119" spans="1:16" x14ac:dyDescent="0.25">
      <c r="A1119" t="s">
        <v>58</v>
      </c>
      <c r="B1119" t="s">
        <v>59</v>
      </c>
      <c r="C1119" t="s">
        <v>59</v>
      </c>
      <c r="D1119">
        <v>120</v>
      </c>
      <c r="E1119" t="s">
        <v>55</v>
      </c>
      <c r="F1119" s="186" t="s">
        <v>55</v>
      </c>
      <c r="H1119" t="b">
        <v>0</v>
      </c>
      <c r="I1119" t="s">
        <v>22</v>
      </c>
      <c r="J1119" s="186" t="s">
        <v>3951</v>
      </c>
      <c r="K1119" t="s">
        <v>55</v>
      </c>
      <c r="M1119">
        <f>IFERROR(_xlfn.XLOOKUP(A1119,Fleet!A:A,Fleet!E:E,""),"")</f>
        <v>3</v>
      </c>
      <c r="N1119" t="s">
        <v>22</v>
      </c>
      <c r="P1119" t="str">
        <f>_xlfn.XLOOKUP(A1119,'Classic Net to delete'!D:D,'Classic Net to delete'!A:A,"")</f>
        <v/>
      </c>
    </row>
    <row r="1120" spans="1:16" x14ac:dyDescent="0.25">
      <c r="A1120" t="s">
        <v>56</v>
      </c>
      <c r="B1120" t="s">
        <v>57</v>
      </c>
      <c r="C1120" t="s">
        <v>57</v>
      </c>
      <c r="D1120">
        <v>500</v>
      </c>
      <c r="E1120" t="s">
        <v>3261</v>
      </c>
      <c r="F1120" s="186" t="s">
        <v>55</v>
      </c>
      <c r="H1120" t="b">
        <v>0</v>
      </c>
      <c r="I1120" t="s">
        <v>22</v>
      </c>
      <c r="J1120" s="186" t="s">
        <v>3951</v>
      </c>
      <c r="K1120" t="s">
        <v>3261</v>
      </c>
      <c r="M1120" t="str">
        <f>IFERROR(_xlfn.XLOOKUP(A1120,Fleet!A:A,Fleet!E:E,""),"")</f>
        <v/>
      </c>
      <c r="N1120" t="s">
        <v>22</v>
      </c>
      <c r="P1120" t="str">
        <f>_xlfn.XLOOKUP(A1120,'Classic Net to delete'!D:D,'Classic Net to delete'!A:A,"")</f>
        <v/>
      </c>
    </row>
    <row r="1121" spans="1:16" x14ac:dyDescent="0.25">
      <c r="A1121" t="s">
        <v>1993</v>
      </c>
      <c r="B1121" t="s">
        <v>1994</v>
      </c>
      <c r="C1121" t="s">
        <v>1994</v>
      </c>
      <c r="D1121">
        <v>62.25</v>
      </c>
      <c r="E1121" t="s">
        <v>1979</v>
      </c>
      <c r="F1121" s="186" t="s">
        <v>1979</v>
      </c>
      <c r="H1121" t="b">
        <v>1</v>
      </c>
      <c r="I1121">
        <v>62.25</v>
      </c>
      <c r="J1121" s="186" t="s">
        <v>1978</v>
      </c>
      <c r="M1121">
        <f>IFERROR(_xlfn.XLOOKUP(A1121,Fleet!A:A,Fleet!E:E,""),"")</f>
        <v>4</v>
      </c>
      <c r="N1121" t="s">
        <v>22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1987</v>
      </c>
      <c r="B1122" t="s">
        <v>1988</v>
      </c>
      <c r="C1122" t="s">
        <v>1988</v>
      </c>
      <c r="D1122">
        <v>64.849999999999994</v>
      </c>
      <c r="E1122" t="s">
        <v>1979</v>
      </c>
      <c r="F1122" s="186" t="s">
        <v>1979</v>
      </c>
      <c r="H1122" t="b">
        <v>1</v>
      </c>
      <c r="I1122">
        <v>64.850000000000009</v>
      </c>
      <c r="J1122" s="186" t="s">
        <v>1978</v>
      </c>
      <c r="M1122">
        <f>IFERROR(_xlfn.XLOOKUP(A1122,Fleet!A:A,Fleet!E:E,""),"")</f>
        <v>93</v>
      </c>
      <c r="N1122" t="s">
        <v>22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1990</v>
      </c>
      <c r="B1123" t="s">
        <v>1991</v>
      </c>
      <c r="C1123" t="s">
        <v>1991</v>
      </c>
      <c r="D1123">
        <v>74</v>
      </c>
      <c r="E1123" t="s">
        <v>1979</v>
      </c>
      <c r="F1123" s="186" t="s">
        <v>1979</v>
      </c>
      <c r="H1123" t="b">
        <v>1</v>
      </c>
      <c r="I1123">
        <v>74</v>
      </c>
      <c r="J1123" s="186" t="s">
        <v>1978</v>
      </c>
      <c r="M1123">
        <f>IFERROR(_xlfn.XLOOKUP(A1123,Fleet!A:A,Fleet!E:E,""),"")</f>
        <v>63</v>
      </c>
      <c r="N1123" t="s">
        <v>22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1980</v>
      </c>
      <c r="B1124" t="s">
        <v>1981</v>
      </c>
      <c r="C1124" t="s">
        <v>1981</v>
      </c>
      <c r="D1124">
        <v>96.7</v>
      </c>
      <c r="E1124" t="s">
        <v>1979</v>
      </c>
      <c r="F1124" s="186" t="s">
        <v>1979</v>
      </c>
      <c r="H1124" t="b">
        <v>0</v>
      </c>
      <c r="I1124" t="s">
        <v>22</v>
      </c>
      <c r="J1124" s="186" t="s">
        <v>1978</v>
      </c>
      <c r="M1124">
        <f>IFERROR(_xlfn.XLOOKUP(A1124,Fleet!A:A,Fleet!E:E,""),"")</f>
        <v>1</v>
      </c>
      <c r="N1124" t="s">
        <v>22</v>
      </c>
      <c r="P1124" t="str">
        <f>_xlfn.XLOOKUP(A1124,'Classic Net to delete'!D:D,'Classic Net to delete'!A:A,"")</f>
        <v/>
      </c>
    </row>
    <row r="1125" spans="1:16" x14ac:dyDescent="0.25">
      <c r="A1125" t="s">
        <v>1999</v>
      </c>
      <c r="B1125" t="s">
        <v>2000</v>
      </c>
      <c r="C1125" t="s">
        <v>2000</v>
      </c>
      <c r="D1125">
        <v>143.25</v>
      </c>
      <c r="E1125" t="s">
        <v>1979</v>
      </c>
      <c r="F1125" s="186" t="s">
        <v>1979</v>
      </c>
      <c r="H1125" t="b">
        <v>1</v>
      </c>
      <c r="I1125">
        <v>143.25</v>
      </c>
      <c r="J1125" s="186" t="s">
        <v>1978</v>
      </c>
      <c r="M1125">
        <f>IFERROR(_xlfn.XLOOKUP(A1125,Fleet!A:A,Fleet!E:E,""),"")</f>
        <v>6</v>
      </c>
      <c r="N1125" t="s">
        <v>22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1984</v>
      </c>
      <c r="B1126" t="s">
        <v>1985</v>
      </c>
      <c r="C1126" t="s">
        <v>1985</v>
      </c>
      <c r="D1126">
        <v>64.849999999999994</v>
      </c>
      <c r="E1126" t="s">
        <v>1979</v>
      </c>
      <c r="F1126" s="186" t="s">
        <v>1979</v>
      </c>
      <c r="H1126" t="b">
        <v>1</v>
      </c>
      <c r="I1126">
        <v>64.850000000000009</v>
      </c>
      <c r="J1126" s="186" t="s">
        <v>1978</v>
      </c>
      <c r="M1126">
        <f>IFERROR(_xlfn.XLOOKUP(A1126,Fleet!A:A,Fleet!E:E,""),"")</f>
        <v>2</v>
      </c>
      <c r="N1126" t="s">
        <v>22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1996</v>
      </c>
      <c r="B1127" t="s">
        <v>1997</v>
      </c>
      <c r="C1127" t="s">
        <v>1997</v>
      </c>
      <c r="D1127">
        <v>136.19999999999999</v>
      </c>
      <c r="E1127" t="s">
        <v>1979</v>
      </c>
      <c r="F1127" s="186" t="s">
        <v>1979</v>
      </c>
      <c r="H1127" t="b">
        <v>1</v>
      </c>
      <c r="I1127">
        <v>136.20000000000002</v>
      </c>
      <c r="J1127" s="186" t="s">
        <v>1978</v>
      </c>
      <c r="M1127">
        <f>IFERROR(_xlfn.XLOOKUP(A1127,Fleet!A:A,Fleet!E:E,""),"")</f>
        <v>4</v>
      </c>
      <c r="N1127" t="s">
        <v>22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1982</v>
      </c>
      <c r="B1128" t="s">
        <v>1983</v>
      </c>
      <c r="C1128" t="s">
        <v>1983</v>
      </c>
      <c r="D1128">
        <v>53.05</v>
      </c>
      <c r="E1128" t="s">
        <v>1979</v>
      </c>
      <c r="F1128" s="186" t="s">
        <v>1979</v>
      </c>
      <c r="H1128" t="b">
        <v>0</v>
      </c>
      <c r="I1128" t="s">
        <v>22</v>
      </c>
      <c r="J1128" s="186" t="s">
        <v>1978</v>
      </c>
      <c r="M1128">
        <f>IFERROR(_xlfn.XLOOKUP(A1128,Fleet!A:A,Fleet!E:E,""),"")</f>
        <v>1</v>
      </c>
      <c r="N1128" t="s">
        <v>22</v>
      </c>
      <c r="P1128" t="str">
        <f>_xlfn.XLOOKUP(A1128,'Classic Net to delete'!D:D,'Classic Net to delete'!A:A,"")</f>
        <v/>
      </c>
    </row>
    <row r="1129" spans="1:16" x14ac:dyDescent="0.25">
      <c r="A1129" t="s">
        <v>1976</v>
      </c>
      <c r="B1129" t="s">
        <v>1977</v>
      </c>
      <c r="C1129" t="s">
        <v>1977</v>
      </c>
      <c r="D1129">
        <v>81.900000000000006</v>
      </c>
      <c r="E1129" t="s">
        <v>1979</v>
      </c>
      <c r="F1129" s="186" t="s">
        <v>1979</v>
      </c>
      <c r="H1129" t="b">
        <v>1</v>
      </c>
      <c r="I1129" t="s">
        <v>22</v>
      </c>
      <c r="J1129" s="186" t="s">
        <v>1978</v>
      </c>
      <c r="M1129">
        <f>IFERROR(_xlfn.XLOOKUP(A1129,Fleet!A:A,Fleet!E:E,""),"")</f>
        <v>17</v>
      </c>
      <c r="N1129" t="s">
        <v>22</v>
      </c>
      <c r="P1129" t="str">
        <f>_xlfn.XLOOKUP(A1129,'Classic Net to delete'!D:D,'Classic Net to delete'!A:A,"")</f>
        <v/>
      </c>
    </row>
    <row r="1130" spans="1:16" x14ac:dyDescent="0.25">
      <c r="A1130" t="s">
        <v>1863</v>
      </c>
      <c r="B1130" t="s">
        <v>1864</v>
      </c>
      <c r="C1130" t="s">
        <v>1864</v>
      </c>
      <c r="D1130">
        <v>18.600000000000001</v>
      </c>
      <c r="E1130" t="s">
        <v>3127</v>
      </c>
      <c r="F1130" s="186" t="s">
        <v>722</v>
      </c>
      <c r="H1130" t="b">
        <v>1</v>
      </c>
      <c r="I1130">
        <v>18.600000000000001</v>
      </c>
      <c r="J1130" s="186" t="s">
        <v>2007</v>
      </c>
      <c r="M1130">
        <f>IFERROR(_xlfn.XLOOKUP(A1130,Fleet!A:A,Fleet!E:E,""),"")</f>
        <v>0</v>
      </c>
      <c r="N1130" t="s">
        <v>22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1866</v>
      </c>
      <c r="B1131" t="s">
        <v>1867</v>
      </c>
      <c r="C1131" t="s">
        <v>1867</v>
      </c>
      <c r="D1131">
        <v>21.25</v>
      </c>
      <c r="E1131" t="s">
        <v>3127</v>
      </c>
      <c r="F1131" s="186" t="s">
        <v>722</v>
      </c>
      <c r="H1131" t="b">
        <v>1</v>
      </c>
      <c r="I1131">
        <v>21.25</v>
      </c>
      <c r="J1131" s="186" t="s">
        <v>2007</v>
      </c>
      <c r="M1131">
        <f>IFERROR(_xlfn.XLOOKUP(A1131,Fleet!A:A,Fleet!E:E,""),"")</f>
        <v>13</v>
      </c>
      <c r="N1131" t="s">
        <v>22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1868</v>
      </c>
      <c r="B1132" t="s">
        <v>1869</v>
      </c>
      <c r="C1132" t="s">
        <v>1869</v>
      </c>
      <c r="D1132">
        <v>34.549999999999997</v>
      </c>
      <c r="E1132" t="s">
        <v>3127</v>
      </c>
      <c r="F1132" s="186" t="s">
        <v>722</v>
      </c>
      <c r="H1132" t="b">
        <v>1</v>
      </c>
      <c r="I1132">
        <v>34.550000000000004</v>
      </c>
      <c r="J1132" s="186" t="s">
        <v>2007</v>
      </c>
      <c r="M1132">
        <f>IFERROR(_xlfn.XLOOKUP(A1132,Fleet!A:A,Fleet!E:E,""),"")</f>
        <v>11</v>
      </c>
      <c r="N1132" t="s">
        <v>22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2189</v>
      </c>
      <c r="B1133" t="s">
        <v>2190</v>
      </c>
      <c r="C1133" t="s">
        <v>2190</v>
      </c>
      <c r="D1133">
        <v>33.049999999999997</v>
      </c>
      <c r="E1133" t="s">
        <v>3128</v>
      </c>
      <c r="F1133" s="186" t="s">
        <v>2070</v>
      </c>
      <c r="H1133" t="b">
        <v>1</v>
      </c>
      <c r="I1133">
        <v>33.050000000000004</v>
      </c>
      <c r="J1133" s="186" t="s">
        <v>2064</v>
      </c>
      <c r="M1133">
        <f>IFERROR(_xlfn.XLOOKUP(A1133,Fleet!A:A,Fleet!E:E,""),"")</f>
        <v>247</v>
      </c>
      <c r="N1133" t="s">
        <v>22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2192</v>
      </c>
      <c r="B1134" t="s">
        <v>2193</v>
      </c>
      <c r="C1134" t="s">
        <v>2193</v>
      </c>
      <c r="D1134">
        <v>42.2</v>
      </c>
      <c r="E1134" t="s">
        <v>3128</v>
      </c>
      <c r="F1134" s="186" t="s">
        <v>2070</v>
      </c>
      <c r="H1134" t="b">
        <v>1</v>
      </c>
      <c r="I1134">
        <v>42.2</v>
      </c>
      <c r="J1134" s="186" t="s">
        <v>2064</v>
      </c>
      <c r="M1134">
        <f>IFERROR(_xlfn.XLOOKUP(A1134,Fleet!A:A,Fleet!E:E,""),"")</f>
        <v>151</v>
      </c>
      <c r="N1134" t="s">
        <v>22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2198</v>
      </c>
      <c r="B1135" t="s">
        <v>2199</v>
      </c>
      <c r="C1135" t="s">
        <v>2199</v>
      </c>
      <c r="D1135">
        <v>33.049999999999997</v>
      </c>
      <c r="E1135" t="s">
        <v>3128</v>
      </c>
      <c r="F1135" s="186" t="s">
        <v>2070</v>
      </c>
      <c r="H1135" t="b">
        <v>1</v>
      </c>
      <c r="I1135">
        <v>33.050000000000004</v>
      </c>
      <c r="J1135" s="186" t="s">
        <v>2064</v>
      </c>
      <c r="M1135">
        <f>IFERROR(_xlfn.XLOOKUP(A1135,Fleet!A:A,Fleet!E:E,""),"")</f>
        <v>9</v>
      </c>
      <c r="N1135" t="s">
        <v>22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2195</v>
      </c>
      <c r="B1136" t="s">
        <v>2196</v>
      </c>
      <c r="C1136" t="s">
        <v>2196</v>
      </c>
      <c r="D1136">
        <v>78.150000000000006</v>
      </c>
      <c r="E1136" t="s">
        <v>3128</v>
      </c>
      <c r="F1136" s="186" t="s">
        <v>2070</v>
      </c>
      <c r="H1136" t="b">
        <v>1</v>
      </c>
      <c r="I1136">
        <v>78.150000000000006</v>
      </c>
      <c r="J1136" s="186" t="s">
        <v>2064</v>
      </c>
      <c r="M1136">
        <f>IFERROR(_xlfn.XLOOKUP(A1136,Fleet!A:A,Fleet!E:E,""),"")</f>
        <v>69</v>
      </c>
      <c r="N1136" t="s">
        <v>22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2209</v>
      </c>
      <c r="B1137" t="s">
        <v>2210</v>
      </c>
      <c r="C1137" t="s">
        <v>2210</v>
      </c>
      <c r="D1137">
        <v>63.6</v>
      </c>
      <c r="E1137" t="s">
        <v>3128</v>
      </c>
      <c r="F1137" s="186" t="s">
        <v>2070</v>
      </c>
      <c r="H1137" t="b">
        <v>1</v>
      </c>
      <c r="I1137">
        <v>63.6</v>
      </c>
      <c r="J1137" s="186" t="s">
        <v>2064</v>
      </c>
      <c r="M1137">
        <f>IFERROR(_xlfn.XLOOKUP(A1137,Fleet!A:A,Fleet!E:E,""),"")</f>
        <v>23</v>
      </c>
      <c r="N1137" t="s">
        <v>22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2161</v>
      </c>
      <c r="B1138" t="s">
        <v>2162</v>
      </c>
      <c r="C1138" t="s">
        <v>2162</v>
      </c>
      <c r="D1138">
        <v>31.9</v>
      </c>
      <c r="E1138" t="s">
        <v>3128</v>
      </c>
      <c r="F1138" s="186" t="s">
        <v>538</v>
      </c>
      <c r="H1138" t="b">
        <v>1</v>
      </c>
      <c r="I1138">
        <v>31.900000000000002</v>
      </c>
      <c r="J1138" s="186" t="s">
        <v>2064</v>
      </c>
      <c r="M1138">
        <f>IFERROR(_xlfn.XLOOKUP(A1138,Fleet!A:A,Fleet!E:E,""),"")</f>
        <v>12</v>
      </c>
      <c r="N1138" t="s">
        <v>22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2169</v>
      </c>
      <c r="B1139" t="s">
        <v>2170</v>
      </c>
      <c r="C1139" t="s">
        <v>2170</v>
      </c>
      <c r="D1139">
        <v>31.9</v>
      </c>
      <c r="E1139" t="s">
        <v>3128</v>
      </c>
      <c r="F1139" s="186" t="s">
        <v>538</v>
      </c>
      <c r="H1139" t="b">
        <v>1</v>
      </c>
      <c r="I1139">
        <v>31.900000000000002</v>
      </c>
      <c r="J1139" s="186" t="s">
        <v>2064</v>
      </c>
      <c r="M1139">
        <f>IFERROR(_xlfn.XLOOKUP(A1139,Fleet!A:A,Fleet!E:E,""),"")</f>
        <v>1</v>
      </c>
      <c r="N1139" t="s">
        <v>22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2158</v>
      </c>
      <c r="B1140" t="s">
        <v>2159</v>
      </c>
      <c r="C1140" t="s">
        <v>2159</v>
      </c>
      <c r="D1140">
        <v>53.05</v>
      </c>
      <c r="E1140" t="s">
        <v>3128</v>
      </c>
      <c r="F1140" s="186" t="s">
        <v>2065</v>
      </c>
      <c r="H1140" t="b">
        <v>1</v>
      </c>
      <c r="I1140">
        <v>53.050000000000004</v>
      </c>
      <c r="J1140" s="186" t="s">
        <v>2064</v>
      </c>
      <c r="M1140">
        <f>IFERROR(_xlfn.XLOOKUP(A1140,Fleet!A:A,Fleet!E:E,""),"")</f>
        <v>63</v>
      </c>
      <c r="N1140" t="s">
        <v>22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2212</v>
      </c>
      <c r="B1141" t="s">
        <v>2213</v>
      </c>
      <c r="C1141" t="s">
        <v>2213</v>
      </c>
      <c r="D1141">
        <v>46.35</v>
      </c>
      <c r="E1141" t="s">
        <v>3128</v>
      </c>
      <c r="F1141" s="186" t="s">
        <v>538</v>
      </c>
      <c r="H1141" t="b">
        <v>1</v>
      </c>
      <c r="I1141">
        <v>46.35</v>
      </c>
      <c r="J1141" s="186" t="s">
        <v>2064</v>
      </c>
      <c r="M1141">
        <f>IFERROR(_xlfn.XLOOKUP(A1141,Fleet!A:A,Fleet!E:E,""),"")</f>
        <v>32</v>
      </c>
      <c r="N1141" t="s">
        <v>22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2200</v>
      </c>
      <c r="B1142" t="s">
        <v>2201</v>
      </c>
      <c r="C1142" t="s">
        <v>2201</v>
      </c>
      <c r="D1142">
        <v>46.35</v>
      </c>
      <c r="E1142" t="s">
        <v>3128</v>
      </c>
      <c r="F1142" s="186" t="s">
        <v>538</v>
      </c>
      <c r="H1142" t="b">
        <v>1</v>
      </c>
      <c r="I1142">
        <v>46.35</v>
      </c>
      <c r="J1142" s="186" t="s">
        <v>2064</v>
      </c>
      <c r="M1142">
        <f>IFERROR(_xlfn.XLOOKUP(A1142,Fleet!A:A,Fleet!E:E,""),"")</f>
        <v>20</v>
      </c>
      <c r="N1142" t="s">
        <v>22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2203</v>
      </c>
      <c r="B1143" t="s">
        <v>2204</v>
      </c>
      <c r="C1143" t="s">
        <v>2204</v>
      </c>
      <c r="D1143">
        <v>46.6</v>
      </c>
      <c r="E1143" t="s">
        <v>3128</v>
      </c>
      <c r="F1143" s="186" t="s">
        <v>538</v>
      </c>
      <c r="H1143" t="b">
        <v>1</v>
      </c>
      <c r="I1143">
        <v>46.6</v>
      </c>
      <c r="J1143" s="186" t="s">
        <v>2064</v>
      </c>
      <c r="M1143">
        <f>IFERROR(_xlfn.XLOOKUP(A1143,Fleet!A:A,Fleet!E:E,""),"")</f>
        <v>23</v>
      </c>
      <c r="N1143" t="s">
        <v>22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2206</v>
      </c>
      <c r="B1144" t="s">
        <v>2207</v>
      </c>
      <c r="C1144" t="s">
        <v>2207</v>
      </c>
      <c r="D1144">
        <v>82.55</v>
      </c>
      <c r="E1144" t="s">
        <v>3128</v>
      </c>
      <c r="F1144" s="186" t="s">
        <v>2070</v>
      </c>
      <c r="H1144" t="b">
        <v>1</v>
      </c>
      <c r="I1144">
        <v>82.550000000000011</v>
      </c>
      <c r="J1144" s="186" t="s">
        <v>2064</v>
      </c>
      <c r="M1144">
        <f>IFERROR(_xlfn.XLOOKUP(A1144,Fleet!A:A,Fleet!E:E,""),"")</f>
        <v>36</v>
      </c>
      <c r="N1144" t="s">
        <v>22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2075</v>
      </c>
      <c r="B1145" t="s">
        <v>2076</v>
      </c>
      <c r="C1145" t="s">
        <v>2076</v>
      </c>
      <c r="D1145">
        <v>10.6</v>
      </c>
      <c r="E1145" t="s">
        <v>3128</v>
      </c>
      <c r="F1145" s="186" t="s">
        <v>538</v>
      </c>
      <c r="H1145" t="b">
        <v>1</v>
      </c>
      <c r="I1145" t="s">
        <v>22</v>
      </c>
      <c r="J1145" s="186" t="s">
        <v>2064</v>
      </c>
      <c r="M1145">
        <f>IFERROR(_xlfn.XLOOKUP(A1145,Fleet!A:A,Fleet!E:E,""),"")</f>
        <v>3</v>
      </c>
      <c r="N1145" t="s">
        <v>22</v>
      </c>
      <c r="P1145" t="str">
        <f>_xlfn.XLOOKUP(A1145,'Classic Net to delete'!D:D,'Classic Net to delete'!A:A,"")</f>
        <v/>
      </c>
    </row>
    <row r="1146" spans="1:16" x14ac:dyDescent="0.25">
      <c r="A1146" t="s">
        <v>2071</v>
      </c>
      <c r="B1146" t="s">
        <v>2072</v>
      </c>
      <c r="C1146" t="s">
        <v>2072</v>
      </c>
      <c r="D1146">
        <v>78.150000000000006</v>
      </c>
      <c r="E1146" t="s">
        <v>3128</v>
      </c>
      <c r="F1146" s="186" t="s">
        <v>2070</v>
      </c>
      <c r="H1146" t="b">
        <v>1</v>
      </c>
      <c r="I1146" t="s">
        <v>22</v>
      </c>
      <c r="J1146" s="186" t="s">
        <v>2064</v>
      </c>
      <c r="M1146">
        <f>IFERROR(_xlfn.XLOOKUP(A1146,Fleet!A:A,Fleet!E:E,""),"")</f>
        <v>18</v>
      </c>
      <c r="N1146" t="s">
        <v>22</v>
      </c>
      <c r="P1146" t="str">
        <f>_xlfn.XLOOKUP(A1146,'Classic Net to delete'!D:D,'Classic Net to delete'!A:A,"")</f>
        <v/>
      </c>
    </row>
    <row r="1147" spans="1:16" x14ac:dyDescent="0.25">
      <c r="A1147" t="s">
        <v>2068</v>
      </c>
      <c r="B1147" t="s">
        <v>2069</v>
      </c>
      <c r="C1147" t="s">
        <v>2069</v>
      </c>
      <c r="D1147">
        <v>42.2</v>
      </c>
      <c r="E1147" t="s">
        <v>3128</v>
      </c>
      <c r="F1147" s="186" t="s">
        <v>2070</v>
      </c>
      <c r="H1147" t="b">
        <v>1</v>
      </c>
      <c r="I1147" t="s">
        <v>22</v>
      </c>
      <c r="J1147" s="186" t="s">
        <v>2064</v>
      </c>
      <c r="M1147">
        <f>IFERROR(_xlfn.XLOOKUP(A1147,Fleet!A:A,Fleet!E:E,""),"")</f>
        <v>6</v>
      </c>
      <c r="N1147" t="s">
        <v>22</v>
      </c>
      <c r="P1147" t="str">
        <f>_xlfn.XLOOKUP(A1147,'Classic Net to delete'!D:D,'Classic Net to delete'!A:A,"")</f>
        <v/>
      </c>
    </row>
    <row r="1148" spans="1:16" x14ac:dyDescent="0.25">
      <c r="A1148" t="s">
        <v>2066</v>
      </c>
      <c r="B1148" t="s">
        <v>2067</v>
      </c>
      <c r="C1148" t="s">
        <v>2067</v>
      </c>
      <c r="D1148">
        <v>21.1</v>
      </c>
      <c r="E1148" t="s">
        <v>3128</v>
      </c>
      <c r="F1148" s="186" t="s">
        <v>2065</v>
      </c>
      <c r="H1148" t="b">
        <v>1</v>
      </c>
      <c r="I1148" t="s">
        <v>22</v>
      </c>
      <c r="J1148" s="186" t="s">
        <v>2064</v>
      </c>
      <c r="M1148">
        <f>IFERROR(_xlfn.XLOOKUP(A1148,Fleet!A:A,Fleet!E:E,""),"")</f>
        <v>2</v>
      </c>
      <c r="N1148" t="s">
        <v>22</v>
      </c>
      <c r="P1148" t="str">
        <f>_xlfn.XLOOKUP(A1148,'Classic Net to delete'!D:D,'Classic Net to delete'!A:A,"")</f>
        <v/>
      </c>
    </row>
    <row r="1149" spans="1:16" x14ac:dyDescent="0.25">
      <c r="A1149" t="s">
        <v>2073</v>
      </c>
      <c r="B1149" t="s">
        <v>2074</v>
      </c>
      <c r="C1149" t="s">
        <v>2074</v>
      </c>
      <c r="D1149">
        <v>120</v>
      </c>
      <c r="E1149" t="s">
        <v>3128</v>
      </c>
      <c r="F1149" s="186" t="s">
        <v>2070</v>
      </c>
      <c r="H1149" t="b">
        <v>1</v>
      </c>
      <c r="I1149" t="s">
        <v>22</v>
      </c>
      <c r="J1149" s="186" t="s">
        <v>2064</v>
      </c>
      <c r="M1149">
        <f>IFERROR(_xlfn.XLOOKUP(A1149,Fleet!A:A,Fleet!E:E,""),"")</f>
        <v>6</v>
      </c>
      <c r="N1149" t="s">
        <v>22</v>
      </c>
      <c r="P1149" t="str">
        <f>_xlfn.XLOOKUP(A1149,'Classic Net to delete'!D:D,'Classic Net to delete'!A:A,"")</f>
        <v/>
      </c>
    </row>
    <row r="1150" spans="1:16" x14ac:dyDescent="0.25">
      <c r="A1150" t="s">
        <v>2062</v>
      </c>
      <c r="B1150" t="s">
        <v>2063</v>
      </c>
      <c r="C1150" t="s">
        <v>2063</v>
      </c>
      <c r="D1150">
        <v>68.150000000000006</v>
      </c>
      <c r="E1150" t="s">
        <v>3128</v>
      </c>
      <c r="F1150" s="186" t="s">
        <v>2065</v>
      </c>
      <c r="H1150" t="b">
        <v>1</v>
      </c>
      <c r="I1150" t="s">
        <v>22</v>
      </c>
      <c r="J1150" s="186" t="s">
        <v>2064</v>
      </c>
      <c r="M1150">
        <f>IFERROR(_xlfn.XLOOKUP(A1150,Fleet!A:A,Fleet!E:E,""),"")</f>
        <v>16</v>
      </c>
      <c r="N1150" t="s">
        <v>22</v>
      </c>
      <c r="P1150" t="str">
        <f>_xlfn.XLOOKUP(A1150,'Classic Net to delete'!D:D,'Classic Net to delete'!A:A,"")</f>
        <v/>
      </c>
    </row>
    <row r="1151" spans="1:16" x14ac:dyDescent="0.25">
      <c r="A1151" t="s">
        <v>94</v>
      </c>
      <c r="B1151" t="s">
        <v>3131</v>
      </c>
      <c r="C1151" t="s">
        <v>95</v>
      </c>
      <c r="D1151">
        <v>110</v>
      </c>
      <c r="E1151" t="s">
        <v>93</v>
      </c>
      <c r="F1151" s="186" t="s">
        <v>93</v>
      </c>
      <c r="H1151" t="b">
        <v>1</v>
      </c>
      <c r="I1151">
        <v>110</v>
      </c>
      <c r="J1151" s="186" t="s">
        <v>3951</v>
      </c>
      <c r="K1151" t="s">
        <v>93</v>
      </c>
      <c r="M1151">
        <f>IFERROR(_xlfn.XLOOKUP(A1151,Fleet!A:A,Fleet!E:E,""),"")</f>
        <v>0</v>
      </c>
      <c r="N1151" t="s">
        <v>22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100</v>
      </c>
      <c r="B1152" t="s">
        <v>101</v>
      </c>
      <c r="C1152" t="s">
        <v>101</v>
      </c>
      <c r="D1152">
        <v>120</v>
      </c>
      <c r="E1152" t="s">
        <v>93</v>
      </c>
      <c r="F1152" s="186" t="s">
        <v>93</v>
      </c>
      <c r="H1152" t="b">
        <v>1</v>
      </c>
      <c r="I1152">
        <v>120</v>
      </c>
      <c r="J1152" s="186" t="s">
        <v>3951</v>
      </c>
      <c r="K1152" t="s">
        <v>93</v>
      </c>
      <c r="M1152">
        <f>IFERROR(_xlfn.XLOOKUP(A1152,Fleet!A:A,Fleet!E:E,""),"")</f>
        <v>16</v>
      </c>
      <c r="N1152" t="s">
        <v>22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97</v>
      </c>
      <c r="B1153" t="s">
        <v>3130</v>
      </c>
      <c r="C1153" t="s">
        <v>98</v>
      </c>
      <c r="D1153">
        <v>105</v>
      </c>
      <c r="E1153" t="s">
        <v>93</v>
      </c>
      <c r="F1153" s="186" t="s">
        <v>93</v>
      </c>
      <c r="H1153" t="b">
        <v>1</v>
      </c>
      <c r="I1153">
        <v>105</v>
      </c>
      <c r="J1153" s="186" t="s">
        <v>3951</v>
      </c>
      <c r="K1153" t="s">
        <v>93</v>
      </c>
      <c r="M1153">
        <f>IFERROR(_xlfn.XLOOKUP(A1153,Fleet!A:A,Fleet!E:E,""),"")</f>
        <v>21</v>
      </c>
      <c r="N1153" t="s">
        <v>22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103</v>
      </c>
      <c r="B1154" t="s">
        <v>104</v>
      </c>
      <c r="C1154" t="s">
        <v>104</v>
      </c>
      <c r="D1154">
        <v>145</v>
      </c>
      <c r="E1154" t="s">
        <v>93</v>
      </c>
      <c r="F1154" s="186" t="s">
        <v>93</v>
      </c>
      <c r="H1154" t="b">
        <v>1</v>
      </c>
      <c r="I1154">
        <v>145</v>
      </c>
      <c r="J1154" s="186" t="s">
        <v>3951</v>
      </c>
      <c r="K1154" t="s">
        <v>93</v>
      </c>
      <c r="M1154">
        <f>IFERROR(_xlfn.XLOOKUP(A1154,Fleet!A:A,Fleet!E:E,""),"")</f>
        <v>6</v>
      </c>
      <c r="N1154" t="s">
        <v>22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106</v>
      </c>
      <c r="B1155" t="s">
        <v>3129</v>
      </c>
      <c r="C1155" t="s">
        <v>107</v>
      </c>
      <c r="D1155">
        <v>338</v>
      </c>
      <c r="E1155" t="s">
        <v>93</v>
      </c>
      <c r="F1155" s="186" t="s">
        <v>93</v>
      </c>
      <c r="H1155" t="b">
        <v>1</v>
      </c>
      <c r="I1155">
        <v>338</v>
      </c>
      <c r="J1155" s="186" t="s">
        <v>3951</v>
      </c>
      <c r="K1155" t="s">
        <v>93</v>
      </c>
      <c r="M1155">
        <f>IFERROR(_xlfn.XLOOKUP(A1155,Fleet!A:A,Fleet!E:E,""),"")</f>
        <v>2</v>
      </c>
      <c r="N1155" t="s">
        <v>22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91</v>
      </c>
      <c r="B1156" t="s">
        <v>92</v>
      </c>
      <c r="C1156" t="s">
        <v>92</v>
      </c>
      <c r="D1156">
        <v>500</v>
      </c>
      <c r="E1156" t="s">
        <v>93</v>
      </c>
      <c r="F1156" s="186" t="s">
        <v>93</v>
      </c>
      <c r="H1156" t="b">
        <v>1</v>
      </c>
      <c r="I1156" t="s">
        <v>22</v>
      </c>
      <c r="J1156" s="186" t="s">
        <v>3951</v>
      </c>
      <c r="K1156" t="s">
        <v>93</v>
      </c>
      <c r="M1156">
        <f>IFERROR(_xlfn.XLOOKUP(A1156,Fleet!A:A,Fleet!E:E,""),"")</f>
        <v>1</v>
      </c>
      <c r="N1156" t="s">
        <v>22</v>
      </c>
      <c r="P1156" t="str">
        <f>_xlfn.XLOOKUP(A1156,'Classic Net to delete'!D:D,'Classic Net to delete'!A:A,"")</f>
        <v/>
      </c>
    </row>
    <row r="1157" spans="1:16" x14ac:dyDescent="0.25">
      <c r="A1157" t="s">
        <v>2233</v>
      </c>
      <c r="B1157" t="s">
        <v>2234</v>
      </c>
      <c r="C1157" t="s">
        <v>2234</v>
      </c>
      <c r="D1157">
        <v>42.5</v>
      </c>
      <c r="E1157" t="s">
        <v>3132</v>
      </c>
      <c r="F1157" s="186" t="s">
        <v>2225</v>
      </c>
      <c r="H1157" t="b">
        <v>1</v>
      </c>
      <c r="I1157">
        <v>42.5</v>
      </c>
      <c r="J1157" s="186" t="s">
        <v>2220</v>
      </c>
      <c r="M1157" t="str">
        <f>IFERROR(_xlfn.XLOOKUP(A1157,Fleet!A:A,Fleet!E:E,""),"")</f>
        <v/>
      </c>
      <c r="N1157" t="s">
        <v>22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2231</v>
      </c>
      <c r="B1158" t="s">
        <v>2232</v>
      </c>
      <c r="C1158" t="s">
        <v>2232</v>
      </c>
      <c r="D1158">
        <v>42.2</v>
      </c>
      <c r="E1158" t="s">
        <v>3132</v>
      </c>
      <c r="F1158" s="186" t="s">
        <v>2225</v>
      </c>
      <c r="H1158" t="b">
        <v>1</v>
      </c>
      <c r="I1158">
        <v>42.2</v>
      </c>
      <c r="J1158" s="186" t="s">
        <v>2220</v>
      </c>
      <c r="M1158">
        <f>IFERROR(_xlfn.XLOOKUP(A1158,Fleet!A:A,Fleet!E:E,""),"")</f>
        <v>1</v>
      </c>
      <c r="N1158" t="s">
        <v>22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2240</v>
      </c>
      <c r="B1159" t="s">
        <v>2241</v>
      </c>
      <c r="C1159" t="s">
        <v>2241</v>
      </c>
      <c r="D1159">
        <v>97.6</v>
      </c>
      <c r="E1159" t="s">
        <v>3132</v>
      </c>
      <c r="F1159" s="186" t="s">
        <v>2225</v>
      </c>
      <c r="H1159" t="b">
        <v>1</v>
      </c>
      <c r="I1159">
        <v>97.600000000000009</v>
      </c>
      <c r="J1159" s="186" t="s">
        <v>2220</v>
      </c>
      <c r="M1159">
        <f>IFERROR(_xlfn.XLOOKUP(A1159,Fleet!A:A,Fleet!E:E,""),"")</f>
        <v>0</v>
      </c>
      <c r="N1159" t="s">
        <v>22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2218</v>
      </c>
      <c r="B1160" t="s">
        <v>3133</v>
      </c>
      <c r="C1160" t="s">
        <v>2219</v>
      </c>
      <c r="D1160">
        <v>500</v>
      </c>
      <c r="E1160" t="s">
        <v>3132</v>
      </c>
      <c r="F1160" s="186" t="s">
        <v>1417</v>
      </c>
      <c r="H1160" t="b">
        <v>0</v>
      </c>
      <c r="I1160" t="s">
        <v>22</v>
      </c>
      <c r="J1160" s="186" t="s">
        <v>2220</v>
      </c>
      <c r="M1160">
        <f>IFERROR(_xlfn.XLOOKUP(A1160,Fleet!A:A,Fleet!E:E,""),"")</f>
        <v>2</v>
      </c>
      <c r="N1160" t="s">
        <v>22</v>
      </c>
      <c r="P1160" t="str">
        <f>_xlfn.XLOOKUP(A1160,'Classic Net to delete'!D:D,'Classic Net to delete'!A:A,"")</f>
        <v/>
      </c>
    </row>
    <row r="1161" spans="1:16" x14ac:dyDescent="0.25">
      <c r="A1161" t="s">
        <v>2218</v>
      </c>
      <c r="B1161" t="s">
        <v>3133</v>
      </c>
      <c r="C1161" t="s">
        <v>2221</v>
      </c>
      <c r="D1161">
        <v>500</v>
      </c>
      <c r="E1161" t="s">
        <v>3132</v>
      </c>
      <c r="F1161" s="186" t="s">
        <v>1417</v>
      </c>
      <c r="H1161" t="b">
        <v>0</v>
      </c>
      <c r="I1161" t="s">
        <v>22</v>
      </c>
      <c r="J1161" s="186" t="s">
        <v>2220</v>
      </c>
      <c r="M1161">
        <f>IFERROR(_xlfn.XLOOKUP(A1161,Fleet!A:A,Fleet!E:E,""),"")</f>
        <v>2</v>
      </c>
      <c r="N1161" t="s">
        <v>22</v>
      </c>
      <c r="P1161" t="str">
        <f>_xlfn.XLOOKUP(A1161,'Classic Net to delete'!D:D,'Classic Net to delete'!A:A,"")</f>
        <v/>
      </c>
    </row>
    <row r="1162" spans="1:16" x14ac:dyDescent="0.25">
      <c r="A1162" t="s">
        <v>465</v>
      </c>
      <c r="B1162" t="s">
        <v>466</v>
      </c>
      <c r="C1162" t="s">
        <v>466</v>
      </c>
      <c r="D1162">
        <v>219.9</v>
      </c>
      <c r="E1162" t="s">
        <v>3134</v>
      </c>
      <c r="F1162" s="186" t="s">
        <v>469</v>
      </c>
      <c r="H1162" t="b">
        <v>1</v>
      </c>
      <c r="I1162">
        <v>219.9</v>
      </c>
      <c r="J1162" s="186" t="s">
        <v>467</v>
      </c>
      <c r="M1162">
        <f>IFERROR(_xlfn.XLOOKUP(A1162,Fleet!A:A,Fleet!E:E,""),"")</f>
        <v>23</v>
      </c>
      <c r="N1162" t="s">
        <v>22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475</v>
      </c>
      <c r="B1163" t="s">
        <v>476</v>
      </c>
      <c r="C1163" t="s">
        <v>476</v>
      </c>
      <c r="D1163">
        <v>90.25</v>
      </c>
      <c r="E1163" t="s">
        <v>3134</v>
      </c>
      <c r="F1163" s="186" t="s">
        <v>469</v>
      </c>
      <c r="H1163" t="b">
        <v>1</v>
      </c>
      <c r="I1163">
        <v>90.25</v>
      </c>
      <c r="J1163" s="186" t="s">
        <v>467</v>
      </c>
      <c r="M1163">
        <f>IFERROR(_xlfn.XLOOKUP(A1163,Fleet!A:A,Fleet!E:E,""),"")</f>
        <v>4</v>
      </c>
      <c r="N1163" t="s">
        <v>22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1942</v>
      </c>
      <c r="B1164" t="s">
        <v>1943</v>
      </c>
      <c r="C1164" t="s">
        <v>1943</v>
      </c>
      <c r="D1164">
        <v>66.349999999999994</v>
      </c>
      <c r="E1164" t="s">
        <v>3134</v>
      </c>
      <c r="F1164" s="186" t="s">
        <v>1898</v>
      </c>
      <c r="H1164" t="b">
        <v>1</v>
      </c>
      <c r="I1164">
        <v>66.350000000000009</v>
      </c>
      <c r="J1164" s="186" t="s">
        <v>1872</v>
      </c>
      <c r="M1164">
        <f>IFERROR(_xlfn.XLOOKUP(A1164,Fleet!A:A,Fleet!E:E,""),"")</f>
        <v>10</v>
      </c>
      <c r="N1164" t="s">
        <v>22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1973</v>
      </c>
      <c r="B1165" t="s">
        <v>1974</v>
      </c>
      <c r="C1165" t="s">
        <v>1974</v>
      </c>
      <c r="D1165">
        <v>33.049999999999997</v>
      </c>
      <c r="E1165" t="s">
        <v>3134</v>
      </c>
      <c r="F1165" s="186" t="s">
        <v>1873</v>
      </c>
      <c r="H1165" t="b">
        <v>1</v>
      </c>
      <c r="I1165">
        <v>33.050000000000004</v>
      </c>
      <c r="J1165" s="186" t="s">
        <v>1872</v>
      </c>
      <c r="M1165">
        <f>IFERROR(_xlfn.XLOOKUP(A1165,Fleet!A:A,Fleet!E:E,""),"")</f>
        <v>0</v>
      </c>
      <c r="N1165" t="s">
        <v>22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1903</v>
      </c>
      <c r="B1166" t="s">
        <v>3138</v>
      </c>
      <c r="C1166" t="s">
        <v>3138</v>
      </c>
      <c r="D1166">
        <v>70.45</v>
      </c>
      <c r="E1166" t="s">
        <v>3134</v>
      </c>
      <c r="F1166" s="186" t="s">
        <v>1878</v>
      </c>
      <c r="H1166" t="b">
        <v>1</v>
      </c>
      <c r="I1166">
        <v>70.45</v>
      </c>
      <c r="J1166" s="186" t="s">
        <v>1872</v>
      </c>
      <c r="M1166">
        <f>IFERROR(_xlfn.XLOOKUP(A1166,Fleet!A:A,Fleet!E:E,""),"")</f>
        <v>37</v>
      </c>
      <c r="N1166" t="s">
        <v>22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1961</v>
      </c>
      <c r="B1167" t="s">
        <v>1962</v>
      </c>
      <c r="C1167" t="s">
        <v>1962</v>
      </c>
      <c r="D1167">
        <v>14.45</v>
      </c>
      <c r="E1167" t="s">
        <v>3134</v>
      </c>
      <c r="F1167" s="186" t="s">
        <v>1873</v>
      </c>
      <c r="H1167" t="b">
        <v>1</v>
      </c>
      <c r="I1167">
        <v>14.450000000000001</v>
      </c>
      <c r="J1167" s="186" t="s">
        <v>1872</v>
      </c>
      <c r="M1167">
        <f>IFERROR(_xlfn.XLOOKUP(A1167,Fleet!A:A,Fleet!E:E,""),"")</f>
        <v>32</v>
      </c>
      <c r="N1167" t="s">
        <v>22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1964</v>
      </c>
      <c r="B1168" t="s">
        <v>1965</v>
      </c>
      <c r="C1168" t="s">
        <v>1965</v>
      </c>
      <c r="D1168">
        <v>33.049999999999997</v>
      </c>
      <c r="E1168" t="s">
        <v>3134</v>
      </c>
      <c r="F1168" s="186" t="s">
        <v>1873</v>
      </c>
      <c r="H1168" t="b">
        <v>1</v>
      </c>
      <c r="I1168">
        <v>33.050000000000004</v>
      </c>
      <c r="J1168" s="186" t="s">
        <v>1872</v>
      </c>
      <c r="M1168">
        <f>IFERROR(_xlfn.XLOOKUP(A1168,Fleet!A:A,Fleet!E:E,""),"")</f>
        <v>16</v>
      </c>
      <c r="N1168" t="s">
        <v>22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1967</v>
      </c>
      <c r="B1169" t="s">
        <v>1968</v>
      </c>
      <c r="C1169" t="s">
        <v>1968</v>
      </c>
      <c r="D1169">
        <v>33.049999999999997</v>
      </c>
      <c r="E1169" t="s">
        <v>3134</v>
      </c>
      <c r="F1169" s="186" t="s">
        <v>1873</v>
      </c>
      <c r="H1169" t="b">
        <v>1</v>
      </c>
      <c r="I1169">
        <v>33.050000000000004</v>
      </c>
      <c r="J1169" s="186" t="s">
        <v>1872</v>
      </c>
      <c r="M1169">
        <f>IFERROR(_xlfn.XLOOKUP(A1169,Fleet!A:A,Fleet!E:E,""),"")</f>
        <v>11</v>
      </c>
      <c r="N1169" t="s">
        <v>22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1970</v>
      </c>
      <c r="B1170" t="s">
        <v>1971</v>
      </c>
      <c r="C1170" t="s">
        <v>1971</v>
      </c>
      <c r="D1170">
        <v>35.700000000000003</v>
      </c>
      <c r="E1170" t="s">
        <v>3134</v>
      </c>
      <c r="F1170" s="186" t="s">
        <v>1873</v>
      </c>
      <c r="H1170" t="b">
        <v>1</v>
      </c>
      <c r="I1170">
        <v>35.700000000000003</v>
      </c>
      <c r="J1170" s="186" t="s">
        <v>1872</v>
      </c>
      <c r="M1170">
        <f>IFERROR(_xlfn.XLOOKUP(A1170,Fleet!A:A,Fleet!E:E,""),"")</f>
        <v>10</v>
      </c>
      <c r="N1170" t="s">
        <v>22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1930</v>
      </c>
      <c r="B1171" t="s">
        <v>1931</v>
      </c>
      <c r="C1171" t="s">
        <v>1931</v>
      </c>
      <c r="D1171">
        <v>38.700000000000003</v>
      </c>
      <c r="E1171" t="s">
        <v>3134</v>
      </c>
      <c r="F1171" s="186" t="s">
        <v>1898</v>
      </c>
      <c r="H1171" t="b">
        <v>1</v>
      </c>
      <c r="I1171">
        <v>38.700000000000003</v>
      </c>
      <c r="J1171" s="186" t="s">
        <v>1872</v>
      </c>
      <c r="M1171">
        <f>IFERROR(_xlfn.XLOOKUP(A1171,Fleet!A:A,Fleet!E:E,""),"")</f>
        <v>18</v>
      </c>
      <c r="N1171" t="s">
        <v>22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1932</v>
      </c>
      <c r="B1172" t="s">
        <v>1933</v>
      </c>
      <c r="C1172" t="s">
        <v>1933</v>
      </c>
      <c r="D1172">
        <v>14.45</v>
      </c>
      <c r="E1172" t="s">
        <v>3134</v>
      </c>
      <c r="F1172" s="186" t="s">
        <v>1898</v>
      </c>
      <c r="H1172" t="b">
        <v>1</v>
      </c>
      <c r="I1172">
        <v>14.450000000000001</v>
      </c>
      <c r="J1172" s="186" t="s">
        <v>1872</v>
      </c>
      <c r="M1172">
        <f>IFERROR(_xlfn.XLOOKUP(A1172,Fleet!A:A,Fleet!E:E,""),"")</f>
        <v>188</v>
      </c>
      <c r="N1172" t="s">
        <v>22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1936</v>
      </c>
      <c r="B1173" t="s">
        <v>1937</v>
      </c>
      <c r="C1173" t="s">
        <v>1937</v>
      </c>
      <c r="D1173">
        <v>27.75</v>
      </c>
      <c r="E1173" t="s">
        <v>3134</v>
      </c>
      <c r="F1173" s="186" t="s">
        <v>1898</v>
      </c>
      <c r="H1173" t="b">
        <v>1</v>
      </c>
      <c r="I1173">
        <v>27.75</v>
      </c>
      <c r="J1173" s="186" t="s">
        <v>1872</v>
      </c>
      <c r="M1173">
        <f>IFERROR(_xlfn.XLOOKUP(A1173,Fleet!A:A,Fleet!E:E,""),"")</f>
        <v>145</v>
      </c>
      <c r="N1173" t="s">
        <v>22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1939</v>
      </c>
      <c r="B1174" t="s">
        <v>1940</v>
      </c>
      <c r="C1174" t="s">
        <v>1940</v>
      </c>
      <c r="D1174">
        <v>54.3</v>
      </c>
      <c r="E1174" t="s">
        <v>3134</v>
      </c>
      <c r="F1174" s="186" t="s">
        <v>1898</v>
      </c>
      <c r="H1174" t="b">
        <v>1</v>
      </c>
      <c r="I1174">
        <v>54.300000000000004</v>
      </c>
      <c r="J1174" s="186" t="s">
        <v>1872</v>
      </c>
      <c r="M1174">
        <f>IFERROR(_xlfn.XLOOKUP(A1174,Fleet!A:A,Fleet!E:E,""),"")</f>
        <v>111</v>
      </c>
      <c r="N1174" t="s">
        <v>22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1912</v>
      </c>
      <c r="B1175" t="s">
        <v>3142</v>
      </c>
      <c r="C1175" t="s">
        <v>3142</v>
      </c>
      <c r="D1175">
        <v>262.35000000000002</v>
      </c>
      <c r="E1175" t="s">
        <v>3134</v>
      </c>
      <c r="F1175" s="186" t="s">
        <v>1878</v>
      </c>
      <c r="H1175" t="b">
        <v>1</v>
      </c>
      <c r="I1175">
        <v>262.35000000000002</v>
      </c>
      <c r="J1175" s="186" t="s">
        <v>1872</v>
      </c>
      <c r="M1175">
        <f>IFERROR(_xlfn.XLOOKUP(A1175,Fleet!A:A,Fleet!E:E,""),"")</f>
        <v>16</v>
      </c>
      <c r="N1175" t="s">
        <v>22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1918</v>
      </c>
      <c r="B1176" t="s">
        <v>3136</v>
      </c>
      <c r="C1176" t="s">
        <v>3136</v>
      </c>
      <c r="D1176">
        <v>312.45</v>
      </c>
      <c r="E1176" t="s">
        <v>3134</v>
      </c>
      <c r="F1176" s="186" t="s">
        <v>1878</v>
      </c>
      <c r="H1176" t="b">
        <v>1</v>
      </c>
      <c r="I1176">
        <v>312.45000000000005</v>
      </c>
      <c r="J1176" s="186" t="s">
        <v>1872</v>
      </c>
      <c r="M1176">
        <f>IFERROR(_xlfn.XLOOKUP(A1176,Fleet!A:A,Fleet!E:E,""),"")</f>
        <v>9</v>
      </c>
      <c r="N1176" t="s">
        <v>22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470</v>
      </c>
      <c r="B1177" t="s">
        <v>471</v>
      </c>
      <c r="C1177" t="s">
        <v>471</v>
      </c>
      <c r="D1177">
        <v>312.89999999999998</v>
      </c>
      <c r="E1177" t="s">
        <v>3134</v>
      </c>
      <c r="F1177" s="186" t="s">
        <v>469</v>
      </c>
      <c r="H1177" t="b">
        <v>1</v>
      </c>
      <c r="I1177">
        <v>312.90000000000003</v>
      </c>
      <c r="J1177" s="186" t="s">
        <v>467</v>
      </c>
      <c r="M1177">
        <f>IFERROR(_xlfn.XLOOKUP(A1177,Fleet!A:A,Fleet!E:E,""),"")</f>
        <v>23</v>
      </c>
      <c r="N1177" t="s">
        <v>22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1870</v>
      </c>
      <c r="B1178" t="s">
        <v>1871</v>
      </c>
      <c r="C1178" t="s">
        <v>1871</v>
      </c>
      <c r="D1178">
        <v>13.9</v>
      </c>
      <c r="E1178" t="s">
        <v>3134</v>
      </c>
      <c r="F1178" s="186" t="s">
        <v>1873</v>
      </c>
      <c r="H1178" t="b">
        <v>0</v>
      </c>
      <c r="I1178" t="s">
        <v>22</v>
      </c>
      <c r="J1178" s="186" t="s">
        <v>1872</v>
      </c>
      <c r="M1178">
        <f>IFERROR(_xlfn.XLOOKUP(A1178,Fleet!A:A,Fleet!E:E,""),"")</f>
        <v>5</v>
      </c>
      <c r="N1178" t="s">
        <v>22</v>
      </c>
      <c r="P1178" t="str">
        <f>_xlfn.XLOOKUP(A1178,'Classic Net to delete'!D:D,'Classic Net to delete'!A:A,"")</f>
        <v/>
      </c>
    </row>
    <row r="1179" spans="1:16" x14ac:dyDescent="0.25">
      <c r="A1179" t="s">
        <v>1879</v>
      </c>
      <c r="B1179" t="s">
        <v>1880</v>
      </c>
      <c r="C1179" t="s">
        <v>1880</v>
      </c>
      <c r="D1179">
        <v>138.9</v>
      </c>
      <c r="E1179" t="s">
        <v>3134</v>
      </c>
      <c r="F1179" s="186" t="s">
        <v>1878</v>
      </c>
      <c r="H1179" t="b">
        <v>1</v>
      </c>
      <c r="I1179" t="s">
        <v>22</v>
      </c>
      <c r="J1179" s="186" t="s">
        <v>1872</v>
      </c>
      <c r="M1179">
        <f>IFERROR(_xlfn.XLOOKUP(A1179,Fleet!A:A,Fleet!E:E,""),"")</f>
        <v>1</v>
      </c>
      <c r="N1179" t="s">
        <v>22</v>
      </c>
      <c r="P1179" t="str">
        <f>_xlfn.XLOOKUP(A1179,'Classic Net to delete'!D:D,'Classic Net to delete'!A:A,"")</f>
        <v/>
      </c>
    </row>
    <row r="1180" spans="1:16" x14ac:dyDescent="0.25">
      <c r="A1180" t="s">
        <v>1907</v>
      </c>
      <c r="B1180" t="s">
        <v>3139</v>
      </c>
      <c r="C1180" t="s">
        <v>3139</v>
      </c>
      <c r="D1180">
        <v>117.95</v>
      </c>
      <c r="E1180" t="s">
        <v>3134</v>
      </c>
      <c r="F1180" s="186" t="s">
        <v>1878</v>
      </c>
      <c r="H1180" t="b">
        <v>1</v>
      </c>
      <c r="I1180">
        <v>117.95</v>
      </c>
      <c r="J1180" s="186" t="s">
        <v>1872</v>
      </c>
      <c r="M1180">
        <f>IFERROR(_xlfn.XLOOKUP(A1180,Fleet!A:A,Fleet!E:E,""),"")</f>
        <v>20</v>
      </c>
      <c r="N1180" t="s">
        <v>22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1909</v>
      </c>
      <c r="B1181" t="s">
        <v>3140</v>
      </c>
      <c r="C1181" t="s">
        <v>3140</v>
      </c>
      <c r="D1181">
        <v>210.8</v>
      </c>
      <c r="E1181" t="s">
        <v>3134</v>
      </c>
      <c r="F1181" s="186" t="s">
        <v>1878</v>
      </c>
      <c r="H1181" t="b">
        <v>1</v>
      </c>
      <c r="I1181">
        <v>210.8</v>
      </c>
      <c r="J1181" s="186" t="s">
        <v>1872</v>
      </c>
      <c r="M1181">
        <f>IFERROR(_xlfn.XLOOKUP(A1181,Fleet!A:A,Fleet!E:E,""),"")</f>
        <v>46</v>
      </c>
      <c r="N1181" t="s">
        <v>22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1914</v>
      </c>
      <c r="B1182" t="s">
        <v>3135</v>
      </c>
      <c r="C1182" t="s">
        <v>3135</v>
      </c>
      <c r="D1182">
        <v>294.2</v>
      </c>
      <c r="E1182" t="s">
        <v>3134</v>
      </c>
      <c r="F1182" s="186" t="s">
        <v>1878</v>
      </c>
      <c r="H1182" t="b">
        <v>1</v>
      </c>
      <c r="I1182">
        <v>294.2</v>
      </c>
      <c r="J1182" s="186" t="s">
        <v>1872</v>
      </c>
      <c r="M1182">
        <f>IFERROR(_xlfn.XLOOKUP(A1182,Fleet!A:A,Fleet!E:E,""),"")</f>
        <v>3</v>
      </c>
      <c r="N1182" t="s">
        <v>22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1916</v>
      </c>
      <c r="B1183" t="s">
        <v>3144</v>
      </c>
      <c r="C1183" t="s">
        <v>1917</v>
      </c>
      <c r="D1183">
        <v>311.45</v>
      </c>
      <c r="E1183" t="s">
        <v>3134</v>
      </c>
      <c r="F1183" s="186" t="s">
        <v>1878</v>
      </c>
      <c r="H1183" t="b">
        <v>1</v>
      </c>
      <c r="I1183" t="s">
        <v>22</v>
      </c>
      <c r="J1183" s="186" t="s">
        <v>1872</v>
      </c>
      <c r="M1183">
        <f>IFERROR(_xlfn.XLOOKUP(A1183,Fleet!A:A,Fleet!E:E,""),"")</f>
        <v>18</v>
      </c>
      <c r="N1183" t="s">
        <v>22</v>
      </c>
      <c r="P1183" t="str">
        <f>_xlfn.XLOOKUP(A1183,'Classic Net to delete'!D:D,'Classic Net to delete'!A:A,"")</f>
        <v/>
      </c>
    </row>
    <row r="1184" spans="1:16" x14ac:dyDescent="0.25">
      <c r="A1184" t="s">
        <v>1934</v>
      </c>
      <c r="B1184" t="s">
        <v>1935</v>
      </c>
      <c r="C1184" t="s">
        <v>1935</v>
      </c>
      <c r="D1184">
        <v>14.45</v>
      </c>
      <c r="E1184" t="s">
        <v>3134</v>
      </c>
      <c r="F1184" s="186" t="s">
        <v>1898</v>
      </c>
      <c r="H1184" t="b">
        <v>1</v>
      </c>
      <c r="I1184">
        <v>14.450000000000001</v>
      </c>
      <c r="J1184" s="186" t="s">
        <v>1872</v>
      </c>
      <c r="M1184">
        <f>IFERROR(_xlfn.XLOOKUP(A1184,Fleet!A:A,Fleet!E:E,""),"")</f>
        <v>14</v>
      </c>
      <c r="N1184" t="s">
        <v>22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1956</v>
      </c>
      <c r="B1185" t="s">
        <v>1957</v>
      </c>
      <c r="C1185" t="s">
        <v>1957</v>
      </c>
      <c r="D1185">
        <v>13.9</v>
      </c>
      <c r="E1185" t="s">
        <v>3134</v>
      </c>
      <c r="F1185" s="186" t="s">
        <v>1873</v>
      </c>
      <c r="H1185" t="b">
        <v>1</v>
      </c>
      <c r="I1185">
        <v>13.9</v>
      </c>
      <c r="J1185" s="186" t="s">
        <v>1872</v>
      </c>
      <c r="M1185">
        <f>IFERROR(_xlfn.XLOOKUP(A1185,Fleet!A:A,Fleet!E:E,""),"")</f>
        <v>13</v>
      </c>
      <c r="N1185" t="s">
        <v>22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1905</v>
      </c>
      <c r="B1186" t="s">
        <v>3141</v>
      </c>
      <c r="C1186" t="s">
        <v>3141</v>
      </c>
      <c r="D1186">
        <v>141.5</v>
      </c>
      <c r="E1186" t="s">
        <v>3134</v>
      </c>
      <c r="F1186" s="186" t="s">
        <v>1878</v>
      </c>
      <c r="H1186" t="b">
        <v>1</v>
      </c>
      <c r="I1186">
        <v>141.5</v>
      </c>
      <c r="J1186" s="186" t="s">
        <v>1872</v>
      </c>
      <c r="M1186">
        <f>IFERROR(_xlfn.XLOOKUP(A1186,Fleet!A:A,Fleet!E:E,""),"")</f>
        <v>3</v>
      </c>
      <c r="N1186" t="s">
        <v>22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1959</v>
      </c>
      <c r="B1187" t="s">
        <v>1960</v>
      </c>
      <c r="C1187" t="s">
        <v>1960</v>
      </c>
      <c r="D1187">
        <v>2.7</v>
      </c>
      <c r="E1187" t="s">
        <v>3134</v>
      </c>
      <c r="F1187" s="186" t="s">
        <v>1873</v>
      </c>
      <c r="H1187" t="b">
        <v>1</v>
      </c>
      <c r="I1187">
        <v>2.7</v>
      </c>
      <c r="J1187" s="186" t="s">
        <v>1872</v>
      </c>
      <c r="M1187">
        <f>IFERROR(_xlfn.XLOOKUP(A1187,Fleet!A:A,Fleet!E:E,""),"")</f>
        <v>18</v>
      </c>
      <c r="N1187" t="s">
        <v>22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1909</v>
      </c>
      <c r="B1188" t="s">
        <v>3140</v>
      </c>
      <c r="C1188" t="s">
        <v>3262</v>
      </c>
      <c r="D1188">
        <v>276.5</v>
      </c>
      <c r="E1188" t="s">
        <v>3134</v>
      </c>
      <c r="F1188" s="186" t="s">
        <v>1878</v>
      </c>
      <c r="H1188" t="b">
        <v>1</v>
      </c>
      <c r="I1188">
        <v>210.8</v>
      </c>
      <c r="J1188" s="186" t="s">
        <v>1872</v>
      </c>
      <c r="M1188">
        <f>IFERROR(_xlfn.XLOOKUP(A1188,Fleet!A:A,Fleet!E:E,""),"")</f>
        <v>46</v>
      </c>
      <c r="N1188" t="s">
        <v>22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1920</v>
      </c>
      <c r="B1189" t="s">
        <v>3137</v>
      </c>
      <c r="C1189" t="s">
        <v>1921</v>
      </c>
      <c r="D1189">
        <v>447</v>
      </c>
      <c r="E1189" t="s">
        <v>3134</v>
      </c>
      <c r="F1189" s="186" t="s">
        <v>1878</v>
      </c>
      <c r="H1189" t="b">
        <v>1</v>
      </c>
      <c r="I1189">
        <v>447</v>
      </c>
      <c r="J1189" s="186" t="s">
        <v>1872</v>
      </c>
      <c r="M1189">
        <f>IFERROR(_xlfn.XLOOKUP(A1189,Fleet!A:A,Fleet!E:E,""),"")</f>
        <v>3</v>
      </c>
      <c r="N1189" t="s">
        <v>22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1883</v>
      </c>
      <c r="B1190" t="s">
        <v>3143</v>
      </c>
      <c r="C1190" t="s">
        <v>1884</v>
      </c>
      <c r="D1190">
        <v>500</v>
      </c>
      <c r="E1190" t="s">
        <v>3134</v>
      </c>
      <c r="F1190" s="186" t="s">
        <v>1417</v>
      </c>
      <c r="H1190" t="b">
        <v>0</v>
      </c>
      <c r="I1190" t="s">
        <v>22</v>
      </c>
      <c r="J1190" s="186" t="s">
        <v>1872</v>
      </c>
      <c r="M1190">
        <f>IFERROR(_xlfn.XLOOKUP(A1190,Fleet!A:A,Fleet!E:E,""),"")</f>
        <v>12</v>
      </c>
      <c r="N1190" t="s">
        <v>22</v>
      </c>
      <c r="P1190" t="str">
        <f>_xlfn.XLOOKUP(A1190,'Classic Net to delete'!D:D,'Classic Net to delete'!A:A,"")</f>
        <v/>
      </c>
    </row>
    <row r="1191" spans="1:16" x14ac:dyDescent="0.25">
      <c r="A1191" t="s">
        <v>1883</v>
      </c>
      <c r="B1191" t="s">
        <v>3143</v>
      </c>
      <c r="C1191" t="s">
        <v>1885</v>
      </c>
      <c r="D1191">
        <v>500</v>
      </c>
      <c r="E1191" t="s">
        <v>3134</v>
      </c>
      <c r="F1191" s="186" t="s">
        <v>1417</v>
      </c>
      <c r="H1191" t="b">
        <v>0</v>
      </c>
      <c r="I1191" t="s">
        <v>22</v>
      </c>
      <c r="J1191" s="186" t="s">
        <v>1872</v>
      </c>
      <c r="M1191">
        <f>IFERROR(_xlfn.XLOOKUP(A1191,Fleet!A:A,Fleet!E:E,""),"")</f>
        <v>12</v>
      </c>
      <c r="N1191" t="s">
        <v>22</v>
      </c>
      <c r="P1191" t="str">
        <f>_xlfn.XLOOKUP(A1191,'Classic Net to delete'!D:D,'Classic Net to delete'!A:A,"")</f>
        <v/>
      </c>
    </row>
    <row r="1192" spans="1:16" x14ac:dyDescent="0.25">
      <c r="A1192" t="s">
        <v>1883</v>
      </c>
      <c r="B1192" t="s">
        <v>3143</v>
      </c>
      <c r="C1192" t="s">
        <v>1886</v>
      </c>
      <c r="D1192">
        <v>500</v>
      </c>
      <c r="E1192" t="s">
        <v>3134</v>
      </c>
      <c r="F1192" s="186" t="s">
        <v>1417</v>
      </c>
      <c r="H1192" t="b">
        <v>0</v>
      </c>
      <c r="I1192" t="s">
        <v>22</v>
      </c>
      <c r="J1192" s="186" t="s">
        <v>1872</v>
      </c>
      <c r="M1192">
        <f>IFERROR(_xlfn.XLOOKUP(A1192,Fleet!A:A,Fleet!E:E,""),"")</f>
        <v>12</v>
      </c>
      <c r="N1192" t="s">
        <v>22</v>
      </c>
      <c r="P1192" t="str">
        <f>_xlfn.XLOOKUP(A1192,'Classic Net to delete'!D:D,'Classic Net to delete'!A:A,"")</f>
        <v/>
      </c>
    </row>
    <row r="1193" spans="1:16" x14ac:dyDescent="0.25">
      <c r="A1193" t="s">
        <v>1883</v>
      </c>
      <c r="B1193" t="s">
        <v>3143</v>
      </c>
      <c r="C1193" t="s">
        <v>1887</v>
      </c>
      <c r="D1193">
        <v>500</v>
      </c>
      <c r="E1193" t="s">
        <v>3134</v>
      </c>
      <c r="F1193" s="186" t="s">
        <v>1417</v>
      </c>
      <c r="H1193" t="b">
        <v>0</v>
      </c>
      <c r="I1193" t="s">
        <v>22</v>
      </c>
      <c r="J1193" s="186" t="s">
        <v>1872</v>
      </c>
      <c r="M1193">
        <f>IFERROR(_xlfn.XLOOKUP(A1193,Fleet!A:A,Fleet!E:E,""),"")</f>
        <v>12</v>
      </c>
      <c r="N1193" t="s">
        <v>22</v>
      </c>
      <c r="P1193" t="str">
        <f>_xlfn.XLOOKUP(A1193,'Classic Net to delete'!D:D,'Classic Net to delete'!A:A,"")</f>
        <v/>
      </c>
    </row>
    <row r="1194" spans="1:16" x14ac:dyDescent="0.25">
      <c r="A1194" t="s">
        <v>1883</v>
      </c>
      <c r="B1194" t="s">
        <v>3143</v>
      </c>
      <c r="C1194" t="s">
        <v>1888</v>
      </c>
      <c r="D1194">
        <v>500</v>
      </c>
      <c r="E1194" t="s">
        <v>3134</v>
      </c>
      <c r="F1194" s="186" t="s">
        <v>1417</v>
      </c>
      <c r="H1194" t="b">
        <v>0</v>
      </c>
      <c r="I1194" t="s">
        <v>22</v>
      </c>
      <c r="J1194" s="186" t="s">
        <v>1872</v>
      </c>
      <c r="M1194">
        <f>IFERROR(_xlfn.XLOOKUP(A1194,Fleet!A:A,Fleet!E:E,""),"")</f>
        <v>12</v>
      </c>
      <c r="N1194" t="s">
        <v>22</v>
      </c>
      <c r="P1194" t="str">
        <f>_xlfn.XLOOKUP(A1194,'Classic Net to delete'!D:D,'Classic Net to delete'!A:A,"")</f>
        <v/>
      </c>
    </row>
    <row r="1195" spans="1:16" x14ac:dyDescent="0.25">
      <c r="A1195" t="s">
        <v>1883</v>
      </c>
      <c r="B1195" t="s">
        <v>3143</v>
      </c>
      <c r="C1195" t="s">
        <v>1889</v>
      </c>
      <c r="D1195">
        <v>500</v>
      </c>
      <c r="E1195" t="s">
        <v>3134</v>
      </c>
      <c r="F1195" s="186" t="s">
        <v>1417</v>
      </c>
      <c r="H1195" t="b">
        <v>0</v>
      </c>
      <c r="I1195" t="s">
        <v>22</v>
      </c>
      <c r="J1195" s="186" t="s">
        <v>1872</v>
      </c>
      <c r="M1195">
        <f>IFERROR(_xlfn.XLOOKUP(A1195,Fleet!A:A,Fleet!E:E,""),"")</f>
        <v>12</v>
      </c>
      <c r="N1195" t="s">
        <v>22</v>
      </c>
      <c r="P1195" t="str">
        <f>_xlfn.XLOOKUP(A1195,'Classic Net to delete'!D:D,'Classic Net to delete'!A:A,"")</f>
        <v/>
      </c>
    </row>
    <row r="1196" spans="1:16" x14ac:dyDescent="0.25">
      <c r="A1196" t="s">
        <v>1883</v>
      </c>
      <c r="B1196" t="s">
        <v>3143</v>
      </c>
      <c r="C1196" t="s">
        <v>1890</v>
      </c>
      <c r="D1196">
        <v>500</v>
      </c>
      <c r="E1196" t="s">
        <v>3134</v>
      </c>
      <c r="F1196" s="186" t="s">
        <v>1417</v>
      </c>
      <c r="H1196" t="b">
        <v>0</v>
      </c>
      <c r="I1196" t="s">
        <v>22</v>
      </c>
      <c r="J1196" s="186" t="s">
        <v>1872</v>
      </c>
      <c r="M1196">
        <f>IFERROR(_xlfn.XLOOKUP(A1196,Fleet!A:A,Fleet!E:E,""),"")</f>
        <v>12</v>
      </c>
      <c r="N1196" t="s">
        <v>22</v>
      </c>
      <c r="P1196" t="str">
        <f>_xlfn.XLOOKUP(A1196,'Classic Net to delete'!D:D,'Classic Net to delete'!A:A,"")</f>
        <v/>
      </c>
    </row>
    <row r="1197" spans="1:16" x14ac:dyDescent="0.25">
      <c r="A1197" t="s">
        <v>1883</v>
      </c>
      <c r="B1197" t="s">
        <v>3143</v>
      </c>
      <c r="C1197" t="s">
        <v>1891</v>
      </c>
      <c r="D1197">
        <v>500</v>
      </c>
      <c r="E1197" t="s">
        <v>3134</v>
      </c>
      <c r="F1197" s="186" t="s">
        <v>1417</v>
      </c>
      <c r="H1197" t="b">
        <v>0</v>
      </c>
      <c r="I1197" t="s">
        <v>22</v>
      </c>
      <c r="J1197" s="186" t="s">
        <v>1872</v>
      </c>
      <c r="M1197">
        <f>IFERROR(_xlfn.XLOOKUP(A1197,Fleet!A:A,Fleet!E:E,""),"")</f>
        <v>12</v>
      </c>
      <c r="N1197" t="s">
        <v>22</v>
      </c>
      <c r="P1197" t="str">
        <f>_xlfn.XLOOKUP(A1197,'Classic Net to delete'!D:D,'Classic Net to delete'!A:A,"")</f>
        <v/>
      </c>
    </row>
    <row r="1198" spans="1:16" x14ac:dyDescent="0.25">
      <c r="A1198" t="s">
        <v>1883</v>
      </c>
      <c r="B1198" t="s">
        <v>3143</v>
      </c>
      <c r="C1198" t="s">
        <v>1892</v>
      </c>
      <c r="D1198">
        <v>500</v>
      </c>
      <c r="E1198" t="s">
        <v>3134</v>
      </c>
      <c r="F1198" s="186" t="s">
        <v>1417</v>
      </c>
      <c r="H1198" t="b">
        <v>0</v>
      </c>
      <c r="I1198" t="s">
        <v>22</v>
      </c>
      <c r="J1198" s="186" t="s">
        <v>1872</v>
      </c>
      <c r="M1198">
        <f>IFERROR(_xlfn.XLOOKUP(A1198,Fleet!A:A,Fleet!E:E,""),"")</f>
        <v>12</v>
      </c>
      <c r="N1198" t="s">
        <v>22</v>
      </c>
      <c r="P1198" t="str">
        <f>_xlfn.XLOOKUP(A1198,'Classic Net to delete'!D:D,'Classic Net to delete'!A:A,"")</f>
        <v/>
      </c>
    </row>
    <row r="1199" spans="1:16" x14ac:dyDescent="0.25">
      <c r="A1199" t="s">
        <v>1883</v>
      </c>
      <c r="B1199" t="s">
        <v>3143</v>
      </c>
      <c r="C1199" t="s">
        <v>1893</v>
      </c>
      <c r="D1199">
        <v>500</v>
      </c>
      <c r="E1199" t="s">
        <v>3134</v>
      </c>
      <c r="F1199" s="186" t="s">
        <v>1417</v>
      </c>
      <c r="H1199" t="b">
        <v>0</v>
      </c>
      <c r="I1199" t="s">
        <v>22</v>
      </c>
      <c r="J1199" s="186" t="s">
        <v>1872</v>
      </c>
      <c r="M1199">
        <f>IFERROR(_xlfn.XLOOKUP(A1199,Fleet!A:A,Fleet!E:E,""),"")</f>
        <v>12</v>
      </c>
      <c r="N1199" t="s">
        <v>22</v>
      </c>
      <c r="P1199" t="str">
        <f>_xlfn.XLOOKUP(A1199,'Classic Net to delete'!D:D,'Classic Net to delete'!A:A,"")</f>
        <v/>
      </c>
    </row>
    <row r="1200" spans="1:16" x14ac:dyDescent="0.25">
      <c r="A1200" t="s">
        <v>1883</v>
      </c>
      <c r="B1200" t="s">
        <v>3143</v>
      </c>
      <c r="C1200" t="s">
        <v>1894</v>
      </c>
      <c r="D1200">
        <v>500</v>
      </c>
      <c r="E1200" t="s">
        <v>3134</v>
      </c>
      <c r="F1200" s="186" t="s">
        <v>1417</v>
      </c>
      <c r="H1200" t="b">
        <v>0</v>
      </c>
      <c r="I1200" t="s">
        <v>22</v>
      </c>
      <c r="J1200" s="186" t="s">
        <v>1872</v>
      </c>
      <c r="M1200">
        <f>IFERROR(_xlfn.XLOOKUP(A1200,Fleet!A:A,Fleet!E:E,""),"")</f>
        <v>12</v>
      </c>
      <c r="N1200" t="s">
        <v>22</v>
      </c>
      <c r="P1200" t="str">
        <f>_xlfn.XLOOKUP(A1200,'Classic Net to delete'!D:D,'Classic Net to delete'!A:A,"")</f>
        <v/>
      </c>
    </row>
    <row r="1201" spans="1:16" x14ac:dyDescent="0.25">
      <c r="A1201" t="s">
        <v>1883</v>
      </c>
      <c r="B1201" t="s">
        <v>3143</v>
      </c>
      <c r="C1201" t="s">
        <v>1895</v>
      </c>
      <c r="D1201">
        <v>500</v>
      </c>
      <c r="E1201" t="s">
        <v>3134</v>
      </c>
      <c r="F1201" s="186" t="s">
        <v>1417</v>
      </c>
      <c r="H1201" t="b">
        <v>0</v>
      </c>
      <c r="I1201" t="s">
        <v>22</v>
      </c>
      <c r="J1201" s="186" t="s">
        <v>1872</v>
      </c>
      <c r="M1201">
        <f>IFERROR(_xlfn.XLOOKUP(A1201,Fleet!A:A,Fleet!E:E,""),"")</f>
        <v>12</v>
      </c>
      <c r="N1201" t="s">
        <v>22</v>
      </c>
      <c r="P1201" t="str">
        <f>_xlfn.XLOOKUP(A1201,'Classic Net to delete'!D:D,'Classic Net to delete'!A:A,"")</f>
        <v/>
      </c>
    </row>
    <row r="1202" spans="1:16" x14ac:dyDescent="0.25">
      <c r="A1202" t="s">
        <v>1896</v>
      </c>
      <c r="B1202" t="s">
        <v>1897</v>
      </c>
      <c r="C1202" t="s">
        <v>1897</v>
      </c>
      <c r="D1202">
        <v>20.45</v>
      </c>
      <c r="E1202" t="s">
        <v>3134</v>
      </c>
      <c r="F1202" s="186" t="s">
        <v>1898</v>
      </c>
      <c r="H1202" t="b">
        <v>1</v>
      </c>
      <c r="I1202" t="s">
        <v>22</v>
      </c>
      <c r="J1202" s="186" t="s">
        <v>1872</v>
      </c>
      <c r="M1202">
        <f>IFERROR(_xlfn.XLOOKUP(A1202,Fleet!A:A,Fleet!E:E,""),"")</f>
        <v>2</v>
      </c>
      <c r="N1202" t="s">
        <v>22</v>
      </c>
      <c r="P1202" t="str">
        <f>_xlfn.XLOOKUP(A1202,'Classic Net to delete'!D:D,'Classic Net to delete'!A:A,"")</f>
        <v/>
      </c>
    </row>
    <row r="1203" spans="1:16" x14ac:dyDescent="0.25">
      <c r="A1203" t="s">
        <v>1876</v>
      </c>
      <c r="B1203" t="s">
        <v>3964</v>
      </c>
      <c r="C1203" t="s">
        <v>1877</v>
      </c>
      <c r="E1203" t="s">
        <v>3134</v>
      </c>
      <c r="F1203" s="186" t="s">
        <v>1878</v>
      </c>
      <c r="H1203" t="b">
        <v>0</v>
      </c>
      <c r="I1203" t="s">
        <v>22</v>
      </c>
      <c r="J1203" s="186" t="s">
        <v>1872</v>
      </c>
      <c r="M1203" t="str">
        <f>IFERROR(_xlfn.XLOOKUP(A1203,Fleet!A:A,Fleet!E:E,""),"")</f>
        <v/>
      </c>
      <c r="N1203" t="s">
        <v>22</v>
      </c>
      <c r="P1203" t="str">
        <f>_xlfn.XLOOKUP(A1203,'Classic Net to delete'!D:D,'Classic Net to delete'!A:A,"")</f>
        <v/>
      </c>
    </row>
    <row r="1204" spans="1:16" x14ac:dyDescent="0.25">
      <c r="A1204" t="s">
        <v>1874</v>
      </c>
      <c r="B1204" t="s">
        <v>1875</v>
      </c>
      <c r="C1204" t="s">
        <v>1875</v>
      </c>
      <c r="D1204">
        <v>13.9</v>
      </c>
      <c r="E1204" t="s">
        <v>3134</v>
      </c>
      <c r="F1204" s="186" t="s">
        <v>1873</v>
      </c>
      <c r="H1204" t="b">
        <v>1</v>
      </c>
      <c r="I1204" t="s">
        <v>22</v>
      </c>
      <c r="J1204" s="186" t="s">
        <v>1872</v>
      </c>
      <c r="M1204">
        <f>IFERROR(_xlfn.XLOOKUP(A1204,Fleet!A:A,Fleet!E:E,""),"")</f>
        <v>1</v>
      </c>
      <c r="N1204" t="s">
        <v>22</v>
      </c>
      <c r="P1204" t="str">
        <f>_xlfn.XLOOKUP(A1204,'Classic Net to delete'!D:D,'Classic Net to delete'!A:A,"")</f>
        <v/>
      </c>
    </row>
    <row r="1205" spans="1:16" x14ac:dyDescent="0.25">
      <c r="A1205" t="s">
        <v>1881</v>
      </c>
      <c r="B1205" t="s">
        <v>1882</v>
      </c>
      <c r="C1205" t="s">
        <v>1882</v>
      </c>
      <c r="D1205">
        <v>95</v>
      </c>
      <c r="E1205" t="s">
        <v>3134</v>
      </c>
      <c r="F1205" s="186" t="s">
        <v>1878</v>
      </c>
      <c r="H1205" t="b">
        <v>1</v>
      </c>
      <c r="I1205" t="s">
        <v>22</v>
      </c>
      <c r="J1205" s="186" t="s">
        <v>1872</v>
      </c>
      <c r="M1205">
        <f>IFERROR(_xlfn.XLOOKUP(A1205,Fleet!A:A,Fleet!E:E,""),"")</f>
        <v>10</v>
      </c>
      <c r="N1205" t="s">
        <v>22</v>
      </c>
      <c r="P1205" t="str">
        <f>_xlfn.XLOOKUP(A1205,'Classic Net to delete'!D:D,'Classic Net to delete'!A:A,"")</f>
        <v/>
      </c>
    </row>
    <row r="1206" spans="1:16" x14ac:dyDescent="0.25">
      <c r="A1206" t="s">
        <v>2314</v>
      </c>
      <c r="B1206" t="s">
        <v>2315</v>
      </c>
      <c r="C1206" t="s">
        <v>2315</v>
      </c>
      <c r="D1206">
        <v>181.35</v>
      </c>
      <c r="E1206" t="s">
        <v>3146</v>
      </c>
      <c r="F1206" s="186" t="s">
        <v>2292</v>
      </c>
      <c r="H1206" t="b">
        <v>1</v>
      </c>
      <c r="I1206">
        <v>181.35000000000002</v>
      </c>
      <c r="J1206" s="186" t="s">
        <v>2291</v>
      </c>
      <c r="M1206">
        <f>IFERROR(_xlfn.XLOOKUP(A1206,Fleet!A:A,Fleet!E:E,""),"")</f>
        <v>13</v>
      </c>
      <c r="N1206" t="s">
        <v>22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2289</v>
      </c>
      <c r="B1207" t="s">
        <v>2290</v>
      </c>
      <c r="C1207" t="s">
        <v>2290</v>
      </c>
      <c r="D1207">
        <v>181.35</v>
      </c>
      <c r="E1207" t="s">
        <v>3146</v>
      </c>
      <c r="F1207" s="186" t="s">
        <v>2292</v>
      </c>
      <c r="H1207" t="b">
        <v>1</v>
      </c>
      <c r="I1207" t="s">
        <v>22</v>
      </c>
      <c r="J1207" s="186" t="s">
        <v>2291</v>
      </c>
      <c r="M1207">
        <f>IFERROR(_xlfn.XLOOKUP(A1207,Fleet!A:A,Fleet!E:E,""),"")</f>
        <v>8</v>
      </c>
      <c r="N1207" t="s">
        <v>22</v>
      </c>
      <c r="P1207" t="str">
        <f>_xlfn.XLOOKUP(A1207,'Classic Net to delete'!D:D,'Classic Net to delete'!A:A,"")</f>
        <v/>
      </c>
    </row>
    <row r="1208" spans="1:16" x14ac:dyDescent="0.25">
      <c r="A1208" t="s">
        <v>2317</v>
      </c>
      <c r="B1208" t="s">
        <v>2318</v>
      </c>
      <c r="C1208" t="s">
        <v>2318</v>
      </c>
      <c r="D1208">
        <v>117.95</v>
      </c>
      <c r="E1208" t="s">
        <v>3146</v>
      </c>
      <c r="F1208" s="186" t="s">
        <v>2292</v>
      </c>
      <c r="H1208" t="b">
        <v>1</v>
      </c>
      <c r="I1208">
        <v>117.95</v>
      </c>
      <c r="J1208" s="186" t="s">
        <v>2291</v>
      </c>
      <c r="M1208">
        <f>IFERROR(_xlfn.XLOOKUP(A1208,Fleet!A:A,Fleet!E:E,""),"")</f>
        <v>6</v>
      </c>
      <c r="N1208" t="s">
        <v>22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2293</v>
      </c>
      <c r="B1209" t="s">
        <v>2294</v>
      </c>
      <c r="C1209" t="s">
        <v>2294</v>
      </c>
      <c r="D1209">
        <v>75.5</v>
      </c>
      <c r="E1209" t="s">
        <v>3146</v>
      </c>
      <c r="F1209" s="186" t="s">
        <v>3965</v>
      </c>
      <c r="H1209" t="b">
        <v>1</v>
      </c>
      <c r="I1209">
        <v>75.5</v>
      </c>
      <c r="J1209" s="186" t="s">
        <v>2291</v>
      </c>
      <c r="M1209">
        <f>IFERROR(_xlfn.XLOOKUP(A1209,Fleet!A:A,Fleet!E:E,""),"")</f>
        <v>9</v>
      </c>
      <c r="N1209" t="s">
        <v>22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2311</v>
      </c>
      <c r="B1210" t="s">
        <v>2312</v>
      </c>
      <c r="C1210" t="s">
        <v>2312</v>
      </c>
      <c r="D1210">
        <v>67.5</v>
      </c>
      <c r="E1210" t="s">
        <v>3146</v>
      </c>
      <c r="F1210" s="186" t="s">
        <v>3965</v>
      </c>
      <c r="H1210" t="b">
        <v>1</v>
      </c>
      <c r="I1210">
        <v>67.5</v>
      </c>
      <c r="J1210" s="186" t="s">
        <v>2291</v>
      </c>
      <c r="M1210">
        <f>IFERROR(_xlfn.XLOOKUP(A1210,Fleet!A:A,Fleet!E:E,""),"")</f>
        <v>3</v>
      </c>
      <c r="N1210" t="s">
        <v>22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2299</v>
      </c>
      <c r="B1211" t="s">
        <v>2300</v>
      </c>
      <c r="C1211" t="s">
        <v>2300</v>
      </c>
      <c r="D1211">
        <v>149.19999999999999</v>
      </c>
      <c r="E1211" t="s">
        <v>3146</v>
      </c>
      <c r="F1211" s="186" t="s">
        <v>2292</v>
      </c>
      <c r="H1211" t="b">
        <v>1</v>
      </c>
      <c r="I1211">
        <v>149.20000000000002</v>
      </c>
      <c r="J1211" s="186" t="s">
        <v>2291</v>
      </c>
      <c r="M1211">
        <f>IFERROR(_xlfn.XLOOKUP(A1211,Fleet!A:A,Fleet!E:E,""),"")</f>
        <v>10</v>
      </c>
      <c r="N1211" t="s">
        <v>22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2308</v>
      </c>
      <c r="B1212" t="s">
        <v>2309</v>
      </c>
      <c r="C1212" t="s">
        <v>2309</v>
      </c>
      <c r="D1212">
        <v>156.25</v>
      </c>
      <c r="E1212" t="s">
        <v>3146</v>
      </c>
      <c r="F1212" s="186" t="s">
        <v>2292</v>
      </c>
      <c r="H1212" t="b">
        <v>1</v>
      </c>
      <c r="I1212">
        <v>156.25</v>
      </c>
      <c r="J1212" s="186" t="s">
        <v>2291</v>
      </c>
      <c r="M1212">
        <f>IFERROR(_xlfn.XLOOKUP(A1212,Fleet!A:A,Fleet!E:E,""),"")</f>
        <v>23</v>
      </c>
      <c r="N1212" t="s">
        <v>22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2319</v>
      </c>
      <c r="B1213" t="s">
        <v>2320</v>
      </c>
      <c r="C1213" t="s">
        <v>2320</v>
      </c>
      <c r="D1213">
        <v>150.05000000000001</v>
      </c>
      <c r="E1213" t="s">
        <v>3146</v>
      </c>
      <c r="F1213" s="186" t="s">
        <v>2292</v>
      </c>
      <c r="H1213" t="b">
        <v>1</v>
      </c>
      <c r="I1213">
        <v>150.05000000000001</v>
      </c>
      <c r="J1213" s="186" t="s">
        <v>2291</v>
      </c>
      <c r="M1213">
        <f>IFERROR(_xlfn.XLOOKUP(A1213,Fleet!A:A,Fleet!E:E,""),"")</f>
        <v>22</v>
      </c>
      <c r="N1213" t="s">
        <v>22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2296</v>
      </c>
      <c r="B1214" t="s">
        <v>2297</v>
      </c>
      <c r="C1214" t="s">
        <v>2297</v>
      </c>
      <c r="D1214">
        <v>141.5</v>
      </c>
      <c r="E1214" t="s">
        <v>3146</v>
      </c>
      <c r="F1214" s="186" t="s">
        <v>3965</v>
      </c>
      <c r="H1214" t="b">
        <v>1</v>
      </c>
      <c r="I1214">
        <v>141.5</v>
      </c>
      <c r="J1214" s="186" t="s">
        <v>2291</v>
      </c>
      <c r="M1214">
        <f>IFERROR(_xlfn.XLOOKUP(A1214,Fleet!A:A,Fleet!E:E,""),"")</f>
        <v>10</v>
      </c>
      <c r="N1214" t="s">
        <v>22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2336</v>
      </c>
      <c r="B1215" t="s">
        <v>2337</v>
      </c>
      <c r="C1215" t="s">
        <v>2337</v>
      </c>
      <c r="D1215">
        <v>77</v>
      </c>
      <c r="E1215" t="s">
        <v>3147</v>
      </c>
      <c r="F1215" s="186" t="s">
        <v>3966</v>
      </c>
      <c r="H1215" t="b">
        <v>1</v>
      </c>
      <c r="I1215">
        <v>77</v>
      </c>
      <c r="J1215" s="186" t="s">
        <v>2324</v>
      </c>
      <c r="M1215">
        <f>IFERROR(_xlfn.XLOOKUP(A1215,Fleet!A:A,Fleet!E:E,""),"")</f>
        <v>25</v>
      </c>
      <c r="N1215" t="s">
        <v>22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2340</v>
      </c>
      <c r="B1216" t="s">
        <v>2341</v>
      </c>
      <c r="C1216" t="s">
        <v>2341</v>
      </c>
      <c r="D1216">
        <v>72.849999999999994</v>
      </c>
      <c r="E1216" t="s">
        <v>3147</v>
      </c>
      <c r="F1216" s="186" t="s">
        <v>3966</v>
      </c>
      <c r="H1216" t="b">
        <v>1</v>
      </c>
      <c r="I1216">
        <v>72.850000000000009</v>
      </c>
      <c r="J1216" s="186" t="s">
        <v>2324</v>
      </c>
      <c r="M1216">
        <f>IFERROR(_xlfn.XLOOKUP(A1216,Fleet!A:A,Fleet!E:E,""),"")</f>
        <v>15</v>
      </c>
      <c r="N1216" t="s">
        <v>22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2357</v>
      </c>
      <c r="B1217" t="s">
        <v>2358</v>
      </c>
      <c r="C1217" t="s">
        <v>2358</v>
      </c>
      <c r="D1217">
        <v>25.35</v>
      </c>
      <c r="E1217" t="s">
        <v>3147</v>
      </c>
      <c r="F1217" s="186" t="s">
        <v>3966</v>
      </c>
      <c r="H1217" t="b">
        <v>1</v>
      </c>
      <c r="I1217">
        <v>25.35</v>
      </c>
      <c r="J1217" s="186" t="s">
        <v>2324</v>
      </c>
      <c r="M1217">
        <f>IFERROR(_xlfn.XLOOKUP(A1217,Fleet!A:A,Fleet!E:E,""),"")</f>
        <v>4</v>
      </c>
      <c r="N1217" t="s">
        <v>22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2371</v>
      </c>
      <c r="B1218" t="s">
        <v>2372</v>
      </c>
      <c r="C1218" t="s">
        <v>2372</v>
      </c>
      <c r="D1218">
        <v>66.349999999999994</v>
      </c>
      <c r="E1218" t="s">
        <v>3147</v>
      </c>
      <c r="F1218" s="186" t="s">
        <v>2325</v>
      </c>
      <c r="H1218" t="b">
        <v>1</v>
      </c>
      <c r="I1218">
        <v>66.350000000000009</v>
      </c>
      <c r="J1218" s="186" t="s">
        <v>2324</v>
      </c>
      <c r="M1218">
        <f>IFERROR(_xlfn.XLOOKUP(A1218,Fleet!A:A,Fleet!E:E,""),"")</f>
        <v>5</v>
      </c>
      <c r="N1218" t="s">
        <v>22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2382</v>
      </c>
      <c r="B1219" t="s">
        <v>2383</v>
      </c>
      <c r="C1219" t="s">
        <v>2383</v>
      </c>
      <c r="D1219">
        <v>16.55</v>
      </c>
      <c r="E1219" t="s">
        <v>3147</v>
      </c>
      <c r="F1219" s="186" t="s">
        <v>2325</v>
      </c>
      <c r="H1219" t="b">
        <v>1</v>
      </c>
      <c r="I1219">
        <v>16.55</v>
      </c>
      <c r="J1219" s="186" t="s">
        <v>2324</v>
      </c>
      <c r="M1219">
        <f>IFERROR(_xlfn.XLOOKUP(A1219,Fleet!A:A,Fleet!E:E,""),"")</f>
        <v>11</v>
      </c>
      <c r="N1219" t="s">
        <v>22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2342</v>
      </c>
      <c r="B1220" t="s">
        <v>2343</v>
      </c>
      <c r="C1220" t="s">
        <v>2343</v>
      </c>
      <c r="D1220">
        <v>31.9</v>
      </c>
      <c r="E1220" t="s">
        <v>3147</v>
      </c>
      <c r="F1220" s="186" t="s">
        <v>2325</v>
      </c>
      <c r="H1220" t="b">
        <v>1</v>
      </c>
      <c r="I1220">
        <v>31.900000000000002</v>
      </c>
      <c r="J1220" s="186" t="s">
        <v>2324</v>
      </c>
      <c r="M1220">
        <f>IFERROR(_xlfn.XLOOKUP(A1220,Fleet!A:A,Fleet!E:E,""),"")</f>
        <v>2</v>
      </c>
      <c r="N1220" t="s">
        <v>22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2348</v>
      </c>
      <c r="B1221" t="s">
        <v>2349</v>
      </c>
      <c r="C1221" t="s">
        <v>2349</v>
      </c>
      <c r="D1221">
        <v>78.150000000000006</v>
      </c>
      <c r="E1221" t="s">
        <v>3147</v>
      </c>
      <c r="F1221" s="186" t="s">
        <v>2325</v>
      </c>
      <c r="H1221" t="b">
        <v>1</v>
      </c>
      <c r="I1221">
        <v>78.150000000000006</v>
      </c>
      <c r="J1221" s="186" t="s">
        <v>2324</v>
      </c>
      <c r="M1221">
        <f>IFERROR(_xlfn.XLOOKUP(A1221,Fleet!A:A,Fleet!E:E,""),"")</f>
        <v>5</v>
      </c>
      <c r="N1221" t="s">
        <v>22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2360</v>
      </c>
      <c r="B1222" t="s">
        <v>2361</v>
      </c>
      <c r="C1222" t="s">
        <v>2361</v>
      </c>
      <c r="D1222">
        <v>36.6</v>
      </c>
      <c r="E1222" t="s">
        <v>3147</v>
      </c>
      <c r="F1222" s="186" t="s">
        <v>2325</v>
      </c>
      <c r="H1222" t="b">
        <v>1</v>
      </c>
      <c r="I1222">
        <v>36.6</v>
      </c>
      <c r="J1222" s="186" t="s">
        <v>2324</v>
      </c>
      <c r="M1222">
        <f>IFERROR(_xlfn.XLOOKUP(A1222,Fleet!A:A,Fleet!E:E,""),"")</f>
        <v>1</v>
      </c>
      <c r="N1222" t="s">
        <v>22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2375</v>
      </c>
      <c r="B1223" t="s">
        <v>2376</v>
      </c>
      <c r="C1223" t="s">
        <v>2376</v>
      </c>
      <c r="D1223">
        <v>49.3</v>
      </c>
      <c r="E1223" t="s">
        <v>3147</v>
      </c>
      <c r="F1223" s="186" t="s">
        <v>2325</v>
      </c>
      <c r="H1223" t="b">
        <v>1</v>
      </c>
      <c r="I1223">
        <v>49.300000000000004</v>
      </c>
      <c r="J1223" s="186" t="s">
        <v>2324</v>
      </c>
      <c r="M1223">
        <f>IFERROR(_xlfn.XLOOKUP(A1223,Fleet!A:A,Fleet!E:E,""),"")</f>
        <v>4</v>
      </c>
      <c r="N1223" t="s">
        <v>22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2331</v>
      </c>
      <c r="B1224" t="s">
        <v>2332</v>
      </c>
      <c r="C1224" t="s">
        <v>2332</v>
      </c>
      <c r="E1224" t="s">
        <v>3147</v>
      </c>
      <c r="F1224" s="186" t="s">
        <v>2325</v>
      </c>
      <c r="H1224" t="b">
        <v>0</v>
      </c>
      <c r="I1224" t="s">
        <v>22</v>
      </c>
      <c r="J1224" s="186" t="s">
        <v>2324</v>
      </c>
      <c r="M1224" t="str">
        <f>IFERROR(_xlfn.XLOOKUP(A1224,Fleet!A:A,Fleet!E:E,""),"")</f>
        <v/>
      </c>
      <c r="N1224" t="s">
        <v>22</v>
      </c>
      <c r="P1224" t="str">
        <f>_xlfn.XLOOKUP(A1224,'Classic Net to delete'!D:D,'Classic Net to delete'!A:A,"")</f>
        <v/>
      </c>
    </row>
    <row r="1225" spans="1:16" x14ac:dyDescent="0.25">
      <c r="A1225" t="s">
        <v>2366</v>
      </c>
      <c r="B1225" t="s">
        <v>2367</v>
      </c>
      <c r="C1225" t="s">
        <v>2367</v>
      </c>
      <c r="D1225">
        <v>30.4</v>
      </c>
      <c r="E1225" t="s">
        <v>3147</v>
      </c>
      <c r="F1225" s="186" t="s">
        <v>2325</v>
      </c>
      <c r="H1225" t="b">
        <v>1</v>
      </c>
      <c r="I1225">
        <v>30.400000000000002</v>
      </c>
      <c r="J1225" s="186" t="s">
        <v>2324</v>
      </c>
      <c r="M1225" t="str">
        <f>IFERROR(_xlfn.XLOOKUP(A1225,Fleet!A:A,Fleet!E:E,""),"")</f>
        <v/>
      </c>
      <c r="N1225" t="s">
        <v>22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2369</v>
      </c>
      <c r="B1226" t="s">
        <v>2370</v>
      </c>
      <c r="C1226" t="s">
        <v>2370</v>
      </c>
      <c r="D1226">
        <v>32.25</v>
      </c>
      <c r="E1226" t="s">
        <v>3147</v>
      </c>
      <c r="F1226" s="186" t="s">
        <v>2325</v>
      </c>
      <c r="H1226" t="b">
        <v>1</v>
      </c>
      <c r="I1226">
        <v>32.25</v>
      </c>
      <c r="J1226" s="186" t="s">
        <v>2324</v>
      </c>
      <c r="M1226" t="str">
        <f>IFERROR(_xlfn.XLOOKUP(A1226,Fleet!A:A,Fleet!E:E,""),"")</f>
        <v/>
      </c>
      <c r="N1226" t="s">
        <v>22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2345</v>
      </c>
      <c r="B1227" t="s">
        <v>2346</v>
      </c>
      <c r="C1227" t="s">
        <v>2346</v>
      </c>
      <c r="D1227">
        <v>214.65</v>
      </c>
      <c r="E1227" t="s">
        <v>3147</v>
      </c>
      <c r="F1227" s="186" t="s">
        <v>2325</v>
      </c>
      <c r="H1227" t="b">
        <v>1</v>
      </c>
      <c r="I1227">
        <v>214.65</v>
      </c>
      <c r="J1227" s="186" t="s">
        <v>2324</v>
      </c>
      <c r="M1227">
        <f>IFERROR(_xlfn.XLOOKUP(A1227,Fleet!A:A,Fleet!E:E,""),"")</f>
        <v>3</v>
      </c>
      <c r="N1227" t="s">
        <v>22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2350</v>
      </c>
      <c r="B1228" t="s">
        <v>2351</v>
      </c>
      <c r="C1228" t="s">
        <v>2351</v>
      </c>
      <c r="D1228">
        <v>113.5</v>
      </c>
      <c r="E1228" t="s">
        <v>3147</v>
      </c>
      <c r="F1228" s="186" t="s">
        <v>2325</v>
      </c>
      <c r="H1228" t="b">
        <v>1</v>
      </c>
      <c r="I1228">
        <v>113.5</v>
      </c>
      <c r="J1228" s="186" t="s">
        <v>2324</v>
      </c>
      <c r="M1228">
        <f>IFERROR(_xlfn.XLOOKUP(A1228,Fleet!A:A,Fleet!E:E,""),"")</f>
        <v>14</v>
      </c>
      <c r="N1228" t="s">
        <v>22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2362</v>
      </c>
      <c r="B1229" t="s">
        <v>2363</v>
      </c>
      <c r="C1229" t="s">
        <v>2363</v>
      </c>
      <c r="D1229">
        <v>36.6</v>
      </c>
      <c r="E1229" t="s">
        <v>3147</v>
      </c>
      <c r="F1229" s="186" t="s">
        <v>2325</v>
      </c>
      <c r="H1229" t="b">
        <v>1</v>
      </c>
      <c r="I1229">
        <v>36.6</v>
      </c>
      <c r="J1229" s="186" t="s">
        <v>2324</v>
      </c>
      <c r="M1229">
        <f>IFERROR(_xlfn.XLOOKUP(A1229,Fleet!A:A,Fleet!E:E,""),"")</f>
        <v>4</v>
      </c>
      <c r="N1229" t="s">
        <v>22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2379</v>
      </c>
      <c r="B1230" t="s">
        <v>2380</v>
      </c>
      <c r="C1230" t="s">
        <v>2380</v>
      </c>
      <c r="D1230">
        <v>211.4</v>
      </c>
      <c r="E1230" t="s">
        <v>3147</v>
      </c>
      <c r="F1230" s="186" t="s">
        <v>2325</v>
      </c>
      <c r="H1230" t="b">
        <v>1</v>
      </c>
      <c r="I1230">
        <v>211.4</v>
      </c>
      <c r="J1230" s="186" t="s">
        <v>2324</v>
      </c>
      <c r="M1230">
        <f>IFERROR(_xlfn.XLOOKUP(A1230,Fleet!A:A,Fleet!E:E,""),"")</f>
        <v>2</v>
      </c>
      <c r="N1230" t="s">
        <v>22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2329</v>
      </c>
      <c r="B1231" t="s">
        <v>2330</v>
      </c>
      <c r="C1231" t="s">
        <v>2330</v>
      </c>
      <c r="D1231">
        <v>25.35</v>
      </c>
      <c r="E1231" t="s">
        <v>3147</v>
      </c>
      <c r="F1231" s="186" t="s">
        <v>2325</v>
      </c>
      <c r="H1231" t="b">
        <v>1</v>
      </c>
      <c r="I1231" t="s">
        <v>22</v>
      </c>
      <c r="J1231" s="186" t="s">
        <v>2324</v>
      </c>
      <c r="M1231">
        <f>IFERROR(_xlfn.XLOOKUP(A1231,Fleet!A:A,Fleet!E:E,""),"")</f>
        <v>1</v>
      </c>
      <c r="N1231" t="s">
        <v>22</v>
      </c>
      <c r="P1231" t="str">
        <f>_xlfn.XLOOKUP(A1231,'Classic Net to delete'!D:D,'Classic Net to delete'!A:A,"")</f>
        <v/>
      </c>
    </row>
    <row r="1232" spans="1:16" x14ac:dyDescent="0.25">
      <c r="A1232" t="s">
        <v>2377</v>
      </c>
      <c r="B1232" t="s">
        <v>3148</v>
      </c>
      <c r="C1232" t="s">
        <v>2326</v>
      </c>
      <c r="D1232">
        <v>170.7</v>
      </c>
      <c r="E1232" t="s">
        <v>3147</v>
      </c>
      <c r="F1232" s="186" t="s">
        <v>2325</v>
      </c>
      <c r="H1232" t="b">
        <v>1</v>
      </c>
      <c r="I1232">
        <v>170.70000000000002</v>
      </c>
      <c r="J1232" s="186" t="s">
        <v>2324</v>
      </c>
      <c r="M1232">
        <f>IFERROR(_xlfn.XLOOKUP(A1232,Fleet!A:A,Fleet!E:E,""),"")</f>
        <v>17</v>
      </c>
      <c r="N1232" t="s">
        <v>22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2355</v>
      </c>
      <c r="B1233" t="s">
        <v>2356</v>
      </c>
      <c r="C1233" t="s">
        <v>2356</v>
      </c>
      <c r="D1233">
        <v>116.2</v>
      </c>
      <c r="E1233" t="s">
        <v>3147</v>
      </c>
      <c r="F1233" s="186" t="s">
        <v>2325</v>
      </c>
      <c r="H1233" t="b">
        <v>1</v>
      </c>
      <c r="I1233">
        <v>116.2</v>
      </c>
      <c r="J1233" s="186" t="s">
        <v>2324</v>
      </c>
      <c r="M1233">
        <f>IFERROR(_xlfn.XLOOKUP(A1233,Fleet!A:A,Fleet!E:E,""),"")</f>
        <v>3</v>
      </c>
      <c r="N1233" t="s">
        <v>22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2353</v>
      </c>
      <c r="B1234" t="s">
        <v>3149</v>
      </c>
      <c r="C1234" t="s">
        <v>2354</v>
      </c>
      <c r="D1234">
        <v>33.35</v>
      </c>
      <c r="E1234" t="s">
        <v>3147</v>
      </c>
      <c r="F1234" s="186" t="s">
        <v>2325</v>
      </c>
      <c r="H1234" t="b">
        <v>1</v>
      </c>
      <c r="I1234">
        <v>33.35</v>
      </c>
      <c r="J1234" s="186" t="s">
        <v>2324</v>
      </c>
      <c r="M1234">
        <f>IFERROR(_xlfn.XLOOKUP(A1234,Fleet!A:A,Fleet!E:E,""),"")</f>
        <v>2</v>
      </c>
      <c r="N1234" t="s">
        <v>22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2364</v>
      </c>
      <c r="B1235" t="s">
        <v>2365</v>
      </c>
      <c r="C1235" t="s">
        <v>2365</v>
      </c>
      <c r="D1235">
        <v>61.9</v>
      </c>
      <c r="E1235" t="s">
        <v>3147</v>
      </c>
      <c r="F1235" s="186" t="s">
        <v>2325</v>
      </c>
      <c r="H1235" t="b">
        <v>1</v>
      </c>
      <c r="I1235">
        <v>61.900000000000006</v>
      </c>
      <c r="J1235" s="186" t="s">
        <v>2324</v>
      </c>
      <c r="M1235">
        <f>IFERROR(_xlfn.XLOOKUP(A1235,Fleet!A:A,Fleet!E:E,""),"")</f>
        <v>1</v>
      </c>
      <c r="N1235" t="s">
        <v>22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2333</v>
      </c>
      <c r="B1236" t="s">
        <v>3150</v>
      </c>
      <c r="C1236" t="s">
        <v>2334</v>
      </c>
      <c r="D1236">
        <v>500</v>
      </c>
      <c r="E1236" t="s">
        <v>3147</v>
      </c>
      <c r="F1236" s="186" t="s">
        <v>2325</v>
      </c>
      <c r="H1236" t="b">
        <v>0</v>
      </c>
      <c r="I1236" t="s">
        <v>22</v>
      </c>
      <c r="J1236" s="186" t="s">
        <v>2324</v>
      </c>
      <c r="M1236">
        <f>IFERROR(_xlfn.XLOOKUP(A1236,Fleet!A:A,Fleet!E:E,""),"")</f>
        <v>2</v>
      </c>
      <c r="N1236" t="s">
        <v>22</v>
      </c>
      <c r="P1236" t="str">
        <f>_xlfn.XLOOKUP(A1236,'Classic Net to delete'!D:D,'Classic Net to delete'!A:A,"")</f>
        <v/>
      </c>
    </row>
    <row r="1237" spans="1:16" x14ac:dyDescent="0.25">
      <c r="A1237" t="s">
        <v>2333</v>
      </c>
      <c r="B1237" t="s">
        <v>3150</v>
      </c>
      <c r="C1237" t="s">
        <v>2335</v>
      </c>
      <c r="D1237">
        <v>500</v>
      </c>
      <c r="E1237" t="s">
        <v>3147</v>
      </c>
      <c r="F1237" s="186" t="s">
        <v>2325</v>
      </c>
      <c r="H1237" t="b">
        <v>0</v>
      </c>
      <c r="I1237" t="s">
        <v>22</v>
      </c>
      <c r="J1237" s="186" t="s">
        <v>2324</v>
      </c>
      <c r="M1237">
        <f>IFERROR(_xlfn.XLOOKUP(A1237,Fleet!A:A,Fleet!E:E,""),"")</f>
        <v>2</v>
      </c>
      <c r="N1237" t="s">
        <v>22</v>
      </c>
      <c r="P1237" t="str">
        <f>_xlfn.XLOOKUP(A1237,'Classic Net to delete'!D:D,'Classic Net to delete'!A:A,"")</f>
        <v/>
      </c>
    </row>
    <row r="1238" spans="1:16" x14ac:dyDescent="0.25">
      <c r="A1238" t="s">
        <v>2327</v>
      </c>
      <c r="B1238" t="s">
        <v>2328</v>
      </c>
      <c r="C1238" t="s">
        <v>2328</v>
      </c>
      <c r="D1238">
        <v>95</v>
      </c>
      <c r="E1238" t="s">
        <v>3147</v>
      </c>
      <c r="F1238" s="186" t="s">
        <v>2325</v>
      </c>
      <c r="H1238" t="b">
        <v>1</v>
      </c>
      <c r="I1238" t="s">
        <v>22</v>
      </c>
      <c r="J1238" s="186" t="s">
        <v>2324</v>
      </c>
      <c r="M1238">
        <f>IFERROR(_xlfn.XLOOKUP(A1238,Fleet!A:A,Fleet!E:E,""),"")</f>
        <v>2</v>
      </c>
      <c r="N1238" t="s">
        <v>22</v>
      </c>
      <c r="P1238" t="str">
        <f>_xlfn.XLOOKUP(A1238,'Classic Net to delete'!D:D,'Classic Net to delete'!A:A,"")</f>
        <v/>
      </c>
    </row>
    <row r="1239" spans="1:16" x14ac:dyDescent="0.25">
      <c r="A1239" t="s">
        <v>2322</v>
      </c>
      <c r="B1239" t="s">
        <v>2323</v>
      </c>
      <c r="C1239" t="s">
        <v>2323</v>
      </c>
      <c r="D1239">
        <v>170.7</v>
      </c>
      <c r="E1239" t="s">
        <v>3147</v>
      </c>
      <c r="F1239" s="186" t="s">
        <v>2325</v>
      </c>
      <c r="H1239" t="b">
        <v>1</v>
      </c>
      <c r="I1239" t="s">
        <v>22</v>
      </c>
      <c r="J1239" s="186" t="s">
        <v>2324</v>
      </c>
      <c r="M1239">
        <f>IFERROR(_xlfn.XLOOKUP(A1239,Fleet!A:A,Fleet!E:E,""),"")</f>
        <v>4</v>
      </c>
      <c r="N1239" t="s">
        <v>22</v>
      </c>
      <c r="P1239" t="str">
        <f>_xlfn.XLOOKUP(A1239,'Classic Net to delete'!D:D,'Classic Net to delete'!A:A,"")</f>
        <v/>
      </c>
    </row>
    <row r="1240" spans="1:16" x14ac:dyDescent="0.25">
      <c r="A1240" t="s">
        <v>2322</v>
      </c>
      <c r="B1240" t="s">
        <v>2323</v>
      </c>
      <c r="C1240" t="s">
        <v>2326</v>
      </c>
      <c r="D1240">
        <v>170.7</v>
      </c>
      <c r="E1240" t="s">
        <v>3147</v>
      </c>
      <c r="F1240" s="186" t="s">
        <v>2325</v>
      </c>
      <c r="H1240" t="b">
        <v>1</v>
      </c>
      <c r="I1240" t="s">
        <v>22</v>
      </c>
      <c r="J1240" s="186" t="s">
        <v>2324</v>
      </c>
      <c r="M1240">
        <f>IFERROR(_xlfn.XLOOKUP(A1240,Fleet!A:A,Fleet!E:E,""),"")</f>
        <v>4</v>
      </c>
      <c r="N1240" t="s">
        <v>22</v>
      </c>
      <c r="P1240" t="str">
        <f>_xlfn.XLOOKUP(A1240,'Classic Net to delete'!D:D,'Classic Net to delete'!A:A,"")</f>
        <v/>
      </c>
    </row>
    <row r="1241" spans="1:16" x14ac:dyDescent="0.25">
      <c r="A1241" t="s">
        <v>1129</v>
      </c>
      <c r="B1241" t="s">
        <v>1130</v>
      </c>
      <c r="C1241" t="s">
        <v>1130</v>
      </c>
      <c r="D1241">
        <v>55.05</v>
      </c>
      <c r="E1241" t="s">
        <v>3151</v>
      </c>
      <c r="F1241" s="186" t="s">
        <v>955</v>
      </c>
      <c r="H1241" t="b">
        <v>1</v>
      </c>
      <c r="I1241">
        <v>55.050000000000004</v>
      </c>
      <c r="J1241" s="186" t="s">
        <v>944</v>
      </c>
      <c r="M1241">
        <f>IFERROR(_xlfn.XLOOKUP(A1241,Fleet!A:A,Fleet!E:E,""),"")</f>
        <v>14</v>
      </c>
      <c r="N1241" t="s">
        <v>22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956</v>
      </c>
      <c r="B1242" t="s">
        <v>957</v>
      </c>
      <c r="C1242" t="s">
        <v>957</v>
      </c>
      <c r="D1242">
        <v>43.3</v>
      </c>
      <c r="E1242" t="s">
        <v>3151</v>
      </c>
      <c r="F1242" s="186" t="s">
        <v>955</v>
      </c>
      <c r="H1242" t="b">
        <v>1</v>
      </c>
      <c r="I1242" t="s">
        <v>22</v>
      </c>
      <c r="J1242" s="186" t="s">
        <v>944</v>
      </c>
      <c r="M1242">
        <f>IFERROR(_xlfn.XLOOKUP(A1242,Fleet!A:A,Fleet!E:E,""),"")</f>
        <v>11</v>
      </c>
      <c r="N1242" t="s">
        <v>22</v>
      </c>
      <c r="P1242" t="str">
        <f>_xlfn.XLOOKUP(A1242,'Classic Net to delete'!D:D,'Classic Net to delete'!A:A,"")</f>
        <v/>
      </c>
    </row>
    <row r="1243" spans="1:16" x14ac:dyDescent="0.25">
      <c r="A1243" t="s">
        <v>1105</v>
      </c>
      <c r="B1243" t="s">
        <v>3154</v>
      </c>
      <c r="C1243" t="s">
        <v>1106</v>
      </c>
      <c r="D1243">
        <v>39.799999999999997</v>
      </c>
      <c r="E1243" t="s">
        <v>3151</v>
      </c>
      <c r="F1243" s="186" t="s">
        <v>955</v>
      </c>
      <c r="H1243" t="b">
        <v>1</v>
      </c>
      <c r="I1243">
        <v>39.800000000000004</v>
      </c>
      <c r="J1243" s="186" t="s">
        <v>944</v>
      </c>
      <c r="M1243">
        <f>IFERROR(_xlfn.XLOOKUP(A1243,Fleet!A:A,Fleet!E:E,""),"")</f>
        <v>28</v>
      </c>
      <c r="N1243" t="s">
        <v>22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1111</v>
      </c>
      <c r="B1244" t="s">
        <v>1112</v>
      </c>
      <c r="C1244" t="s">
        <v>1112</v>
      </c>
      <c r="D1244">
        <v>36</v>
      </c>
      <c r="E1244" t="s">
        <v>3151</v>
      </c>
      <c r="F1244" s="186" t="s">
        <v>955</v>
      </c>
      <c r="H1244" t="b">
        <v>1</v>
      </c>
      <c r="I1244">
        <v>36</v>
      </c>
      <c r="J1244" s="186" t="s">
        <v>944</v>
      </c>
      <c r="M1244">
        <f>IFERROR(_xlfn.XLOOKUP(A1244,Fleet!A:A,Fleet!E:E,""),"")</f>
        <v>2</v>
      </c>
      <c r="N1244" t="s">
        <v>22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1168</v>
      </c>
      <c r="B1245" t="s">
        <v>1169</v>
      </c>
      <c r="C1245" t="s">
        <v>1169</v>
      </c>
      <c r="D1245">
        <v>63.7</v>
      </c>
      <c r="E1245" t="s">
        <v>3151</v>
      </c>
      <c r="F1245" s="186" t="s">
        <v>955</v>
      </c>
      <c r="H1245" t="b">
        <v>1</v>
      </c>
      <c r="I1245">
        <v>63.7</v>
      </c>
      <c r="J1245" s="186" t="s">
        <v>944</v>
      </c>
      <c r="M1245">
        <f>IFERROR(_xlfn.XLOOKUP(A1245,Fleet!A:A,Fleet!E:E,""),"")</f>
        <v>2</v>
      </c>
      <c r="N1245" t="s">
        <v>22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1176</v>
      </c>
      <c r="B1246" t="s">
        <v>1177</v>
      </c>
      <c r="C1246" t="s">
        <v>1177</v>
      </c>
      <c r="D1246">
        <v>50.45</v>
      </c>
      <c r="E1246" t="s">
        <v>3151</v>
      </c>
      <c r="F1246" s="186" t="s">
        <v>997</v>
      </c>
      <c r="H1246" t="b">
        <v>1</v>
      </c>
      <c r="I1246">
        <v>50.45</v>
      </c>
      <c r="J1246" s="186" t="s">
        <v>944</v>
      </c>
      <c r="M1246">
        <f>IFERROR(_xlfn.XLOOKUP(A1246,Fleet!A:A,Fleet!E:E,""),"")</f>
        <v>5</v>
      </c>
      <c r="N1246" t="s">
        <v>22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2430</v>
      </c>
      <c r="B1247" t="s">
        <v>2431</v>
      </c>
      <c r="C1247" t="s">
        <v>2431</v>
      </c>
      <c r="D1247">
        <v>41</v>
      </c>
      <c r="E1247" t="s">
        <v>3151</v>
      </c>
      <c r="F1247" s="186" t="s">
        <v>2388</v>
      </c>
      <c r="H1247" t="b">
        <v>1</v>
      </c>
      <c r="I1247">
        <v>41</v>
      </c>
      <c r="J1247" s="186" t="s">
        <v>2387</v>
      </c>
      <c r="M1247">
        <f>IFERROR(_xlfn.XLOOKUP(A1247,Fleet!A:A,Fleet!E:E,""),"")</f>
        <v>3</v>
      </c>
      <c r="N1247" t="s">
        <v>22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1114</v>
      </c>
      <c r="B1248" t="s">
        <v>1115</v>
      </c>
      <c r="C1248" t="s">
        <v>1115</v>
      </c>
      <c r="D1248">
        <v>27.75</v>
      </c>
      <c r="E1248" t="s">
        <v>3151</v>
      </c>
      <c r="F1248" s="186" t="s">
        <v>955</v>
      </c>
      <c r="H1248" t="b">
        <v>1</v>
      </c>
      <c r="I1248">
        <v>27.75</v>
      </c>
      <c r="J1248" s="186" t="s">
        <v>944</v>
      </c>
      <c r="M1248">
        <f>IFERROR(_xlfn.XLOOKUP(A1248,Fleet!A:A,Fleet!E:E,""),"")</f>
        <v>8</v>
      </c>
      <c r="N1248" t="s">
        <v>22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1117</v>
      </c>
      <c r="B1249" t="s">
        <v>1118</v>
      </c>
      <c r="C1249" t="s">
        <v>1118</v>
      </c>
      <c r="D1249">
        <v>31.25</v>
      </c>
      <c r="E1249" t="s">
        <v>3151</v>
      </c>
      <c r="F1249" s="186" t="s">
        <v>955</v>
      </c>
      <c r="H1249" t="b">
        <v>1</v>
      </c>
      <c r="I1249">
        <v>31.25</v>
      </c>
      <c r="J1249" s="186" t="s">
        <v>944</v>
      </c>
      <c r="M1249">
        <f>IFERROR(_xlfn.XLOOKUP(A1249,Fleet!A:A,Fleet!E:E,""),"")</f>
        <v>46</v>
      </c>
      <c r="N1249" t="s">
        <v>22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1120</v>
      </c>
      <c r="B1250" t="s">
        <v>1121</v>
      </c>
      <c r="C1250" t="s">
        <v>1121</v>
      </c>
      <c r="D1250">
        <v>31.25</v>
      </c>
      <c r="E1250" t="s">
        <v>3151</v>
      </c>
      <c r="F1250" s="186" t="s">
        <v>955</v>
      </c>
      <c r="H1250" t="b">
        <v>1</v>
      </c>
      <c r="I1250">
        <v>31.25</v>
      </c>
      <c r="J1250" s="186" t="s">
        <v>944</v>
      </c>
      <c r="M1250">
        <f>IFERROR(_xlfn.XLOOKUP(A1250,Fleet!A:A,Fleet!E:E,""),"")</f>
        <v>5</v>
      </c>
      <c r="N1250" t="s">
        <v>22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1093</v>
      </c>
      <c r="B1251" t="s">
        <v>1094</v>
      </c>
      <c r="C1251" t="s">
        <v>1094</v>
      </c>
      <c r="D1251">
        <v>84.9</v>
      </c>
      <c r="E1251" t="s">
        <v>3151</v>
      </c>
      <c r="F1251" s="186" t="s">
        <v>955</v>
      </c>
      <c r="H1251" t="b">
        <v>1</v>
      </c>
      <c r="I1251">
        <v>84.9</v>
      </c>
      <c r="J1251" s="186" t="s">
        <v>944</v>
      </c>
      <c r="M1251">
        <f>IFERROR(_xlfn.XLOOKUP(A1251,Fleet!A:A,Fleet!E:E,""),"")</f>
        <v>14</v>
      </c>
      <c r="N1251" t="s">
        <v>22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1097</v>
      </c>
      <c r="B1252" t="s">
        <v>1098</v>
      </c>
      <c r="C1252" t="s">
        <v>1098</v>
      </c>
      <c r="D1252">
        <v>91.35</v>
      </c>
      <c r="E1252" t="s">
        <v>3151</v>
      </c>
      <c r="F1252" s="186" t="s">
        <v>955</v>
      </c>
      <c r="H1252" t="b">
        <v>1</v>
      </c>
      <c r="I1252">
        <v>91.350000000000009</v>
      </c>
      <c r="J1252" s="186" t="s">
        <v>944</v>
      </c>
      <c r="M1252">
        <f>IFERROR(_xlfn.XLOOKUP(A1252,Fleet!A:A,Fleet!E:E,""),"")</f>
        <v>1</v>
      </c>
      <c r="N1252" t="s">
        <v>22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1102</v>
      </c>
      <c r="B1253" t="s">
        <v>3152</v>
      </c>
      <c r="C1253" t="s">
        <v>1103</v>
      </c>
      <c r="D1253">
        <v>84.9</v>
      </c>
      <c r="E1253" t="s">
        <v>3151</v>
      </c>
      <c r="F1253" s="186" t="s">
        <v>955</v>
      </c>
      <c r="H1253" t="b">
        <v>1</v>
      </c>
      <c r="I1253">
        <v>84.9</v>
      </c>
      <c r="J1253" s="186" t="s">
        <v>944</v>
      </c>
      <c r="M1253">
        <f>IFERROR(_xlfn.XLOOKUP(A1253,Fleet!A:A,Fleet!E:E,""),"")</f>
        <v>5</v>
      </c>
      <c r="N1253" t="s">
        <v>22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964</v>
      </c>
      <c r="B1254" t="s">
        <v>965</v>
      </c>
      <c r="C1254" t="s">
        <v>965</v>
      </c>
      <c r="D1254">
        <v>93.45</v>
      </c>
      <c r="E1254" t="s">
        <v>3151</v>
      </c>
      <c r="F1254" s="186" t="s">
        <v>955</v>
      </c>
      <c r="H1254" t="b">
        <v>0</v>
      </c>
      <c r="I1254">
        <v>93.45</v>
      </c>
      <c r="J1254" s="186" t="s">
        <v>944</v>
      </c>
      <c r="M1254" t="str">
        <f>IFERROR(_xlfn.XLOOKUP(A1254,Fleet!A:A,Fleet!E:E,""),"")</f>
        <v/>
      </c>
      <c r="N1254" t="s">
        <v>22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2428</v>
      </c>
      <c r="B1255" t="s">
        <v>2429</v>
      </c>
      <c r="C1255" t="s">
        <v>2429</v>
      </c>
      <c r="D1255">
        <v>34.549999999999997</v>
      </c>
      <c r="E1255" t="s">
        <v>3151</v>
      </c>
      <c r="F1255" s="186" t="s">
        <v>2388</v>
      </c>
      <c r="H1255" t="b">
        <v>1</v>
      </c>
      <c r="I1255">
        <v>34.550000000000004</v>
      </c>
      <c r="J1255" s="186" t="s">
        <v>2387</v>
      </c>
      <c r="M1255">
        <f>IFERROR(_xlfn.XLOOKUP(A1255,Fleet!A:A,Fleet!E:E,""),"")</f>
        <v>2</v>
      </c>
      <c r="N1255" t="s">
        <v>22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1165</v>
      </c>
      <c r="B1256" t="s">
        <v>1166</v>
      </c>
      <c r="C1256" t="s">
        <v>1166</v>
      </c>
      <c r="D1256">
        <v>63.7</v>
      </c>
      <c r="E1256" t="s">
        <v>3151</v>
      </c>
      <c r="F1256" s="186" t="s">
        <v>997</v>
      </c>
      <c r="H1256" t="b">
        <v>1</v>
      </c>
      <c r="I1256">
        <v>63.7</v>
      </c>
      <c r="J1256" s="186" t="s">
        <v>944</v>
      </c>
      <c r="M1256">
        <f>IFERROR(_xlfn.XLOOKUP(A1256,Fleet!A:A,Fleet!E:E,""),"")</f>
        <v>2</v>
      </c>
      <c r="N1256" t="s">
        <v>22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2436</v>
      </c>
      <c r="B1257" t="s">
        <v>2437</v>
      </c>
      <c r="C1257" t="s">
        <v>2437</v>
      </c>
      <c r="D1257">
        <v>57.2</v>
      </c>
      <c r="E1257" t="s">
        <v>3151</v>
      </c>
      <c r="F1257" s="186" t="s">
        <v>2388</v>
      </c>
      <c r="H1257" t="b">
        <v>1</v>
      </c>
      <c r="I1257">
        <v>57.2</v>
      </c>
      <c r="J1257" s="186" t="s">
        <v>2387</v>
      </c>
      <c r="M1257">
        <f>IFERROR(_xlfn.XLOOKUP(A1257,Fleet!A:A,Fleet!E:E,""),"")</f>
        <v>4</v>
      </c>
      <c r="N1257" t="s">
        <v>22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2433</v>
      </c>
      <c r="B1258" t="s">
        <v>2434</v>
      </c>
      <c r="C1258" t="s">
        <v>2434</v>
      </c>
      <c r="D1258">
        <v>91.35</v>
      </c>
      <c r="E1258" t="s">
        <v>3151</v>
      </c>
      <c r="F1258" s="186" t="s">
        <v>2388</v>
      </c>
      <c r="H1258" t="b">
        <v>1</v>
      </c>
      <c r="I1258">
        <v>91.350000000000009</v>
      </c>
      <c r="J1258" s="186" t="s">
        <v>2387</v>
      </c>
      <c r="M1258">
        <f>IFERROR(_xlfn.XLOOKUP(A1258,Fleet!A:A,Fleet!E:E,""),"")</f>
        <v>7</v>
      </c>
      <c r="N1258" t="s">
        <v>22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1143</v>
      </c>
      <c r="B1259" t="s">
        <v>1144</v>
      </c>
      <c r="C1259" t="s">
        <v>1144</v>
      </c>
      <c r="D1259">
        <v>23.35</v>
      </c>
      <c r="E1259" t="s">
        <v>3151</v>
      </c>
      <c r="F1259" s="186" t="s">
        <v>997</v>
      </c>
      <c r="H1259" t="b">
        <v>1</v>
      </c>
      <c r="I1259">
        <v>23.35</v>
      </c>
      <c r="J1259" s="186" t="s">
        <v>944</v>
      </c>
      <c r="M1259">
        <f>IFERROR(_xlfn.XLOOKUP(A1259,Fleet!A:A,Fleet!E:E,""),"")</f>
        <v>13</v>
      </c>
      <c r="N1259" t="s">
        <v>22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1174</v>
      </c>
      <c r="B1260" t="s">
        <v>1175</v>
      </c>
      <c r="C1260" t="s">
        <v>1175</v>
      </c>
      <c r="D1260">
        <v>38.700000000000003</v>
      </c>
      <c r="E1260" t="s">
        <v>3151</v>
      </c>
      <c r="F1260" s="186" t="s">
        <v>997</v>
      </c>
      <c r="H1260" t="b">
        <v>1</v>
      </c>
      <c r="I1260">
        <v>38.700000000000003</v>
      </c>
      <c r="J1260" s="186" t="s">
        <v>944</v>
      </c>
      <c r="M1260">
        <f>IFERROR(_xlfn.XLOOKUP(A1260,Fleet!A:A,Fleet!E:E,""),"")</f>
        <v>3</v>
      </c>
      <c r="N1260" t="s">
        <v>22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2422</v>
      </c>
      <c r="B1261" t="s">
        <v>2423</v>
      </c>
      <c r="C1261" t="s">
        <v>2423</v>
      </c>
      <c r="D1261">
        <v>28.95</v>
      </c>
      <c r="E1261" t="s">
        <v>3151</v>
      </c>
      <c r="F1261" s="186" t="s">
        <v>2388</v>
      </c>
      <c r="H1261" t="b">
        <v>1</v>
      </c>
      <c r="I1261">
        <v>28.950000000000003</v>
      </c>
      <c r="J1261" s="186" t="s">
        <v>2387</v>
      </c>
      <c r="M1261">
        <f>IFERROR(_xlfn.XLOOKUP(A1261,Fleet!A:A,Fleet!E:E,""),"")</f>
        <v>7</v>
      </c>
      <c r="N1261" t="s">
        <v>22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2395</v>
      </c>
      <c r="B1262" t="s">
        <v>2396</v>
      </c>
      <c r="C1262" t="s">
        <v>2396</v>
      </c>
      <c r="D1262">
        <v>44.55</v>
      </c>
      <c r="E1262" t="s">
        <v>3151</v>
      </c>
      <c r="F1262" s="186" t="s">
        <v>2392</v>
      </c>
      <c r="H1262" t="b">
        <v>1</v>
      </c>
      <c r="I1262">
        <v>44.550000000000004</v>
      </c>
      <c r="J1262" s="186" t="s">
        <v>2387</v>
      </c>
      <c r="M1262">
        <f>IFERROR(_xlfn.XLOOKUP(A1262,Fleet!A:A,Fleet!E:E,""),"")</f>
        <v>16</v>
      </c>
      <c r="N1262" t="s">
        <v>22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2419</v>
      </c>
      <c r="B1263" t="s">
        <v>2420</v>
      </c>
      <c r="C1263" t="s">
        <v>2420</v>
      </c>
      <c r="D1263">
        <v>12.1</v>
      </c>
      <c r="E1263" t="s">
        <v>3151</v>
      </c>
      <c r="F1263" s="186" t="s">
        <v>2388</v>
      </c>
      <c r="H1263" t="b">
        <v>1</v>
      </c>
      <c r="I1263">
        <v>12.100000000000001</v>
      </c>
      <c r="J1263" s="186" t="s">
        <v>2387</v>
      </c>
      <c r="M1263">
        <f>IFERROR(_xlfn.XLOOKUP(A1263,Fleet!A:A,Fleet!E:E,""),"")</f>
        <v>17</v>
      </c>
      <c r="N1263" t="s">
        <v>22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2393</v>
      </c>
      <c r="B1264" t="s">
        <v>2394</v>
      </c>
      <c r="C1264" t="s">
        <v>2394</v>
      </c>
      <c r="D1264">
        <v>39.799999999999997</v>
      </c>
      <c r="E1264" t="s">
        <v>3151</v>
      </c>
      <c r="F1264" s="186" t="s">
        <v>2392</v>
      </c>
      <c r="H1264" t="b">
        <v>1</v>
      </c>
      <c r="I1264">
        <v>39.800000000000004</v>
      </c>
      <c r="J1264" s="186" t="s">
        <v>2387</v>
      </c>
      <c r="M1264">
        <f>IFERROR(_xlfn.XLOOKUP(A1264,Fleet!A:A,Fleet!E:E,""),"")</f>
        <v>6</v>
      </c>
      <c r="N1264" t="s">
        <v>22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2390</v>
      </c>
      <c r="B1265" t="s">
        <v>2391</v>
      </c>
      <c r="C1265" t="s">
        <v>2391</v>
      </c>
      <c r="D1265">
        <v>39.799999999999997</v>
      </c>
      <c r="E1265" t="s">
        <v>3151</v>
      </c>
      <c r="F1265" s="186" t="s">
        <v>2392</v>
      </c>
      <c r="H1265" t="b">
        <v>1</v>
      </c>
      <c r="I1265">
        <v>39.800000000000004</v>
      </c>
      <c r="J1265" s="186" t="s">
        <v>2387</v>
      </c>
      <c r="M1265">
        <f>IFERROR(_xlfn.XLOOKUP(A1265,Fleet!A:A,Fleet!E:E,""),"")</f>
        <v>3</v>
      </c>
      <c r="N1265" t="s">
        <v>22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1136</v>
      </c>
      <c r="B1266" t="s">
        <v>1137</v>
      </c>
      <c r="C1266" t="s">
        <v>1137</v>
      </c>
      <c r="D1266">
        <v>68.7</v>
      </c>
      <c r="E1266" t="s">
        <v>3151</v>
      </c>
      <c r="F1266" s="186" t="s">
        <v>997</v>
      </c>
      <c r="H1266" t="b">
        <v>1</v>
      </c>
      <c r="I1266">
        <v>68.7</v>
      </c>
      <c r="J1266" s="186" t="s">
        <v>944</v>
      </c>
      <c r="M1266">
        <f>IFERROR(_xlfn.XLOOKUP(A1266,Fleet!A:A,Fleet!E:E,""),"")</f>
        <v>6</v>
      </c>
      <c r="N1266" t="s">
        <v>22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1171</v>
      </c>
      <c r="B1267" t="s">
        <v>1172</v>
      </c>
      <c r="C1267" t="s">
        <v>1172</v>
      </c>
      <c r="D1267">
        <v>42.2</v>
      </c>
      <c r="E1267" t="s">
        <v>3151</v>
      </c>
      <c r="F1267" s="186" t="s">
        <v>997</v>
      </c>
      <c r="H1267" t="b">
        <v>1</v>
      </c>
      <c r="I1267">
        <v>42.2</v>
      </c>
      <c r="J1267" s="186" t="s">
        <v>944</v>
      </c>
      <c r="M1267">
        <f>IFERROR(_xlfn.XLOOKUP(A1267,Fleet!A:A,Fleet!E:E,""),"")</f>
        <v>3</v>
      </c>
      <c r="N1267" t="s">
        <v>22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1146</v>
      </c>
      <c r="B1268" t="s">
        <v>1147</v>
      </c>
      <c r="C1268" t="s">
        <v>1147</v>
      </c>
      <c r="D1268">
        <v>25.95</v>
      </c>
      <c r="E1268" t="s">
        <v>3151</v>
      </c>
      <c r="F1268" s="186" t="s">
        <v>997</v>
      </c>
      <c r="H1268" t="b">
        <v>1</v>
      </c>
      <c r="I1268">
        <v>25.950000000000003</v>
      </c>
      <c r="J1268" s="186" t="s">
        <v>944</v>
      </c>
      <c r="M1268">
        <f>IFERROR(_xlfn.XLOOKUP(A1268,Fleet!A:A,Fleet!E:E,""),"")</f>
        <v>20</v>
      </c>
      <c r="N1268" t="s">
        <v>22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1126</v>
      </c>
      <c r="B1269" t="s">
        <v>1127</v>
      </c>
      <c r="C1269" t="s">
        <v>1127</v>
      </c>
      <c r="D1269">
        <v>43.35</v>
      </c>
      <c r="E1269" t="s">
        <v>3151</v>
      </c>
      <c r="F1269" s="186" t="s">
        <v>955</v>
      </c>
      <c r="H1269" t="b">
        <v>1</v>
      </c>
      <c r="I1269">
        <v>43.35</v>
      </c>
      <c r="J1269" s="186" t="s">
        <v>2387</v>
      </c>
      <c r="M1269">
        <f>IFERROR(_xlfn.XLOOKUP(A1269,Fleet!A:A,Fleet!E:E,""),"")</f>
        <v>18</v>
      </c>
      <c r="N1269" t="s">
        <v>22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2398</v>
      </c>
      <c r="B1270" t="s">
        <v>2399</v>
      </c>
      <c r="C1270" t="s">
        <v>2399</v>
      </c>
      <c r="D1270">
        <v>64.849999999999994</v>
      </c>
      <c r="E1270" t="s">
        <v>3151</v>
      </c>
      <c r="F1270" s="186" t="s">
        <v>2392</v>
      </c>
      <c r="H1270" t="b">
        <v>1</v>
      </c>
      <c r="I1270">
        <v>64.850000000000009</v>
      </c>
      <c r="J1270" s="186" t="s">
        <v>2387</v>
      </c>
      <c r="M1270">
        <f>IFERROR(_xlfn.XLOOKUP(A1270,Fleet!A:A,Fleet!E:E,""),"")</f>
        <v>4</v>
      </c>
      <c r="N1270" t="s">
        <v>22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1149</v>
      </c>
      <c r="B1271" t="s">
        <v>1150</v>
      </c>
      <c r="C1271" t="s">
        <v>1150</v>
      </c>
      <c r="D1271">
        <v>46.35</v>
      </c>
      <c r="E1271" t="s">
        <v>3151</v>
      </c>
      <c r="F1271" s="186" t="s">
        <v>997</v>
      </c>
      <c r="H1271" t="b">
        <v>1</v>
      </c>
      <c r="I1271">
        <v>46.35</v>
      </c>
      <c r="J1271" s="186" t="s">
        <v>944</v>
      </c>
      <c r="M1271">
        <f>IFERROR(_xlfn.XLOOKUP(A1271,Fleet!A:A,Fleet!E:E,""),"")</f>
        <v>11</v>
      </c>
      <c r="N1271" t="s">
        <v>22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2425</v>
      </c>
      <c r="B1272" t="s">
        <v>2426</v>
      </c>
      <c r="C1272" t="s">
        <v>2426</v>
      </c>
      <c r="D1272">
        <v>37.75</v>
      </c>
      <c r="E1272" t="s">
        <v>3151</v>
      </c>
      <c r="F1272" s="186" t="s">
        <v>2388</v>
      </c>
      <c r="H1272" t="b">
        <v>1</v>
      </c>
      <c r="I1272">
        <v>37.75</v>
      </c>
      <c r="J1272" s="186" t="s">
        <v>2387</v>
      </c>
      <c r="M1272">
        <f>IFERROR(_xlfn.XLOOKUP(A1272,Fleet!A:A,Fleet!E:E,""),"")</f>
        <v>6</v>
      </c>
      <c r="N1272" t="s">
        <v>22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960</v>
      </c>
      <c r="B1273" t="s">
        <v>961</v>
      </c>
      <c r="C1273" t="s">
        <v>2389</v>
      </c>
      <c r="D1273">
        <v>74.05</v>
      </c>
      <c r="E1273" t="s">
        <v>3151</v>
      </c>
      <c r="F1273" s="186" t="s">
        <v>2388</v>
      </c>
      <c r="H1273" t="b">
        <v>1</v>
      </c>
      <c r="I1273" t="s">
        <v>22</v>
      </c>
      <c r="J1273" s="186" t="s">
        <v>2387</v>
      </c>
      <c r="M1273">
        <f>IFERROR(_xlfn.XLOOKUP(A1273,Fleet!A:A,Fleet!E:E,""),"")</f>
        <v>4</v>
      </c>
      <c r="N1273" t="s">
        <v>22</v>
      </c>
      <c r="P1273" t="str">
        <f>_xlfn.XLOOKUP(A1273,'Classic Net to delete'!D:D,'Classic Net to delete'!A:A,"")</f>
        <v/>
      </c>
    </row>
    <row r="1274" spans="1:16" x14ac:dyDescent="0.25">
      <c r="A1274" t="s">
        <v>1154</v>
      </c>
      <c r="B1274" t="s">
        <v>1155</v>
      </c>
      <c r="C1274" t="s">
        <v>1155</v>
      </c>
      <c r="D1274">
        <v>59.6</v>
      </c>
      <c r="E1274" t="s">
        <v>3151</v>
      </c>
      <c r="F1274" s="186" t="s">
        <v>997</v>
      </c>
      <c r="H1274" t="b">
        <v>1</v>
      </c>
      <c r="I1274">
        <v>59.6</v>
      </c>
      <c r="J1274" s="186" t="s">
        <v>944</v>
      </c>
      <c r="M1274">
        <f>IFERROR(_xlfn.XLOOKUP(A1274,Fleet!A:A,Fleet!E:E,""),"")</f>
        <v>3</v>
      </c>
      <c r="N1274" t="s">
        <v>22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1151</v>
      </c>
      <c r="B1275" t="s">
        <v>1152</v>
      </c>
      <c r="C1275" t="s">
        <v>1152</v>
      </c>
      <c r="D1275">
        <v>51</v>
      </c>
      <c r="E1275" t="s">
        <v>3151</v>
      </c>
      <c r="F1275" s="186" t="s">
        <v>997</v>
      </c>
      <c r="H1275" t="b">
        <v>1</v>
      </c>
      <c r="I1275">
        <v>51</v>
      </c>
      <c r="J1275" s="186" t="s">
        <v>944</v>
      </c>
      <c r="M1275">
        <f>IFERROR(_xlfn.XLOOKUP(A1275,Fleet!A:A,Fleet!E:E,""),"")</f>
        <v>4</v>
      </c>
      <c r="N1275" t="s">
        <v>22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1123</v>
      </c>
      <c r="B1276" t="s">
        <v>1124</v>
      </c>
      <c r="C1276" t="s">
        <v>1124</v>
      </c>
      <c r="D1276">
        <v>43.3</v>
      </c>
      <c r="E1276" t="s">
        <v>3151</v>
      </c>
      <c r="F1276" s="186" t="s">
        <v>955</v>
      </c>
      <c r="H1276" t="b">
        <v>1</v>
      </c>
      <c r="I1276">
        <v>43.300000000000004</v>
      </c>
      <c r="J1276" s="186" t="s">
        <v>944</v>
      </c>
      <c r="M1276">
        <f>IFERROR(_xlfn.XLOOKUP(A1276,Fleet!A:A,Fleet!E:E,""),"")</f>
        <v>9</v>
      </c>
      <c r="N1276" t="s">
        <v>22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953</v>
      </c>
      <c r="B1277" t="s">
        <v>954</v>
      </c>
      <c r="C1277" t="s">
        <v>954</v>
      </c>
      <c r="D1277">
        <v>41</v>
      </c>
      <c r="E1277" t="s">
        <v>3151</v>
      </c>
      <c r="F1277" s="186" t="s">
        <v>955</v>
      </c>
      <c r="H1277" t="b">
        <v>1</v>
      </c>
      <c r="I1277" t="s">
        <v>22</v>
      </c>
      <c r="J1277" s="186" t="s">
        <v>944</v>
      </c>
      <c r="M1277">
        <f>IFERROR(_xlfn.XLOOKUP(A1277,Fleet!A:A,Fleet!E:E,""),"")</f>
        <v>5</v>
      </c>
      <c r="N1277" t="s">
        <v>22</v>
      </c>
      <c r="P1277" t="str">
        <f>_xlfn.XLOOKUP(A1277,'Classic Net to delete'!D:D,'Classic Net to delete'!A:A,"")</f>
        <v/>
      </c>
    </row>
    <row r="1278" spans="1:16" x14ac:dyDescent="0.25">
      <c r="A1278" t="s">
        <v>1157</v>
      </c>
      <c r="B1278" t="s">
        <v>3153</v>
      </c>
      <c r="C1278" t="s">
        <v>1158</v>
      </c>
      <c r="D1278">
        <v>82</v>
      </c>
      <c r="E1278" t="s">
        <v>3151</v>
      </c>
      <c r="F1278" s="186" t="s">
        <v>997</v>
      </c>
      <c r="H1278" t="b">
        <v>1</v>
      </c>
      <c r="I1278">
        <v>82</v>
      </c>
      <c r="J1278" s="186" t="s">
        <v>944</v>
      </c>
      <c r="M1278">
        <f>IFERROR(_xlfn.XLOOKUP(A1278,Fleet!A:A,Fleet!E:E,""),"")</f>
        <v>4</v>
      </c>
      <c r="N1278" t="s">
        <v>22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2403</v>
      </c>
      <c r="B1279" t="s">
        <v>2404</v>
      </c>
      <c r="C1279" t="s">
        <v>2404</v>
      </c>
      <c r="D1279">
        <v>7.1</v>
      </c>
      <c r="E1279" t="s">
        <v>3151</v>
      </c>
      <c r="F1279" s="186" t="s">
        <v>2392</v>
      </c>
      <c r="H1279" t="b">
        <v>1</v>
      </c>
      <c r="I1279">
        <v>7.1000000000000005</v>
      </c>
      <c r="J1279" s="186" t="s">
        <v>2387</v>
      </c>
      <c r="M1279">
        <f>IFERROR(_xlfn.XLOOKUP(A1279,Fleet!A:A,Fleet!E:E,""),"")</f>
        <v>3</v>
      </c>
      <c r="N1279" t="s">
        <v>22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1160</v>
      </c>
      <c r="B1280" t="s">
        <v>1161</v>
      </c>
      <c r="C1280" t="s">
        <v>1161</v>
      </c>
      <c r="D1280">
        <v>75.599999999999994</v>
      </c>
      <c r="E1280" t="s">
        <v>3151</v>
      </c>
      <c r="F1280" s="186" t="s">
        <v>997</v>
      </c>
      <c r="H1280" t="b">
        <v>1</v>
      </c>
      <c r="I1280">
        <v>75.600000000000009</v>
      </c>
      <c r="J1280" s="186" t="s">
        <v>944</v>
      </c>
      <c r="M1280">
        <f>IFERROR(_xlfn.XLOOKUP(A1280,Fleet!A:A,Fleet!E:E,""),"")</f>
        <v>33</v>
      </c>
      <c r="N1280" t="s">
        <v>22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2439</v>
      </c>
      <c r="B1281" t="s">
        <v>2440</v>
      </c>
      <c r="C1281" t="s">
        <v>2440</v>
      </c>
      <c r="D1281">
        <v>47.05</v>
      </c>
      <c r="E1281" t="s">
        <v>3151</v>
      </c>
      <c r="F1281" s="186" t="s">
        <v>2388</v>
      </c>
      <c r="H1281" t="b">
        <v>1</v>
      </c>
      <c r="I1281">
        <v>47.050000000000004</v>
      </c>
      <c r="J1281" s="186" t="s">
        <v>2387</v>
      </c>
      <c r="M1281">
        <f>IFERROR(_xlfn.XLOOKUP(A1281,Fleet!A:A,Fleet!E:E,""),"")</f>
        <v>31</v>
      </c>
      <c r="N1281" t="s">
        <v>22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2401</v>
      </c>
      <c r="B1282" t="s">
        <v>2402</v>
      </c>
      <c r="C1282" t="s">
        <v>2402</v>
      </c>
      <c r="D1282">
        <v>73.7</v>
      </c>
      <c r="E1282" t="s">
        <v>3151</v>
      </c>
      <c r="F1282" s="186" t="s">
        <v>2392</v>
      </c>
      <c r="H1282" t="b">
        <v>1</v>
      </c>
      <c r="I1282">
        <v>73.7</v>
      </c>
      <c r="J1282" s="186" t="s">
        <v>2387</v>
      </c>
      <c r="M1282">
        <f>IFERROR(_xlfn.XLOOKUP(A1282,Fleet!A:A,Fleet!E:E,""),"")</f>
        <v>3</v>
      </c>
      <c r="N1282" t="s">
        <v>22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998</v>
      </c>
      <c r="B1283" t="s">
        <v>999</v>
      </c>
      <c r="C1283" t="s">
        <v>999</v>
      </c>
      <c r="D1283">
        <v>52.65</v>
      </c>
      <c r="E1283" t="s">
        <v>3151</v>
      </c>
      <c r="F1283" s="186" t="s">
        <v>997</v>
      </c>
      <c r="H1283" t="b">
        <v>1</v>
      </c>
      <c r="I1283" t="s">
        <v>22</v>
      </c>
      <c r="J1283" s="186" t="s">
        <v>944</v>
      </c>
      <c r="M1283">
        <f>IFERROR(_xlfn.XLOOKUP(A1283,Fleet!A:A,Fleet!E:E,""),"")</f>
        <v>6</v>
      </c>
      <c r="N1283" t="s">
        <v>22</v>
      </c>
      <c r="P1283" t="str">
        <f>_xlfn.XLOOKUP(A1283,'Classic Net to delete'!D:D,'Classic Net to delete'!A:A,"")</f>
        <v/>
      </c>
    </row>
    <row r="1284" spans="1:16" x14ac:dyDescent="0.25">
      <c r="A1284" t="s">
        <v>2441</v>
      </c>
      <c r="B1284" t="s">
        <v>2442</v>
      </c>
      <c r="C1284" t="s">
        <v>2442</v>
      </c>
      <c r="D1284">
        <v>74.05</v>
      </c>
      <c r="E1284" t="s">
        <v>3151</v>
      </c>
      <c r="F1284" s="186" t="s">
        <v>2388</v>
      </c>
      <c r="H1284" t="b">
        <v>1</v>
      </c>
      <c r="I1284">
        <v>74.05</v>
      </c>
      <c r="J1284" s="186" t="s">
        <v>2387</v>
      </c>
      <c r="M1284">
        <f>IFERROR(_xlfn.XLOOKUP(A1284,Fleet!A:A,Fleet!E:E,""),"")</f>
        <v>24</v>
      </c>
      <c r="N1284" t="s">
        <v>22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962</v>
      </c>
      <c r="B1285" t="s">
        <v>963</v>
      </c>
      <c r="C1285" t="s">
        <v>963</v>
      </c>
      <c r="D1285">
        <v>96.2</v>
      </c>
      <c r="E1285" t="s">
        <v>3151</v>
      </c>
      <c r="F1285" s="186" t="s">
        <v>955</v>
      </c>
      <c r="H1285" t="b">
        <v>1</v>
      </c>
      <c r="I1285" t="s">
        <v>22</v>
      </c>
      <c r="J1285" s="186" t="s">
        <v>944</v>
      </c>
      <c r="M1285">
        <f>IFERROR(_xlfn.XLOOKUP(A1285,Fleet!A:A,Fleet!E:E,""),"")</f>
        <v>6</v>
      </c>
      <c r="N1285" t="s">
        <v>22</v>
      </c>
      <c r="P1285" t="str">
        <f>_xlfn.XLOOKUP(A1285,'Classic Net to delete'!D:D,'Classic Net to delete'!A:A,"")</f>
        <v/>
      </c>
    </row>
    <row r="1286" spans="1:16" x14ac:dyDescent="0.25">
      <c r="A1286" t="s">
        <v>1108</v>
      </c>
      <c r="B1286" t="s">
        <v>1109</v>
      </c>
      <c r="C1286" t="s">
        <v>1109</v>
      </c>
      <c r="D1286">
        <v>96.2</v>
      </c>
      <c r="E1286" t="s">
        <v>3151</v>
      </c>
      <c r="F1286" s="186" t="s">
        <v>955</v>
      </c>
      <c r="H1286" t="b">
        <v>1</v>
      </c>
      <c r="I1286">
        <v>96.2</v>
      </c>
      <c r="J1286" s="186" t="s">
        <v>944</v>
      </c>
      <c r="M1286">
        <f>IFERROR(_xlfn.XLOOKUP(A1286,Fleet!A:A,Fleet!E:E,""),"")</f>
        <v>4</v>
      </c>
      <c r="N1286" t="s">
        <v>22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1100</v>
      </c>
      <c r="B1287" t="s">
        <v>3152</v>
      </c>
      <c r="C1287" t="s">
        <v>1101</v>
      </c>
      <c r="D1287">
        <v>84.9</v>
      </c>
      <c r="E1287" t="s">
        <v>3151</v>
      </c>
      <c r="F1287" s="186" t="s">
        <v>955</v>
      </c>
      <c r="H1287" t="b">
        <v>1</v>
      </c>
      <c r="I1287" t="s">
        <v>22</v>
      </c>
      <c r="J1287" s="186" t="s">
        <v>944</v>
      </c>
      <c r="M1287">
        <f>IFERROR(_xlfn.XLOOKUP(A1287,Fleet!A:A,Fleet!E:E,""),"")</f>
        <v>55</v>
      </c>
      <c r="N1287" t="s">
        <v>22</v>
      </c>
      <c r="P1287" t="str">
        <f>_xlfn.XLOOKUP(A1287,'Classic Net to delete'!D:D,'Classic Net to delete'!A:A,"")</f>
        <v/>
      </c>
    </row>
    <row r="1288" spans="1:16" x14ac:dyDescent="0.25">
      <c r="A1288" t="s">
        <v>2385</v>
      </c>
      <c r="B1288" t="s">
        <v>2386</v>
      </c>
      <c r="C1288" t="s">
        <v>2386</v>
      </c>
      <c r="D1288">
        <v>42.3</v>
      </c>
      <c r="E1288" t="s">
        <v>3151</v>
      </c>
      <c r="F1288" s="186" t="s">
        <v>2388</v>
      </c>
      <c r="H1288" t="b">
        <v>1</v>
      </c>
      <c r="I1288" t="s">
        <v>22</v>
      </c>
      <c r="J1288" s="186" t="s">
        <v>2387</v>
      </c>
      <c r="M1288">
        <f>IFERROR(_xlfn.XLOOKUP(A1288,Fleet!A:A,Fleet!E:E,""),"")</f>
        <v>3</v>
      </c>
      <c r="N1288" t="s">
        <v>22</v>
      </c>
      <c r="P1288" t="str">
        <f>_xlfn.XLOOKUP(A1288,'Classic Net to delete'!D:D,'Classic Net to delete'!A:A,"")</f>
        <v/>
      </c>
    </row>
    <row r="1289" spans="1:16" x14ac:dyDescent="0.25">
      <c r="A1289" t="s">
        <v>995</v>
      </c>
      <c r="B1289" t="s">
        <v>996</v>
      </c>
      <c r="C1289" t="s">
        <v>996</v>
      </c>
      <c r="D1289">
        <v>90.15</v>
      </c>
      <c r="E1289" t="s">
        <v>3151</v>
      </c>
      <c r="F1289" s="186" t="s">
        <v>997</v>
      </c>
      <c r="H1289" t="b">
        <v>1</v>
      </c>
      <c r="I1289" t="s">
        <v>22</v>
      </c>
      <c r="J1289" s="186" t="s">
        <v>944</v>
      </c>
      <c r="M1289">
        <f>IFERROR(_xlfn.XLOOKUP(A1289,Fleet!A:A,Fleet!E:E,""),"")</f>
        <v>3</v>
      </c>
      <c r="N1289" t="s">
        <v>22</v>
      </c>
      <c r="P1289" t="str">
        <f>_xlfn.XLOOKUP(A1289,'Classic Net to delete'!D:D,'Classic Net to delete'!A:A,"")</f>
        <v/>
      </c>
    </row>
    <row r="1290" spans="1:16" x14ac:dyDescent="0.25">
      <c r="A1290" t="s">
        <v>958</v>
      </c>
      <c r="B1290" t="s">
        <v>959</v>
      </c>
      <c r="C1290" t="s">
        <v>959</v>
      </c>
      <c r="D1290">
        <v>38.65</v>
      </c>
      <c r="E1290" t="s">
        <v>3151</v>
      </c>
      <c r="F1290" s="186" t="s">
        <v>955</v>
      </c>
      <c r="H1290" t="b">
        <v>1</v>
      </c>
      <c r="I1290" t="s">
        <v>22</v>
      </c>
      <c r="J1290" s="186" t="s">
        <v>944</v>
      </c>
      <c r="M1290">
        <f>IFERROR(_xlfn.XLOOKUP(A1290,Fleet!A:A,Fleet!E:E,""),"")</f>
        <v>6</v>
      </c>
      <c r="N1290" t="s">
        <v>22</v>
      </c>
      <c r="P1290" t="str">
        <f>_xlfn.XLOOKUP(A1290,'Classic Net to delete'!D:D,'Classic Net to delete'!A:A,"")</f>
        <v/>
      </c>
    </row>
    <row r="1291" spans="1:16" x14ac:dyDescent="0.25">
      <c r="A1291" t="s">
        <v>960</v>
      </c>
      <c r="B1291" t="s">
        <v>961</v>
      </c>
      <c r="C1291" t="s">
        <v>961</v>
      </c>
      <c r="D1291">
        <v>74.05</v>
      </c>
      <c r="E1291" t="s">
        <v>3151</v>
      </c>
      <c r="F1291" s="186" t="s">
        <v>955</v>
      </c>
      <c r="H1291" t="b">
        <v>1</v>
      </c>
      <c r="I1291" t="s">
        <v>22</v>
      </c>
      <c r="J1291" s="186" t="s">
        <v>944</v>
      </c>
      <c r="M1291">
        <f>IFERROR(_xlfn.XLOOKUP(A1291,Fleet!A:A,Fleet!E:E,""),"")</f>
        <v>4</v>
      </c>
      <c r="N1291" t="s">
        <v>22</v>
      </c>
      <c r="P1291" t="str">
        <f>_xlfn.XLOOKUP(A1291,'Classic Net to delete'!D:D,'Classic Net to delete'!A:A,"")</f>
        <v/>
      </c>
    </row>
    <row r="1292" spans="1:16" x14ac:dyDescent="0.25">
      <c r="A1292" t="s">
        <v>2116</v>
      </c>
      <c r="B1292" t="s">
        <v>2117</v>
      </c>
      <c r="C1292" t="s">
        <v>2117</v>
      </c>
      <c r="D1292">
        <v>51</v>
      </c>
      <c r="E1292" t="s">
        <v>3155</v>
      </c>
      <c r="F1292" s="186" t="s">
        <v>2119</v>
      </c>
      <c r="H1292" t="b">
        <v>1</v>
      </c>
      <c r="I1292">
        <v>51</v>
      </c>
      <c r="J1292" s="186" t="s">
        <v>2064</v>
      </c>
      <c r="M1292">
        <f>IFERROR(_xlfn.XLOOKUP(A1292,Fleet!A:A,Fleet!E:E,""),"")</f>
        <v>43</v>
      </c>
      <c r="N1292" t="s">
        <v>22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2123</v>
      </c>
      <c r="B1293" t="s">
        <v>2124</v>
      </c>
      <c r="C1293" t="s">
        <v>2124</v>
      </c>
      <c r="D1293">
        <v>63.15</v>
      </c>
      <c r="E1293" t="s">
        <v>3155</v>
      </c>
      <c r="F1293" s="186" t="s">
        <v>2119</v>
      </c>
      <c r="H1293" t="b">
        <v>1</v>
      </c>
      <c r="I1293">
        <v>63.150000000000006</v>
      </c>
      <c r="J1293" s="186" t="s">
        <v>2064</v>
      </c>
      <c r="M1293">
        <f>IFERROR(_xlfn.XLOOKUP(A1293,Fleet!A:A,Fleet!E:E,""),"")</f>
        <v>5</v>
      </c>
      <c r="N1293" t="s">
        <v>22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2126</v>
      </c>
      <c r="B1294" t="s">
        <v>2127</v>
      </c>
      <c r="C1294" t="s">
        <v>2127</v>
      </c>
      <c r="D1294">
        <v>65.75</v>
      </c>
      <c r="E1294" t="s">
        <v>3155</v>
      </c>
      <c r="F1294" s="186" t="s">
        <v>2119</v>
      </c>
      <c r="H1294" t="b">
        <v>1</v>
      </c>
      <c r="I1294">
        <v>65.75</v>
      </c>
      <c r="J1294" s="186" t="s">
        <v>2064</v>
      </c>
      <c r="M1294">
        <f>IFERROR(_xlfn.XLOOKUP(A1294,Fleet!A:A,Fleet!E:E,""),"")</f>
        <v>3</v>
      </c>
      <c r="N1294" t="s">
        <v>22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2120</v>
      </c>
      <c r="B1295" t="s">
        <v>2121</v>
      </c>
      <c r="C1295" t="s">
        <v>2121</v>
      </c>
      <c r="D1295">
        <v>57.8</v>
      </c>
      <c r="E1295" t="s">
        <v>3155</v>
      </c>
      <c r="F1295" s="186" t="s">
        <v>2119</v>
      </c>
      <c r="H1295" t="b">
        <v>1</v>
      </c>
      <c r="I1295">
        <v>57.800000000000004</v>
      </c>
      <c r="J1295" s="186" t="s">
        <v>2064</v>
      </c>
      <c r="M1295">
        <f>IFERROR(_xlfn.XLOOKUP(A1295,Fleet!A:A,Fleet!E:E,""),"")</f>
        <v>8</v>
      </c>
      <c r="N1295" t="s">
        <v>22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2134</v>
      </c>
      <c r="B1296" t="s">
        <v>2135</v>
      </c>
      <c r="C1296" t="s">
        <v>2135</v>
      </c>
      <c r="D1296">
        <v>174.3</v>
      </c>
      <c r="E1296" t="s">
        <v>3155</v>
      </c>
      <c r="F1296" s="186" t="s">
        <v>2119</v>
      </c>
      <c r="H1296" t="b">
        <v>1</v>
      </c>
      <c r="I1296">
        <v>174.3</v>
      </c>
      <c r="J1296" s="186" t="s">
        <v>2064</v>
      </c>
      <c r="M1296">
        <f>IFERROR(_xlfn.XLOOKUP(A1296,Fleet!A:A,Fleet!E:E,""),"")</f>
        <v>10</v>
      </c>
      <c r="N1296" t="s">
        <v>22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2132</v>
      </c>
      <c r="B1297" t="s">
        <v>2133</v>
      </c>
      <c r="C1297" t="s">
        <v>2133</v>
      </c>
      <c r="D1297">
        <v>141.19999999999999</v>
      </c>
      <c r="E1297" t="s">
        <v>3155</v>
      </c>
      <c r="F1297" s="186" t="s">
        <v>2119</v>
      </c>
      <c r="H1297" t="b">
        <v>1</v>
      </c>
      <c r="I1297">
        <v>141.20000000000002</v>
      </c>
      <c r="J1297" s="186" t="s">
        <v>2064</v>
      </c>
      <c r="M1297">
        <f>IFERROR(_xlfn.XLOOKUP(A1297,Fleet!A:A,Fleet!E:E,""),"")</f>
        <v>3</v>
      </c>
      <c r="N1297" t="s">
        <v>22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2129</v>
      </c>
      <c r="B1298" t="s">
        <v>2130</v>
      </c>
      <c r="C1298" t="s">
        <v>2130</v>
      </c>
      <c r="D1298">
        <v>107.35</v>
      </c>
      <c r="E1298" t="s">
        <v>3155</v>
      </c>
      <c r="F1298" s="186" t="s">
        <v>2119</v>
      </c>
      <c r="H1298" t="b">
        <v>1</v>
      </c>
      <c r="I1298">
        <v>107.35000000000001</v>
      </c>
      <c r="J1298" s="186" t="s">
        <v>2064</v>
      </c>
      <c r="M1298">
        <f>IFERROR(_xlfn.XLOOKUP(A1298,Fleet!A:A,Fleet!E:E,""),"")</f>
        <v>2</v>
      </c>
      <c r="N1298" t="s">
        <v>22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2136</v>
      </c>
      <c r="B1299" t="s">
        <v>2137</v>
      </c>
      <c r="C1299" t="s">
        <v>2137</v>
      </c>
      <c r="D1299">
        <v>181.6</v>
      </c>
      <c r="E1299" t="s">
        <v>3155</v>
      </c>
      <c r="F1299" s="186" t="s">
        <v>2119</v>
      </c>
      <c r="H1299" t="b">
        <v>1</v>
      </c>
      <c r="I1299">
        <v>181.60000000000002</v>
      </c>
      <c r="J1299" s="186" t="s">
        <v>2064</v>
      </c>
      <c r="M1299">
        <f>IFERROR(_xlfn.XLOOKUP(A1299,Fleet!A:A,Fleet!E:E,""),"")</f>
        <v>12</v>
      </c>
      <c r="N1299" t="s">
        <v>22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2139</v>
      </c>
      <c r="B1300" t="s">
        <v>2140</v>
      </c>
      <c r="C1300" t="s">
        <v>2140</v>
      </c>
      <c r="D1300">
        <v>71.150000000000006</v>
      </c>
      <c r="E1300" t="s">
        <v>3155</v>
      </c>
      <c r="F1300" s="186" t="s">
        <v>2119</v>
      </c>
      <c r="H1300" t="b">
        <v>1</v>
      </c>
      <c r="I1300">
        <v>71.150000000000006</v>
      </c>
      <c r="J1300" s="186" t="s">
        <v>2064</v>
      </c>
      <c r="M1300">
        <f>IFERROR(_xlfn.XLOOKUP(A1300,Fleet!A:A,Fleet!E:E,""),"")</f>
        <v>13</v>
      </c>
      <c r="N1300" t="s">
        <v>22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  <If_x0020_Other_x002c__x0020_who_x003f_ xmlns="067b745f-aaba-4178-8a38-dcdc642717ae" xsi:nil="true"/>
    <Who_x0020_deals_x0020_with_x0020_this_x003f_ xmlns="067b745f-aaba-4178-8a38-dcdc642717ae" xsi:nil="true"/>
    <Frequently_x0020_asked_x0020_question_x0020_by_x0020_customer_x003a_ xmlns="067b745f-aaba-4178-8a38-dcdc642717a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22" ma:contentTypeDescription="Create a new document." ma:contentTypeScope="" ma:versionID="ab3d14502f9558a79ef6063981964be3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1b47995d545c5fc83d70bc23334382c2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  <xsd:element ref="ns2:Frequently_x0020_asked_x0020_question_x0020_by_x0020_customer_x003a_" minOccurs="0"/>
                <xsd:element ref="ns2:Who_x0020_deals_x0020_with_x0020_this_x003f_" minOccurs="0"/>
                <xsd:element ref="ns2:If_x0020_Other_x002c__x0020_who_x003f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>
          <xsd:maxLength value="255"/>
        </xsd:restriction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Frequently_x0020_asked_x0020_question_x0020_by_x0020_customer_x003a_" ma:index="27" nillable="true" ma:displayName="Frequently asked question by customer:" ma:internalName="Frequently_x0020_asked_x0020_question_x0020_by_x0020_customer_x003a_">
      <xsd:simpleType>
        <xsd:restriction base="dms:Note">
          <xsd:maxLength value="255"/>
        </xsd:restriction>
      </xsd:simpleType>
    </xsd:element>
    <xsd:element name="Who_x0020_deals_x0020_with_x0020_this_x003f_" ma:index="28" nillable="true" ma:displayName="Who deals with this?" ma:internalName="Who_x0020_deals_x0020_with_x0020_this_x003f_">
      <xsd:simpleType>
        <xsd:restriction base="dms:Choice">
          <xsd:enumeration value="Hire Controller"/>
          <xsd:enumeration value="Manager"/>
          <xsd:enumeration value="Accounts team or other dept"/>
          <xsd:enumeration value="Senior Hire Controller"/>
          <xsd:enumeration value="Other"/>
        </xsd:restriction>
      </xsd:simpleType>
    </xsd:element>
    <xsd:element name="If_x0020_Other_x002c__x0020_who_x003f_" ma:index="29" nillable="true" ma:displayName="If Other, who?" ma:internalName="If_x0020_Other_x002c__x0020_who_x003f_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customXml/itemProps2.xml><?xml version="1.0" encoding="utf-8"?>
<ds:datastoreItem xmlns:ds="http://schemas.openxmlformats.org/officeDocument/2006/customXml" ds:itemID="{6626A59A-3AF3-4623-93E4-A2FEFB5D6942}"/>
</file>

<file path=customXml/itemProps3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2026-03-24T16:53:38Z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