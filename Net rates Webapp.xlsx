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259" documentId="8_{D1BDF8B0-F1C0-4BC4-96B5-7FA9A3819E6B}" xr6:coauthVersionLast="47" xr6:coauthVersionMax="47" xr10:uidLastSave="{1AF80959-FB5C-4E3C-88FA-806F788D2F95}"/>
  <bookViews>
    <workbookView xWindow="3750" yWindow="990" windowWidth="28800" windowHeight="1534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Import!$A$1:$R$1310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0" i="6" l="1"/>
  <c r="E841" i="6"/>
  <c r="E842" i="6"/>
  <c r="E249" i="6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10" i="6"/>
  <c r="L1310" i="6"/>
  <c r="E1310" i="6"/>
  <c r="Q1309" i="6"/>
  <c r="L1309" i="6"/>
  <c r="E1309" i="6"/>
  <c r="Q1308" i="6"/>
  <c r="L1308" i="6"/>
  <c r="E1308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<sst xmlns="http://schemas.openxmlformats.org/spreadsheetml/2006/main" count="37923" uniqueCount="3980">
  <si>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</si>
  <si>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</si>
  <si>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</si>
  <si>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</si>
  <si>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</si>
  <si>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</si>
  <si>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</si>
  <si>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</si>
  <si>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</si>
  <si>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</si>
  <si>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</si>
  <si>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</si>
  <si>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</si>
  <si>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</si>
  <si>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</si>
  <si>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</si>
  <si>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</si>
  <si>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</si>
  <si>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</si>
  <si>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</si>
  <si>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</si>
  <si>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</si>
  <si>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</si>
  <si>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</si>
  <si>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</si>
  <si>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</si>
  <si>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</si>
  <si>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</si>
  <si>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</si>
  <si>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</si>
  <si>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</si>
  <si>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</si>
  <si>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</si>
  <si>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</si>
  <si>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</si>
  <si>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</si>
  <si>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</si>
  <si>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</si>
  <si>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</si>
  <si>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</si>
  <si>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</si>
  <si>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</si>
  <si>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</si>
  <si>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</si>
  <si>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</si>
  <si>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</si>
  <si>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</si>
  <si>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</si>
  <si>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</si>
  <si>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</si>
  <si>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</si>
  <si>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</si>
  <si>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</si>
  <si>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</si>
  <si>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</si>
  <si>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</si>
  <si>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</si>
  <si>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</si>
  <si>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</si>
  <si>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</si>
  <si>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</si>
  <si>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</si>
  <si>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</si>
  <si>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</si>
  <si>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</si>
  <si>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</si>
  <si>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</si>
  <si>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</si>
  <si>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</si>
  <si>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</si>
  <si>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</si>
  <si>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</si>
  <si>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</si>
  <si>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</si>
  <si>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</si>
  <si>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</si>
  <si>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</si>
  <si>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</si>
  <si>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</si>
  <si>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</si>
  <si>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</si>
  <si>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</si>
  <si>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</si>
  <si>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</si>
  <si>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</si>
  <si>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</si>
  <si>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</si>
  <si>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</si>
  <si>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</si>
  <si>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</si>
  <si>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</si>
  <si>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</si>
  <si>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</si>
  <si>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</si>
  <si>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</si>
  <si>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</si>
  <si>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</si>
  <si>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</si>
  <si>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</si>
  <si>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</si>
  <si>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</si>
  <si>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</si>
  <si>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</si>
  <si>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</si>
  <si>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</si>
  <si>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</si>
  <si>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</si>
  <si>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</si>
  <si>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</si>
  <si>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</si>
  <si>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</si>
  <si>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</si>
  <si>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</si>
  <si>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</si>
  <si>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</si>
  <si>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</si>
  <si>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</si>
  <si>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</si>
  <si>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</si>
  <si>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</si>
  <si>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</si>
  <si>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</si>
  <si>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</si>
  <si>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</si>
  <si>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</si>
  <si>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</si>
  <si>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</si>
  <si>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</si>
  <si>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</si>
  <si>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</si>
  <si>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</si>
  <si>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</si>
  <si>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</si>
  <si>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</si>
  <si>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</si>
  <si>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</si>
  <si>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</si>
  <si>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</si>
  <si>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</si>
  <si>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</si>
  <si>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</si>
  <si>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</si>
  <si>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</si>
  <si>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</si>
  <si>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</si>
  <si>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</si>
  <si>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</si>
  <si>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</si>
  <si>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</si>
  <si>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</si>
  <si>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</si>
  <si>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</si>
  <si>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</si>
  <si>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</si>
  <si>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</si>
  <si>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</si>
  <si>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</si>
  <si>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</si>
  <si>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</si>
  <si>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</si>
  <si>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</si>
  <si>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</si>
  <si>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</si>
  <si>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</si>
  <si>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</si>
  <si>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</si>
  <si>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</si>
  <si>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</si>
  <si>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</si>
  <si>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</si>
  <si>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</si>
  <si>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</si>
  <si>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</si>
  <si>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</si>
  <si>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</si>
  <si>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</si>
  <si>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</si>
  <si>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</si>
  <si>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</si>
  <si>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</si>
  <si>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</si>
  <si>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</si>
  <si>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</si>
  <si>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</si>
  <si>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</si>
  <si>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</si>
  <si>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</si>
  <si>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</si>
  <si>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</si>
  <si>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</si>
  <si>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</si>
  <si>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</si>
  <si>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</si>
  <si>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</si>
  <si>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</si>
  <si>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</si>
  <si>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</si>
  <si>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</si>
  <si>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</si>
  <si>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</si>
  <si>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</si>
  <si>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</si>
  <si>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</si>
  <si>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</si>
  <si>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</si>
  <si>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</si>
  <si>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</si>
  <si>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</si>
  <si>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</si>
  <si>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</si>
  <si>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</si>
  <si>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</si>
  <si>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</si>
  <si>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</si>
  <si>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</si>
  <si>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</si>
  <si>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</si>
  <si>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</si>
  <si>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</si>
  <si>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</si>
  <si>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</si>
  <si>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</si>
  <si>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</si>
  <si>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</si>
  <si>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</si>
  <si>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</si>
  <si>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</si>
  <si>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</si>
  <si>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</si>
  <si>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</si>
  <si>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</si>
  <si>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</si>
  <si>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</si>
  <si>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</si>
  <si>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</si>
  <si>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</si>
  <si>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</si>
  <si>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</si>
  <si>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</si>
  <si>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</si>
  <si>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</si>
  <si>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</si>
  <si>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</si>
  <si>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</si>
  <si>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</si>
  <si>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</si>
  <si>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</si>
  <si>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</si>
  <si>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</si>
  <si>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</si>
  <si>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</si>
  <si>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</si>
  <si>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</si>
  <si>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</si>
  <si>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</si>
  <si>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</si>
  <si>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</si>
  <si>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</si>
  <si>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</si>
  <si>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</si>
  <si>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</si>
  <si>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</si>
  <si>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</si>
  <si>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</si>
  <si>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</si>
  <si>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</si>
  <si>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</si>
  <si>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</si>
  <si>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</si>
  <si>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</si>
  <si>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</si>
  <si>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</si>
  <si>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</si>
  <si>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</si>
  <si>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</si>
  <si>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</si>
  <si>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</si>
  <si>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</si>
  <si>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</si>
  <si>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</si>
  <si>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</si>
  <si>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</si>
  <si>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</si>
  <si>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</si>
  <si>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</si>
  <si>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</si>
  <si>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</si>
  <si>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</si>
  <si>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</si>
  <si>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</si>
  <si>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</si>
  <si>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</si>
  <si>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</si>
  <si>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</si>
  <si>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</si>
  <si>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</si>
  <si>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</si>
  <si>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</si>
  <si>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</si>
  <si>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</si>
  <si>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</si>
  <si>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</si>
  <si>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</si>
  <si>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</si>
  <si>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</si>
  <si>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</si>
  <si>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</si>
  <si>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</si>
  <si>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</si>
  <si>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</si>
  <si>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</si>
  <si>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</si>
  <si>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</si>
  <si>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</si>
  <si>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</si>
  <si>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</si>
  <si>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</si>
  <si>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</si>
  <si>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</si>
  <si>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</si>
  <si>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</si>
  <si>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</si>
  <si>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</si>
  <si>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</si>
  <si>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</si>
  <si>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</si>
  <si>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</si>
  <si>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</si>
  <si>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</si>
  <si>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</si>
  <si>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</si>
  <si>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</si>
  <si>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</si>
  <si>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</si>
  <si>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</si>
  <si>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</si>
  <si>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</si>
  <si>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</si>
  <si>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</si>
  <si>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</si>
  <si>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</si>
  <si>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</si>
  <si>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</si>
  <si>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</si>
  <si>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</si>
  <si>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</si>
  <si>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</si>
  <si>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</si>
  <si>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</si>
  <si>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</si>
  <si>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</si>
  <si>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</si>
  <si>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</si>
  <si>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</si>
  <si>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</si>
  <si>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</si>
  <si>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</si>
  <si>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</si>
  <si>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</si>
  <si>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</si>
  <si>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</si>
  <si>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</si>
  <si>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</si>
  <si>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</si>
  <si>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</si>
  <si>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</si>
  <si>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</si>
  <si>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</si>
  <si>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</si>
  <si>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</si>
  <si>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</si>
  <si>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</si>
  <si>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</si>
  <si>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</si>
  <si>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</si>
  <si>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</si>
  <si>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</si>
  <si>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</si>
  <si>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</si>
  <si>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</si>
  <si>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</si>
  <si>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</si>
  <si>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</si>
  <si>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</si>
  <si>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</si>
  <si>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</si>
  <si>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</si>
  <si>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</si>
  <si>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</si>
  <si>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</si>
  <si>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</si>
  <si>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</si>
  <si>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</si>
  <si>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</si>
  <si>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</si>
  <si>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</si>
  <si>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</si>
  <si>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</si>
  <si>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</si>
  <si>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</si>
  <si>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</si>
  <si>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</si>
  <si>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</si>
  <si>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</si>
  <si>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</si>
  <si>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</si>
  <si>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</si>
  <si>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</si>
  <si>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</si>
  <si>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</si>
  <si>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</si>
  <si>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</si>
  <si>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</si>
  <si>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</si>
  <si>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</si>
  <si>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</si>
  <si>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</si>
  <si>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</si>
  <si>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</si>
  <si>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</si>
  <si>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</si>
  <si>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</si>
  <si>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</si>
  <si>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</si>
  <si>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</si>
  <si>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</si>
  <si>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</si>
  <si>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</si>
  <si>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</si>
  <si>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</si>
  <si>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</si>
  <si>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</si>
  <si>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</si>
  <si>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</si>
  <si>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</si>
  <si>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</si>
  <si>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</si>
  <si>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</si>
  <si>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</si>
  <si>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</si>
  <si>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</si>
  <si>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</si>
  <si>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</si>
  <si>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</si>
  <si>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</si>
  <si>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</si>
  <si>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</si>
  <si>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</si>
  <si>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</si>
  <si>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</si>
  <si>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</si>
  <si>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</si>
  <si>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</si>
  <si>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</si>
  <si>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</si>
  <si>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</si>
  <si>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</si>
  <si>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</si>
  <si>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</si>
  <si>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</si>
  <si>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</si>
  <si>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</si>
  <si>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</si>
  <si>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</si>
  <si>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</si>
  <si>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</si>
  <si>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</si>
  <si>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</si>
  <si>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</si>
  <si>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</si>
  <si>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</si>
  <si>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</si>
  <si>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</si>
  <si>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</si>
  <si>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</si>
  <si>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</si>
  <si>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</si>
  <si>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</si>
  <si>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</si>
  <si>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</si>
  <si>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</si>
  <si>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</si>
  <si>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</si>
  <si>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</si>
  <si>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</si>
  <si>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</si>
  <si>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</si>
  <si>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</si>
  <si>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</si>
  <si>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</si>
  <si>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</si>
  <si>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</si>
  <si>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</si>
  <si>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</si>
  <si>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</si>
  <si>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</si>
  <si>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</si>
  <si>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</si>
  <si>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</si>
  <si>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</si>
  <si>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</si>
  <si>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</si>
  <si>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</si>
  <si>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</si>
  <si>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</si>
  <si>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</si>
  <si>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</si>
  <si>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</si>
  <si>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</si>
  <si>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</si>
  <si>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</si>
  <si>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</si>
  <si>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</si>
  <si>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</si>
  <si>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</si>
  <si>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</si>
  <si>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</si>
  <si>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</si>
  <si>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</si>
  <si>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</si>
  <si>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</si>
  <si>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</si>
  <si>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</si>
  <si>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</si>
  <si>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</si>
  <si>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</si>
  <si>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</si>
  <si>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</si>
  <si>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</si>
  <si>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</si>
  <si>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</si>
  <si>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</si>
  <si>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</si>
  <si>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</si>
  <si>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</si>
  <si>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</si>
  <si>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</si>
  <si>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</si>
  <si>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</si>
  <si>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</si>
  <si>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</si>
  <si>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</si>
  <si>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</si>
  <si>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</si>
  <si>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</si>
  <si>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</si>
  <si>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</si>
  <si>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</si>
  <si>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</si>
  <si>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</si>
  <si>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</si>
  <si>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</si>
  <si>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</si>
  <si>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</si>
  <si>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</si>
  <si>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</si>
  <si>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</si>
  <si>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</si>
  <si>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</si>
  <si>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</si>
  <si>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</si>
  <si>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</si>
  <si>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</si>
  <si>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</si>
  <si>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</si>
  <si>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</si>
  <si>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</si>
  <si>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</si>
  <si>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</si>
  <si>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</si>
  <si>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</si>
  <si>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</si>
  <si>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</si>
  <si>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</si>
  <si>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</si>
  <si>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</si>
  <si>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</si>
  <si>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</si>
  <si>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</si>
  <si>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</si>
  <si>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</si>
  <si>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</si>
  <si>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</si>
  <si>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</si>
  <si>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</si>
  <si>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</si>
  <si>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</si>
  <si>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</si>
  <si>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</si>
  <si>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</si>
  <si>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</si>
  <si>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</si>
  <si>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</si>
  <si>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</si>
  <si>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</si>
  <si>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</si>
  <si>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</si>
  <si>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</si>
  <si>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</si>
  <si>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</si>
  <si>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</si>
  <si>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</si>
  <si>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</si>
  <si>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</si>
  <si>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</si>
  <si>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</si>
  <si>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</si>
  <si>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</si>
  <si>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</si>
  <si>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</si>
  <si>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</si>
  <si>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</si>
  <si>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</si>
  <si>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</si>
  <si>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</si>
  <si>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</si>
  <si>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</si>
  <si>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</si>
  <si>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</si>
  <si>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</si>
  <si>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</si>
  <si>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</si>
  <si>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</si>
  <si>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</si>
  <si>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</si>
  <si>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</si>
  <si>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</si>
  <si>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</si>
  <si>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</si>
  <si>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</si>
  <si>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</si>
  <si>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</si>
  <si>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</si>
  <si>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</si>
  <si>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</si>
  <si>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</si>
  <si>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</si>
  <si>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</si>
  <si>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</si>
  <si>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</si>
  <si>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</si>
  <si>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</si>
  <si>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</si>
  <si>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</si>
  <si>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</si>
  <si>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</si>
  <si>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</si>
  <si>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</si>
  <si>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</si>
  <si>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</si>
  <si>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</si>
  <si>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</si>
  <si>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</si>
  <si>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</si>
  <si>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</si>
  <si>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</si>
  <si>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</si>
  <si>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</si>
  <si>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</si>
  <si>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</si>
  <si>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</si>
  <si>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</si>
  <si>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</si>
  <si>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</si>
  <si>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</si>
  <si>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</si>
  <si>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</si>
  <si>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</si>
  <si>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</si>
  <si>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</si>
  <si>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</si>
  <si>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</si>
  <si>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</si>
  <si>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</si>
  <si>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</si>
  <si>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</si>
  <si>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</si>
  <si>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</si>
  <si>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</si>
  <si>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</si>
  <si>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</si>
  <si>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</si>
  <si>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</si>
  <si>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</si>
  <si>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</si>
  <si>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</si>
  <si>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</si>
  <si>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</si>
  <si>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</si>
  <si>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</si>
  <si>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</si>
  <si>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</si>
  <si>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</si>
  <si>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</si>
  <si>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</si>
  <si>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</si>
  <si>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</si>
  <si>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</si>
  <si>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</si>
  <si>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</si>
  <si>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</si>
  <si>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</si>
  <si>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</si>
  <si>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</si>
  <si>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</si>
  <si>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</si>
  <si>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</si>
  <si>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</si>
  <si>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</si>
  <si>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</si>
  <si>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</si>
  <si>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</si>
  <si>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</si>
  <si>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</si>
  <si>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</si>
  <si>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</si>
  <si>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</si>
  <si>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</si>
  <si>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</si>
  <si>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</si>
  <si>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</si>
  <si>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</si>
  <si>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</si>
  <si>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</si>
  <si>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</si>
  <si>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</si>
  <si>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</si>
  <si>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</si>
  <si>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</si>
  <si>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</si>
  <si>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</si>
  <si>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</si>
  <si>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</si>
  <si>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</si>
  <si>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</si>
  <si>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</si>
  <si>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</si>
  <si>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</si>
  <si>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</si>
  <si>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</si>
  <si>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</si>
  <si>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</si>
  <si>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</si>
  <si>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</si>
  <si>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</si>
  <si>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</si>
  <si>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</si>
  <si>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</si>
  <si>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</si>
  <si>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</si>
  <si>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</si>
  <si>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</si>
  <si>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</si>
  <si>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</si>
  <si>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</si>
  <si>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</si>
  <si>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</si>
  <si>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</si>
  <si>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</si>
  <si>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</si>
  <si>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</si>
  <si>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</si>
  <si>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</si>
  <si>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</si>
  <si>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</si>
  <si>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</si>
  <si>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</si>
  <si>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</si>
  <si>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</si>
  <si>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</si>
  <si>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</si>
  <si>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</si>
  <si>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</si>
  <si>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</si>
  <si>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</si>
  <si>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</si>
  <si>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</si>
  <si>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</si>
  <si>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</si>
  <si>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</si>
  <si>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</si>
  <si>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</si>
  <si>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</si>
  <si>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</si>
  <si>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</si>
  <si>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</si>
  <si>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</si>
  <si>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</si>
  <si>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</si>
  <si>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</si>
  <si>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</si>
  <si>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</si>
  <si>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</si>
  <si>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</si>
  <si>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</si>
  <si>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</si>
  <si>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</si>
  <si>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</si>
  <si>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</si>
  <si>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</si>
  <si>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</si>
  <si>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</si>
  <si>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</si>
  <si>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</si>
  <si>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</si>
  <si>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</si>
  <si>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</si>
  <si>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</si>
  <si>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</si>
  <si>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</si>
  <si>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</si>
  <si>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</si>
  <si>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</si>
  <si>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</si>
  <si>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</si>
  <si>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</si>
  <si>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</si>
  <si>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</si>
  <si>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</si>
  <si>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</si>
  <si>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</si>
  <si>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</si>
  <si>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</si>
  <si>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</si>
  <si>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</si>
  <si>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</si>
  <si>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</si>
  <si>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</si>
  <si>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</si>
  <si>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</si>
  <si>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</si>
  <si>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</si>
  <si>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</si>
  <si>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</si>
  <si>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</si>
  <si>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</si>
  <si>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</si>
  <si>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</si>
  <si>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</si>
  <si>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</si>
  <si>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</si>
  <si>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</si>
  <si>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</si>
  <si>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</si>
  <si>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</si>
  <si>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</si>
  <si>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</si>
  <si>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</si>
  <si>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</si>
  <si>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</si>
  <si>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</si>
  <si>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</si>
  <si>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</si>
  <si>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</si>
  <si>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</si>
  <si>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</si>
  <si>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</si>
  <si>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</si>
  <si>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</si>
  <si>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</si>
  <si>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</si>
  <si>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</si>
  <si>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</si>
  <si>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</si>
  <si>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</si>
  <si>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</si>
  <si>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</si>
  <si>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</si>
  <si>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</si>
  <si>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</si>
  <si>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</si>
  <si>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</si>
  <si>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</si>
  <si>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</si>
  <si>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</si>
  <si>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</si>
  <si>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</si>
  <si>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</si>
  <si>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</si>
  <si>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</si>
  <si>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</si>
  <si>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</si>
  <si>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</si>
  <si>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</si>
  <si>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</si>
  <si>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</si>
  <si>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</si>
  <si>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</si>
  <si>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</si>
  <si>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</si>
  <si>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</si>
  <si>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</si>
  <si>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</si>
  <si>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</si>
  <si>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</si>
  <si>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</si>
  <si>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</si>
  <si>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</si>
  <si>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</si>
  <si>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</si>
  <si>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</si>
  <si>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</si>
  <si>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</si>
  <si>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</si>
  <si>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</si>
  <si>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</si>
  <si>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</si>
  <si>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</si>
  <si>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</si>
  <si>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</si>
  <si>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</si>
  <si>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</si>
  <si>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</si>
  <si>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</si>
  <si>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</si>
  <si>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</si>
  <si>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</si>
  <si>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</si>
  <si>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</si>
  <si>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</si>
  <si>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</si>
  <si>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</si>
  <si>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</si>
  <si>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</si>
  <si>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</si>
  <si>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</si>
  <si>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</si>
  <si>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</si>
  <si>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</si>
  <si>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</si>
  <si>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</si>
  <si>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</si>
  <si>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</si>
  <si>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</si>
  <si>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</si>
  <si>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</si>
  <si>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</si>
  <si>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</si>
  <si>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</si>
  <si>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</si>
  <si>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</si>
  <si>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</si>
  <si>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</si>
  <si>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</si>
  <si>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</si>
  <si>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</si>
  <si>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</si>
  <si>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</si>
  <si>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</si>
  <si>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</si>
  <si>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</si>
  <si>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</si>
  <si>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</si>
  <si>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</si>
  <si>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</si>
  <si>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</si>
  <si>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</si>
  <si>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</si>
  <si>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</si>
  <si>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</si>
  <si>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</si>
  <si>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</si>
  <si>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</si>
  <si>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</si>
  <si>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</si>
  <si>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</si>
  <si>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</si>
  <si>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</si>
  <si>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</si>
  <si>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</si>
  <si>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</si>
  <si>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</si>
  <si>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</si>
  <si>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</si>
  <si>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</si>
  <si>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</si>
  <si>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</si>
  <si>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</si>
  <si>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</si>
  <si>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</si>
  <si>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</si>
  <si>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</si>
  <si>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</si>
  <si>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</si>
  <si>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</si>
  <si>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</si>
  <si>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</si>
  <si>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</si>
  <si>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</si>
  <si>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</si>
  <si>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</si>
  <si>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</si>
  <si>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</si>
  <si>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</si>
  <si>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</si>
  <si>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</si>
  <si>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</si>
  <si>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</si>
  <si>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</si>
  <si>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</si>
  <si>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</si>
  <si>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</si>
  <si>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</si>
  <si>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</si>
  <si>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</si>
  <si>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</si>
  <si>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</si>
  <si>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</si>
  <si>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</si>
  <si>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</si>
  <si>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</si>
  <si>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</si>
  <si>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</si>
  <si>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</si>
  <si>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</si>
  <si>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</si>
  <si>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</si>
  <si>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</si>
  <si>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</si>
  <si>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</si>
  <si>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</si>
  <si>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</si>
  <si>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</si>
  <si>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</si>
  <si>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</si>
  <si>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</si>
  <si>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</si>
  <si>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</si>
  <si>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</si>
  <si>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</si>
  <si>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</si>
  <si>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</si>
  <si>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</si>
  <si>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</si>
  <si>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</si>
  <si>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</si>
  <si>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</si>
  <si>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</si>
  <si>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</si>
  <si>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</si>
  <si>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</si>
  <si>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</si>
  <si>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</si>
  <si>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</si>
  <si>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</si>
  <si>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</si>
  <si>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</si>
  <si>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</si>
  <si>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</si>
  <si>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</si>
  <si>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</si>
  <si>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</si>
  <si>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</si>
  <si>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</si>
  <si>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</si>
  <si>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</si>
  <si>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</si>
  <si>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</si>
  <si>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</si>
  <si>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</si>
  <si>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</si>
  <si>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</si>
  <si>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</si>
  <si>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</si>
  <si>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</si>
  <si>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</si>
  <si>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</si>
  <si>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</si>
  <si>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</si>
  <si>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</si>
  <si>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</si>
  <si>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</si>
  <si>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</si>
  <si>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</si>
  <si>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</si>
  <si>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</si>
  <si>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</si>
  <si>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</si>
  <si>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</si>
  <si>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</si>
  <si>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</si>
  <si>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</si>
  <si>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</si>
  <si>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</si>
  <si>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</si>
  <si>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</si>
  <si>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</si>
  <si>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</si>
  <si>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</si>
  <si>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</si>
  <si>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</si>
  <si>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</si>
  <si>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</si>
  <si>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</si>
  <si>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</si>
  <si>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</si>
  <si>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</si>
  <si>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</si>
  <si>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</si>
  <si>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</si>
  <si>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</si>
  <si>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</si>
  <si>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</si>
  <si>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</si>
  <si>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</si>
  <si>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</si>
  <si>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</si>
  <si>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</si>
  <si>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</si>
  <si>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</si>
  <si>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</si>
  <si>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</si>
  <si>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</si>
  <si>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</si>
  <si>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</si>
  <si>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</si>
  <si>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</si>
  <si>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</si>
  <si>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</si>
  <si>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</si>
  <si>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</si>
  <si>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</si>
  <si>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</si>
  <si>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</si>
  <si>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</si>
  <si>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</si>
  <si>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</si>
  <si>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</si>
  <si>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</si>
  <si>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</si>
  <si>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</si>
  <si>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</si>
  <si>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</si>
  <si>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</si>
  <si>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</si>
  <si>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</si>
  <si>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</si>
  <si>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</si>
  <si>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</si>
  <si>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</si>
  <si>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</si>
  <si>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</si>
  <si>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</si>
  <si>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</si>
  <si>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</si>
  <si>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</si>
  <si>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</si>
  <si>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</si>
  <si>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</si>
  <si>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</si>
  <si>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</si>
  <si>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</si>
  <si>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</si>
  <si>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</si>
  <si>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</si>
  <si>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</si>
  <si>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</si>
  <si>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</si>
  <si>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</si>
  <si>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</si>
  <si>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</si>
  <si>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</si>
  <si>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</si>
  <si>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</si>
  <si>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</si>
  <si>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</si>
  <si>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</si>
  <si>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</si>
  <si>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</si>
  <si>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</si>
  <si>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</si>
  <si>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</si>
  <si>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</si>
  <si>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</si>
  <si>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</si>
  <si>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</si>
  <si>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</si>
  <si>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</si>
  <si>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</si>
  <si>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</si>
  <si>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</si>
  <si>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</si>
  <si>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</si>
  <si>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</si>
  <si>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</si>
  <si>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</si>
  <si>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</si>
  <si>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</si>
  <si>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</si>
  <si>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</si>
  <si>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</si>
  <si>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</si>
  <si>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</si>
  <si>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</si>
  <si>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</si>
  <si>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</si>
  <si>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</si>
  <si>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</si>
  <si>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</si>
  <si>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</si>
  <si>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</si>
  <si>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</si>
  <si>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</si>
  <si>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</si>
  <si>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</si>
  <si>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</si>
  <si>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</si>
  <si>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</si>
  <si>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</si>
  <si>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</si>
  <si>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</si>
  <si>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</si>
  <si>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</si>
  <si>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</si>
  <si>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</si>
  <si>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</si>
  <si>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</si>
  <si>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</si>
  <si>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</si>
  <si>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</si>
  <si>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</si>
  <si>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</si>
  <si>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</si>
  <si>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</si>
  <si>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</si>
  <si>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</si>
  <si>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</si>
  <si>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</si>
  <si>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</si>
  <si>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</si>
  <si>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</si>
  <si>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</si>
  <si>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</si>
  <si>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</si>
  <si>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</si>
  <si>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</si>
  <si>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</si>
  <si>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</si>
  <si>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</si>
  <si>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</si>
  <si>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</si>
  <si>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</si>
  <si>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</si>
  <si>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</si>
  <si>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</si>
  <si>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</si>
  <si>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</si>
  <si>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</si>
  <si>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</si>
  <si>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</si>
  <si>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</si>
  <si>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</si>
  <si>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</si>
  <si>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</si>
  <si>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</si>
  <si>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</si>
  <si>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</si>
  <si>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</si>
  <si>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</si>
  <si>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</si>
  <si>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</si>
  <si>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</si>
  <si>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</si>
  <si>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</si>
  <si>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</si>
  <si>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</si>
  <si>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</si>
  <si>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</si>
  <si>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</si>
  <si>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</si>
  <si>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</si>
  <si>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</si>
  <si>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</si>
  <si>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</si>
  <si>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</si>
  <si>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</si>
  <si>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</si>
  <si>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</si>
  <si>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</si>
  <si>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</si>
  <si>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</si>
  <si>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</si>
  <si>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</si>
  <si>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</si>
  <si>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</si>
  <si>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</si>
  <si>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</si>
  <si>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</si>
  <si>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</si>
  <si>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</si>
  <si>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</si>
  <si>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</si>
  <si>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</si>
  <si>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</si>
  <si>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</si>
  <si>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</si>
  <si>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</si>
  <si>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</si>
  <si>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</si>
  <si>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</si>
  <si>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</si>
  <si>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</si>
  <si>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</si>
  <si>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</si>
  <si>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</si>
  <si>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</si>
  <si>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</si>
  <si>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</si>
  <si>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</si>
  <si>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</si>
  <si>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</si>
  <si>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</si>
  <si>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</si>
  <si>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</si>
  <si>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</si>
  <si>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</si>
  <si>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</si>
  <si>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</si>
  <si>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</si>
  <si>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</si>
  <si>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</si>
  <si>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</si>
  <si>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</si>
  <si>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</si>
  <si>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</si>
  <si>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</si>
  <si>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</si>
  <si>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</si>
  <si>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</si>
  <si>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</si>
  <si>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</si>
  <si>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</si>
  <si>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</si>
  <si>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</si>
  <si>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</si>
  <si>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</si>
  <si>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</si>
  <si>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</si>
  <si>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</si>
  <si>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</si>
  <si>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</si>
  <si>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</si>
  <si>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</si>
  <si>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</si>
  <si>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</si>
  <si>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</si>
  <si>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</si>
  <si>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</si>
  <si>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</si>
  <si>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</si>
  <si>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</si>
  <si>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</si>
  <si>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</si>
  <si>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</si>
  <si>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</si>
  <si>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</si>
  <si>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</si>
  <si>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</si>
  <si>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</si>
  <si>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</si>
  <si>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</si>
  <si>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</si>
  <si>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</si>
  <si>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</si>
  <si>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</si>
  <si>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</si>
  <si>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</si>
  <si>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</si>
  <si>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</si>
  <si>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</si>
  <si>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</si>
  <si>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</si>
  <si>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</si>
  <si>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</si>
  <si>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</si>
  <si>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</si>
  <si>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</si>
  <si>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</si>
  <si>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</si>
  <si>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</si>
  <si>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</si>
  <si>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</si>
  <si>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</si>
  <si>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</si>
  <si>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</si>
  <si>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</si>
  <si>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</si>
  <si>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</si>
  <si>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</si>
  <si>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</si>
  <si>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</si>
  <si>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</si>
  <si>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</si>
  <si>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</si>
  <si>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</si>
  <si>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</si>
  <si>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</si>
  <si>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</si>
  <si>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</si>
  <si>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</si>
  <si>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</si>
  <si>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</si>
  <si>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</si>
  <si>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</si>
  <si>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</si>
  <si>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</si>
  <si>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</si>
  <si>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</si>
  <si>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</si>
  <si>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</si>
  <si>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</si>
  <si>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</si>
  <si>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</si>
  <si>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</si>
  <si>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</si>
  <si>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</si>
  <si>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</si>
  <si>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</si>
  <si>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</si>
  <si>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</si>
  <si>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</si>
  <si>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</si>
  <si>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</si>
  <si>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</si>
  <si>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</si>
  <si>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</si>
  <si>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</si>
  <si>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</si>
  <si>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</si>
  <si>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</si>
  <si>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</si>
  <si>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</si>
  <si>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</si>
  <si>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</si>
  <si>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</si>
  <si>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</si>
  <si>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</si>
  <si>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</si>
  <si>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</si>
  <si>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</si>
  <si>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</si>
  <si>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</si>
  <si>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</si>
  <si>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</si>
  <si>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</si>
  <si>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</si>
  <si>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</si>
  <si>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</si>
  <si>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</si>
  <si>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</si>
  <si>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</si>
  <si>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</si>
  <si>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</si>
  <si>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</si>
  <si>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</si>
  <si>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</si>
  <si>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</si>
  <si>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</si>
  <si>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</si>
  <si>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</si>
  <si>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</si>
  <si>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</si>
  <si>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</si>
  <si>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</si>
  <si>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</si>
  <si>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</si>
  <si>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</si>
  <si>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</si>
  <si>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</si>
  <si>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</si>
  <si>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</si>
  <si>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</si>
  <si>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</si>
  <si>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</si>
  <si>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</si>
  <si>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</si>
  <si>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</si>
  <si>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</si>
  <si>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</si>
  <si>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</si>
  <si>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</si>
  <si>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</si>
  <si>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</si>
  <si>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</si>
  <si>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</si>
  <si>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</si>
  <si>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</si>
  <si>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</si>
  <si>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</si>
  <si>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</si>
  <si>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</si>
  <si>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</si>
  <si>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</si>
  <si>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</si>
  <si>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</si>
  <si>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</si>
  <si>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</si>
  <si>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</si>
  <si>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</si>
  <si>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</si>
  <si>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</si>
  <si>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</si>
  <si>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</si>
  <si>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</si>
  <si>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</si>
  <si>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</si>
  <si>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</si>
  <si>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</si>
  <si>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</si>
  <si>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</si>
  <si>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</si>
  <si>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</si>
  <si>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</si>
  <si>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</si>
  <si>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</si>
  <si>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</si>
  <si>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</si>
  <si>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</si>
  <si>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</si>
  <si>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</si>
  <si>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</si>
  <si>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</si>
  <si>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</si>
  <si>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</si>
  <si>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</si>
  <si>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</si>
  <si>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</si>
  <si>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</si>
  <si>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</si>
  <si>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</si>
  <si>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</si>
  <si>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</si>
  <si>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</si>
  <si>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</si>
  <si>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</si>
  <si>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</si>
  <si>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</si>
  <si>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</si>
  <si>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</si>
  <si>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</si>
  <si>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</si>
  <si>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</si>
  <si>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</si>
  <si>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</si>
  <si>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</si>
  <si>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</si>
  <si>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</si>
  <si>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</si>
  <si>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</si>
  <si>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</si>
  <si>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</si>
  <si>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</si>
  <si>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</si>
  <si>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</si>
  <si>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</si>
  <si>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</si>
  <si>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</si>
  <si>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</si>
  <si>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</si>
  <si>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</si>
  <si>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</si>
  <si>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</si>
  <si>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</si>
  <si>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</si>
  <si>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</si>
  <si>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</si>
  <si>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</si>
  <si>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</si>
  <si>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</si>
  <si>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</si>
  <si>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</si>
  <si>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</si>
  <si>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</si>
  <si>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</si>
  <si>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</si>
  <si>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</si>
  <si>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</si>
  <si>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</si>
  <si>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</si>
  <si>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</si>
  <si>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</si>
  <si>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</si>
  <si>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</si>
  <si>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</si>
  <si>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</si>
  <si>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</si>
  <si>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</si>
  <si>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</si>
  <si>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</si>
  <si>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</si>
  <si>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</si>
  <si>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</si>
  <si>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</si>
  <si>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</si>
  <si>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</si>
  <si>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</si>
  <si>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</si>
  <si>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</si>
  <si>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</si>
  <si>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</si>
  <si>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</si>
  <si>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</si>
  <si>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</si>
  <si>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</si>
  <si>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</si>
  <si>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</si>
  <si>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</si>
  <si>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</si>
  <si>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</si>
  <si>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</si>
  <si>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</si>
  <si>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</si>
  <si>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</si>
  <si>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</si>
  <si>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</si>
  <si>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</si>
  <si>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</si>
  <si>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</si>
  <si>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</si>
  <si>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</si>
  <si>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</si>
  <si>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</si>
  <si>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</si>
  <si>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</si>
  <si>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</si>
  <si>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</si>
  <si>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</si>
  <si>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</si>
  <si>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</si>
  <si>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</si>
  <si>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</si>
  <si>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</si>
  <si>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</si>
  <si>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</si>
  <si>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</si>
  <si>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</si>
  <si>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</si>
  <si>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</si>
  <si>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</si>
  <si>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</si>
  <si>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</si>
  <si>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</si>
  <si>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</si>
  <si>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</si>
  <si>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</si>
  <si>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</si>
  <si>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</si>
  <si>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</si>
  <si>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</si>
  <si>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</si>
  <si>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</si>
  <si>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</si>
  <si>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</si>
  <si>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</si>
  <si>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</si>
  <si>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</si>
  <si>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</si>
  <si>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</si>
  <si>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</si>
  <si>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</si>
  <si>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</si>
  <si>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</si>
  <si>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</si>
  <si>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</si>
  <si>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</si>
  <si>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</si>
  <si>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</si>
  <si>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</si>
  <si>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</si>
  <si>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</si>
  <si>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</si>
  <si>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</si>
  <si>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</si>
  <si>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</si>
  <si>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</si>
  <si>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</si>
  <si>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</si>
  <si>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</si>
  <si>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</si>
  <si>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</si>
  <si>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</si>
  <si>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</si>
  <si>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</si>
  <si>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</si>
  <si>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</si>
  <si>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</si>
  <si>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</si>
  <si>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</si>
  <si>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</si>
  <si>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</si>
  <si>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</si>
  <si>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</si>
  <si>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</si>
  <si>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</si>
  <si>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</si>
  <si>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</si>
  <si>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</si>
  <si>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</si>
  <si>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</si>
  <si>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</si>
  <si>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</si>
  <si>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</si>
  <si>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</si>
  <si>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</si>
  <si>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</si>
  <si>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</si>
  <si>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</si>
  <si>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</si>
  <si>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</si>
  <si>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</si>
  <si>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</si>
  <si>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</si>
  <si>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</si>
  <si>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</si>
  <si>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</si>
  <si>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</si>
  <si>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</si>
  <si>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</si>
  <si>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</si>
  <si>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</si>
  <si>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</si>
  <si>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</si>
  <si>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</si>
  <si>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</si>
  <si>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</si>
  <si>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</si>
  <si>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</si>
  <si>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</si>
  <si>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</si>
  <si>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</si>
  <si>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</si>
  <si>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</si>
  <si>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</si>
  <si>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</si>
  <si>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</si>
  <si>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</si>
  <si>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</si>
  <si>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</si>
  <si>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</si>
  <si>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</si>
  <si>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</si>
  <si>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</si>
  <si>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</si>
  <si>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</si>
  <si>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</si>
  <si>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</si>
  <si>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</si>
  <si>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</si>
  <si>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</si>
  <si>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</si>
  <si>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</si>
  <si>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</si>
  <si>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</si>
  <si>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</si>
  <si>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</si>
  <si>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</si>
  <si>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</si>
  <si>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</si>
  <si>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</si>
  <si>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</si>
  <si>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</si>
  <si>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</si>
  <si>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</si>
  <si>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</si>
  <si>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</si>
  <si>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</si>
  <si>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</si>
  <si>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</si>
  <si>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</si>
  <si>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</si>
  <si>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</si>
  <si>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</si>
  <si>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</si>
  <si>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</si>
  <si>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</si>
  <si>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</si>
  <si>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</si>
  <si>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</si>
  <si>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</si>
  <si>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</si>
  <si>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</si>
  <si>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</si>
  <si>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</si>
  <si>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</si>
  <si>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</si>
  <si>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</si>
  <si>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</si>
  <si>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</si>
  <si>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</si>
  <si>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</si>
  <si>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</si>
  <si>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</si>
  <si>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</si>
  <si>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</si>
  <si>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</si>
  <si>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</si>
  <si>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</si>
  <si>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</si>
  <si>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</si>
  <si>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</si>
  <si>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</si>
  <si>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</si>
  <si>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</si>
  <si>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</si>
  <si>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</si>
  <si>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</si>
  <si>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</si>
  <si>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</si>
  <si>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</si>
  <si>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</si>
  <si>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</si>
  <si>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</si>
  <si>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</si>
  <si>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</si>
  <si>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</si>
  <si>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</si>
  <si>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</si>
  <si>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</si>
  <si>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</si>
  <si>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</si>
  <si>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</si>
  <si>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</si>
  <si>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</si>
  <si>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</si>
  <si>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</si>
  <si>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</si>
  <si>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</si>
  <si>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</si>
  <si>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</si>
  <si>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</si>
  <si>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</si>
  <si>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</si>
  <si>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</si>
  <si>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</si>
  <si>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</si>
  <si>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</si>
  <si>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</si>
  <si>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</si>
  <si>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</si>
  <si>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</si>
  <si>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</si>
  <si>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</si>
  <si>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</si>
  <si>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</si>
  <si>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</si>
  <si>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</si>
  <si>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</si>
  <si>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</si>
  <si>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</si>
  <si>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</si>
  <si>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</si>
  <si>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</si>
  <si>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</si>
  <si>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</si>
  <si>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</si>
  <si>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</si>
  <si>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</si>
  <si>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</si>
  <si>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</si>
  <si>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</si>
  <si>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</si>
  <si>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</si>
  <si>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</si>
  <si>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</si>
  <si>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</si>
  <si>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</si>
  <si>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</si>
  <si>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</si>
  <si>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</si>
  <si>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</si>
  <si>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</si>
  <si>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</si>
  <si>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</si>
  <si>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</si>
  <si>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</si>
  <si>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</si>
  <si>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</si>
  <si>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</si>
  <si>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</si>
  <si>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</si>
  <si>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</si>
  <si>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</si>
  <si>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</si>
  <si>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</si>
  <si>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</si>
  <si>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</si>
  <si>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</si>
  <si>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</si>
  <si>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</si>
  <si>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</si>
  <si>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</si>
  <si>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</si>
  <si>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</si>
  <si>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</si>
  <si>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</si>
  <si>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</si>
  <si>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</si>
  <si>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</si>
  <si>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</si>
  <si>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</si>
  <si>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</si>
  <si>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</si>
  <si>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</si>
  <si>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</si>
  <si>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</si>
  <si>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</si>
  <si>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</si>
  <si>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</si>
  <si>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</si>
  <si>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</si>
  <si>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</si>
  <si>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</si>
  <si>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</si>
  <si>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</si>
  <si>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</si>
  <si>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</si>
  <si>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</si>
  <si>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</si>
  <si>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</si>
  <si>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</si>
  <si>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</si>
  <si>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</si>
  <si>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</si>
  <si>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</si>
  <si>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</si>
  <si>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</si>
  <si>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</si>
  <si>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</si>
  <si>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</si>
  <si>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</si>
  <si>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</si>
  <si>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</si>
  <si>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</si>
  <si>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</si>
  <si>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</si>
  <si>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</si>
  <si>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</si>
  <si>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</si>
  <si>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</si>
  <si>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</si>
  <si>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</si>
  <si>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</si>
  <si>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</si>
  <si>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</si>
  <si>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</si>
  <si>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</si>
  <si>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</si>
  <si>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</si>
  <si>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</si>
  <si>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</si>
  <si>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</si>
  <si>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</si>
  <si>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</si>
  <si>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</si>
  <si>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</si>
  <si>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</si>
  <si>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</si>
  <si>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</si>
  <si>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</si>
  <si>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</si>
  <si>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</si>
  <si>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</si>
  <si>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</si>
  <si>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</si>
  <si>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</si>
  <si>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</si>
  <si>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</si>
  <si>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</si>
  <si>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</si>
  <si>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</si>
  <si>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</si>
  <si>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</si>
  <si>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</si>
  <si>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</si>
  <si>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</si>
  <si>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</si>
  <si>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</si>
  <si>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</si>
  <si>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</si>
  <si>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</si>
  <si>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</si>
  <si>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</si>
  <si>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</si>
  <si>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</si>
  <si>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</si>
  <si>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</si>
  <si>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</si>
  <si>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</si>
  <si>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</si>
  <si>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</si>
  <si>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</si>
  <si>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</si>
  <si>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</si>
  <si>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</si>
  <si>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</si>
  <si>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</si>
  <si>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</si>
  <si>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</si>
  <si>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</si>
  <si>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</si>
  <si>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</si>
  <si>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</si>
  <si>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</si>
  <si>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</si>
  <si>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</si>
  <si>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</si>
  <si>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</si>
  <si>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</si>
  <si>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</si>
  <si>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</si>
  <si>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</si>
  <si>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</si>
  <si>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</si>
  <si>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</si>
  <si>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</si>
  <si>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</si>
  <si>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</si>
  <si>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</si>
  <si>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</si>
  <si>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</si>
  <si>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</si>
  <si>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</si>
  <si>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</si>
  <si>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</si>
  <si>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</si>
  <si>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</si>
  <si>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</si>
  <si>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</si>
  <si>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</si>
  <si>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</si>
  <si>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</si>
  <si>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</si>
  <si>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</si>
  <si>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</si>
  <si>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</si>
  <si>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</si>
  <si>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</si>
  <si>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</si>
  <si>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</si>
  <si>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</si>
  <si>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</si>
  <si>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</si>
  <si>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</si>
  <si>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</si>
  <si>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</si>
  <si>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</si>
  <si>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</si>
  <si>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</si>
  <si>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</si>
  <si>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</si>
  <si>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</si>
  <si>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</si>
  <si>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</si>
  <si>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</si>
  <si>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</si>
  <si>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</si>
  <si>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</si>
  <si>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</si>
  <si>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</si>
  <si>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</si>
  <si>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</si>
  <si>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</si>
  <si>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</si>
  <si>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</si>
  <si>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</si>
  <si>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</si>
  <si>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</si>
  <si>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</si>
  <si>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</si>
  <si>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</si>
  <si>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</si>
  <si>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</si>
  <si>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</si>
  <si>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</si>
  <si>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</si>
  <si>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</si>
  <si>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</si>
  <si>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</si>
  <si>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</si>
  <si>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</si>
  <si>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</si>
  <si>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</si>
  <si>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</si>
  <si>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</si>
  <si>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</si>
  <si>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</si>
  <si>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</si>
  <si>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</si>
  <si>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</si>
  <si>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</si>
  <si>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</si>
  <si>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</si>
  <si>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</si>
  <si>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</si>
  <si>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</si>
  <si>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</si>
  <si>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</si>
  <si>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</si>
  <si>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</si>
  <si>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</si>
  <si>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</si>
  <si>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</si>
  <si>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</si>
  <si>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</si>
  <si>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</si>
  <si>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</si>
  <si>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</si>
  <si>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</si>
  <si>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</si>
  <si>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</si>
  <si>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</si>
  <si>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</si>
  <si>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</si>
  <si>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</si>
  <si>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</si>
  <si>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</si>
  <si>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</si>
  <si>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</si>
  <si>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</si>
  <si>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</si>
  <si>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</si>
  <si>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</si>
  <si>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</si>
  <si>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</si>
  <si>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</si>
  <si>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</si>
  <si>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</si>
  <si>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</si>
  <si>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</si>
  <si>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</si>
  <si>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</si>
  <si>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</si>
  <si>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</si>
  <si>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</si>
  <si>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</si>
  <si>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</si>
  <si>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</si>
  <si>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</si>
  <si>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</si>
  <si>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</si>
  <si>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</si>
  <si>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</si>
  <si>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</si>
  <si>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</si>
  <si>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</si>
  <si>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</si>
  <si>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</si>
  <si>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</si>
  <si>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</si>
  <si>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</si>
  <si>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</si>
  <si>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</si>
  <si>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</si>
  <si>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</si>
  <si>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</si>
  <si>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</si>
  <si>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</si>
  <si>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</si>
  <si>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</si>
  <si>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</si>
  <si>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</si>
  <si>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</si>
  <si>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</si>
  <si>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</si>
  <si>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</si>
  <si>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</si>
  <si>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</si>
  <si>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</si>
  <si>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</si>
  <si>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</si>
  <si>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</si>
  <si>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</si>
  <si>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</si>
  <si>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</si>
  <si>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</si>
  <si>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</si>
  <si>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</si>
  <si>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</si>
  <si>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</si>
  <si>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</si>
  <si>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</si>
  <si>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</si>
  <si>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</si>
  <si>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</si>
  <si>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</si>
  <si>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</si>
  <si>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</si>
  <si>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</si>
  <si>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</si>
  <si>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</si>
  <si>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</si>
  <si>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</si>
  <si>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</si>
  <si>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</si>
  <si>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</si>
  <si>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</si>
  <si>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</si>
  <si>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</si>
  <si>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</si>
  <si>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</si>
  <si>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</si>
  <si>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</si>
  <si>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</si>
  <si>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</si>
  <si>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</si>
  <si>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</si>
  <si>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</si>
  <si>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</si>
  <si>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</si>
  <si>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</si>
  <si>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</si>
  <si>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</si>
  <si>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</si>
  <si>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</si>
  <si>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</si>
  <si>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</si>
  <si>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</si>
  <si>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</si>
  <si>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</si>
  <si>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</si>
  <si>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</si>
  <si>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</si>
  <si>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</si>
  <si>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</si>
  <si>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</si>
  <si>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</si>
  <si>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</si>
  <si>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</si>
  <si>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</si>
  <si>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</si>
  <si>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</si>
  <si>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</si>
  <si>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</si>
  <si>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</si>
  <si>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</si>
  <si>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</si>
  <si>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</si>
  <si>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</si>
  <si>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</si>
  <si>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</si>
  <si>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</si>
  <si>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</si>
  <si>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</si>
  <si>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</si>
  <si>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</si>
  <si>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</si>
  <si>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</si>
  <si>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</si>
  <si>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</si>
  <si>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</si>
  <si>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</si>
  <si>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</si>
  <si>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</si>
  <si>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</si>
  <si>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</si>
  <si>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</si>
  <si>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</si>
  <si>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</si>
  <si>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</si>
  <si>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</si>
  <si>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</si>
  <si>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</si>
  <si>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</si>
  <si>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</si>
  <si>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</si>
  <si>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</si>
  <si>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</si>
  <si>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</si>
  <si>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</si>
  <si>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</si>
  <si>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</si>
  <si>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</si>
  <si>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</si>
  <si>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</si>
  <si>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</si>
  <si>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</si>
  <si>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</si>
  <si>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</si>
  <si>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</si>
  <si>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</si>
  <si>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</si>
  <si>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</si>
  <si>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</si>
  <si>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</si>
  <si>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</si>
  <si>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</si>
  <si>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</si>
  <si>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</si>
  <si>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</si>
  <si>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</si>
  <si>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</si>
  <si>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</si>
  <si>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</si>
  <si>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</si>
  <si>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</si>
  <si>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</si>
  <si>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</si>
  <si>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</si>
  <si>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</si>
  <si>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</si>
  <si>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</si>
  <si>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</si>
  <si>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</si>
  <si>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</si>
  <si>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</si>
  <si>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</si>
  <si>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</si>
  <si>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</si>
  <si>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</si>
  <si>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</si>
  <si>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</si>
  <si>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</si>
  <si>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</si>
  <si>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</si>
  <si>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</si>
  <si>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</si>
  <si>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</si>
  <si>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</si>
  <si>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</si>
  <si>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</si>
  <si>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</si>
  <si>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</si>
  <si>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</si>
  <si>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</si>
  <si>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</si>
  <si>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</si>
  <si>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</si>
  <si>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</si>
  <si>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</si>
  <si>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</si>
  <si>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</si>
  <si>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</si>
  <si>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</si>
  <si>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</si>
  <si>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</si>
  <si>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</si>
  <si>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</si>
  <si>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</si>
  <si>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</si>
  <si>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</si>
  <si>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</si>
  <si>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</si>
  <si>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</si>
  <si>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</si>
  <si>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</si>
  <si>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</si>
  <si>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</si>
  <si>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</si>
  <si>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</si>
  <si>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</si>
  <si>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</si>
  <si>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</si>
  <si>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</si>
  <si>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</si>
  <si>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</si>
  <si>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</si>
  <si>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</si>
  <si>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</si>
  <si>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</si>
  <si>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</si>
  <si>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</si>
  <si>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</si>
  <si>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</si>
  <si>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</si>
  <si>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</si>
  <si>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</si>
  <si>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</si>
  <si>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</si>
  <si>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</si>
  <si>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</si>
  <si>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</si>
  <si>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</si>
  <si>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</si>
  <si>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</si>
  <si>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</si>
  <si>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</si>
  <si>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</si>
  <si>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</si>
  <si>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</si>
  <si>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</si>
  <si>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</si>
  <si>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</si>
  <si>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</si>
  <si>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</si>
  <si>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</si>
  <si>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</si>
  <si>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</si>
  <si>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</si>
  <si>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</si>
  <si>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</si>
  <si>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</si>
  <si>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</si>
  <si>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</si>
  <si>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</si>
  <si>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</si>
  <si>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</si>
  <si>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</si>
  <si>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</si>
  <si>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</si>
  <si>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</si>
  <si>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</si>
  <si>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</si>
  <si>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</si>
  <si>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</si>
  <si>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</si>
  <si>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</si>
  <si>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</si>
  <si>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</si>
  <si>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</si>
  <si>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</si>
  <si>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</si>
  <si>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</si>
  <si>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</si>
  <si>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</si>
  <si>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</si>
  <si>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</si>
  <si>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</si>
  <si>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</si>
  <si>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</si>
  <si>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</si>
  <si>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</si>
  <si>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</si>
  <si>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</si>
  <si>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</si>
  <si>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</si>
  <si>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</si>
  <si>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</si>
  <si>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</si>
  <si>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</si>
  <si>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</si>
  <si>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</si>
  <si>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</si>
  <si>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</si>
  <si>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</si>
  <si>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</si>
  <si>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</si>
  <si>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</si>
  <si>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</si>
  <si>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</si>
  <si>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</si>
  <si>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</si>
  <si>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</si>
  <si>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</si>
  <si>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</si>
  <si>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</si>
  <si>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</si>
  <si>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</si>
  <si>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</si>
  <si>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</si>
  <si>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</si>
  <si>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</si>
  <si>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</si>
  <si>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</si>
  <si>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</si>
  <si>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</si>
  <si>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</si>
  <si>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</si>
  <si>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</si>
  <si>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</si>
  <si>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</si>
  <si>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</si>
  <si>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</si>
  <si>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</si>
  <si>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</si>
  <si>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</si>
  <si>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</si>
  <si>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</si>
  <si>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</si>
  <si>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</si>
  <si>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</si>
  <si>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</si>
  <si>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</si>
  <si>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</si>
  <si>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</si>
  <si>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</si>
  <si>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</si>
  <si>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</si>
  <si>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</si>
  <si>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</si>
  <si>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</si>
  <si>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</si>
  <si>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</si>
  <si>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</si>
  <si>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</si>
  <si>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</si>
  <si>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</si>
  <si>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</si>
  <si>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</si>
  <si>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</si>
  <si>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</si>
  <si>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</si>
  <si>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</si>
  <si>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</si>
  <si>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</si>
  <si>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</si>
  <si>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</si>
  <si>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</si>
  <si>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</si>
  <si>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</si>
  <si>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</si>
  <si>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</si>
  <si>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</si>
  <si>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</si>
  <si>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</si>
  <si>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</si>
  <si>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</si>
  <si>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</si>
  <si>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</si>
  <si>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</si>
  <si>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</si>
  <si>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</si>
  <si>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</si>
  <si>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</si>
  <si>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</si>
  <si>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</si>
  <si>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</si>
  <si>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</si>
  <si>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</si>
  <si>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</si>
  <si>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</si>
  <si>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</si>
  <si>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</si>
  <si>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</si>
  <si>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</si>
  <si>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</si>
  <si>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</si>
  <si>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</si>
  <si>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</si>
  <si>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</si>
  <si>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</si>
  <si>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</si>
  <si>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</si>
  <si>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</si>
  <si>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</si>
  <si>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</si>
  <si>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</si>
  <si>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</si>
  <si>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</si>
  <si>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</si>
  <si>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</si>
  <si>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</si>
  <si>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</si>
  <si>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</si>
  <si>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</si>
  <si>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</si>
  <si>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</si>
  <si>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</si>
  <si>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</si>
  <si>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</si>
  <si>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</si>
  <si>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</si>
  <si>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</si>
  <si>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</si>
  <si>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</si>
  <si>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</si>
  <si>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</si>
  <si>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</si>
  <si>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</si>
  <si>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</si>
  <si>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</si>
  <si>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</si>
  <si>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</si>
  <si>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</si>
  <si>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</si>
  <si>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</si>
  <si>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</si>
  <si>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</si>
  <si>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</si>
  <si>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</si>
  <si>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</si>
  <si>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</si>
  <si>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</si>
  <si>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</si>
  <si>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</si>
  <si>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</si>
  <si>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</si>
  <si>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</si>
  <si>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</si>
  <si>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</si>
  <si>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</si>
  <si>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</si>
  <si>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</si>
  <si>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</si>
  <si>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</si>
  <si>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</si>
  <si>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</si>
  <si>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</si>
  <si>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</si>
  <si>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</si>
  <si>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</si>
  <si>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</si>
  <si>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</si>
  <si>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</si>
  <si>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</si>
  <si>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</si>
  <si>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</si>
  <si>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</si>
  <si>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</si>
  <si>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</si>
  <si>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</si>
  <si>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</si>
  <si>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</si>
  <si>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</si>
  <si>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</si>
  <si>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</si>
  <si>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</si>
  <si>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</si>
  <si>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</si>
  <si>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</si>
  <si>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</si>
  <si>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</si>
  <si>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</si>
  <si>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</si>
  <si>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</si>
  <si>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</si>
  <si>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</si>
  <si>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</si>
  <si>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</si>
  <si>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</si>
  <si>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</si>
  <si>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</si>
  <si>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</si>
  <si>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</si>
  <si>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</si>
  <si>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</si>
  <si>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</si>
  <si>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</si>
  <si>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</si>
  <si>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</si>
  <si>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</si>
  <si>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</si>
  <si>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</si>
  <si>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</si>
  <si>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</si>
  <si>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</si>
  <si>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</si>
  <si>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</si>
  <si>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</si>
  <si>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</si>
  <si>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</si>
  <si>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</si>
  <si>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</si>
  <si>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</si>
  <si>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</si>
  <si>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</si>
  <si>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</si>
  <si>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</si>
  <si>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</si>
  <si>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</si>
  <si>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</si>
  <si>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</si>
  <si>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</si>
  <si>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</si>
  <si>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</si>
  <si>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</si>
  <si>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</si>
  <si>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</si>
  <si>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</si>
  <si>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</si>
  <si>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</si>
  <si>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</si>
  <si>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</si>
  <si>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</si>
  <si>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</si>
  <si>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</si>
  <si>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</si>
  <si>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</si>
  <si>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</si>
  <si>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</si>
  <si>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</si>
  <si>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</si>
  <si>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</si>
  <si>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</si>
  <si>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</si>
  <si>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</si>
  <si>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</si>
  <si>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</si>
  <si>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</si>
  <si>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</si>
  <si>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</si>
  <si>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</si>
  <si>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</si>
  <si>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</si>
  <si>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</si>
  <si>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</si>
  <si>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</si>
  <si>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</si>
  <si>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</si>
  <si>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</si>
  <si>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</si>
  <si>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</si>
  <si>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</si>
  <si>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</si>
  <si>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</si>
  <si>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</si>
  <si>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</si>
  <si>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</si>
  <si>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</si>
  <si>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</si>
  <si>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</si>
  <si>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</si>
  <si>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</si>
  <si>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</si>
  <si>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</si>
  <si>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</si>
  <si>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</si>
  <si>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</si>
  <si>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</si>
  <si>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</si>
  <si>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</si>
  <si>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</si>
  <si>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</si>
  <si>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</si>
  <si>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</si>
  <si>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</si>
  <si>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</si>
  <si>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</si>
  <si>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</si>
  <si>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</si>
  <si>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</si>
  <si>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</si>
  <si>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</si>
  <si>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</si>
  <si>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</si>
  <si>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</si>
  <si>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</si>
  <si>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</si>
  <si>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</si>
  <si>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</si>
  <si>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</si>
  <si>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</si>
  <si>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</si>
  <si>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</si>
  <si>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</si>
  <si>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</si>
  <si>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</si>
  <si>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</si>
  <si>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</si>
  <si>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</si>
  <si>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</si>
  <si>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</si>
  <si>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</si>
  <si>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</si>
  <si>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</si>
  <si>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</si>
  <si>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</si>
  <si>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</si>
  <si>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</si>
  <si>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</si>
  <si>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</si>
  <si>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</si>
  <si>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</si>
  <si>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</si>
  <si>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</si>
  <si>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</si>
  <si>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</si>
  <si>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</si>
  <si>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</si>
  <si>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</si>
  <si>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</si>
  <si>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</si>
  <si>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</si>
  <si>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</si>
  <si>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</si>
  <si>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</si>
  <si>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</si>
  <si>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</si>
  <si>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</si>
  <si>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</si>
  <si>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</si>
  <si>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</si>
  <si>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</si>
  <si>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</si>
  <si>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</si>
  <si>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</si>
  <si>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</si>
  <si>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</si>
  <si>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</si>
  <si>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</si>
  <si>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</si>
  <si>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</si>
  <si>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</si>
  <si>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</si>
  <si>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</si>
  <si>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</si>
  <si>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</si>
  <si>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</si>
  <si>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</si>
  <si>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</si>
  <si>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</si>
  <si>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</si>
  <si>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</si>
  <si>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</si>
  <si>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</si>
  <si>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</si>
  <si>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</si>
  <si>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</si>
  <si>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</si>
  <si>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</si>
  <si>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</si>
  <si>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</si>
  <si>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</si>
  <si>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</si>
  <si>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</si>
  <si>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</si>
  <si>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</si>
  <si>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</si>
  <si>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</si>
  <si>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</si>
  <si>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</si>
  <si>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</si>
  <si>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</si>
  <si>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</si>
  <si>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</si>
  <si>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</si>
  <si>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</si>
  <si>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</si>
  <si>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</si>
  <si>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</si>
  <si>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</si>
  <si>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</si>
  <si>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</si>
  <si>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</si>
  <si>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</si>
  <si>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</si>
  <si>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</si>
  <si>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</si>
  <si>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</si>
  <si>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</si>
  <si>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</si>
  <si>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</si>
  <si>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</si>
  <si>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</si>
  <si>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</si>
  <si>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</si>
  <si>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</si>
  <si>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</si>
  <si>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</si>
  <si>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</si>
  <si>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</si>
  <si>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</si>
  <si>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</si>
  <si>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</si>
  <si>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</si>
  <si>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</si>
  <si>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</si>
  <si>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</si>
  <si>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</si>
  <si>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</si>
  <si>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</si>
  <si>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</si>
  <si>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</si>
  <si>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</si>
  <si>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</si>
  <si>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</si>
  <si>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</si>
  <si>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</si>
  <si>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</si>
  <si>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</si>
  <si>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</si>
  <si>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</si>
  <si>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</si>
  <si>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</si>
  <si>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</si>
  <si>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</si>
  <si>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</si>
  <si>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</si>
  <si>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</si>
  <si>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</si>
  <si>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</si>
  <si>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</si>
  <si>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</si>
  <si>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</si>
  <si>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</si>
  <si>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</si>
  <si>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</si>
  <si>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</si>
  <si>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</si>
  <si>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</si>
  <si>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</si>
  <si>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</si>
  <si>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</si>
  <si>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</si>
  <si>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</si>
  <si>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</si>
  <si>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</si>
  <si>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</si>
  <si>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</si>
  <si>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</si>
  <si>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</si>
  <si>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</si>
  <si>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</si>
  <si>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</si>
  <si>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</si>
  <si>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</si>
  <si>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</si>
  <si>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</si>
  <si>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</si>
  <si>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</si>
  <si>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</si>
  <si>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</si>
  <si>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</si>
  <si>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</si>
  <si>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</si>
  <si>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</si>
  <si>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</si>
  <si>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</si>
  <si>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</si>
  <si>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</si>
  <si>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</si>
  <si>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</si>
  <si>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</si>
  <si>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</si>
  <si>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</si>
  <si>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</si>
  <si>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</si>
  <si>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</si>
  <si>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</si>
  <si>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</si>
  <si>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</si>
  <si>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</si>
  <si>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</si>
  <si>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</si>
  <si>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</si>
  <si>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</si>
  <si>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</si>
  <si>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</si>
  <si>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</si>
  <si>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</si>
  <si>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</si>
  <si>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</si>
  <si>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</si>
  <si>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</si>
  <si>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</si>
  <si>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</si>
  <si>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</si>
  <si>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</si>
  <si>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</si>
  <si>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</si>
  <si>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</si>
  <si>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</si>
  <si>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</si>
  <si>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</si>
  <si>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</si>
  <si>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</si>
  <si>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</si>
  <si>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</si>
  <si>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</si>
  <si>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</si>
  <si>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</si>
  <si>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</si>
  <si>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</si>
  <si>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</si>
  <si>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</si>
  <si>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</si>
  <si>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</si>
  <si>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</si>
  <si>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</si>
  <si>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</si>
  <si>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</si>
  <si>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</si>
  <si>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</si>
  <si>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</si>
  <si>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</si>
  <si>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</si>
  <si>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</si>
  <si>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</si>
  <si>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</si>
  <si>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</si>
  <si>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</si>
  <si>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</si>
  <si>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</si>
  <si>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</si>
  <si>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</si>
  <si>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</si>
  <si>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</si>
  <si>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</si>
  <si>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</si>
  <si>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</si>
  <si>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</si>
  <si>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</si>
  <si>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</si>
  <si>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</si>
  <si>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</si>
  <si>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</si>
  <si>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</si>
  <si>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</si>
  <si>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</si>
  <si>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</si>
  <si>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</si>
  <si>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</si>
  <si>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</si>
  <si>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</si>
  <si>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</si>
  <si>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</si>
  <si>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</si>
  <si>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</si>
  <si>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</si>
  <si>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</si>
  <si>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</si>
  <si>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</si>
  <si>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</si>
  <si>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</si>
  <si>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</si>
  <si>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</si>
  <si>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</si>
  <si>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</si>
  <si>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</si>
  <si>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</si>
  <si>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</si>
  <si>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</si>
  <si>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</si>
  <si>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</si>
  <si>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</si>
  <si>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</si>
  <si>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</si>
  <si>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</si>
  <si>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</si>
  <si>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</si>
  <si>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</si>
  <si>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</si>
  <si>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</si>
  <si>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</si>
  <si>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</si>
  <si>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</si>
  <si>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</si>
  <si>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</si>
  <si>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</si>
  <si>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</si>
  <si>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</si>
  <si>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</si>
  <si>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</si>
  <si>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</si>
  <si>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</si>
  <si>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</si>
  <si>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</si>
  <si>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</si>
  <si>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</si>
  <si>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</si>
  <si>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</si>
  <si>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</si>
  <si>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</si>
  <si>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</si>
  <si>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</si>
  <si>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</si>
  <si>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</si>
  <si>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</si>
  <si>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</si>
  <si>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</si>
  <si>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</si>
  <si>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</si>
  <si>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</si>
  <si>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</si>
  <si>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</si>
  <si>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</si>
  <si>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</si>
  <si>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</si>
  <si>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</si>
  <si>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</si>
  <si>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</si>
  <si>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</si>
  <si>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</si>
  <si>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</si>
  <si>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</si>
  <si>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</si>
  <si>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</si>
  <si>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</si>
  <si>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</si>
  <si>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</si>
  <si>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</si>
  <si>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</si>
  <si>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</si>
  <si>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</si>
  <si>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</si>
  <si>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</si>
  <si>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</si>
  <si>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</si>
  <si>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</si>
  <si>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</si>
  <si>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</si>
  <si>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</si>
  <si>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</si>
  <si>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</si>
  <si>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</si>
  <si>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</si>
  <si>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</si>
  <si>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</si>
  <si>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</si>
  <si>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</si>
  <si>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</si>
  <si>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</si>
  <si>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</si>
  <si>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</si>
  <si>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</si>
  <si>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</si>
  <si>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</si>
  <si>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</si>
  <si>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</si>
  <si>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</si>
  <si>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</si>
  <si>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</si>
  <si>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</si>
  <si>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</si>
  <si>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</si>
  <si>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</si>
  <si>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</si>
  <si>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</si>
  <si>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</si>
  <si>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</si>
  <si>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</si>
  <si>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</si>
  <si>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</si>
  <si>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</si>
  <si>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</si>
  <si>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</si>
  <si>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</si>
  <si>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</si>
  <si>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</si>
  <si>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</si>
  <si>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</si>
  <si>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</si>
  <si>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</si>
  <si>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</si>
  <si>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</si>
  <si>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</si>
  <si>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</si>
  <si>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</si>
  <si>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</si>
  <si>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</si>
  <si>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</si>
  <si>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</si>
  <si>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</si>
  <si>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</si>
  <si>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</si>
  <si>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</si>
  <si>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</si>
  <si>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</si>
  <si>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</si>
  <si>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</si>
  <si>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</si>
  <si>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</si>
  <si>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</si>
  <si>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</si>
  <si>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</si>
  <si>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</si>
  <si>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</si>
  <si>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</si>
  <si>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</si>
  <si>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</si>
  <si>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</si>
  <si>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</si>
  <si>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</si>
  <si>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</si>
  <si>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</si>
  <si>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</si>
  <si>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</si>
  <si>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</si>
  <si>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</si>
  <si>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</si>
  <si>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</si>
  <si>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</si>
  <si>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</si>
  <si>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</si>
  <si>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</si>
  <si>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</si>
  <si>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</si>
  <si>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</si>
  <si>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</si>
  <si>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</si>
  <si>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</si>
  <si>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</si>
  <si>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</si>
  <si>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</si>
  <si>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</si>
  <si>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</si>
  <si>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</si>
  <si>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</si>
  <si>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</si>
  <si>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</si>
  <si>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</si>
  <si>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</si>
  <si>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</si>
  <si>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</si>
  <si>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</si>
  <si>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</si>
  <si>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</si>
  <si>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</si>
  <si>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</si>
  <si>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</si>
  <si>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</si>
  <si>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</si>
  <si>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</si>
  <si>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</si>
  <si>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</si>
  <si>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</si>
  <si>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</si>
  <si>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</si>
  <si>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</si>
  <si>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</si>
  <si>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</si>
  <si>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</si>
  <si>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</si>
  <si>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</si>
  <si>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</si>
  <si>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</si>
  <si>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</si>
  <si>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</si>
  <si>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</si>
  <si>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</si>
  <si>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</si>
  <si>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</si>
  <si>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</si>
  <si>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</si>
  <si>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</si>
  <si>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</si>
  <si>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</si>
  <si>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</si>
  <si>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</si>
  <si>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</si>
  <si>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</si>
  <si>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</si>
  <si>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</si>
  <si>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</si>
  <si>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</si>
  <si>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</si>
  <si>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</si>
  <si>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</si>
  <si>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</si>
  <si>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</si>
  <si>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</si>
  <si>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</si>
  <si>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</si>
  <si>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</si>
  <si>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</si>
  <si>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</si>
  <si>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</si>
  <si>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</si>
  <si>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</si>
  <si>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</si>
  <si>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</si>
  <si>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</si>
  <si>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</si>
  <si>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</si>
  <si>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</si>
  <si>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</si>
  <si>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</si>
  <si>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</si>
  <si>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</si>
  <si>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</si>
  <si>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</si>
  <si>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</si>
  <si>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</si>
  <si>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</si>
  <si>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</si>
  <si>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</si>
  <si>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</si>
  <si>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</si>
  <si>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</si>
  <si>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</si>
  <si>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</si>
  <si>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</si>
  <si>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</si>
  <si>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</si>
  <si>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</si>
  <si>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</si>
  <si>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</si>
  <si>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</si>
  <si>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</si>
  <si>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</si>
  <si>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</si>
  <si>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</si>
  <si>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</si>
  <si>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</si>
  <si>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</si>
  <si>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</si>
  <si>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</si>
  <si>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</si>
  <si>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</si>
  <si>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</si>
  <si>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</si>
  <si>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</si>
  <si>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</si>
  <si>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</si>
  <si>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</si>
  <si>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</si>
  <si>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</si>
  <si>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</si>
  <si>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</si>
  <si>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</si>
  <si>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</si>
  <si>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</si>
  <si>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</si>
  <si>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</si>
  <si>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</si>
  <si>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</si>
  <si>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</si>
  <si>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</si>
  <si>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</si>
  <si>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</si>
  <si>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</si>
  <si>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</si>
  <si>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</si>
  <si>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</si>
  <si>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</si>
  <si>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</si>
  <si>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</si>
  <si>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</si>
  <si>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</si>
  <si>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</si>
  <si>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</si>
  <si>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</si>
  <si>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</si>
  <si>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</si>
  <si>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</si>
  <si>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</si>
  <si>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</si>
  <si>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</si>
  <si>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</si>
  <si>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</si>
  <si>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</si>
  <si>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</si>
  <si>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</si>
  <si>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</si>
  <si>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</si>
  <si>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</si>
  <si>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</si>
  <si>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</si>
  <si>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</si>
  <si>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</si>
  <si>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</si>
  <si>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</si>
  <si>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</si>
  <si>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</si>
  <si>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</si>
  <si>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</si>
  <si>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</si>
  <si>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</si>
  <si>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</si>
  <si>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</si>
  <si>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</si>
  <si>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</si>
  <si>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</si>
  <si>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</si>
  <si>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</si>
  <si>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</si>
  <si>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</si>
  <si>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</si>
  <si>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</si>
  <si>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</si>
  <si>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</si>
  <si>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</si>
  <si>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</si>
  <si>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</si>
  <si>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</si>
  <si>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</si>
  <si>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</si>
  <si>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</si>
  <si>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</si>
  <si>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</si>
  <si>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</si>
  <si>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</si>
  <si>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</si>
  <si>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</si>
  <si>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</si>
  <si>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</si>
  <si>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</si>
  <si>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</si>
  <si>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</si>
  <si>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</si>
  <si>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</si>
  <si>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</si>
  <si>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</si>
  <si>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</si>
  <si>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</si>
  <si>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</si>
  <si>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</si>
  <si>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</si>
  <si>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</si>
  <si>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</si>
  <si>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</si>
  <si>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</si>
  <si>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</si>
  <si>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</si>
  <si>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</si>
  <si>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</si>
  <si>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</si>
  <si>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</si>
  <si>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</si>
  <si>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</si>
  <si>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</si>
  <si>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</si>
  <si>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</si>
  <si>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</si>
  <si>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</si>
  <si>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</si>
  <si>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</si>
  <si>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</si>
  <si>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</si>
  <si>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</si>
  <si>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</si>
  <si>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</si>
  <si>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</si>
  <si>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</si>
  <si>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</si>
  <si>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</si>
  <si>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</si>
  <si>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</si>
  <si>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</si>
  <si>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</si>
  <si>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</si>
  <si>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</si>
  <si>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</si>
  <si>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</si>
  <si>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</si>
  <si>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</si>
  <si>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</si>
  <si>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</si>
  <si>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</si>
  <si>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</si>
  <si>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</si>
  <si>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</si>
  <si>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</si>
  <si>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</si>
  <si>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</si>
  <si>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</si>
  <si>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</si>
  <si>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</si>
  <si>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</si>
  <si>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</si>
  <si>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</si>
  <si>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</si>
  <si>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</si>
  <si>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</si>
  <si>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</si>
  <si>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</si>
  <si>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</si>
  <si>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</si>
  <si>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</si>
  <si>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</si>
  <si>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</si>
  <si>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</si>
  <si>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</si>
  <si>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</si>
  <si>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</si>
  <si>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</si>
  <si>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</si>
  <si>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</si>
  <si>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</si>
  <si>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</si>
  <si>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</si>
  <si>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</si>
  <si>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</si>
  <si>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</si>
  <si>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</si>
  <si>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</si>
  <si>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</si>
  <si>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</si>
  <si>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</si>
  <si>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</si>
  <si>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</si>
  <si>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</si>
  <si>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</si>
  <si>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</si>
  <si>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</si>
  <si>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</si>
  <si>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</si>
  <si>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</si>
  <si>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</si>
  <si>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</si>
  <si>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</si>
  <si>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</si>
  <si>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</si>
  <si>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</si>
  <si>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</si>
  <si>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</si>
  <si>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</si>
  <si>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</si>
  <si>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</si>
  <si>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</si>
  <si>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</si>
  <si>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</si>
  <si>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</si>
  <si>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</si>
  <si>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</si>
  <si>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</si>
  <si>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</si>
  <si>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</si>
  <si>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</si>
  <si>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</si>
  <si>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</si>
  <si>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</si>
  <si>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</si>
  <si>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</si>
  <si>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</si>
  <si>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</si>
  <si>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</si>
  <si>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</si>
  <si>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</si>
  <si>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</si>
  <si>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</si>
  <si>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</si>
  <si>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</si>
  <si>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</si>
  <si>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</si>
  <si>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</si>
  <si>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</si>
  <si>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</si>
  <si>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</si>
  <si>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</si>
  <si>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</si>
  <si>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</si>
  <si>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</si>
  <si>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</si>
  <si>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</si>
  <si>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</si>
  <si>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</si>
  <si>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</si>
  <si>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</si>
  <si>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</si>
  <si>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</si>
  <si>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</si>
  <si>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</si>
  <si>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</si>
  <si>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</si>
  <si>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</si>
  <si>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</si>
  <si>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</si>
  <si>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</si>
  <si>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</si>
  <si>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</si>
  <si>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</si>
  <si>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</si>
  <si>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</si>
  <si>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</si>
  <si>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</si>
  <si>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</si>
  <si>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</si>
  <si>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</si>
  <si>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</si>
  <si>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</si>
  <si>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</si>
  <si>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</si>
  <si>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</si>
  <si>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</si>
  <si>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</si>
  <si>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</si>
  <si>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</si>
  <si>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</si>
  <si>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</si>
  <si>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</si>
  <si>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</si>
  <si>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</si>
  <si>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</si>
  <si>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</si>
  <si>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</si>
  <si>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</si>
  <si>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</si>
  <si>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</si>
  <si>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</si>
  <si>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</si>
  <si>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</si>
  <si>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</si>
  <si>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</si>
  <si>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</si>
  <si>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</si>
  <si>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</si>
  <si>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</si>
  <si>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</si>
  <si>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</si>
  <si>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</si>
  <si>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</si>
  <si>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</si>
  <si>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</si>
  <si>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</si>
  <si>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</si>
  <si>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</si>
  <si>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</si>
  <si>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</si>
  <si>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</si>
  <si>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</si>
  <si>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</si>
  <si>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</si>
  <si>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</si>
  <si>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</si>
  <si>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</si>
  <si>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</si>
  <si>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</si>
  <si>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</si>
  <si>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</si>
  <si>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</si>
  <si>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</si>
  <si>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</si>
  <si>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</si>
  <si>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</si>
  <si>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</si>
  <si>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</si>
  <si>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</si>
  <si>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</si>
  <si>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</si>
  <si>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</si>
  <si>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</si>
  <si>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</si>
  <si>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</si>
  <si>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</si>
  <si>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</si>
  <si>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</si>
  <si>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</si>
  <si>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</si>
  <si>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</si>
  <si>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</si>
  <si>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</si>
  <si>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</si>
  <si>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</si>
  <si>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</si>
  <si>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</si>
  <si>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</si>
  <si>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</si>
  <si>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</si>
  <si>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</si>
  <si>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</si>
  <si>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</si>
  <si>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</si>
  <si>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</si>
  <si>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</si>
  <si>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</si>
  <si>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</si>
  <si>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</si>
  <si>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</si>
  <si>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</si>
  <si>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</si>
  <si>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</si>
  <si>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</si>
  <si>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</si>
  <si>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</si>
  <si>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</si>
  <si>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</si>
  <si>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</si>
  <si>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</si>
  <si>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</si>
  <si>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</si>
  <si>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</si>
  <si>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</si>
  <si>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</si>
  <si>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</si>
  <si>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</si>
  <si>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</si>
  <si>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</si>
  <si>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</si>
  <si>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</si>
  <si>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</si>
  <si>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</si>
  <si>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</si>
  <si>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</si>
  <si>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</si>
  <si>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</si>
  <si>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</si>
  <si>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</si>
  <si>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</si>
  <si>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</si>
  <si>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</si>
  <si>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</si>
  <si>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</si>
  <si>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</si>
  <si>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</si>
  <si>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</si>
  <si>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</si>
  <si>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</si>
  <si>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</si>
  <si>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</si>
  <si>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</si>
  <si>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</si>
  <si>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</si>
  <si>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</si>
  <si>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</si>
  <si>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</si>
  <si>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</si>
  <si>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</si>
  <si>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</si>
  <si>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</si>
  <si>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</si>
  <si>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</si>
  <si>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</si>
  <si>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</si>
  <si>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</si>
  <si>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</si>
  <si>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</si>
  <si>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</si>
  <si>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</si>
  <si>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</si>
  <si>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</si>
  <si>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</si>
  <si>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</si>
  <si>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</si>
  <si>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</si>
  <si>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</si>
  <si>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</si>
  <si>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</si>
  <si>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</si>
  <si>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</si>
  <si>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</si>
  <si>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</si>
  <si>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</si>
  <si>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</si>
  <si>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</si>
  <si>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</si>
  <si>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</si>
  <si>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</si>
  <si>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</si>
  <si>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</si>
  <si>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</si>
  <si>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</si>
  <si>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</si>
  <si>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</si>
  <si>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</si>
  <si>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</si>
  <si>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</si>
  <si>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</si>
  <si>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</si>
  <si>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</si>
  <si>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</si>
  <si>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</si>
  <si>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</si>
  <si>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</si>
  <si>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</si>
  <si>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</si>
  <si>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</si>
  <si>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</si>
  <si>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</si>
  <si>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</si>
  <si>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</si>
  <si>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</si>
  <si>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</si>
  <si>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</si>
  <si>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</si>
  <si>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</si>
  <si>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</si>
  <si>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</si>
  <si>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</si>
  <si>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</si>
  <si>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</si>
  <si>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</si>
  <si>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</si>
  <si>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</si>
  <si>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</si>
  <si>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</si>
  <si>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</si>
  <si>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</si>
  <si>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</si>
  <si>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</si>
  <si>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</si>
  <si>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</si>
  <si>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</si>
  <si>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</si>
  <si>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</si>
  <si>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</si>
  <si>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</si>
  <si>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</si>
  <si>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</si>
  <si>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</si>
  <si>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</si>
  <si>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</si>
  <si>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</si>
  <si>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</si>
  <si>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</si>
  <si>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</si>
  <si>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</si>
  <si>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</si>
  <si>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</si>
  <si>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</si>
  <si>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</si>
  <si>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</si>
  <si>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</si>
  <si>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</si>
  <si>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</si>
  <si>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</si>
  <si>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</si>
  <si>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</si>
  <si>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</si>
  <si>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</si>
  <si>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</si>
  <si>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</si>
  <si>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</si>
  <si>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</si>
  <si>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</si>
  <si>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</si>
  <si>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</si>
  <si>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</si>
  <si>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</si>
  <si>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</si>
  <si>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</si>
  <si>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</si>
  <si>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</si>
  <si>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</si>
  <si>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</si>
  <si>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</si>
  <si>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</si>
  <si>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</si>
  <si>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</si>
  <si>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</si>
  <si>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</si>
  <si>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</si>
  <si>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</si>
  <si>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</si>
  <si>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</si>
  <si>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</si>
  <si>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</si>
  <si>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</si>
  <si>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</si>
  <si>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</si>
  <si>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</si>
  <si>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</si>
  <si>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</si>
  <si>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</si>
  <si>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</si>
  <si>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</si>
  <si>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</si>
  <si>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</si>
  <si>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</si>
  <si>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</si>
  <si>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</si>
  <si>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</si>
  <si>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</si>
  <si>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</si>
  <si>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</si>
  <si>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</si>
  <si>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</si>
  <si>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</si>
  <si>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</si>
  <si>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</si>
  <si>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</si>
  <si>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</si>
  <si>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</si>
  <si>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</si>
  <si>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</si>
  <si>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</si>
  <si>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</si>
  <si>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</si>
  <si>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</si>
  <si>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</si>
  <si>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</si>
  <si>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</si>
  <si>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</si>
  <si>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</si>
  <si>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</si>
  <si>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</si>
  <si>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</si>
  <si>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</si>
  <si>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</si>
  <si>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</si>
  <si>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</si>
  <si>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</si>
  <si>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</si>
  <si>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</si>
  <si>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</si>
  <si>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</si>
  <si>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</si>
  <si>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</si>
  <si>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</si>
  <si>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</si>
  <si>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</si>
  <si>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</si>
  <si>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</si>
  <si>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</si>
  <si>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</si>
  <si>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</si>
  <si>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</si>
  <si>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</si>
  <si>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</si>
  <si>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</si>
  <si>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</si>
  <si>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</si>
  <si>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</si>
  <si>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</si>
  <si>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</si>
  <si>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</si>
  <si>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</si>
  <si>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</si>
  <si>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</si>
  <si>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</si>
  <si>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</si>
  <si>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</si>
  <si>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</si>
  <si>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</si>
  <si>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</si>
  <si>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</si>
  <si>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</si>
  <si>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</si>
  <si>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</si>
  <si>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</si>
  <si>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</si>
  <si>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</si>
  <si>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</si>
  <si>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</si>
  <si>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</si>
  <si>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</si>
  <si>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</si>
  <si>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</si>
  <si>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</si>
  <si>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</si>
  <si>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</si>
  <si>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</si>
  <si>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</si>
  <si>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</si>
  <si>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</si>
  <si>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</si>
  <si>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</si>
  <si>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</si>
  <si>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</si>
  <si>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</si>
  <si>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</si>
  <si>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</si>
  <si>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</si>
  <si>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</si>
  <si>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</si>
  <si>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</si>
  <si>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</si>
  <si>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</si>
  <si>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</si>
  <si>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</si>
  <si>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</si>
  <si>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</si>
  <si>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</si>
  <si>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</si>
  <si>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</si>
  <si>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</si>
  <si>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</si>
  <si>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</si>
  <si>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</si>
  <si>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</si>
  <si>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</si>
  <si>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</si>
  <si>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</si>
  <si>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</si>
  <si>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</si>
  <si>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</si>
  <si>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</si>
  <si>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</si>
  <si>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</si>
  <si>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</si>
  <si>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</si>
  <si>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</si>
  <si>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</si>
  <si>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</si>
  <si>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</si>
  <si>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</si>
  <si>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</si>
  <si>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</si>
  <si>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</si>
  <si>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</si>
  <si>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</si>
  <si>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</si>
  <si>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</si>
  <si>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</si>
  <si>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</si>
  <si>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</si>
  <si>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</si>
  <si>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</si>
  <si>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</si>
  <si>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</si>
  <si>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</si>
  <si>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</si>
  <si>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</si>
  <si>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</si>
  <si>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</si>
  <si>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</si>
  <si>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</si>
  <si>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</si>
  <si>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</si>
  <si>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</si>
  <si>
    <r>
      <t xml:space="preserve">Aluminium Tower (WxL) </t>
    </r>
    <r>
      <rPr>
        <i/>
        <sz val="11"/>
        <color theme="4"/>
        <rFont val="Aptos Narrow"/>
        <family val="2"/>
        <scheme val="minor"/>
      </rPr>
      <t>(priced per metre)</t>
    </r>
  </si>
  <si>
    <t>Aluminium Tower - AGR (WxL) (priced per metre)</t>
  </si>
  <si>
    <t>Non-conductive GRP Tower (WxL) (priced per metre)</t>
  </si>
  <si>
    <t>17. Traffic Management</t>
  </si>
  <si>
    <t>B1802114</t>
  </si>
  <si>
    <t>B1802116</t>
  </si>
  <si>
    <t xml:space="preserve">2-way Galvanised Connector for Track Mat </t>
  </si>
  <si>
    <t xml:space="preserve">4-way Galvanised Connector for Track Mat </t>
  </si>
  <si>
    <t>B1802113</t>
  </si>
  <si>
    <t>Trak Mate Urban, 1100 x 2400 8mm, 35T SWL</t>
  </si>
  <si>
    <t>Barriers, Covers and Protection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</si>
</sst>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  <numFmt numFmtId="171" formatCode="0.0"/>
  </numFmts>
  <fonts count="8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  <font>
      <i/>
      <sz val="11"/>
      <color theme="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  <xf numFmtId="17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10"/>
  <sheetViews>
    <sheetView tabSelected="1" workbookViewId="0">
      <pane ySplit="1" topLeftCell="A821" activePane="bottomLeft" state="frozen"/>
      <selection pane="bottomLeft" activeCell="E850" sqref="E850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52.42578125" customWidth="1"/>
    <col min="6" max="6" width="10.42578125" customWidth="1"/>
    <col min="7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52.5703125" style="188" customWidth="1"/>
    <col min="15" max="15" width="51.1406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0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 (priced per metre)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3969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111</v>
      </c>
      <c r="B43" s="4" t="s">
        <v>112</v>
      </c>
      <c r="C43">
        <v>23.03</v>
      </c>
      <c r="D43" t="s">
        <v>20</v>
      </c>
      <c r="E43" t="str">
        <f t="shared" si="1"/>
        <v>04. Aluminium Tower (WxL) (priced per metre)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3969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113</v>
      </c>
      <c r="B44" s="4" t="s">
        <v>114</v>
      </c>
      <c r="C44">
        <v>23.03</v>
      </c>
      <c r="D44" t="s">
        <v>20</v>
      </c>
      <c r="E44" t="str">
        <f t="shared" si="1"/>
        <v>04. Aluminium Tower (WxL) (priced per metre)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3969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115</v>
      </c>
      <c r="B45" s="4" t="s">
        <v>116</v>
      </c>
      <c r="C45">
        <v>23.03</v>
      </c>
      <c r="D45" t="s">
        <v>20</v>
      </c>
      <c r="E45" t="str">
        <f t="shared" si="1"/>
        <v>04. Aluminium Tower (WxL) (priced per metre)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116</v>
      </c>
      <c r="O45" s="198" t="s">
        <v>3969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117</v>
      </c>
      <c r="B46" s="4" t="s">
        <v>118</v>
      </c>
      <c r="C46">
        <v>23.03</v>
      </c>
      <c r="D46" t="s">
        <v>20</v>
      </c>
      <c r="E46" t="str">
        <f t="shared" si="1"/>
        <v>04. Aluminium Tower (WxL) (priced per metre)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118</v>
      </c>
      <c r="O46" s="198" t="s">
        <v>3969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119</v>
      </c>
      <c r="B47" s="4" t="s">
        <v>120</v>
      </c>
      <c r="C47">
        <v>23.03</v>
      </c>
      <c r="D47" t="s">
        <v>20</v>
      </c>
      <c r="E47" t="str">
        <f t="shared" si="1"/>
        <v>04. Aluminium Tower (WxL) (priced per metre)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120</v>
      </c>
      <c r="O47" s="198" t="s">
        <v>3969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121</v>
      </c>
      <c r="B48" s="4" t="s">
        <v>122</v>
      </c>
      <c r="C48">
        <v>23.03</v>
      </c>
      <c r="D48" t="s">
        <v>20</v>
      </c>
      <c r="E48" t="str">
        <f t="shared" si="1"/>
        <v>04. Aluminium Tower (WxL) (priced per metre)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122</v>
      </c>
      <c r="O48" s="198" t="s">
        <v>3969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123</v>
      </c>
      <c r="B49" s="4" t="s">
        <v>124</v>
      </c>
      <c r="C49">
        <v>23.03</v>
      </c>
      <c r="D49" t="s">
        <v>20</v>
      </c>
      <c r="E49" t="str">
        <f t="shared" si="1"/>
        <v>04. Aluminium Tower (WxL) (priced per metre)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124</v>
      </c>
      <c r="O49" s="198" t="s">
        <v>3969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125</v>
      </c>
      <c r="B50" s="4" t="s">
        <v>126</v>
      </c>
      <c r="C50">
        <v>23.03</v>
      </c>
      <c r="D50" t="s">
        <v>20</v>
      </c>
      <c r="E50" t="str">
        <f t="shared" si="1"/>
        <v>04. Aluminium Tower (WxL) (priced per metre)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126</v>
      </c>
      <c r="O50" s="198" t="s">
        <v>3969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127</v>
      </c>
      <c r="B51" t="s">
        <v>116</v>
      </c>
      <c r="C51">
        <v>29.04</v>
      </c>
      <c r="D51" t="s">
        <v>20</v>
      </c>
      <c r="E51" t="str">
        <f t="shared" si="1"/>
        <v>05. Aluminium Tower - AGR (WxL) (priced per metre)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116</v>
      </c>
      <c r="O51" s="198" t="s">
        <v>3970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128</v>
      </c>
      <c r="B52" t="s">
        <v>118</v>
      </c>
      <c r="C52">
        <v>29.04</v>
      </c>
      <c r="D52" t="s">
        <v>20</v>
      </c>
      <c r="E52" t="str">
        <f t="shared" si="1"/>
        <v>05. Aluminium Tower - AGR (WxL) (priced per metre)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118</v>
      </c>
      <c r="O52" s="198" t="s">
        <v>3970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129</v>
      </c>
      <c r="B53" t="s">
        <v>130</v>
      </c>
      <c r="C53">
        <v>29.04</v>
      </c>
      <c r="D53" t="s">
        <v>20</v>
      </c>
      <c r="E53" t="str">
        <f t="shared" si="1"/>
        <v>05. Aluminium Tower - AGR (WxL) (priced per metre)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130</v>
      </c>
      <c r="O53" s="198" t="s">
        <v>3970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131</v>
      </c>
      <c r="B54" t="s">
        <v>132</v>
      </c>
      <c r="C54">
        <v>29.04</v>
      </c>
      <c r="D54" t="s">
        <v>20</v>
      </c>
      <c r="E54" t="str">
        <f t="shared" si="1"/>
        <v>05. Aluminium Tower - AGR (WxL) (priced per metre)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132</v>
      </c>
      <c r="O54" s="198" t="s">
        <v>3970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133</v>
      </c>
      <c r="B55" s="1" t="s">
        <v>134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134</v>
      </c>
      <c r="O55" s="198" t="s">
        <v>135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136</v>
      </c>
      <c r="B56" s="1" t="s">
        <v>137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137</v>
      </c>
      <c r="O56" s="198" t="s">
        <v>135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138</v>
      </c>
      <c r="B57" s="1" t="s">
        <v>139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139</v>
      </c>
      <c r="O57" s="198" t="s">
        <v>135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140</v>
      </c>
      <c r="B58" s="1" t="s">
        <v>141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141</v>
      </c>
      <c r="O58" s="198" t="s">
        <v>135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142</v>
      </c>
      <c r="B59" s="1" t="s">
        <v>143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143</v>
      </c>
      <c r="O59" s="198" t="s">
        <v>144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145</v>
      </c>
      <c r="B60" s="1" t="s">
        <v>146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146</v>
      </c>
      <c r="O60" s="198" t="s">
        <v>144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147</v>
      </c>
      <c r="B61" s="1" t="s">
        <v>148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148</v>
      </c>
      <c r="O61" s="198" t="s">
        <v>144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149</v>
      </c>
      <c r="B62" s="1" t="s">
        <v>150</v>
      </c>
      <c r="C62">
        <v>39.14</v>
      </c>
      <c r="D62" t="s">
        <v>20</v>
      </c>
      <c r="E62" t="str">
        <f t="shared" si="1"/>
        <v>08. Non-conductive GRP Tower (WxL) (priced per metre)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150</v>
      </c>
      <c r="O62" s="199" t="s">
        <v>3971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151</v>
      </c>
      <c r="B63" s="1" t="s">
        <v>152</v>
      </c>
      <c r="C63">
        <v>39.14</v>
      </c>
      <c r="D63" t="s">
        <v>20</v>
      </c>
      <c r="E63" t="str">
        <f t="shared" si="1"/>
        <v>08. Non-conductive GRP Tower (WxL) (priced per metre)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152</v>
      </c>
      <c r="O63" s="199" t="s">
        <v>3971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153</v>
      </c>
      <c r="B64" s="1" t="s">
        <v>154</v>
      </c>
      <c r="C64">
        <v>39.14</v>
      </c>
      <c r="D64" t="s">
        <v>20</v>
      </c>
      <c r="E64" t="str">
        <f t="shared" si="1"/>
        <v>08. Non-conductive GRP Tower (WxL) (priced per metre)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154</v>
      </c>
      <c r="O64" s="199" t="s">
        <v>3971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155</v>
      </c>
      <c r="B65" s="1" t="s">
        <v>156</v>
      </c>
      <c r="C65">
        <v>39.14</v>
      </c>
      <c r="D65" t="s">
        <v>20</v>
      </c>
      <c r="E65" t="str">
        <f t="shared" si="1"/>
        <v>08. Non-conductive GRP Tower (WxL) (priced per metre)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156</v>
      </c>
      <c r="O65" s="199" t="s">
        <v>3971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157</v>
      </c>
      <c r="B66" t="s">
        <v>158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158</v>
      </c>
      <c r="O66" s="198" t="s">
        <v>159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160</v>
      </c>
      <c r="B67" t="s">
        <v>161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161</v>
      </c>
      <c r="O67" s="198" t="s">
        <v>159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162</v>
      </c>
      <c r="B68" t="s">
        <v>163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159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164</v>
      </c>
      <c r="B69" t="s">
        <v>165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159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166</v>
      </c>
      <c r="B70" t="s">
        <v>167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159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168</v>
      </c>
      <c r="B71" t="s">
        <v>169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159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170</v>
      </c>
      <c r="B72" t="s">
        <v>171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159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172</v>
      </c>
      <c r="B73" t="s">
        <v>173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174</v>
      </c>
      <c r="O73" s="198" t="s">
        <v>175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176</v>
      </c>
      <c r="B74" t="s">
        <v>177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178</v>
      </c>
      <c r="O74" s="198" t="s">
        <v>175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179</v>
      </c>
      <c r="B75" t="s">
        <v>180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181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182</v>
      </c>
      <c r="B76" t="s">
        <v>183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181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184</v>
      </c>
      <c r="B77" t="s">
        <v>185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186</v>
      </c>
      <c r="O77" s="198" t="s">
        <v>181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187</v>
      </c>
      <c r="B78" t="s">
        <v>188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189</v>
      </c>
      <c r="O78" s="198" t="s">
        <v>181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190</v>
      </c>
      <c r="B79" t="s">
        <v>191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192</v>
      </c>
      <c r="O79" s="198" t="s">
        <v>181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193</v>
      </c>
      <c r="B80" t="s">
        <v>194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195</v>
      </c>
      <c r="O80" s="198" t="s">
        <v>181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196</v>
      </c>
      <c r="B81" t="s">
        <v>197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198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199</v>
      </c>
      <c r="B82" t="s">
        <v>200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198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201</v>
      </c>
      <c r="B83" t="s">
        <v>202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198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203</v>
      </c>
      <c r="B84" t="s">
        <v>204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198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205</v>
      </c>
      <c r="B85" t="s">
        <v>206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198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207</v>
      </c>
      <c r="B86" t="s">
        <v>208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198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209</v>
      </c>
      <c r="B87" t="s">
        <v>210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198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211</v>
      </c>
      <c r="B88" t="s">
        <v>212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213</v>
      </c>
      <c r="O88" s="198" t="s">
        <v>198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214</v>
      </c>
      <c r="B89" t="s">
        <v>215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216</v>
      </c>
      <c r="O89" s="198" t="s">
        <v>198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217</v>
      </c>
      <c r="B90" t="s">
        <v>218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219</v>
      </c>
      <c r="O90" s="198" t="s">
        <v>198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220</v>
      </c>
      <c r="B91" t="s">
        <v>221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222</v>
      </c>
      <c r="O91" s="198" t="s">
        <v>198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223</v>
      </c>
      <c r="B92" t="s">
        <v>224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225</v>
      </c>
      <c r="O92" s="198" t="s">
        <v>198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226</v>
      </c>
      <c r="B93" t="s">
        <v>227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228</v>
      </c>
      <c r="O93" s="198" t="s">
        <v>198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229</v>
      </c>
      <c r="B94" t="s">
        <v>230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231</v>
      </c>
      <c r="O94" s="198" t="s">
        <v>198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232</v>
      </c>
      <c r="B95" t="s">
        <v>233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234</v>
      </c>
      <c r="O95" s="198" t="s">
        <v>198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235</v>
      </c>
      <c r="B96" t="s">
        <v>236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237</v>
      </c>
      <c r="O96" s="198" t="s">
        <v>198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238</v>
      </c>
      <c r="B97" t="s">
        <v>239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240</v>
      </c>
      <c r="O97" s="198" t="s">
        <v>198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241</v>
      </c>
      <c r="B98" t="s">
        <v>242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243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244</v>
      </c>
      <c r="B99" t="s">
        <v>245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243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246</v>
      </c>
      <c r="B100" t="s">
        <v>247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248</v>
      </c>
      <c r="O100" s="198" t="s">
        <v>243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249</v>
      </c>
      <c r="B101" t="s">
        <v>250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251</v>
      </c>
      <c r="O101" s="198" t="s">
        <v>243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252</v>
      </c>
      <c r="B102" t="s">
        <v>253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254</v>
      </c>
      <c r="O102" s="198" t="s">
        <v>243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255</v>
      </c>
      <c r="B103" t="s">
        <v>256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257</v>
      </c>
      <c r="O103" s="198" t="s">
        <v>243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258</v>
      </c>
      <c r="B104" t="s">
        <v>259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260</v>
      </c>
      <c r="O104" s="198" t="s">
        <v>243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261</v>
      </c>
      <c r="B105" t="s">
        <v>262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263</v>
      </c>
      <c r="O105" s="198" t="s">
        <v>243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264</v>
      </c>
      <c r="B106" t="s">
        <v>265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266</v>
      </c>
      <c r="O106" s="198" t="s">
        <v>243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267</v>
      </c>
      <c r="B107" t="s">
        <v>268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269</v>
      </c>
      <c r="O107" s="198" t="s">
        <v>243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270</v>
      </c>
      <c r="B108" t="s">
        <v>271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272</v>
      </c>
      <c r="O108" s="198" t="s">
        <v>243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273</v>
      </c>
      <c r="B109" t="s">
        <v>274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275</v>
      </c>
      <c r="O109" s="198" t="s">
        <v>243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276</v>
      </c>
      <c r="B110" t="s">
        <v>277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278</v>
      </c>
      <c r="O110" s="198" t="s">
        <v>243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279</v>
      </c>
      <c r="B111" t="s">
        <v>280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281</v>
      </c>
      <c r="O111" s="198" t="s">
        <v>243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282</v>
      </c>
      <c r="B112" t="s">
        <v>283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284</v>
      </c>
      <c r="O112" s="198" t="s">
        <v>243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285</v>
      </c>
      <c r="B113" t="s">
        <v>286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287</v>
      </c>
      <c r="O113" s="198" t="s">
        <v>243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288</v>
      </c>
      <c r="B114" t="s">
        <v>289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290</v>
      </c>
      <c r="O114" s="198" t="s">
        <v>243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291</v>
      </c>
      <c r="B115" t="s">
        <v>292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293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294</v>
      </c>
      <c r="B116" t="s">
        <v>295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296</v>
      </c>
      <c r="O116" s="198" t="s">
        <v>293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297</v>
      </c>
      <c r="B117" t="s">
        <v>298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299</v>
      </c>
      <c r="O117" s="198" t="s">
        <v>293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300</v>
      </c>
      <c r="B118" t="s">
        <v>301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302</v>
      </c>
      <c r="O118" s="198" t="s">
        <v>293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303</v>
      </c>
      <c r="B119" t="s">
        <v>304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305</v>
      </c>
      <c r="O119" s="198" t="s">
        <v>293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306</v>
      </c>
      <c r="B120" t="s">
        <v>307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308</v>
      </c>
      <c r="O120" s="198" t="s">
        <v>293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309</v>
      </c>
      <c r="B121" t="s">
        <v>310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311</v>
      </c>
      <c r="O121" s="198" t="s">
        <v>293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312</v>
      </c>
      <c r="B122" t="s">
        <v>313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314</v>
      </c>
      <c r="O122" s="198" t="s">
        <v>293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315</v>
      </c>
      <c r="B123" t="s">
        <v>316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317</v>
      </c>
      <c r="O123" s="198" t="s">
        <v>293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318</v>
      </c>
      <c r="B124" t="s">
        <v>319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320</v>
      </c>
      <c r="O124" s="198" t="s">
        <v>293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321</v>
      </c>
      <c r="B125" t="s">
        <v>322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323</v>
      </c>
      <c r="O125" s="198" t="s">
        <v>293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324</v>
      </c>
      <c r="B126" t="s">
        <v>325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326</v>
      </c>
      <c r="O126" s="198" t="s">
        <v>293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327</v>
      </c>
      <c r="B127" t="s">
        <v>328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329</v>
      </c>
      <c r="O127" s="198" t="s">
        <v>293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330</v>
      </c>
      <c r="B128" t="s">
        <v>331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332</v>
      </c>
      <c r="O128" s="198" t="s">
        <v>293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333</v>
      </c>
      <c r="B129" t="s">
        <v>334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334</v>
      </c>
      <c r="O129" s="198" t="s">
        <v>293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335</v>
      </c>
      <c r="B130" t="s">
        <v>336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320</v>
      </c>
      <c r="O130" s="198" t="s">
        <v>293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337</v>
      </c>
      <c r="B131" t="s">
        <v>338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339</v>
      </c>
      <c r="O131" s="198" t="s">
        <v>293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340</v>
      </c>
      <c r="B132" t="s">
        <v>341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342</v>
      </c>
      <c r="O132" s="198" t="s">
        <v>293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343</v>
      </c>
      <c r="B133" t="s">
        <v>344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345</v>
      </c>
      <c r="O133" s="198" t="s">
        <v>293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346</v>
      </c>
      <c r="B134" t="s">
        <v>347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348</v>
      </c>
      <c r="O134" s="198" t="s">
        <v>293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349</v>
      </c>
      <c r="B135" t="s">
        <v>350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351</v>
      </c>
      <c r="O135" s="198" t="s">
        <v>293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352</v>
      </c>
      <c r="B136" t="s">
        <v>353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354</v>
      </c>
      <c r="O136" s="198" t="s">
        <v>293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355</v>
      </c>
      <c r="B137" t="s">
        <v>356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357</v>
      </c>
      <c r="O137" s="198" t="s">
        <v>293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358</v>
      </c>
      <c r="B138" t="s">
        <v>359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360</v>
      </c>
      <c r="O138" s="198" t="s">
        <v>293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361</v>
      </c>
      <c r="B139" t="s">
        <v>362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363</v>
      </c>
      <c r="O139" s="198" t="s">
        <v>293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364</v>
      </c>
      <c r="B140" t="s">
        <v>365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366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367</v>
      </c>
      <c r="B141" t="s">
        <v>368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366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369</v>
      </c>
      <c r="B142" t="s">
        <v>370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366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371</v>
      </c>
      <c r="B143" t="s">
        <v>372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366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373</v>
      </c>
      <c r="B144" t="s">
        <v>374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366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375</v>
      </c>
      <c r="B145" t="s">
        <v>376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366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377</v>
      </c>
      <c r="B146" t="s">
        <v>378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366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379</v>
      </c>
      <c r="B147" t="s">
        <v>380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366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381</v>
      </c>
      <c r="B148" t="s">
        <v>382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366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383</v>
      </c>
      <c r="B149" t="s">
        <v>384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366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385</v>
      </c>
      <c r="B150" t="s">
        <v>386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386</v>
      </c>
      <c r="O150" s="198" t="s">
        <v>366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387</v>
      </c>
      <c r="B151" t="s">
        <v>388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389</v>
      </c>
      <c r="O151" s="198" t="s">
        <v>366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390</v>
      </c>
      <c r="B152" t="s">
        <v>391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392</v>
      </c>
      <c r="O152" s="198" t="s">
        <v>366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393</v>
      </c>
      <c r="B153" t="s">
        <v>394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395</v>
      </c>
      <c r="O153" s="198" t="s">
        <v>366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396</v>
      </c>
      <c r="B154" t="s">
        <v>397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398</v>
      </c>
      <c r="O154" s="198" t="s">
        <v>366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399</v>
      </c>
      <c r="B155" t="s">
        <v>400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401</v>
      </c>
      <c r="O155" s="198" t="s">
        <v>366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402</v>
      </c>
      <c r="B156" t="s">
        <v>403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404</v>
      </c>
      <c r="O156" s="198" t="s">
        <v>366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405</v>
      </c>
      <c r="B157" t="s">
        <v>406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407</v>
      </c>
      <c r="O157" s="198" t="s">
        <v>366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408</v>
      </c>
      <c r="B158" t="s">
        <v>409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410</v>
      </c>
      <c r="O158" s="198" t="s">
        <v>366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411</v>
      </c>
      <c r="B159" t="s">
        <v>412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139</v>
      </c>
      <c r="O159" s="198" t="s">
        <v>366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413</v>
      </c>
      <c r="B160" t="s">
        <v>414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141</v>
      </c>
      <c r="O160" s="198" t="s">
        <v>366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415</v>
      </c>
      <c r="B161" t="s">
        <v>416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417</v>
      </c>
      <c r="O161" s="198" t="s">
        <v>366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418</v>
      </c>
      <c r="B162" t="s">
        <v>419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420</v>
      </c>
      <c r="O162" s="198" t="s">
        <v>366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421</v>
      </c>
      <c r="B163" t="s">
        <v>422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423</v>
      </c>
      <c r="O163" s="198" t="s">
        <v>366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424</v>
      </c>
      <c r="B164" t="s">
        <v>425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354</v>
      </c>
      <c r="O164" s="198" t="s">
        <v>366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426</v>
      </c>
      <c r="B165" t="s">
        <v>427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141</v>
      </c>
      <c r="O165" s="198" t="s">
        <v>366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428</v>
      </c>
      <c r="B166" t="s">
        <v>429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417</v>
      </c>
      <c r="O166" s="198" t="s">
        <v>366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430</v>
      </c>
      <c r="B167" t="s">
        <v>431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423</v>
      </c>
      <c r="O167" s="198" t="s">
        <v>366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432</v>
      </c>
      <c r="B168" t="s">
        <v>433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354</v>
      </c>
      <c r="O168" s="198" t="s">
        <v>366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434</v>
      </c>
      <c r="B169" t="s">
        <v>435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435</v>
      </c>
      <c r="O169" s="198" t="s">
        <v>366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436</v>
      </c>
      <c r="B170" t="s">
        <v>437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437</v>
      </c>
      <c r="O170" s="198" t="s">
        <v>366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438</v>
      </c>
      <c r="B171" t="s">
        <v>439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439</v>
      </c>
      <c r="O171" s="198" t="s">
        <v>366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440</v>
      </c>
      <c r="B172" t="s">
        <v>441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441</v>
      </c>
      <c r="O172" s="198" t="s">
        <v>366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442</v>
      </c>
      <c r="B173" t="s">
        <v>443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443</v>
      </c>
      <c r="O173" s="198" t="s">
        <v>366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444</v>
      </c>
      <c r="B174" t="s">
        <v>445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445</v>
      </c>
      <c r="O174" s="198" t="s">
        <v>366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446</v>
      </c>
      <c r="B175" t="s">
        <v>447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447</v>
      </c>
      <c r="O175" s="198" t="s">
        <v>366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448</v>
      </c>
      <c r="B176" t="s">
        <v>449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449</v>
      </c>
      <c r="O176" s="198" t="s">
        <v>366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450</v>
      </c>
      <c r="B177" t="s">
        <v>451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451</v>
      </c>
      <c r="O177" s="198" t="s">
        <v>366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452</v>
      </c>
      <c r="B178" t="s">
        <v>453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453</v>
      </c>
      <c r="O178" s="198" t="s">
        <v>366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454</v>
      </c>
      <c r="B179" t="s">
        <v>455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455</v>
      </c>
      <c r="O179" s="198" t="s">
        <v>366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456</v>
      </c>
      <c r="B180" t="s">
        <v>457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457</v>
      </c>
      <c r="O180" s="198" t="s">
        <v>366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458</v>
      </c>
      <c r="B181" t="s">
        <v>459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459</v>
      </c>
      <c r="O181" s="198" t="s">
        <v>366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460</v>
      </c>
      <c r="B182" t="s">
        <v>461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461</v>
      </c>
      <c r="O182" s="198" t="s">
        <v>366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462</v>
      </c>
      <c r="B183" t="s">
        <v>463</v>
      </c>
      <c r="C183">
        <v>235.29</v>
      </c>
      <c r="D183" t="s">
        <v>464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465</v>
      </c>
      <c r="O183" s="198" t="s">
        <v>466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467</v>
      </c>
      <c r="B184" t="s">
        <v>468</v>
      </c>
      <c r="C184">
        <v>334.8</v>
      </c>
      <c r="D184" t="s">
        <v>464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468</v>
      </c>
      <c r="O184" s="198" t="s">
        <v>466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469</v>
      </c>
      <c r="B185" t="s">
        <v>470</v>
      </c>
      <c r="C185">
        <v>11.34</v>
      </c>
      <c r="D185" t="s">
        <v>464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471</v>
      </c>
      <c r="O185" s="198" t="s">
        <v>466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472</v>
      </c>
      <c r="B186" t="s">
        <v>473</v>
      </c>
      <c r="C186">
        <v>96.570000000000007</v>
      </c>
      <c r="D186" t="s">
        <v>464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473</v>
      </c>
      <c r="O186" s="198" t="s">
        <v>466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474</v>
      </c>
      <c r="B187" t="s">
        <v>475</v>
      </c>
      <c r="C187">
        <v>9.7900000000000009</v>
      </c>
      <c r="D187" t="s">
        <v>464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476</v>
      </c>
      <c r="O187" s="198" t="s">
        <v>466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477</v>
      </c>
      <c r="B188" t="s">
        <v>478</v>
      </c>
      <c r="C188">
        <v>15.46</v>
      </c>
      <c r="D188" t="s">
        <v>464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478</v>
      </c>
      <c r="O188" s="198" t="s">
        <v>466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479</v>
      </c>
      <c r="B189" t="s">
        <v>480</v>
      </c>
      <c r="C189">
        <v>56.76</v>
      </c>
      <c r="D189" t="s">
        <v>464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481</v>
      </c>
      <c r="O189" s="198" t="s">
        <v>482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483</v>
      </c>
      <c r="B190" t="s">
        <v>484</v>
      </c>
      <c r="C190">
        <v>103.47</v>
      </c>
      <c r="D190" t="s">
        <v>464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485</v>
      </c>
      <c r="O190" s="198" t="s">
        <v>482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486</v>
      </c>
      <c r="B191" t="s">
        <v>487</v>
      </c>
      <c r="C191">
        <v>65.97</v>
      </c>
      <c r="D191" t="s">
        <v>464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488</v>
      </c>
      <c r="O191" s="198" t="s">
        <v>482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489</v>
      </c>
      <c r="B192" t="s">
        <v>490</v>
      </c>
      <c r="C192">
        <v>55.21</v>
      </c>
      <c r="D192" t="s">
        <v>464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491</v>
      </c>
      <c r="O192" s="198" t="s">
        <v>482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492</v>
      </c>
      <c r="B193" t="s">
        <v>493</v>
      </c>
      <c r="C193">
        <v>55.21</v>
      </c>
      <c r="D193" t="s">
        <v>464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493</v>
      </c>
      <c r="O193" s="198" t="s">
        <v>494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495</v>
      </c>
      <c r="B194" t="s">
        <v>496</v>
      </c>
      <c r="C194">
        <v>19.900000000000002</v>
      </c>
      <c r="D194" t="s">
        <v>464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497</v>
      </c>
      <c r="O194" s="198" t="s">
        <v>494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498</v>
      </c>
      <c r="B195" t="s">
        <v>499</v>
      </c>
      <c r="C195">
        <v>59.33</v>
      </c>
      <c r="D195" t="s">
        <v>464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500</v>
      </c>
      <c r="O195" s="198" t="s">
        <v>501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502</v>
      </c>
      <c r="B196" t="s">
        <v>503</v>
      </c>
      <c r="C196">
        <v>70.989999999999995</v>
      </c>
      <c r="D196" t="s">
        <v>464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504</v>
      </c>
      <c r="O196" s="198" t="s">
        <v>501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505</v>
      </c>
      <c r="B197" t="s">
        <v>506</v>
      </c>
      <c r="C197">
        <v>86.460000000000008</v>
      </c>
      <c r="D197" t="s">
        <v>464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506</v>
      </c>
      <c r="O197" s="198" t="s">
        <v>501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507</v>
      </c>
      <c r="B198" t="s">
        <v>508</v>
      </c>
      <c r="C198">
        <v>377.92</v>
      </c>
      <c r="D198" t="s">
        <v>464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509</v>
      </c>
      <c r="O198" s="198" t="s">
        <v>501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510</v>
      </c>
      <c r="B199" t="s">
        <v>511</v>
      </c>
      <c r="C199">
        <v>0</v>
      </c>
      <c r="D199" t="s">
        <v>464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512</v>
      </c>
      <c r="O199" s="198" t="s">
        <v>513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514</v>
      </c>
      <c r="B200" t="s">
        <v>515</v>
      </c>
      <c r="C200">
        <v>62.49</v>
      </c>
      <c r="D200" t="s">
        <v>464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516</v>
      </c>
      <c r="O200" s="198" t="s">
        <v>513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517</v>
      </c>
      <c r="B201" t="s">
        <v>518</v>
      </c>
      <c r="C201">
        <v>59.97</v>
      </c>
      <c r="D201" t="s">
        <v>464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518</v>
      </c>
      <c r="O201" s="198" t="s">
        <v>519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520</v>
      </c>
      <c r="B202" t="s">
        <v>521</v>
      </c>
      <c r="C202">
        <v>38.200000000000003</v>
      </c>
      <c r="D202" t="s">
        <v>464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521</v>
      </c>
      <c r="O202" s="198" t="s">
        <v>519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522</v>
      </c>
      <c r="B203" t="s">
        <v>523</v>
      </c>
      <c r="C203">
        <v>59.33</v>
      </c>
      <c r="D203" t="s">
        <v>464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523</v>
      </c>
      <c r="O203" s="198" t="s">
        <v>519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524</v>
      </c>
      <c r="B204" t="s">
        <v>525</v>
      </c>
      <c r="C204">
        <v>103.47</v>
      </c>
      <c r="D204" t="s">
        <v>464</v>
      </c>
      <c r="E204" t="s">
        <v>526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527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528</v>
      </c>
      <c r="B205" t="s">
        <v>529</v>
      </c>
      <c r="C205">
        <v>103.47</v>
      </c>
      <c r="D205" t="s">
        <v>464</v>
      </c>
      <c r="E205" t="s">
        <v>526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527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530</v>
      </c>
      <c r="B206" t="s">
        <v>531</v>
      </c>
      <c r="C206">
        <v>60.88</v>
      </c>
      <c r="D206" t="s">
        <v>464</v>
      </c>
      <c r="E206" t="s">
        <v>526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519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532</v>
      </c>
      <c r="B207" t="s">
        <v>533</v>
      </c>
      <c r="C207">
        <v>11.34</v>
      </c>
      <c r="D207" t="s">
        <v>464</v>
      </c>
      <c r="E207" t="s">
        <v>526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534</v>
      </c>
      <c r="O207" s="198" t="s">
        <v>535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536</v>
      </c>
      <c r="B208" t="s">
        <v>537</v>
      </c>
      <c r="C208">
        <v>72.09</v>
      </c>
      <c r="D208" t="s">
        <v>538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539</v>
      </c>
      <c r="O208" s="198" t="s">
        <v>527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3965</v>
      </c>
      <c r="B209" t="s">
        <v>3966</v>
      </c>
      <c r="C209" s="196">
        <v>59.33</v>
      </c>
      <c r="D209" t="s">
        <v>538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527</v>
      </c>
    </row>
    <row r="210" spans="1:18" x14ac:dyDescent="0.25">
      <c r="A210" t="s">
        <v>540</v>
      </c>
      <c r="B210" t="s">
        <v>541</v>
      </c>
      <c r="C210">
        <v>138</v>
      </c>
      <c r="D210" t="s">
        <v>538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541</v>
      </c>
      <c r="O210" s="198" t="s">
        <v>527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542</v>
      </c>
      <c r="B211" t="s">
        <v>543</v>
      </c>
      <c r="C211">
        <v>53.980000000000004</v>
      </c>
      <c r="D211" t="s">
        <v>538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544</v>
      </c>
      <c r="O211" s="198" t="s">
        <v>527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545</v>
      </c>
      <c r="B212" t="s">
        <v>546</v>
      </c>
      <c r="C212">
        <v>96.73</v>
      </c>
      <c r="D212" t="s">
        <v>538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547</v>
      </c>
      <c r="O212" s="198" t="s">
        <v>527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548</v>
      </c>
      <c r="B213" t="s">
        <v>549</v>
      </c>
      <c r="C213">
        <v>53.980000000000004</v>
      </c>
      <c r="D213" t="s">
        <v>538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550</v>
      </c>
      <c r="O213" s="198" t="s">
        <v>527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551</v>
      </c>
      <c r="B214" t="s">
        <v>552</v>
      </c>
      <c r="C214">
        <v>96.2</v>
      </c>
      <c r="D214" t="s">
        <v>538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553</v>
      </c>
      <c r="O214" s="198" t="s">
        <v>527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672</v>
      </c>
      <c r="B215" s="186" t="s">
        <v>673</v>
      </c>
      <c r="C215" s="186">
        <v>79.180000000000007</v>
      </c>
      <c r="D215" s="186" t="s">
        <v>538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527</v>
      </c>
    </row>
    <row r="216" spans="1:18" x14ac:dyDescent="0.25">
      <c r="A216" t="s">
        <v>554</v>
      </c>
      <c r="B216" t="s">
        <v>555</v>
      </c>
      <c r="C216">
        <v>145.6</v>
      </c>
      <c r="D216" t="s">
        <v>538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556</v>
      </c>
      <c r="O216" s="198" t="s">
        <v>527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674</v>
      </c>
      <c r="B217" s="186" t="s">
        <v>675</v>
      </c>
      <c r="C217" s="186">
        <v>119.84</v>
      </c>
      <c r="D217" s="186" t="s">
        <v>538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527</v>
      </c>
    </row>
    <row r="218" spans="1:18" x14ac:dyDescent="0.25">
      <c r="A218" t="s">
        <v>557</v>
      </c>
      <c r="B218" t="s">
        <v>558</v>
      </c>
      <c r="C218">
        <v>87.04</v>
      </c>
      <c r="D218" t="s">
        <v>538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559</v>
      </c>
      <c r="O218" s="198" t="s">
        <v>527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560</v>
      </c>
      <c r="B219" t="s">
        <v>561</v>
      </c>
      <c r="C219">
        <v>113.58</v>
      </c>
      <c r="D219" t="s">
        <v>538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562</v>
      </c>
      <c r="O219" s="198" t="s">
        <v>527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563</v>
      </c>
      <c r="B220" t="s">
        <v>564</v>
      </c>
      <c r="C220">
        <v>232.92000000000002</v>
      </c>
      <c r="D220" t="s">
        <v>538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565</v>
      </c>
      <c r="O220" s="198" t="s">
        <v>527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678</v>
      </c>
      <c r="B221" s="186" t="s">
        <v>679</v>
      </c>
      <c r="C221" s="186">
        <v>138.46</v>
      </c>
      <c r="D221" s="186" t="s">
        <v>538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527</v>
      </c>
      <c r="Q221">
        <f>_xlfn.XLOOKUP(A221,'[1]Classic Net to delete'!D:D,'[1]Classic Net to delete'!AA:AA,0)</f>
        <v>0</v>
      </c>
    </row>
    <row r="222" spans="1:18" x14ac:dyDescent="0.25">
      <c r="A222" t="s">
        <v>566</v>
      </c>
      <c r="B222" t="s">
        <v>567</v>
      </c>
      <c r="C222">
        <v>45.15</v>
      </c>
      <c r="D222" t="s">
        <v>538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567</v>
      </c>
      <c r="O222" s="198" t="s">
        <v>527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568</v>
      </c>
      <c r="B223" t="s">
        <v>569</v>
      </c>
      <c r="C223">
        <v>113.58</v>
      </c>
      <c r="D223" t="s">
        <v>538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570</v>
      </c>
      <c r="O223" s="198" t="s">
        <v>527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571</v>
      </c>
      <c r="B224" t="s">
        <v>572</v>
      </c>
      <c r="C224">
        <v>73.97</v>
      </c>
      <c r="D224" t="s">
        <v>538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573</v>
      </c>
      <c r="O224" s="198" t="s">
        <v>574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575</v>
      </c>
      <c r="B225" t="s">
        <v>576</v>
      </c>
      <c r="C225">
        <v>27.5</v>
      </c>
      <c r="D225" t="s">
        <v>538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577</v>
      </c>
      <c r="O225" s="198" t="s">
        <v>574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578</v>
      </c>
      <c r="B226" t="s">
        <v>579</v>
      </c>
      <c r="C226">
        <v>56.76</v>
      </c>
      <c r="D226" t="s">
        <v>538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580</v>
      </c>
      <c r="O226" s="198" t="s">
        <v>574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581</v>
      </c>
      <c r="B227" t="s">
        <v>582</v>
      </c>
      <c r="C227">
        <v>62.49</v>
      </c>
      <c r="D227" t="s">
        <v>538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583</v>
      </c>
      <c r="O227" s="198" t="s">
        <v>574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584</v>
      </c>
      <c r="B228" t="s">
        <v>585</v>
      </c>
      <c r="C228">
        <v>97.44</v>
      </c>
      <c r="D228" t="s">
        <v>538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586</v>
      </c>
      <c r="O228" s="198" t="s">
        <v>574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3963</v>
      </c>
      <c r="B229" s="186" t="s">
        <v>3964</v>
      </c>
      <c r="C229" s="186">
        <v>56.9</v>
      </c>
      <c r="D229" t="s">
        <v>538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574</v>
      </c>
    </row>
    <row r="230" spans="1:18" x14ac:dyDescent="0.25">
      <c r="A230" t="s">
        <v>587</v>
      </c>
      <c r="B230" t="s">
        <v>588</v>
      </c>
      <c r="C230">
        <v>68.16</v>
      </c>
      <c r="D230" t="s">
        <v>538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589</v>
      </c>
      <c r="O230" s="198" t="s">
        <v>590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591</v>
      </c>
      <c r="B231" t="s">
        <v>592</v>
      </c>
      <c r="C231">
        <v>69.66</v>
      </c>
      <c r="D231" t="s">
        <v>538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593</v>
      </c>
      <c r="O231" s="198" t="s">
        <v>590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594</v>
      </c>
      <c r="B232" t="s">
        <v>595</v>
      </c>
      <c r="C232">
        <v>78.180000000000007</v>
      </c>
      <c r="D232" t="s">
        <v>538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596</v>
      </c>
      <c r="O232" s="198" t="s">
        <v>590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597</v>
      </c>
      <c r="B233" t="s">
        <v>598</v>
      </c>
      <c r="C233">
        <v>25.57</v>
      </c>
      <c r="D233" t="s">
        <v>538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598</v>
      </c>
      <c r="O233" s="198" t="s">
        <v>590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599</v>
      </c>
      <c r="B234" t="s">
        <v>600</v>
      </c>
      <c r="C234">
        <v>47.03</v>
      </c>
      <c r="D234" t="s">
        <v>538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600</v>
      </c>
      <c r="O234" s="198" t="s">
        <v>590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601</v>
      </c>
      <c r="B235" t="s">
        <v>602</v>
      </c>
      <c r="C235">
        <v>48.26</v>
      </c>
      <c r="D235" t="s">
        <v>538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602</v>
      </c>
      <c r="O235" s="198" t="s">
        <v>590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603</v>
      </c>
      <c r="B236" t="s">
        <v>604</v>
      </c>
      <c r="C236">
        <v>51.15</v>
      </c>
      <c r="D236" t="s">
        <v>538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605</v>
      </c>
      <c r="O236" s="198" t="s">
        <v>590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606</v>
      </c>
      <c r="B237" t="s">
        <v>607</v>
      </c>
      <c r="C237">
        <v>58.26</v>
      </c>
      <c r="D237" t="s">
        <v>538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608</v>
      </c>
      <c r="O237" s="198" t="s">
        <v>590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609</v>
      </c>
      <c r="B238" t="s">
        <v>610</v>
      </c>
      <c r="C238">
        <v>58.1</v>
      </c>
      <c r="D238" t="s">
        <v>538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611</v>
      </c>
      <c r="O238" s="198" t="s">
        <v>590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612</v>
      </c>
      <c r="B239" t="s">
        <v>613</v>
      </c>
      <c r="C239">
        <v>30.330000000000002</v>
      </c>
      <c r="D239" t="s">
        <v>538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613</v>
      </c>
      <c r="O239" s="198" t="s">
        <v>590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614</v>
      </c>
      <c r="B240" t="s">
        <v>615</v>
      </c>
      <c r="C240">
        <v>37.450000000000003</v>
      </c>
      <c r="D240" t="s">
        <v>538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616</v>
      </c>
      <c r="O240" s="198" t="s">
        <v>590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617</v>
      </c>
      <c r="B241" t="s">
        <v>618</v>
      </c>
      <c r="C241">
        <v>58.82</v>
      </c>
      <c r="D241" t="s">
        <v>538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619</v>
      </c>
      <c r="O241" s="198" t="s">
        <v>590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620</v>
      </c>
      <c r="B242" s="188" t="s">
        <v>621</v>
      </c>
      <c r="C242">
        <v>10.540000000000001</v>
      </c>
      <c r="D242" t="s">
        <v>538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621</v>
      </c>
      <c r="O242" s="198" t="s">
        <v>590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622</v>
      </c>
      <c r="B243" t="s">
        <v>623</v>
      </c>
      <c r="C243">
        <v>64.070000000000007</v>
      </c>
      <c r="D243" t="s">
        <v>538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624</v>
      </c>
      <c r="O243" s="198" t="s">
        <v>590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625</v>
      </c>
      <c r="B244" t="s">
        <v>626</v>
      </c>
      <c r="C244">
        <v>62.22</v>
      </c>
      <c r="D244" t="s">
        <v>538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627</v>
      </c>
      <c r="O244" s="198" t="s">
        <v>590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628</v>
      </c>
      <c r="B245" t="s">
        <v>629</v>
      </c>
      <c r="C245">
        <v>95.55</v>
      </c>
      <c r="D245" t="s">
        <v>538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630</v>
      </c>
      <c r="O245" s="198" t="s">
        <v>590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631</v>
      </c>
      <c r="B246" s="188" t="s">
        <v>632</v>
      </c>
      <c r="C246">
        <v>15.84</v>
      </c>
      <c r="D246" t="s">
        <v>538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632</v>
      </c>
      <c r="O246" s="198" t="s">
        <v>590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633</v>
      </c>
      <c r="B247" t="s">
        <v>634</v>
      </c>
      <c r="C247">
        <v>41.94</v>
      </c>
      <c r="D247" t="s">
        <v>538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635</v>
      </c>
      <c r="O247" s="198" t="s">
        <v>590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636</v>
      </c>
      <c r="B248" t="s">
        <v>637</v>
      </c>
      <c r="C248">
        <v>61.300000000000004</v>
      </c>
      <c r="D248" t="s">
        <v>538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638</v>
      </c>
      <c r="O248" s="198" t="s">
        <v>590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3967</v>
      </c>
      <c r="B249" s="200" t="s">
        <v>3968</v>
      </c>
      <c r="C249" s="186">
        <v>47.15</v>
      </c>
      <c r="D249" t="s">
        <v>538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590</v>
      </c>
    </row>
    <row r="250" spans="1:18" x14ac:dyDescent="0.25">
      <c r="A250" t="s">
        <v>639</v>
      </c>
      <c r="B250" t="s">
        <v>640</v>
      </c>
      <c r="C250">
        <v>0</v>
      </c>
      <c r="D250" t="s">
        <v>538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641</v>
      </c>
      <c r="O250" s="198" t="s">
        <v>590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642</v>
      </c>
      <c r="B251" s="188" t="s">
        <v>643</v>
      </c>
      <c r="C251">
        <v>15.84</v>
      </c>
      <c r="D251" t="s">
        <v>538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643</v>
      </c>
      <c r="O251" s="198" t="s">
        <v>590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642</v>
      </c>
      <c r="B252" s="188" t="s">
        <v>643</v>
      </c>
      <c r="C252">
        <v>15.84</v>
      </c>
      <c r="D252" t="s">
        <v>538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643</v>
      </c>
      <c r="O252" s="198" t="s">
        <v>590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644</v>
      </c>
      <c r="B253" t="s">
        <v>645</v>
      </c>
      <c r="C253">
        <v>52.38</v>
      </c>
      <c r="D253" t="s">
        <v>538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646</v>
      </c>
      <c r="O253" s="198" t="s">
        <v>535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647</v>
      </c>
      <c r="B254" t="s">
        <v>648</v>
      </c>
      <c r="C254">
        <v>107.21000000000001</v>
      </c>
      <c r="D254" t="s">
        <v>538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649</v>
      </c>
      <c r="O254" s="198" t="s">
        <v>535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650</v>
      </c>
      <c r="B255" t="s">
        <v>651</v>
      </c>
      <c r="C255">
        <v>82.02</v>
      </c>
      <c r="D255" t="s">
        <v>538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652</v>
      </c>
      <c r="O255" s="198" t="s">
        <v>535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653</v>
      </c>
      <c r="B256" t="s">
        <v>654</v>
      </c>
      <c r="C256">
        <v>130.80000000000001</v>
      </c>
      <c r="D256" t="s">
        <v>538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655</v>
      </c>
      <c r="O256" s="198" t="s">
        <v>535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656</v>
      </c>
      <c r="B257" t="s">
        <v>657</v>
      </c>
      <c r="C257">
        <v>17.71</v>
      </c>
      <c r="D257" t="s">
        <v>538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658</v>
      </c>
      <c r="O257" s="198" t="s">
        <v>535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659</v>
      </c>
      <c r="B258" t="s">
        <v>660</v>
      </c>
      <c r="C258">
        <v>282.37</v>
      </c>
      <c r="D258" t="s">
        <v>538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661</v>
      </c>
      <c r="O258" s="198" t="s">
        <v>535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662</v>
      </c>
      <c r="B259" t="s">
        <v>663</v>
      </c>
      <c r="C259">
        <v>61.2</v>
      </c>
      <c r="D259" t="s">
        <v>538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664</v>
      </c>
      <c r="O259" s="198" t="s">
        <v>535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665</v>
      </c>
      <c r="B260" t="s">
        <v>666</v>
      </c>
      <c r="C260">
        <v>25.150000000000002</v>
      </c>
      <c r="D260" t="s">
        <v>538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667</v>
      </c>
      <c r="O260" s="198" t="s">
        <v>535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668</v>
      </c>
      <c r="B261" t="s">
        <v>669</v>
      </c>
      <c r="C261">
        <v>126.21000000000001</v>
      </c>
      <c r="D261" t="s">
        <v>538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669</v>
      </c>
      <c r="O261" s="198" t="s">
        <v>535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670</v>
      </c>
      <c r="B262" t="s">
        <v>671</v>
      </c>
      <c r="C262">
        <v>148.62</v>
      </c>
      <c r="D262" t="s">
        <v>538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671</v>
      </c>
      <c r="O262" s="198" t="s">
        <v>535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676</v>
      </c>
      <c r="B263" t="s">
        <v>677</v>
      </c>
      <c r="C263">
        <v>138.46</v>
      </c>
      <c r="D263" t="s">
        <v>538</v>
      </c>
      <c r="E263" t="s">
        <v>527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527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680</v>
      </c>
      <c r="B264" t="s">
        <v>681</v>
      </c>
      <c r="C264">
        <v>0</v>
      </c>
      <c r="D264" t="s">
        <v>538</v>
      </c>
      <c r="E264" t="s">
        <v>527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682</v>
      </c>
      <c r="O264" s="198" t="s">
        <v>527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683</v>
      </c>
      <c r="B265" t="s">
        <v>684</v>
      </c>
      <c r="C265">
        <v>75.7</v>
      </c>
      <c r="D265" t="s">
        <v>538</v>
      </c>
      <c r="E265" t="s">
        <v>527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685</v>
      </c>
      <c r="O265" s="198" t="s">
        <v>527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686</v>
      </c>
      <c r="B266" t="s">
        <v>687</v>
      </c>
      <c r="C266">
        <v>232.92000000000002</v>
      </c>
      <c r="D266" t="s">
        <v>538</v>
      </c>
      <c r="E266" t="s">
        <v>527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688</v>
      </c>
      <c r="O266" s="198" t="s">
        <v>527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689</v>
      </c>
      <c r="B267" t="s">
        <v>690</v>
      </c>
      <c r="C267">
        <v>65.27</v>
      </c>
      <c r="D267" t="s">
        <v>538</v>
      </c>
      <c r="E267" t="s">
        <v>574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574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691</v>
      </c>
      <c r="B268" t="s">
        <v>692</v>
      </c>
      <c r="C268">
        <v>76.7</v>
      </c>
      <c r="D268" t="s">
        <v>538</v>
      </c>
      <c r="E268" t="s">
        <v>574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574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693</v>
      </c>
      <c r="B269" t="s">
        <v>694</v>
      </c>
      <c r="C269">
        <v>0</v>
      </c>
      <c r="D269" t="s">
        <v>538</v>
      </c>
      <c r="E269" t="s">
        <v>574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574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695</v>
      </c>
      <c r="B270" t="s">
        <v>696</v>
      </c>
      <c r="C270">
        <v>35.68</v>
      </c>
      <c r="D270" t="s">
        <v>538</v>
      </c>
      <c r="E270" t="s">
        <v>590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535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697</v>
      </c>
      <c r="B271" t="s">
        <v>698</v>
      </c>
      <c r="C271">
        <v>108.29</v>
      </c>
      <c r="D271" t="s">
        <v>538</v>
      </c>
      <c r="E271" t="s">
        <v>590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590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699</v>
      </c>
      <c r="B272" t="s">
        <v>700</v>
      </c>
      <c r="C272">
        <v>47.03</v>
      </c>
      <c r="D272" t="s">
        <v>538</v>
      </c>
      <c r="E272" t="s">
        <v>590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590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701</v>
      </c>
      <c r="B273" t="s">
        <v>702</v>
      </c>
      <c r="C273">
        <v>70.62</v>
      </c>
      <c r="D273" t="s">
        <v>538</v>
      </c>
      <c r="E273" t="s">
        <v>590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590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703</v>
      </c>
      <c r="B274" t="s">
        <v>704</v>
      </c>
      <c r="C274">
        <v>62.22</v>
      </c>
      <c r="D274" t="s">
        <v>538</v>
      </c>
      <c r="E274" t="s">
        <v>590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590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705</v>
      </c>
      <c r="B275" t="s">
        <v>706</v>
      </c>
      <c r="C275">
        <v>51.15</v>
      </c>
      <c r="D275" t="s">
        <v>538</v>
      </c>
      <c r="E275" t="s">
        <v>590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706</v>
      </c>
      <c r="O275" s="198" t="s">
        <v>535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707</v>
      </c>
      <c r="B276" t="s">
        <v>708</v>
      </c>
      <c r="C276">
        <v>39.75</v>
      </c>
      <c r="D276" t="s">
        <v>538</v>
      </c>
      <c r="E276" t="s">
        <v>590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709</v>
      </c>
      <c r="O276" s="198" t="s">
        <v>590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710</v>
      </c>
      <c r="B277" t="s">
        <v>711</v>
      </c>
      <c r="C277">
        <v>15.69</v>
      </c>
      <c r="D277" t="s">
        <v>538</v>
      </c>
      <c r="E277" t="s">
        <v>712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712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713</v>
      </c>
      <c r="B278" t="s">
        <v>714</v>
      </c>
      <c r="C278">
        <v>15.69</v>
      </c>
      <c r="D278" t="s">
        <v>538</v>
      </c>
      <c r="E278" t="s">
        <v>712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712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715</v>
      </c>
      <c r="B279" t="s">
        <v>716</v>
      </c>
      <c r="C279">
        <v>15.69</v>
      </c>
      <c r="D279" t="s">
        <v>538</v>
      </c>
      <c r="E279" t="s">
        <v>712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712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717</v>
      </c>
      <c r="B280" t="s">
        <v>718</v>
      </c>
      <c r="C280">
        <v>0</v>
      </c>
      <c r="D280" t="s">
        <v>538</v>
      </c>
      <c r="E280" t="s">
        <v>719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719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720</v>
      </c>
      <c r="B281" t="s">
        <v>721</v>
      </c>
      <c r="C281">
        <v>282.37</v>
      </c>
      <c r="D281" t="s">
        <v>538</v>
      </c>
      <c r="E281" t="s">
        <v>722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535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723</v>
      </c>
      <c r="B282" t="s">
        <v>724</v>
      </c>
      <c r="C282">
        <v>107.21000000000001</v>
      </c>
      <c r="D282" t="s">
        <v>538</v>
      </c>
      <c r="E282" t="s">
        <v>722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535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725</v>
      </c>
      <c r="B283" t="s">
        <v>726</v>
      </c>
      <c r="C283">
        <v>82.12</v>
      </c>
      <c r="D283" t="s">
        <v>538</v>
      </c>
      <c r="E283" t="s">
        <v>722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535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727</v>
      </c>
      <c r="B284" t="s">
        <v>728</v>
      </c>
      <c r="C284">
        <v>214</v>
      </c>
      <c r="D284" t="s">
        <v>538</v>
      </c>
      <c r="E284" t="s">
        <v>722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535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729</v>
      </c>
      <c r="B285" t="s">
        <v>730</v>
      </c>
      <c r="C285">
        <v>107</v>
      </c>
      <c r="D285" t="s">
        <v>538</v>
      </c>
      <c r="E285" t="s">
        <v>722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535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731</v>
      </c>
      <c r="B286" t="s">
        <v>732</v>
      </c>
      <c r="C286">
        <v>202.23000000000002</v>
      </c>
      <c r="D286" t="s">
        <v>538</v>
      </c>
      <c r="E286" t="s">
        <v>722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535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733</v>
      </c>
      <c r="B287" t="s">
        <v>734</v>
      </c>
      <c r="C287">
        <v>28.36</v>
      </c>
      <c r="D287" t="s">
        <v>735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736</v>
      </c>
      <c r="O287" s="198" t="s">
        <v>737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738</v>
      </c>
      <c r="B288" t="s">
        <v>739</v>
      </c>
      <c r="C288">
        <v>69.39</v>
      </c>
      <c r="D288" t="s">
        <v>735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740</v>
      </c>
      <c r="O288" s="198" t="s">
        <v>737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741</v>
      </c>
      <c r="B289" t="s">
        <v>742</v>
      </c>
      <c r="C289">
        <v>69.39</v>
      </c>
      <c r="D289" t="s">
        <v>735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743</v>
      </c>
      <c r="O289" s="198" t="s">
        <v>737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744</v>
      </c>
      <c r="B290" t="s">
        <v>745</v>
      </c>
      <c r="C290">
        <v>113.10000000000001</v>
      </c>
      <c r="D290" t="s">
        <v>735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746</v>
      </c>
      <c r="O290" s="198" t="s">
        <v>737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747</v>
      </c>
      <c r="B291" t="s">
        <v>748</v>
      </c>
      <c r="C291">
        <v>85.12</v>
      </c>
      <c r="D291" t="s">
        <v>735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749</v>
      </c>
      <c r="O291" s="198" t="s">
        <v>737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750</v>
      </c>
      <c r="B292" t="s">
        <v>751</v>
      </c>
      <c r="C292">
        <v>128.72</v>
      </c>
      <c r="D292" t="s">
        <v>735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751</v>
      </c>
      <c r="O292" s="198" t="s">
        <v>737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752</v>
      </c>
      <c r="B293" t="s">
        <v>753</v>
      </c>
      <c r="C293">
        <v>91.81</v>
      </c>
      <c r="D293" t="s">
        <v>735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754</v>
      </c>
      <c r="O293" s="198" t="s">
        <v>737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755</v>
      </c>
      <c r="B294" t="s">
        <v>756</v>
      </c>
      <c r="C294">
        <v>117.59</v>
      </c>
      <c r="D294" t="s">
        <v>735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757</v>
      </c>
      <c r="O294" s="198" t="s">
        <v>737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758</v>
      </c>
      <c r="B295" t="s">
        <v>759</v>
      </c>
      <c r="C295">
        <v>65.97</v>
      </c>
      <c r="D295" t="s">
        <v>735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760</v>
      </c>
      <c r="O295" s="198" t="s">
        <v>761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762</v>
      </c>
      <c r="B296" t="s">
        <v>763</v>
      </c>
      <c r="C296">
        <v>100.95</v>
      </c>
      <c r="D296" t="s">
        <v>735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763</v>
      </c>
      <c r="O296" s="198" t="s">
        <v>761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764</v>
      </c>
      <c r="B297" t="s">
        <v>765</v>
      </c>
      <c r="C297">
        <v>143.27000000000001</v>
      </c>
      <c r="D297" t="s">
        <v>735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765</v>
      </c>
      <c r="O297" s="198" t="s">
        <v>761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766</v>
      </c>
      <c r="B298" t="s">
        <v>767</v>
      </c>
      <c r="C298">
        <v>137.22999999999999</v>
      </c>
      <c r="D298" t="s">
        <v>735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767</v>
      </c>
      <c r="O298" s="198" t="s">
        <v>761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768</v>
      </c>
      <c r="B299" t="s">
        <v>769</v>
      </c>
      <c r="C299">
        <v>17.07</v>
      </c>
      <c r="D299" t="s">
        <v>735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770</v>
      </c>
      <c r="O299" s="198" t="s">
        <v>761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771</v>
      </c>
      <c r="B300" t="s">
        <v>772</v>
      </c>
      <c r="C300">
        <v>238.18</v>
      </c>
      <c r="D300" t="s">
        <v>735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773</v>
      </c>
      <c r="O300" s="198" t="s">
        <v>774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775</v>
      </c>
      <c r="B301" t="s">
        <v>776</v>
      </c>
      <c r="C301">
        <v>94.64</v>
      </c>
      <c r="D301" t="s">
        <v>735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777</v>
      </c>
      <c r="O301" s="198" t="s">
        <v>774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778</v>
      </c>
      <c r="B302" t="s">
        <v>779</v>
      </c>
      <c r="C302">
        <v>116.10000000000001</v>
      </c>
      <c r="D302" t="s">
        <v>735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779</v>
      </c>
      <c r="O302" s="198" t="s">
        <v>774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780</v>
      </c>
      <c r="B303" t="s">
        <v>781</v>
      </c>
      <c r="C303">
        <v>144.5</v>
      </c>
      <c r="D303" t="s">
        <v>735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782</v>
      </c>
      <c r="O303" s="198" t="s">
        <v>774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783</v>
      </c>
      <c r="B304" t="s">
        <v>784</v>
      </c>
      <c r="C304">
        <v>239.04</v>
      </c>
      <c r="D304" t="s">
        <v>735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785</v>
      </c>
      <c r="O304" s="198" t="s">
        <v>774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786</v>
      </c>
      <c r="B305" t="s">
        <v>787</v>
      </c>
      <c r="C305">
        <v>208.17000000000002</v>
      </c>
      <c r="D305" t="s">
        <v>735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787</v>
      </c>
      <c r="O305" s="198" t="s">
        <v>774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788</v>
      </c>
      <c r="B306" t="s">
        <v>789</v>
      </c>
      <c r="C306">
        <v>206.83</v>
      </c>
      <c r="D306" t="s">
        <v>735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789</v>
      </c>
      <c r="O306" s="198" t="s">
        <v>774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790</v>
      </c>
      <c r="B307" t="s">
        <v>791</v>
      </c>
      <c r="C307">
        <v>387.5</v>
      </c>
      <c r="D307" t="s">
        <v>735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791</v>
      </c>
      <c r="O307" s="198" t="s">
        <v>774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792</v>
      </c>
      <c r="B308" t="s">
        <v>793</v>
      </c>
      <c r="C308">
        <v>337.53000000000003</v>
      </c>
      <c r="D308" t="s">
        <v>735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793</v>
      </c>
      <c r="O308" s="198" t="s">
        <v>774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794</v>
      </c>
      <c r="B309" t="s">
        <v>795</v>
      </c>
      <c r="C309">
        <v>282.63</v>
      </c>
      <c r="D309" t="s">
        <v>735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774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796</v>
      </c>
      <c r="B310" t="s">
        <v>797</v>
      </c>
      <c r="C310">
        <v>87.74</v>
      </c>
      <c r="D310" t="s">
        <v>735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798</v>
      </c>
      <c r="O310" s="198" t="s">
        <v>774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799</v>
      </c>
      <c r="B311" t="s">
        <v>800</v>
      </c>
      <c r="C311">
        <v>12.950000000000001</v>
      </c>
      <c r="D311" t="s">
        <v>735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801</v>
      </c>
      <c r="O311" s="198" t="s">
        <v>774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802</v>
      </c>
      <c r="B312" t="s">
        <v>803</v>
      </c>
      <c r="C312">
        <v>79.180000000000007</v>
      </c>
      <c r="D312" t="s">
        <v>735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803</v>
      </c>
      <c r="O312" s="198" t="s">
        <v>804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805</v>
      </c>
      <c r="B313" t="s">
        <v>806</v>
      </c>
      <c r="C313">
        <v>56.76</v>
      </c>
      <c r="D313" t="s">
        <v>735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806</v>
      </c>
      <c r="O313" s="198" t="s">
        <v>804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807</v>
      </c>
      <c r="B314" t="s">
        <v>808</v>
      </c>
      <c r="C314">
        <v>53.5</v>
      </c>
      <c r="D314" t="s">
        <v>735</v>
      </c>
      <c r="E314" t="s">
        <v>809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810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811</v>
      </c>
      <c r="B315" t="s">
        <v>812</v>
      </c>
      <c r="C315">
        <v>138.19</v>
      </c>
      <c r="D315" t="s">
        <v>735</v>
      </c>
      <c r="E315" t="s">
        <v>809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774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813</v>
      </c>
      <c r="B316" t="s">
        <v>814</v>
      </c>
      <c r="C316">
        <v>87.74</v>
      </c>
      <c r="D316" t="s">
        <v>735</v>
      </c>
      <c r="E316" t="s">
        <v>809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719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815</v>
      </c>
      <c r="B317" t="s">
        <v>816</v>
      </c>
      <c r="C317">
        <v>28.36</v>
      </c>
      <c r="D317" t="s">
        <v>735</v>
      </c>
      <c r="E317" t="s">
        <v>817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818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819</v>
      </c>
      <c r="B318" t="s">
        <v>820</v>
      </c>
      <c r="C318">
        <v>69.39</v>
      </c>
      <c r="D318" t="s">
        <v>735</v>
      </c>
      <c r="E318" t="s">
        <v>817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818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821</v>
      </c>
      <c r="B319" t="s">
        <v>822</v>
      </c>
      <c r="C319">
        <v>89.29</v>
      </c>
      <c r="D319" t="s">
        <v>735</v>
      </c>
      <c r="E319" t="s">
        <v>817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818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823</v>
      </c>
      <c r="B320" t="s">
        <v>824</v>
      </c>
      <c r="C320">
        <v>117.59</v>
      </c>
      <c r="D320" t="s">
        <v>735</v>
      </c>
      <c r="E320" t="s">
        <v>817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818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825</v>
      </c>
      <c r="B321" t="s">
        <v>826</v>
      </c>
      <c r="C321">
        <v>117.59</v>
      </c>
      <c r="D321" t="s">
        <v>735</v>
      </c>
      <c r="E321" t="s">
        <v>817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818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827</v>
      </c>
      <c r="B322" t="s">
        <v>756</v>
      </c>
      <c r="C322">
        <v>117.59</v>
      </c>
      <c r="D322" t="s">
        <v>735</v>
      </c>
      <c r="E322" t="s">
        <v>817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818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827</v>
      </c>
      <c r="B323" t="s">
        <v>828</v>
      </c>
      <c r="C323">
        <v>117.59</v>
      </c>
      <c r="D323" t="s">
        <v>735</v>
      </c>
      <c r="E323" t="s">
        <v>817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818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829</v>
      </c>
      <c r="B324" t="s">
        <v>746</v>
      </c>
      <c r="C324">
        <v>113.10000000000001</v>
      </c>
      <c r="D324" t="s">
        <v>735</v>
      </c>
      <c r="E324" t="s">
        <v>817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818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830</v>
      </c>
      <c r="B325" t="s">
        <v>831</v>
      </c>
      <c r="C325">
        <v>63.77</v>
      </c>
      <c r="D325" t="s">
        <v>832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833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834</v>
      </c>
      <c r="B326" t="s">
        <v>835</v>
      </c>
      <c r="C326">
        <v>214</v>
      </c>
      <c r="D326" t="s">
        <v>832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833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836</v>
      </c>
      <c r="B327" t="s">
        <v>837</v>
      </c>
      <c r="C327">
        <v>126.21000000000001</v>
      </c>
      <c r="D327" t="s">
        <v>832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838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839</v>
      </c>
      <c r="B328" t="s">
        <v>840</v>
      </c>
      <c r="C328">
        <v>56.76</v>
      </c>
      <c r="D328" t="s">
        <v>832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838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841</v>
      </c>
      <c r="B329" t="s">
        <v>842</v>
      </c>
      <c r="C329">
        <v>0</v>
      </c>
      <c r="D329" t="s">
        <v>832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838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843</v>
      </c>
      <c r="B330" t="s">
        <v>844</v>
      </c>
      <c r="C330">
        <v>205.65</v>
      </c>
      <c r="D330" t="s">
        <v>832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513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845</v>
      </c>
      <c r="B331" t="s">
        <v>846</v>
      </c>
      <c r="C331">
        <v>205.65</v>
      </c>
      <c r="D331" t="s">
        <v>832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513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847</v>
      </c>
      <c r="B332" t="s">
        <v>848</v>
      </c>
      <c r="C332">
        <v>205.65</v>
      </c>
      <c r="D332" t="s">
        <v>832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513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847</v>
      </c>
      <c r="B333" t="s">
        <v>846</v>
      </c>
      <c r="C333">
        <v>205.65</v>
      </c>
      <c r="D333" t="s">
        <v>832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513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847</v>
      </c>
      <c r="B334" t="s">
        <v>849</v>
      </c>
      <c r="C334">
        <v>205.65</v>
      </c>
      <c r="D334" t="s">
        <v>832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513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847</v>
      </c>
      <c r="B335" t="s">
        <v>844</v>
      </c>
      <c r="C335">
        <v>205.65</v>
      </c>
      <c r="D335" t="s">
        <v>832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513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850</v>
      </c>
      <c r="B336" t="s">
        <v>851</v>
      </c>
      <c r="C336">
        <v>47.03</v>
      </c>
      <c r="D336" t="s">
        <v>832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513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852</v>
      </c>
      <c r="B337" t="s">
        <v>853</v>
      </c>
      <c r="C337">
        <v>160.5</v>
      </c>
      <c r="D337" t="s">
        <v>832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513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854</v>
      </c>
      <c r="B338" t="s">
        <v>855</v>
      </c>
      <c r="C338">
        <v>53.5</v>
      </c>
      <c r="D338" t="s">
        <v>832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513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856</v>
      </c>
      <c r="B339" t="s">
        <v>857</v>
      </c>
      <c r="C339">
        <v>53.5</v>
      </c>
      <c r="D339" t="s">
        <v>832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513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858</v>
      </c>
      <c r="B340" t="s">
        <v>859</v>
      </c>
      <c r="C340">
        <v>27.12</v>
      </c>
      <c r="D340" t="s">
        <v>832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860</v>
      </c>
      <c r="O340" s="198" t="s">
        <v>861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862</v>
      </c>
      <c r="B341" t="s">
        <v>863</v>
      </c>
      <c r="C341">
        <v>32.85</v>
      </c>
      <c r="D341" t="s">
        <v>832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864</v>
      </c>
      <c r="O341" s="198" t="s">
        <v>861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865</v>
      </c>
      <c r="B342" t="s">
        <v>866</v>
      </c>
      <c r="C342">
        <v>125.44</v>
      </c>
      <c r="D342" t="s">
        <v>832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866</v>
      </c>
      <c r="O342" s="198" t="s">
        <v>861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867</v>
      </c>
      <c r="B343" t="s">
        <v>868</v>
      </c>
      <c r="C343">
        <v>127.44</v>
      </c>
      <c r="D343" t="s">
        <v>832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868</v>
      </c>
      <c r="O343" s="198" t="s">
        <v>861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869</v>
      </c>
      <c r="B344" t="s">
        <v>870</v>
      </c>
      <c r="C344">
        <v>0</v>
      </c>
      <c r="D344" t="s">
        <v>832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870</v>
      </c>
      <c r="O344" s="198" t="s">
        <v>861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871</v>
      </c>
      <c r="B345" t="s">
        <v>872</v>
      </c>
      <c r="C345">
        <v>324</v>
      </c>
      <c r="D345" t="s">
        <v>832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873</v>
      </c>
      <c r="O345" s="198" t="s">
        <v>861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874</v>
      </c>
      <c r="B346" t="s">
        <v>875</v>
      </c>
      <c r="C346">
        <v>205.65</v>
      </c>
      <c r="D346" t="s">
        <v>832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876</v>
      </c>
      <c r="O346" s="198" t="s">
        <v>877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878</v>
      </c>
      <c r="B347" t="s">
        <v>849</v>
      </c>
      <c r="C347">
        <v>267.82</v>
      </c>
      <c r="D347" t="s">
        <v>832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849</v>
      </c>
      <c r="O347" s="198" t="s">
        <v>877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879</v>
      </c>
      <c r="B348" t="s">
        <v>880</v>
      </c>
      <c r="C348">
        <v>226.20000000000002</v>
      </c>
      <c r="D348" t="s">
        <v>832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881</v>
      </c>
      <c r="O348" s="198" t="s">
        <v>877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882</v>
      </c>
      <c r="B349" t="s">
        <v>883</v>
      </c>
      <c r="C349">
        <v>190.46</v>
      </c>
      <c r="D349" t="s">
        <v>832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884</v>
      </c>
      <c r="O349" s="198" t="s">
        <v>877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885</v>
      </c>
      <c r="B350" t="s">
        <v>886</v>
      </c>
      <c r="C350">
        <v>55.21</v>
      </c>
      <c r="D350" t="s">
        <v>832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886</v>
      </c>
      <c r="O350" s="198" t="s">
        <v>877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887</v>
      </c>
      <c r="B351" t="s">
        <v>888</v>
      </c>
      <c r="C351">
        <v>66.61</v>
      </c>
      <c r="D351" t="s">
        <v>832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888</v>
      </c>
      <c r="O351" s="198" t="s">
        <v>877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889</v>
      </c>
      <c r="B352" t="s">
        <v>890</v>
      </c>
      <c r="C352">
        <v>32.85</v>
      </c>
      <c r="D352" t="s">
        <v>832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890</v>
      </c>
      <c r="O352" s="198" t="s">
        <v>877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891</v>
      </c>
      <c r="B353" t="s">
        <v>892</v>
      </c>
      <c r="C353">
        <v>47.03</v>
      </c>
      <c r="D353" t="s">
        <v>832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892</v>
      </c>
      <c r="O353" s="198" t="s">
        <v>877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893</v>
      </c>
      <c r="B354" t="s">
        <v>894</v>
      </c>
      <c r="C354">
        <v>47.03</v>
      </c>
      <c r="D354" t="s">
        <v>832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851</v>
      </c>
      <c r="O354" s="198" t="s">
        <v>877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895</v>
      </c>
      <c r="B355" t="s">
        <v>896</v>
      </c>
      <c r="C355">
        <v>249.85</v>
      </c>
      <c r="D355" t="s">
        <v>832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897</v>
      </c>
      <c r="O355" s="198" t="s">
        <v>898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899</v>
      </c>
      <c r="B356" t="s">
        <v>900</v>
      </c>
      <c r="C356">
        <v>132.1</v>
      </c>
      <c r="D356" t="s">
        <v>832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900</v>
      </c>
      <c r="O356" s="198" t="s">
        <v>898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901</v>
      </c>
      <c r="B357" t="s">
        <v>902</v>
      </c>
      <c r="C357">
        <v>17.07</v>
      </c>
      <c r="D357" t="s">
        <v>832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902</v>
      </c>
      <c r="O357" s="198" t="s">
        <v>898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903</v>
      </c>
      <c r="B358" t="s">
        <v>904</v>
      </c>
      <c r="C358">
        <v>45.15</v>
      </c>
      <c r="D358" t="s">
        <v>832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904</v>
      </c>
      <c r="O358" s="198" t="s">
        <v>898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905</v>
      </c>
      <c r="B359" t="s">
        <v>906</v>
      </c>
      <c r="C359">
        <v>62.49</v>
      </c>
      <c r="D359" t="s">
        <v>832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906</v>
      </c>
      <c r="O359" s="198" t="s">
        <v>898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907</v>
      </c>
      <c r="B360" t="s">
        <v>908</v>
      </c>
      <c r="C360">
        <v>59.33</v>
      </c>
      <c r="D360" t="s">
        <v>832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908</v>
      </c>
      <c r="O360" s="198" t="s">
        <v>898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909</v>
      </c>
      <c r="B361" t="s">
        <v>910</v>
      </c>
      <c r="C361">
        <v>55.21</v>
      </c>
      <c r="D361" t="s">
        <v>832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910</v>
      </c>
      <c r="O361" s="198" t="s">
        <v>838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911</v>
      </c>
      <c r="B362" t="s">
        <v>912</v>
      </c>
      <c r="C362">
        <v>14.23</v>
      </c>
      <c r="D362" t="s">
        <v>832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913</v>
      </c>
      <c r="O362" s="198" t="s">
        <v>838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914</v>
      </c>
      <c r="B363" t="s">
        <v>915</v>
      </c>
      <c r="C363">
        <v>12.36</v>
      </c>
      <c r="D363" t="s">
        <v>832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915</v>
      </c>
      <c r="O363" s="198" t="s">
        <v>838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916</v>
      </c>
      <c r="B364" t="s">
        <v>917</v>
      </c>
      <c r="C364">
        <v>382.98</v>
      </c>
      <c r="D364" t="s">
        <v>832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918</v>
      </c>
      <c r="O364" s="198" t="s">
        <v>838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919</v>
      </c>
      <c r="B365" t="s">
        <v>920</v>
      </c>
      <c r="C365">
        <v>56.76</v>
      </c>
      <c r="D365" t="s">
        <v>832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920</v>
      </c>
      <c r="O365" s="198" t="s">
        <v>838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921</v>
      </c>
      <c r="B366" t="s">
        <v>922</v>
      </c>
      <c r="C366">
        <v>66.61</v>
      </c>
      <c r="D366" t="s">
        <v>832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923</v>
      </c>
      <c r="O366" s="198" t="s">
        <v>833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924</v>
      </c>
      <c r="B367" t="s">
        <v>925</v>
      </c>
      <c r="C367">
        <v>63.77</v>
      </c>
      <c r="D367" t="s">
        <v>832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926</v>
      </c>
      <c r="O367" s="198" t="s">
        <v>833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927</v>
      </c>
      <c r="B368" t="s">
        <v>928</v>
      </c>
      <c r="C368">
        <v>19.900000000000002</v>
      </c>
      <c r="D368" t="s">
        <v>832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929</v>
      </c>
      <c r="O368" s="198" t="s">
        <v>833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930</v>
      </c>
      <c r="B369" t="s">
        <v>931</v>
      </c>
      <c r="C369">
        <v>93.41</v>
      </c>
      <c r="D369" t="s">
        <v>832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931</v>
      </c>
      <c r="O369" s="198" t="s">
        <v>833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932</v>
      </c>
      <c r="B370" t="s">
        <v>933</v>
      </c>
      <c r="C370">
        <v>172.86</v>
      </c>
      <c r="D370" t="s">
        <v>832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933</v>
      </c>
      <c r="O370" s="198" t="s">
        <v>833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934</v>
      </c>
      <c r="B371" t="s">
        <v>935</v>
      </c>
      <c r="C371">
        <v>230.91</v>
      </c>
      <c r="D371" t="s">
        <v>832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936</v>
      </c>
      <c r="O371" s="198" t="s">
        <v>833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937</v>
      </c>
      <c r="B372" t="s">
        <v>938</v>
      </c>
      <c r="C372">
        <v>121.77</v>
      </c>
      <c r="D372" t="s">
        <v>832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938</v>
      </c>
      <c r="O372" s="198" t="s">
        <v>833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939</v>
      </c>
      <c r="B373" t="s">
        <v>940</v>
      </c>
      <c r="C373">
        <v>30.330000000000002</v>
      </c>
      <c r="D373" t="s">
        <v>941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942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943</v>
      </c>
      <c r="B374" t="s">
        <v>944</v>
      </c>
      <c r="C374">
        <v>15.46</v>
      </c>
      <c r="D374" t="s">
        <v>941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942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945</v>
      </c>
      <c r="B375" t="s">
        <v>946</v>
      </c>
      <c r="C375">
        <v>16.420000000000002</v>
      </c>
      <c r="D375" t="s">
        <v>941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942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945</v>
      </c>
      <c r="B376" t="s">
        <v>947</v>
      </c>
      <c r="C376">
        <v>16.420000000000002</v>
      </c>
      <c r="D376" t="s">
        <v>941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942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948</v>
      </c>
      <c r="B377" t="s">
        <v>949</v>
      </c>
      <c r="C377">
        <v>16.420000000000002</v>
      </c>
      <c r="D377" t="s">
        <v>941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942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950</v>
      </c>
      <c r="B378" t="s">
        <v>951</v>
      </c>
      <c r="C378">
        <v>48.38</v>
      </c>
      <c r="D378" t="s">
        <v>941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952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953</v>
      </c>
      <c r="B379" t="s">
        <v>954</v>
      </c>
      <c r="C379">
        <v>46.33</v>
      </c>
      <c r="D379" t="s">
        <v>941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952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955</v>
      </c>
      <c r="B380" t="s">
        <v>956</v>
      </c>
      <c r="C380">
        <v>41.36</v>
      </c>
      <c r="D380" t="s">
        <v>941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952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957</v>
      </c>
      <c r="B381" t="s">
        <v>958</v>
      </c>
      <c r="C381">
        <v>79.23</v>
      </c>
      <c r="D381" t="s">
        <v>941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952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959</v>
      </c>
      <c r="B382" t="s">
        <v>960</v>
      </c>
      <c r="C382">
        <v>102.93</v>
      </c>
      <c r="D382" t="s">
        <v>941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952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961</v>
      </c>
      <c r="B383" t="s">
        <v>962</v>
      </c>
      <c r="C383">
        <v>0</v>
      </c>
      <c r="D383" t="s">
        <v>941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963</v>
      </c>
      <c r="O383" s="198" t="s">
        <v>952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964</v>
      </c>
      <c r="B384" t="s">
        <v>965</v>
      </c>
      <c r="C384">
        <v>44.14</v>
      </c>
      <c r="D384" t="s">
        <v>941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966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967</v>
      </c>
      <c r="B385" t="s">
        <v>968</v>
      </c>
      <c r="C385">
        <v>76.52</v>
      </c>
      <c r="D385" t="s">
        <v>941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966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969</v>
      </c>
      <c r="B386" t="s">
        <v>970</v>
      </c>
      <c r="C386">
        <v>85.600000000000009</v>
      </c>
      <c r="D386" t="s">
        <v>941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966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971</v>
      </c>
      <c r="B387" t="s">
        <v>972</v>
      </c>
      <c r="C387">
        <v>85.600000000000009</v>
      </c>
      <c r="D387" t="s">
        <v>941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966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973</v>
      </c>
      <c r="B388" t="s">
        <v>974</v>
      </c>
      <c r="C388">
        <v>27.82</v>
      </c>
      <c r="D388" t="s">
        <v>941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966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975</v>
      </c>
      <c r="B389" t="s">
        <v>976</v>
      </c>
      <c r="C389">
        <v>205.07</v>
      </c>
      <c r="D389" t="s">
        <v>941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966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977</v>
      </c>
      <c r="B390" t="s">
        <v>978</v>
      </c>
      <c r="C390">
        <v>218.92000000000002</v>
      </c>
      <c r="D390" t="s">
        <v>941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966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979</v>
      </c>
      <c r="B391" t="s">
        <v>980</v>
      </c>
      <c r="C391">
        <v>111.24000000000001</v>
      </c>
      <c r="D391" t="s">
        <v>941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966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981</v>
      </c>
      <c r="B392" t="s">
        <v>982</v>
      </c>
      <c r="C392">
        <v>174.95000000000002</v>
      </c>
      <c r="D392" t="s">
        <v>941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966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983</v>
      </c>
      <c r="B393" t="s">
        <v>984</v>
      </c>
      <c r="C393">
        <v>55.11</v>
      </c>
      <c r="D393" t="s">
        <v>941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966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985</v>
      </c>
      <c r="B394" t="s">
        <v>986</v>
      </c>
      <c r="C394">
        <v>16.420000000000002</v>
      </c>
      <c r="D394" t="s">
        <v>941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719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987</v>
      </c>
      <c r="B395" t="s">
        <v>988</v>
      </c>
      <c r="C395">
        <v>44.14</v>
      </c>
      <c r="D395" t="s">
        <v>941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989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990</v>
      </c>
      <c r="B396" t="s">
        <v>991</v>
      </c>
      <c r="C396">
        <v>40.36</v>
      </c>
      <c r="D396" t="s">
        <v>941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989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992</v>
      </c>
      <c r="B397" t="s">
        <v>993</v>
      </c>
      <c r="C397">
        <v>96.460000000000008</v>
      </c>
      <c r="D397" t="s">
        <v>941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994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995</v>
      </c>
      <c r="B398" t="s">
        <v>996</v>
      </c>
      <c r="C398">
        <v>56.34</v>
      </c>
      <c r="D398" t="s">
        <v>941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994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997</v>
      </c>
      <c r="B399" t="s">
        <v>998</v>
      </c>
      <c r="C399">
        <v>36.590000000000003</v>
      </c>
      <c r="D399" t="s">
        <v>941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998</v>
      </c>
      <c r="O399" s="198" t="s">
        <v>989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999</v>
      </c>
      <c r="B400" t="s">
        <v>1000</v>
      </c>
      <c r="C400">
        <v>17.07</v>
      </c>
      <c r="D400" t="s">
        <v>941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1000</v>
      </c>
      <c r="O400" s="198" t="s">
        <v>989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1001</v>
      </c>
      <c r="B401" t="s">
        <v>1002</v>
      </c>
      <c r="C401">
        <v>22.3</v>
      </c>
      <c r="D401" t="s">
        <v>941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1003</v>
      </c>
      <c r="O401" s="198" t="s">
        <v>989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1004</v>
      </c>
      <c r="B402" t="s">
        <v>947</v>
      </c>
      <c r="C402">
        <v>18.11</v>
      </c>
      <c r="D402" t="s">
        <v>941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1005</v>
      </c>
      <c r="O402" s="198" t="s">
        <v>989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1006</v>
      </c>
      <c r="B403" t="s">
        <v>1007</v>
      </c>
      <c r="C403">
        <v>59.22</v>
      </c>
      <c r="D403" t="s">
        <v>941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989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1008</v>
      </c>
      <c r="B404" t="s">
        <v>1009</v>
      </c>
      <c r="C404">
        <v>59.22</v>
      </c>
      <c r="D404" t="s">
        <v>941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1009</v>
      </c>
      <c r="O404" s="198" t="s">
        <v>989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1010</v>
      </c>
      <c r="B405" t="s">
        <v>1011</v>
      </c>
      <c r="C405">
        <v>20.81</v>
      </c>
      <c r="D405" t="s">
        <v>941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1011</v>
      </c>
      <c r="O405" s="198" t="s">
        <v>989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1012</v>
      </c>
      <c r="B406" t="s">
        <v>1013</v>
      </c>
      <c r="C406">
        <v>26.14</v>
      </c>
      <c r="D406" t="s">
        <v>941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1014</v>
      </c>
      <c r="O406" s="198" t="s">
        <v>989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1015</v>
      </c>
      <c r="B407" t="s">
        <v>1016</v>
      </c>
      <c r="C407">
        <v>18.11</v>
      </c>
      <c r="D407" t="s">
        <v>941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1017</v>
      </c>
      <c r="O407" s="198" t="s">
        <v>989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1018</v>
      </c>
      <c r="B408" t="s">
        <v>1019</v>
      </c>
      <c r="C408">
        <v>71.16</v>
      </c>
      <c r="D408" t="s">
        <v>941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1019</v>
      </c>
      <c r="O408" s="198" t="s">
        <v>989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1020</v>
      </c>
      <c r="B409" t="s">
        <v>1021</v>
      </c>
      <c r="C409">
        <v>50.83</v>
      </c>
      <c r="D409" t="s">
        <v>941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1022</v>
      </c>
      <c r="O409" s="198" t="s">
        <v>1023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1024</v>
      </c>
      <c r="B410" t="s">
        <v>1025</v>
      </c>
      <c r="C410">
        <v>27.12</v>
      </c>
      <c r="D410" t="s">
        <v>941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1026</v>
      </c>
      <c r="O410" s="198" t="s">
        <v>1023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1027</v>
      </c>
      <c r="B411" t="s">
        <v>1028</v>
      </c>
      <c r="C411">
        <v>69.66</v>
      </c>
      <c r="D411" t="s">
        <v>941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1028</v>
      </c>
      <c r="O411" s="198" t="s">
        <v>1023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1029</v>
      </c>
      <c r="B412" t="s">
        <v>1030</v>
      </c>
      <c r="C412">
        <v>124.98</v>
      </c>
      <c r="D412" t="s">
        <v>941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1030</v>
      </c>
      <c r="O412" s="198" t="s">
        <v>1023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1031</v>
      </c>
      <c r="B413" t="s">
        <v>1032</v>
      </c>
      <c r="C413">
        <v>90.09</v>
      </c>
      <c r="D413" t="s">
        <v>941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1033</v>
      </c>
      <c r="O413" s="198" t="s">
        <v>1023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1034</v>
      </c>
      <c r="B414" t="s">
        <v>1035</v>
      </c>
      <c r="C414">
        <v>152.05000000000001</v>
      </c>
      <c r="D414" t="s">
        <v>941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1035</v>
      </c>
      <c r="O414" s="198" t="s">
        <v>1023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1036</v>
      </c>
      <c r="B415" t="s">
        <v>1037</v>
      </c>
      <c r="C415">
        <v>135.74</v>
      </c>
      <c r="D415" t="s">
        <v>941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1037</v>
      </c>
      <c r="O415" s="198" t="s">
        <v>1023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1038</v>
      </c>
      <c r="B416" t="s">
        <v>1039</v>
      </c>
      <c r="C416">
        <v>144.08000000000001</v>
      </c>
      <c r="D416" t="s">
        <v>941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1040</v>
      </c>
      <c r="O416" s="198" t="s">
        <v>1023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1041</v>
      </c>
      <c r="B417" t="s">
        <v>1042</v>
      </c>
      <c r="C417">
        <v>114.86</v>
      </c>
      <c r="D417" t="s">
        <v>941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1042</v>
      </c>
      <c r="O417" s="198" t="s">
        <v>1023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1043</v>
      </c>
      <c r="B418" t="s">
        <v>1044</v>
      </c>
      <c r="C418">
        <v>167.22</v>
      </c>
      <c r="D418" t="s">
        <v>941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1044</v>
      </c>
      <c r="O418" s="198" t="s">
        <v>1023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1045</v>
      </c>
      <c r="B419" t="s">
        <v>1046</v>
      </c>
      <c r="C419">
        <v>145.66</v>
      </c>
      <c r="D419" t="s">
        <v>941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1046</v>
      </c>
      <c r="O419" s="198" t="s">
        <v>1023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1047</v>
      </c>
      <c r="B420" t="s">
        <v>1048</v>
      </c>
      <c r="C420">
        <v>188.96</v>
      </c>
      <c r="D420" t="s">
        <v>941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1049</v>
      </c>
      <c r="O420" s="198" t="s">
        <v>1023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1050</v>
      </c>
      <c r="B421" t="s">
        <v>1051</v>
      </c>
      <c r="C421">
        <v>72.23</v>
      </c>
      <c r="D421" t="s">
        <v>941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1051</v>
      </c>
      <c r="O421" s="198" t="s">
        <v>1023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1052</v>
      </c>
      <c r="B422" t="s">
        <v>1053</v>
      </c>
      <c r="C422">
        <v>58.1</v>
      </c>
      <c r="D422" t="s">
        <v>941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1054</v>
      </c>
      <c r="O422" s="198" t="s">
        <v>1023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1055</v>
      </c>
      <c r="B423" t="s">
        <v>1056</v>
      </c>
      <c r="C423">
        <v>10.17</v>
      </c>
      <c r="D423" t="s">
        <v>941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1056</v>
      </c>
      <c r="O423" s="198" t="s">
        <v>1023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1057</v>
      </c>
      <c r="B424" t="s">
        <v>1058</v>
      </c>
      <c r="C424">
        <v>28.36</v>
      </c>
      <c r="D424" t="s">
        <v>941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1058</v>
      </c>
      <c r="O424" s="198" t="s">
        <v>1059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1060</v>
      </c>
      <c r="B425" t="s">
        <v>1061</v>
      </c>
      <c r="C425">
        <v>86.460000000000008</v>
      </c>
      <c r="D425" t="s">
        <v>941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1061</v>
      </c>
      <c r="O425" s="198" t="s">
        <v>1059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1062</v>
      </c>
      <c r="B426" t="s">
        <v>1063</v>
      </c>
      <c r="C426">
        <v>114.86</v>
      </c>
      <c r="D426" t="s">
        <v>941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1063</v>
      </c>
      <c r="O426" s="198" t="s">
        <v>1059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1064</v>
      </c>
      <c r="B427" t="s">
        <v>1065</v>
      </c>
      <c r="C427">
        <v>22.1</v>
      </c>
      <c r="D427" t="s">
        <v>941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1065</v>
      </c>
      <c r="O427" s="198" t="s">
        <v>1059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1066</v>
      </c>
      <c r="B428" t="s">
        <v>1067</v>
      </c>
      <c r="C428">
        <v>65.38</v>
      </c>
      <c r="D428" t="s">
        <v>941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1068</v>
      </c>
      <c r="O428" s="198" t="s">
        <v>1069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1070</v>
      </c>
      <c r="B429" t="s">
        <v>1071</v>
      </c>
      <c r="C429">
        <v>99.4</v>
      </c>
      <c r="D429" t="s">
        <v>941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1072</v>
      </c>
      <c r="O429" s="198" t="s">
        <v>1069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1073</v>
      </c>
      <c r="B430" t="s">
        <v>1074</v>
      </c>
      <c r="C430">
        <v>62.49</v>
      </c>
      <c r="D430" t="s">
        <v>941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1075</v>
      </c>
      <c r="O430" s="198" t="s">
        <v>1069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1076</v>
      </c>
      <c r="B431" t="s">
        <v>1077</v>
      </c>
      <c r="C431">
        <v>90.84</v>
      </c>
      <c r="D431" t="s">
        <v>941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1078</v>
      </c>
      <c r="O431" s="198" t="s">
        <v>1069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1079</v>
      </c>
      <c r="B432" t="s">
        <v>1080</v>
      </c>
      <c r="C432">
        <v>59.33</v>
      </c>
      <c r="D432" t="s">
        <v>941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1081</v>
      </c>
      <c r="O432" s="198" t="s">
        <v>1069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1082</v>
      </c>
      <c r="B433" t="s">
        <v>1083</v>
      </c>
      <c r="C433">
        <v>74.150000000000006</v>
      </c>
      <c r="D433" t="s">
        <v>941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1084</v>
      </c>
      <c r="O433" s="198" t="s">
        <v>1069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1085</v>
      </c>
      <c r="B434" t="s">
        <v>1086</v>
      </c>
      <c r="C434">
        <v>58.1</v>
      </c>
      <c r="D434" t="s">
        <v>941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1087</v>
      </c>
      <c r="O434" s="198" t="s">
        <v>1069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1088</v>
      </c>
      <c r="B435" t="s">
        <v>1089</v>
      </c>
      <c r="C435">
        <v>27.12</v>
      </c>
      <c r="D435" t="s">
        <v>941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1089</v>
      </c>
      <c r="O435" s="198" t="s">
        <v>1069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1090</v>
      </c>
      <c r="B436" t="s">
        <v>1091</v>
      </c>
      <c r="C436">
        <v>90.84</v>
      </c>
      <c r="D436" t="s">
        <v>941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1092</v>
      </c>
      <c r="O436" s="198" t="s">
        <v>1093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1094</v>
      </c>
      <c r="B437" t="s">
        <v>1095</v>
      </c>
      <c r="C437">
        <v>0</v>
      </c>
      <c r="D437" t="s">
        <v>941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1096</v>
      </c>
      <c r="O437" s="198" t="s">
        <v>1093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1097</v>
      </c>
      <c r="B438" t="s">
        <v>1098</v>
      </c>
      <c r="C438">
        <v>90.84</v>
      </c>
      <c r="D438" t="s">
        <v>941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1093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1099</v>
      </c>
      <c r="B439" t="s">
        <v>1100</v>
      </c>
      <c r="C439">
        <v>90.84</v>
      </c>
      <c r="D439" t="s">
        <v>941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1101</v>
      </c>
      <c r="O439" s="198" t="s">
        <v>1093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1102</v>
      </c>
      <c r="B440" t="s">
        <v>1103</v>
      </c>
      <c r="C440">
        <v>42.59</v>
      </c>
      <c r="D440" t="s">
        <v>941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1104</v>
      </c>
      <c r="O440" s="198" t="s">
        <v>1093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1105</v>
      </c>
      <c r="B441" t="s">
        <v>1106</v>
      </c>
      <c r="C441">
        <v>102.93</v>
      </c>
      <c r="D441" t="s">
        <v>941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1107</v>
      </c>
      <c r="O441" s="198" t="s">
        <v>1093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1108</v>
      </c>
      <c r="B442" t="s">
        <v>1109</v>
      </c>
      <c r="C442">
        <v>42.480000000000004</v>
      </c>
      <c r="D442" t="s">
        <v>941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1110</v>
      </c>
      <c r="O442" s="198" t="s">
        <v>1093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1111</v>
      </c>
      <c r="B443" t="s">
        <v>1112</v>
      </c>
      <c r="C443">
        <v>29.69</v>
      </c>
      <c r="D443" t="s">
        <v>941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1113</v>
      </c>
      <c r="O443" s="198" t="s">
        <v>1093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1114</v>
      </c>
      <c r="B444" t="s">
        <v>1115</v>
      </c>
      <c r="C444">
        <v>33.44</v>
      </c>
      <c r="D444" t="s">
        <v>941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1116</v>
      </c>
      <c r="O444" s="198" t="s">
        <v>1093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1117</v>
      </c>
      <c r="B445" t="s">
        <v>1118</v>
      </c>
      <c r="C445">
        <v>33.44</v>
      </c>
      <c r="D445" t="s">
        <v>941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1119</v>
      </c>
      <c r="O445" s="198" t="s">
        <v>1093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1120</v>
      </c>
      <c r="B446" t="s">
        <v>1121</v>
      </c>
      <c r="C446">
        <v>46.33</v>
      </c>
      <c r="D446" t="s">
        <v>941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1122</v>
      </c>
      <c r="O446" s="198" t="s">
        <v>1093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1123</v>
      </c>
      <c r="B447" t="s">
        <v>1124</v>
      </c>
      <c r="C447">
        <v>46.38</v>
      </c>
      <c r="D447" t="s">
        <v>941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1125</v>
      </c>
      <c r="O447" s="198" t="s">
        <v>1093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1126</v>
      </c>
      <c r="B448" t="s">
        <v>1127</v>
      </c>
      <c r="C448">
        <v>58.9</v>
      </c>
      <c r="D448" t="s">
        <v>941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1127</v>
      </c>
      <c r="O448" s="198" t="s">
        <v>1093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1128</v>
      </c>
      <c r="B449" t="s">
        <v>1129</v>
      </c>
      <c r="C449">
        <v>177.3</v>
      </c>
      <c r="D449" t="s">
        <v>941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1130</v>
      </c>
      <c r="O449" s="198" t="s">
        <v>1093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1131</v>
      </c>
      <c r="B450" t="s">
        <v>1132</v>
      </c>
      <c r="C450">
        <v>71.42</v>
      </c>
      <c r="D450" t="s">
        <v>941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1132</v>
      </c>
      <c r="O450" s="198" t="s">
        <v>1093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1133</v>
      </c>
      <c r="B451" t="s">
        <v>1134</v>
      </c>
      <c r="C451">
        <v>73.510000000000005</v>
      </c>
      <c r="D451" t="s">
        <v>941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1135</v>
      </c>
      <c r="O451" s="198" t="s">
        <v>1093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1136</v>
      </c>
      <c r="B452" t="s">
        <v>1137</v>
      </c>
      <c r="C452">
        <v>174.95000000000002</v>
      </c>
      <c r="D452" t="s">
        <v>941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982</v>
      </c>
      <c r="O452" s="198" t="s">
        <v>1093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1138</v>
      </c>
      <c r="B453" t="s">
        <v>1139</v>
      </c>
      <c r="C453">
        <v>192.76</v>
      </c>
      <c r="D453" t="s">
        <v>941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1139</v>
      </c>
      <c r="O453" s="198" t="s">
        <v>1093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1140</v>
      </c>
      <c r="B454" t="s">
        <v>1141</v>
      </c>
      <c r="C454">
        <v>24.98</v>
      </c>
      <c r="D454" t="s">
        <v>941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1141</v>
      </c>
      <c r="O454" s="198" t="s">
        <v>1142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1143</v>
      </c>
      <c r="B455" t="s">
        <v>1144</v>
      </c>
      <c r="C455">
        <v>27.77</v>
      </c>
      <c r="D455" t="s">
        <v>941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1145</v>
      </c>
      <c r="O455" s="198" t="s">
        <v>1142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1146</v>
      </c>
      <c r="B456" t="s">
        <v>1147</v>
      </c>
      <c r="C456">
        <v>49.59</v>
      </c>
      <c r="D456" t="s">
        <v>941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1147</v>
      </c>
      <c r="O456" s="198" t="s">
        <v>1142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1148</v>
      </c>
      <c r="B457" t="s">
        <v>1149</v>
      </c>
      <c r="C457">
        <v>54.57</v>
      </c>
      <c r="D457" t="s">
        <v>941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1150</v>
      </c>
      <c r="O457" s="198" t="s">
        <v>1142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1151</v>
      </c>
      <c r="B458" t="s">
        <v>1152</v>
      </c>
      <c r="C458">
        <v>70.33</v>
      </c>
      <c r="D458" t="s">
        <v>941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1153</v>
      </c>
      <c r="O458" s="198" t="s">
        <v>1142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1154</v>
      </c>
      <c r="B459" t="s">
        <v>1155</v>
      </c>
      <c r="C459">
        <v>96.76</v>
      </c>
      <c r="D459" t="s">
        <v>941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1156</v>
      </c>
      <c r="O459" s="198" t="s">
        <v>1142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1157</v>
      </c>
      <c r="B460" t="s">
        <v>1158</v>
      </c>
      <c r="C460">
        <v>80.89</v>
      </c>
      <c r="D460" t="s">
        <v>941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1159</v>
      </c>
      <c r="O460" s="198" t="s">
        <v>1142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1160</v>
      </c>
      <c r="B461" t="s">
        <v>1161</v>
      </c>
      <c r="C461">
        <v>32.53</v>
      </c>
      <c r="D461" t="s">
        <v>941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1161</v>
      </c>
      <c r="O461" s="198" t="s">
        <v>1142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1162</v>
      </c>
      <c r="B462" t="s">
        <v>1163</v>
      </c>
      <c r="C462">
        <v>68.16</v>
      </c>
      <c r="D462" t="s">
        <v>941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1164</v>
      </c>
      <c r="O462" s="198" t="s">
        <v>1142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1165</v>
      </c>
      <c r="B463" t="s">
        <v>1166</v>
      </c>
      <c r="C463">
        <v>68.16</v>
      </c>
      <c r="D463" t="s">
        <v>941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1167</v>
      </c>
      <c r="O463" s="198" t="s">
        <v>1142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1168</v>
      </c>
      <c r="B464" t="s">
        <v>1169</v>
      </c>
      <c r="C464">
        <v>45.15</v>
      </c>
      <c r="D464" t="s">
        <v>941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1170</v>
      </c>
      <c r="O464" s="198" t="s">
        <v>1142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1171</v>
      </c>
      <c r="B465" t="s">
        <v>1172</v>
      </c>
      <c r="C465">
        <v>41.410000000000004</v>
      </c>
      <c r="D465" t="s">
        <v>941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1172</v>
      </c>
      <c r="O465" s="198" t="s">
        <v>1142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1173</v>
      </c>
      <c r="B466" t="s">
        <v>1174</v>
      </c>
      <c r="C466">
        <v>53.980000000000004</v>
      </c>
      <c r="D466" t="s">
        <v>941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1174</v>
      </c>
      <c r="O466" s="198" t="s">
        <v>1142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1175</v>
      </c>
      <c r="B467" t="s">
        <v>1176</v>
      </c>
      <c r="C467">
        <v>53.61</v>
      </c>
      <c r="D467" t="s">
        <v>1177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1178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1179</v>
      </c>
      <c r="B468" t="s">
        <v>1180</v>
      </c>
      <c r="C468">
        <v>53.61</v>
      </c>
      <c r="D468" t="s">
        <v>1177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1178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1181</v>
      </c>
      <c r="B469" t="s">
        <v>1182</v>
      </c>
      <c r="C469">
        <v>75.38</v>
      </c>
      <c r="D469" t="s">
        <v>1177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1183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1184</v>
      </c>
      <c r="B470" t="s">
        <v>1185</v>
      </c>
      <c r="C470">
        <v>75.38</v>
      </c>
      <c r="D470" t="s">
        <v>1177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1183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1186</v>
      </c>
      <c r="B471" t="s">
        <v>1187</v>
      </c>
      <c r="C471">
        <v>67.61</v>
      </c>
      <c r="D471" t="s">
        <v>1177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1183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1188</v>
      </c>
      <c r="B472" t="s">
        <v>1189</v>
      </c>
      <c r="C472">
        <v>72.23</v>
      </c>
      <c r="D472" t="s">
        <v>1177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1183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1190</v>
      </c>
      <c r="B473" t="s">
        <v>1191</v>
      </c>
      <c r="C473">
        <v>52.38</v>
      </c>
      <c r="D473" t="s">
        <v>1177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1183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1192</v>
      </c>
      <c r="B474" t="s">
        <v>1193</v>
      </c>
      <c r="C474">
        <v>57.410000000000004</v>
      </c>
      <c r="D474" t="s">
        <v>1177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1183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1194</v>
      </c>
      <c r="B475" t="s">
        <v>1195</v>
      </c>
      <c r="C475">
        <v>91.86</v>
      </c>
      <c r="D475" t="s">
        <v>1177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1183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1196</v>
      </c>
      <c r="B476" t="s">
        <v>1197</v>
      </c>
      <c r="C476">
        <v>67.61</v>
      </c>
      <c r="D476" t="s">
        <v>1177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1198</v>
      </c>
      <c r="O476" s="198" t="s">
        <v>1183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1199</v>
      </c>
      <c r="B477" t="s">
        <v>1200</v>
      </c>
      <c r="C477">
        <v>22.1</v>
      </c>
      <c r="D477" t="s">
        <v>1177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1200</v>
      </c>
      <c r="O477" s="198" t="s">
        <v>1183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1201</v>
      </c>
      <c r="B478" t="s">
        <v>1202</v>
      </c>
      <c r="C478">
        <v>87.19</v>
      </c>
      <c r="D478" t="s">
        <v>1177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1203</v>
      </c>
      <c r="O478" s="198" t="s">
        <v>1183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1204</v>
      </c>
      <c r="B479" t="s">
        <v>1205</v>
      </c>
      <c r="C479">
        <v>72.23</v>
      </c>
      <c r="D479" t="s">
        <v>1177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1206</v>
      </c>
      <c r="O479" s="198" t="s">
        <v>1183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1207</v>
      </c>
      <c r="B480" t="s">
        <v>1208</v>
      </c>
      <c r="C480">
        <v>75.38</v>
      </c>
      <c r="D480" t="s">
        <v>1177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1209</v>
      </c>
      <c r="O480" s="198" t="s">
        <v>1183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1210</v>
      </c>
      <c r="B481" t="s">
        <v>1211</v>
      </c>
      <c r="C481">
        <v>10.540000000000001</v>
      </c>
      <c r="D481" t="s">
        <v>1177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1212</v>
      </c>
      <c r="O481" s="198" t="s">
        <v>1183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1213</v>
      </c>
      <c r="B482" t="s">
        <v>1214</v>
      </c>
      <c r="C482">
        <v>72.23</v>
      </c>
      <c r="D482" t="s">
        <v>1177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1214</v>
      </c>
      <c r="O482" s="198" t="s">
        <v>1183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1215</v>
      </c>
      <c r="B483" t="s">
        <v>1216</v>
      </c>
      <c r="C483">
        <v>0</v>
      </c>
      <c r="D483" t="s">
        <v>1177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1217</v>
      </c>
      <c r="O483" s="198" t="s">
        <v>1183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1218</v>
      </c>
      <c r="B484" t="s">
        <v>1219</v>
      </c>
      <c r="C484">
        <v>58.1</v>
      </c>
      <c r="D484" t="s">
        <v>1177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1220</v>
      </c>
      <c r="O484" s="198" t="s">
        <v>1183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1221</v>
      </c>
      <c r="B485" t="s">
        <v>1222</v>
      </c>
      <c r="C485">
        <v>65.38</v>
      </c>
      <c r="D485" t="s">
        <v>1177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1223</v>
      </c>
      <c r="O485" s="198" t="s">
        <v>1178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1224</v>
      </c>
      <c r="B486" t="s">
        <v>1225</v>
      </c>
      <c r="C486">
        <v>50.800000000000004</v>
      </c>
      <c r="D486" t="s">
        <v>1177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1226</v>
      </c>
      <c r="O486" s="198" t="s">
        <v>1178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1227</v>
      </c>
      <c r="B487" t="s">
        <v>1228</v>
      </c>
      <c r="C487">
        <v>54.28</v>
      </c>
      <c r="D487" t="s">
        <v>1177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1229</v>
      </c>
      <c r="O487" s="198" t="s">
        <v>1178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1230</v>
      </c>
      <c r="B488" t="s">
        <v>1231</v>
      </c>
      <c r="C488">
        <v>72.39</v>
      </c>
      <c r="D488" t="s">
        <v>1177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1232</v>
      </c>
      <c r="O488" s="198" t="s">
        <v>1178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1233</v>
      </c>
      <c r="B489" t="s">
        <v>1234</v>
      </c>
      <c r="C489">
        <v>0</v>
      </c>
      <c r="D489" t="s">
        <v>1177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1235</v>
      </c>
      <c r="O489" s="198" t="s">
        <v>1178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1236</v>
      </c>
      <c r="B490" t="s">
        <v>1237</v>
      </c>
      <c r="C490">
        <v>59.97</v>
      </c>
      <c r="D490" t="s">
        <v>1177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1238</v>
      </c>
      <c r="O490" s="198" t="s">
        <v>1178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1239</v>
      </c>
      <c r="B491" t="s">
        <v>1240</v>
      </c>
      <c r="C491">
        <v>69.92</v>
      </c>
      <c r="D491" t="s">
        <v>1177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1241</v>
      </c>
      <c r="O491" s="198" t="s">
        <v>1178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1242</v>
      </c>
      <c r="B492" t="s">
        <v>1243</v>
      </c>
      <c r="C492">
        <v>38.200000000000003</v>
      </c>
      <c r="D492" t="s">
        <v>1177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1244</v>
      </c>
      <c r="O492" s="198" t="s">
        <v>1178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1245</v>
      </c>
      <c r="B493" t="s">
        <v>1246</v>
      </c>
      <c r="C493">
        <v>73.19</v>
      </c>
      <c r="D493" t="s">
        <v>1177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1247</v>
      </c>
      <c r="O493" s="198" t="s">
        <v>1178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1248</v>
      </c>
      <c r="B494" t="s">
        <v>1249</v>
      </c>
      <c r="C494">
        <v>72.92</v>
      </c>
      <c r="D494" t="s">
        <v>1177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1249</v>
      </c>
      <c r="O494" s="198" t="s">
        <v>1178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1250</v>
      </c>
      <c r="B495" t="s">
        <v>1251</v>
      </c>
      <c r="C495">
        <v>85.12</v>
      </c>
      <c r="D495" t="s">
        <v>1252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1253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1254</v>
      </c>
      <c r="B496" t="s">
        <v>1255</v>
      </c>
      <c r="C496">
        <v>38.200000000000003</v>
      </c>
      <c r="D496" t="s">
        <v>1252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1256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1257</v>
      </c>
      <c r="B497" t="s">
        <v>1258</v>
      </c>
      <c r="C497">
        <v>70.989999999999995</v>
      </c>
      <c r="D497" t="s">
        <v>1252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1256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1259</v>
      </c>
      <c r="B498" t="s">
        <v>1260</v>
      </c>
      <c r="C498">
        <v>109.14</v>
      </c>
      <c r="D498" t="s">
        <v>1252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1256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1261</v>
      </c>
      <c r="B499" t="s">
        <v>1262</v>
      </c>
      <c r="C499">
        <v>143.27000000000001</v>
      </c>
      <c r="D499" t="s">
        <v>1252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1256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1263</v>
      </c>
      <c r="B500" t="s">
        <v>1264</v>
      </c>
      <c r="C500">
        <v>65.38</v>
      </c>
      <c r="D500" t="s">
        <v>1252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1256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1265</v>
      </c>
      <c r="B501" t="s">
        <v>1266</v>
      </c>
      <c r="C501">
        <v>0</v>
      </c>
      <c r="D501" t="s">
        <v>1252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1256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1267</v>
      </c>
      <c r="B502" t="s">
        <v>1268</v>
      </c>
      <c r="C502">
        <v>70.989999999999995</v>
      </c>
      <c r="D502" t="s">
        <v>1252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1269</v>
      </c>
      <c r="O502" s="198" t="s">
        <v>1270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1271</v>
      </c>
      <c r="B503" t="s">
        <v>1272</v>
      </c>
      <c r="C503">
        <v>52.38</v>
      </c>
      <c r="D503" t="s">
        <v>1252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1272</v>
      </c>
      <c r="O503" s="198" t="s">
        <v>1270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1273</v>
      </c>
      <c r="B504" t="s">
        <v>1274</v>
      </c>
      <c r="C504">
        <v>23.97</v>
      </c>
      <c r="D504" t="s">
        <v>1252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1275</v>
      </c>
      <c r="O504" s="198" t="s">
        <v>1270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1276</v>
      </c>
      <c r="B505" t="s">
        <v>1277</v>
      </c>
      <c r="C505">
        <v>238.08</v>
      </c>
      <c r="D505" t="s">
        <v>1252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1278</v>
      </c>
      <c r="O505" s="198" t="s">
        <v>1270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1279</v>
      </c>
      <c r="B506" t="s">
        <v>1280</v>
      </c>
      <c r="C506">
        <v>52.38</v>
      </c>
      <c r="D506" t="s">
        <v>1252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1281</v>
      </c>
      <c r="O506" s="198" t="s">
        <v>1282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1283</v>
      </c>
      <c r="B507" t="s">
        <v>1284</v>
      </c>
      <c r="C507">
        <v>65.38</v>
      </c>
      <c r="D507" t="s">
        <v>1252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1285</v>
      </c>
      <c r="O507" s="198" t="s">
        <v>1282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1286</v>
      </c>
      <c r="B508" t="s">
        <v>1287</v>
      </c>
      <c r="C508">
        <v>38.200000000000003</v>
      </c>
      <c r="D508" t="s">
        <v>1252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1288</v>
      </c>
      <c r="O508" s="198" t="s">
        <v>1282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1289</v>
      </c>
      <c r="B509" t="s">
        <v>1290</v>
      </c>
      <c r="C509">
        <v>112.3</v>
      </c>
      <c r="D509" t="s">
        <v>1252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1290</v>
      </c>
      <c r="O509" s="198" t="s">
        <v>1282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1291</v>
      </c>
      <c r="B510" t="s">
        <v>1292</v>
      </c>
      <c r="C510">
        <v>18.03</v>
      </c>
      <c r="D510" t="s">
        <v>1252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1292</v>
      </c>
      <c r="O510" s="198" t="s">
        <v>1282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1293</v>
      </c>
      <c r="B511" t="s">
        <v>1294</v>
      </c>
      <c r="C511">
        <v>18.03</v>
      </c>
      <c r="D511" t="s">
        <v>1252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1294</v>
      </c>
      <c r="O511" s="198" t="s">
        <v>1282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1295</v>
      </c>
      <c r="B512" t="s">
        <v>1296</v>
      </c>
      <c r="C512">
        <v>126.21000000000001</v>
      </c>
      <c r="D512" t="s">
        <v>1252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1296</v>
      </c>
      <c r="O512" s="198" t="s">
        <v>1297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1298</v>
      </c>
      <c r="B513" t="s">
        <v>1299</v>
      </c>
      <c r="C513">
        <v>25.57</v>
      </c>
      <c r="D513" t="s">
        <v>1252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1299</v>
      </c>
      <c r="O513" s="198" t="s">
        <v>1297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1300</v>
      </c>
      <c r="B514" t="s">
        <v>1301</v>
      </c>
      <c r="C514">
        <v>38.200000000000003</v>
      </c>
      <c r="D514" t="s">
        <v>1252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1301</v>
      </c>
      <c r="O514" s="198" t="s">
        <v>1297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1302</v>
      </c>
      <c r="B515" t="s">
        <v>1303</v>
      </c>
      <c r="C515">
        <v>76.67</v>
      </c>
      <c r="D515" t="s">
        <v>1252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1304</v>
      </c>
      <c r="O515" s="198" t="s">
        <v>1297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1305</v>
      </c>
      <c r="B516" t="s">
        <v>1306</v>
      </c>
      <c r="C516">
        <v>79.180000000000007</v>
      </c>
      <c r="D516" t="s">
        <v>1252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1307</v>
      </c>
      <c r="O516" s="198" t="s">
        <v>1297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1308</v>
      </c>
      <c r="B517" t="s">
        <v>1309</v>
      </c>
      <c r="C517">
        <v>104.7</v>
      </c>
      <c r="D517" t="s">
        <v>1252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1310</v>
      </c>
      <c r="O517" s="198" t="s">
        <v>1297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1311</v>
      </c>
      <c r="B518" t="s">
        <v>1312</v>
      </c>
      <c r="C518">
        <v>94.64</v>
      </c>
      <c r="D518" t="s">
        <v>1252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1313</v>
      </c>
      <c r="O518" s="198" t="s">
        <v>1314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1315</v>
      </c>
      <c r="B519" t="s">
        <v>1316</v>
      </c>
      <c r="C519">
        <v>85.12</v>
      </c>
      <c r="D519" t="s">
        <v>1252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1316</v>
      </c>
      <c r="O519" s="198" t="s">
        <v>1314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1317</v>
      </c>
      <c r="B520" t="s">
        <v>1318</v>
      </c>
      <c r="C520">
        <v>121.77</v>
      </c>
      <c r="D520" t="s">
        <v>1252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1318</v>
      </c>
      <c r="O520" s="198" t="s">
        <v>1314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1319</v>
      </c>
      <c r="B521" t="s">
        <v>1320</v>
      </c>
      <c r="C521">
        <v>137.87</v>
      </c>
      <c r="D521" t="s">
        <v>1252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1320</v>
      </c>
      <c r="O521" s="198" t="s">
        <v>1314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1321</v>
      </c>
      <c r="B522" t="s">
        <v>1322</v>
      </c>
      <c r="C522">
        <v>161.95000000000002</v>
      </c>
      <c r="D522" t="s">
        <v>1252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1322</v>
      </c>
      <c r="O522" s="198" t="s">
        <v>1314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1323</v>
      </c>
      <c r="B523" t="s">
        <v>1324</v>
      </c>
      <c r="C523">
        <v>84.37</v>
      </c>
      <c r="D523" t="s">
        <v>1325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1326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1327</v>
      </c>
      <c r="B524" t="s">
        <v>1328</v>
      </c>
      <c r="C524">
        <v>84.37</v>
      </c>
      <c r="D524" t="s">
        <v>1325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1326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1329</v>
      </c>
      <c r="B525" t="s">
        <v>1330</v>
      </c>
      <c r="C525">
        <v>149.97</v>
      </c>
      <c r="D525" t="s">
        <v>1325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1326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1331</v>
      </c>
      <c r="B526" t="s">
        <v>1332</v>
      </c>
      <c r="C526">
        <v>0</v>
      </c>
      <c r="D526" t="s">
        <v>1325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1333</v>
      </c>
      <c r="O526" s="198" t="s">
        <v>1326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1334</v>
      </c>
      <c r="B527" t="s">
        <v>1335</v>
      </c>
      <c r="C527">
        <v>184.25</v>
      </c>
      <c r="D527" t="s">
        <v>1325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1335</v>
      </c>
      <c r="O527" s="198" t="s">
        <v>1336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1337</v>
      </c>
      <c r="B528" t="s">
        <v>1338</v>
      </c>
      <c r="C528">
        <v>73.510000000000005</v>
      </c>
      <c r="D528" t="s">
        <v>1325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1338</v>
      </c>
      <c r="O528" s="198" t="s">
        <v>1336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1339</v>
      </c>
      <c r="B529" t="s">
        <v>1340</v>
      </c>
      <c r="C529">
        <v>73.510000000000005</v>
      </c>
      <c r="D529" t="s">
        <v>1325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1341</v>
      </c>
      <c r="O529" s="198" t="s">
        <v>1336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1342</v>
      </c>
      <c r="B530" t="s">
        <v>1343</v>
      </c>
      <c r="C530">
        <v>66.61</v>
      </c>
      <c r="D530" t="s">
        <v>1325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1343</v>
      </c>
      <c r="O530" s="198" t="s">
        <v>1336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1344</v>
      </c>
      <c r="B531" t="s">
        <v>1345</v>
      </c>
      <c r="C531">
        <v>66.61</v>
      </c>
      <c r="D531" t="s">
        <v>1325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1345</v>
      </c>
      <c r="O531" s="198" t="s">
        <v>1336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1346</v>
      </c>
      <c r="B532" t="s">
        <v>1347</v>
      </c>
      <c r="C532">
        <v>75.38</v>
      </c>
      <c r="D532" t="s">
        <v>1325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1347</v>
      </c>
      <c r="O532" s="198" t="s">
        <v>1336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1348</v>
      </c>
      <c r="B533" t="s">
        <v>1349</v>
      </c>
      <c r="C533">
        <v>73.510000000000005</v>
      </c>
      <c r="D533" t="s">
        <v>1325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1349</v>
      </c>
      <c r="O533" s="198" t="s">
        <v>1336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1350</v>
      </c>
      <c r="B534" t="s">
        <v>1351</v>
      </c>
      <c r="C534">
        <v>84.37</v>
      </c>
      <c r="D534" t="s">
        <v>1325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1351</v>
      </c>
      <c r="O534" s="198" t="s">
        <v>1336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1352</v>
      </c>
      <c r="B535" t="s">
        <v>1353</v>
      </c>
      <c r="C535">
        <v>56.76</v>
      </c>
      <c r="D535" t="s">
        <v>1325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1353</v>
      </c>
      <c r="O535" s="198" t="s">
        <v>1354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1355</v>
      </c>
      <c r="B536" t="s">
        <v>1356</v>
      </c>
      <c r="C536">
        <v>105.02</v>
      </c>
      <c r="D536" t="s">
        <v>1325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1357</v>
      </c>
      <c r="O536" s="198" t="s">
        <v>1354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1358</v>
      </c>
      <c r="B537" t="s">
        <v>1359</v>
      </c>
      <c r="C537">
        <v>19.900000000000002</v>
      </c>
      <c r="D537" t="s">
        <v>1325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1359</v>
      </c>
      <c r="O537" s="198" t="s">
        <v>1354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1360</v>
      </c>
      <c r="B538" t="s">
        <v>1361</v>
      </c>
      <c r="C538">
        <v>22.740000000000002</v>
      </c>
      <c r="D538" t="s">
        <v>1325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1361</v>
      </c>
      <c r="O538" s="198" t="s">
        <v>1354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1362</v>
      </c>
      <c r="B539" t="s">
        <v>1363</v>
      </c>
      <c r="C539">
        <v>9.15</v>
      </c>
      <c r="D539" t="s">
        <v>1325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1364</v>
      </c>
      <c r="O539" s="198" t="s">
        <v>1365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1366</v>
      </c>
      <c r="B540" t="s">
        <v>1367</v>
      </c>
      <c r="C540">
        <v>10.75</v>
      </c>
      <c r="D540" t="s">
        <v>1325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1368</v>
      </c>
      <c r="O540" s="198" t="s">
        <v>1365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1369</v>
      </c>
      <c r="B541" t="s">
        <v>1370</v>
      </c>
      <c r="C541">
        <v>114.86</v>
      </c>
      <c r="D541" t="s">
        <v>1325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1371</v>
      </c>
      <c r="O541" s="198" t="s">
        <v>1365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1372</v>
      </c>
      <c r="B542" t="s">
        <v>1373</v>
      </c>
      <c r="C542">
        <v>15.46</v>
      </c>
      <c r="D542" t="s">
        <v>1325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1374</v>
      </c>
      <c r="O542" s="198" t="s">
        <v>1365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1375</v>
      </c>
      <c r="B543" t="s">
        <v>1376</v>
      </c>
      <c r="C543">
        <v>22.1</v>
      </c>
      <c r="D543" t="s">
        <v>1377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1378</v>
      </c>
      <c r="B544" t="s">
        <v>1379</v>
      </c>
      <c r="C544">
        <v>25.57</v>
      </c>
      <c r="D544" t="s">
        <v>1377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1380</v>
      </c>
      <c r="B545" t="s">
        <v>1381</v>
      </c>
      <c r="C545">
        <v>11.88</v>
      </c>
      <c r="D545" t="s">
        <v>1377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1382</v>
      </c>
      <c r="B546" t="s">
        <v>1383</v>
      </c>
      <c r="C546">
        <v>47.67</v>
      </c>
      <c r="D546" t="s">
        <v>1377</v>
      </c>
      <c r="E546" t="str">
        <f t="shared" si="14"/>
        <v>01. Chain Hoist</v>
      </c>
      <c r="F546">
        <v>75</v>
      </c>
      <c r="H546" t="b">
        <v>1</v>
      </c>
      <c r="I546" s="201">
        <v>1055.0999999999999</v>
      </c>
      <c r="K546" s="192" t="s">
        <v>21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1466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1385</v>
      </c>
      <c r="B547" t="s">
        <v>1386</v>
      </c>
      <c r="C547">
        <v>61.2</v>
      </c>
      <c r="D547" t="s">
        <v>1377</v>
      </c>
      <c r="E547" t="str">
        <f t="shared" si="14"/>
        <v>01. Chain Hoist</v>
      </c>
      <c r="F547">
        <v>75</v>
      </c>
      <c r="H547" t="b">
        <v>1</v>
      </c>
      <c r="I547" s="201">
        <v>1055.2</v>
      </c>
      <c r="K547" s="192" t="s">
        <v>21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1466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1387</v>
      </c>
      <c r="B548" t="s">
        <v>1388</v>
      </c>
      <c r="C548">
        <v>74.47</v>
      </c>
      <c r="D548" t="s">
        <v>1377</v>
      </c>
      <c r="E548" t="str">
        <f t="shared" si="14"/>
        <v>01. Chain Hoist</v>
      </c>
      <c r="F548">
        <v>75</v>
      </c>
      <c r="H548" t="b">
        <v>1</v>
      </c>
      <c r="I548" s="201">
        <v>1055.3</v>
      </c>
      <c r="K548" s="192" t="s">
        <v>21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1466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1389</v>
      </c>
      <c r="B549" t="s">
        <v>1390</v>
      </c>
      <c r="C549">
        <v>94.64</v>
      </c>
      <c r="D549" t="s">
        <v>1377</v>
      </c>
      <c r="E549" t="str">
        <f t="shared" si="14"/>
        <v>01. Chain Hoist</v>
      </c>
      <c r="F549">
        <v>75</v>
      </c>
      <c r="H549" t="b">
        <v>1</v>
      </c>
      <c r="I549" s="201">
        <v>1055.4000000000001</v>
      </c>
      <c r="K549" s="192" t="s">
        <v>21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1466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1391</v>
      </c>
      <c r="B550" t="s">
        <v>1392</v>
      </c>
      <c r="C550">
        <v>61.85</v>
      </c>
      <c r="D550" t="s">
        <v>1377</v>
      </c>
      <c r="E550" t="str">
        <f t="shared" si="14"/>
        <v>01. Chain Hoist</v>
      </c>
      <c r="F550">
        <v>75</v>
      </c>
      <c r="H550" t="b">
        <v>1</v>
      </c>
      <c r="I550" s="201">
        <v>1056.2</v>
      </c>
      <c r="K550" s="192" t="s">
        <v>21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1466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1393</v>
      </c>
      <c r="B551" t="s">
        <v>1394</v>
      </c>
      <c r="C551">
        <v>75.38</v>
      </c>
      <c r="D551" t="s">
        <v>1377</v>
      </c>
      <c r="E551" t="str">
        <f t="shared" si="14"/>
        <v>01. Chain Hoist</v>
      </c>
      <c r="F551">
        <v>75</v>
      </c>
      <c r="H551" t="b">
        <v>1</v>
      </c>
      <c r="I551" s="201">
        <v>1056.3</v>
      </c>
      <c r="K551" s="192" t="s">
        <v>21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1466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1395</v>
      </c>
      <c r="B552" t="s">
        <v>1396</v>
      </c>
      <c r="C552">
        <v>88.65</v>
      </c>
      <c r="D552" t="s">
        <v>1377</v>
      </c>
      <c r="E552" t="str">
        <f t="shared" si="14"/>
        <v>01. Chain Hoist</v>
      </c>
      <c r="F552">
        <v>75</v>
      </c>
      <c r="H552" t="b">
        <v>1</v>
      </c>
      <c r="I552" s="201">
        <v>1056.4000000000001</v>
      </c>
      <c r="K552" s="192" t="s">
        <v>21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1466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1397</v>
      </c>
      <c r="B553" t="s">
        <v>1398</v>
      </c>
      <c r="C553">
        <v>71.64</v>
      </c>
      <c r="D553" t="s">
        <v>1377</v>
      </c>
      <c r="E553" t="str">
        <f t="shared" si="14"/>
        <v>01. Chain Hoist</v>
      </c>
      <c r="F553">
        <v>75</v>
      </c>
      <c r="H553" t="b">
        <v>1</v>
      </c>
      <c r="I553" s="201">
        <v>1057.2</v>
      </c>
      <c r="K553" s="192" t="s">
        <v>21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1466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1399</v>
      </c>
      <c r="B554" t="s">
        <v>1400</v>
      </c>
      <c r="C554">
        <v>89.61</v>
      </c>
      <c r="D554" t="s">
        <v>1377</v>
      </c>
      <c r="E554" t="str">
        <f t="shared" si="14"/>
        <v>01. Chain Hoist</v>
      </c>
      <c r="F554">
        <v>75</v>
      </c>
      <c r="H554" t="b">
        <v>1</v>
      </c>
      <c r="I554" s="201">
        <v>1057.3</v>
      </c>
      <c r="K554" s="192" t="s">
        <v>21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1466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1401</v>
      </c>
      <c r="B555" t="s">
        <v>1402</v>
      </c>
      <c r="C555">
        <v>132.19999999999999</v>
      </c>
      <c r="D555" t="s">
        <v>1377</v>
      </c>
      <c r="E555" t="str">
        <f t="shared" si="14"/>
        <v>01. Chain Hoist</v>
      </c>
      <c r="F555">
        <v>75</v>
      </c>
      <c r="H555" t="b">
        <v>1</v>
      </c>
      <c r="I555">
        <v>1058</v>
      </c>
      <c r="K555" s="192" t="s">
        <v>21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1466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1403</v>
      </c>
      <c r="B556" t="s">
        <v>1404</v>
      </c>
      <c r="C556">
        <v>35.36</v>
      </c>
      <c r="D556" t="s">
        <v>1377</v>
      </c>
      <c r="E556" t="str">
        <f t="shared" si="14"/>
        <v>. Chain Hoist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1466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1405</v>
      </c>
      <c r="B557" t="s">
        <v>1406</v>
      </c>
      <c r="C557">
        <v>42.32</v>
      </c>
      <c r="D557" t="s">
        <v>1377</v>
      </c>
      <c r="E557" t="str">
        <f t="shared" si="14"/>
        <v>. Chain Hoist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1466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1407</v>
      </c>
      <c r="B558" t="s">
        <v>1408</v>
      </c>
      <c r="C558">
        <v>291.27</v>
      </c>
      <c r="D558" t="s">
        <v>1377</v>
      </c>
      <c r="E558" t="str">
        <f t="shared" si="14"/>
        <v>. Chain Hoist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1466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1409</v>
      </c>
      <c r="B559" t="s">
        <v>1410</v>
      </c>
      <c r="C559">
        <v>34.130000000000003</v>
      </c>
      <c r="D559" t="s">
        <v>1377</v>
      </c>
      <c r="E559" t="str">
        <f t="shared" si="14"/>
        <v>01. Chain Hoist</v>
      </c>
      <c r="F559">
        <v>75</v>
      </c>
      <c r="H559" t="b">
        <v>1</v>
      </c>
      <c r="I559">
        <v>1055</v>
      </c>
      <c r="K559" s="192" t="s">
        <v>21</v>
      </c>
      <c r="L559" s="188">
        <f>IFERROR(_xlfn.XLOOKUP(A559,[1]Fleet!A:A,[1]Fleet!E:E,""),"")</f>
        <v>1</v>
      </c>
      <c r="M559" s="188">
        <v>31.900000000000002</v>
      </c>
      <c r="N559" s="188" t="s">
        <v>1411</v>
      </c>
      <c r="O559" s="198" t="s">
        <v>1466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1412</v>
      </c>
      <c r="B560" t="s">
        <v>1413</v>
      </c>
      <c r="C560">
        <v>60.54</v>
      </c>
      <c r="D560" t="s">
        <v>1377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1414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1415</v>
      </c>
      <c r="B561" t="s">
        <v>1416</v>
      </c>
      <c r="C561">
        <v>246.05</v>
      </c>
      <c r="D561" t="s">
        <v>1377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1414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1417</v>
      </c>
      <c r="B562" t="s">
        <v>1418</v>
      </c>
      <c r="C562">
        <v>93.68</v>
      </c>
      <c r="D562" t="s">
        <v>1377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1414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1419</v>
      </c>
      <c r="B563" t="s">
        <v>1420</v>
      </c>
      <c r="C563">
        <v>69.55</v>
      </c>
      <c r="D563" t="s">
        <v>1377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1414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1421</v>
      </c>
      <c r="B564" t="s">
        <v>1422</v>
      </c>
      <c r="C564">
        <v>143.27000000000001</v>
      </c>
      <c r="D564" t="s">
        <v>1377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1414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1423</v>
      </c>
      <c r="B565" t="s">
        <v>1424</v>
      </c>
      <c r="C565">
        <v>0</v>
      </c>
      <c r="D565" t="s">
        <v>1377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1414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1423</v>
      </c>
      <c r="B566" t="s">
        <v>1425</v>
      </c>
      <c r="C566">
        <v>0</v>
      </c>
      <c r="D566" t="s">
        <v>1377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1414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1423</v>
      </c>
      <c r="B567" t="s">
        <v>1426</v>
      </c>
      <c r="C567">
        <v>0</v>
      </c>
      <c r="D567" t="s">
        <v>1377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1414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1423</v>
      </c>
      <c r="B568" t="s">
        <v>1427</v>
      </c>
      <c r="C568">
        <v>0</v>
      </c>
      <c r="D568" t="s">
        <v>1377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1414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1423</v>
      </c>
      <c r="B569" t="s">
        <v>1428</v>
      </c>
      <c r="C569">
        <v>0</v>
      </c>
      <c r="D569" t="s">
        <v>1377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1414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1423</v>
      </c>
      <c r="B570" t="s">
        <v>1429</v>
      </c>
      <c r="C570">
        <v>0</v>
      </c>
      <c r="D570" t="s">
        <v>1377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1414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1423</v>
      </c>
      <c r="B571" t="s">
        <v>1430</v>
      </c>
      <c r="C571">
        <v>0</v>
      </c>
      <c r="D571" t="s">
        <v>1377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1414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1423</v>
      </c>
      <c r="B572" t="s">
        <v>1431</v>
      </c>
      <c r="C572">
        <v>0</v>
      </c>
      <c r="D572" t="s">
        <v>1377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1414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1423</v>
      </c>
      <c r="B573" t="s">
        <v>1432</v>
      </c>
      <c r="C573">
        <v>0</v>
      </c>
      <c r="D573" t="s">
        <v>1377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1414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1423</v>
      </c>
      <c r="B574" t="s">
        <v>1433</v>
      </c>
      <c r="C574">
        <v>0</v>
      </c>
      <c r="D574" t="s">
        <v>1377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1414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1423</v>
      </c>
      <c r="B575" t="s">
        <v>1434</v>
      </c>
      <c r="C575">
        <v>0</v>
      </c>
      <c r="D575" t="s">
        <v>1377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1414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1423</v>
      </c>
      <c r="B576" t="s">
        <v>1435</v>
      </c>
      <c r="C576">
        <v>0</v>
      </c>
      <c r="D576" t="s">
        <v>1377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1414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1423</v>
      </c>
      <c r="B577" t="s">
        <v>1436</v>
      </c>
      <c r="C577">
        <v>0</v>
      </c>
      <c r="D577" t="s">
        <v>1377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1414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1423</v>
      </c>
      <c r="B578" t="s">
        <v>1437</v>
      </c>
      <c r="C578">
        <v>0</v>
      </c>
      <c r="D578" t="s">
        <v>1377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1414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1423</v>
      </c>
      <c r="B579" t="s">
        <v>1438</v>
      </c>
      <c r="C579">
        <v>0</v>
      </c>
      <c r="D579" t="s">
        <v>1377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1414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1423</v>
      </c>
      <c r="B580" t="s">
        <v>1439</v>
      </c>
      <c r="C580">
        <v>0</v>
      </c>
      <c r="D580" t="s">
        <v>1377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1414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1423</v>
      </c>
      <c r="B581" t="s">
        <v>1440</v>
      </c>
      <c r="C581">
        <v>0</v>
      </c>
      <c r="D581" t="s">
        <v>1377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1414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1423</v>
      </c>
      <c r="B582" t="s">
        <v>1441</v>
      </c>
      <c r="C582">
        <v>0</v>
      </c>
      <c r="D582" t="s">
        <v>1377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1414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1423</v>
      </c>
      <c r="B583" t="s">
        <v>1442</v>
      </c>
      <c r="C583">
        <v>0</v>
      </c>
      <c r="D583" t="s">
        <v>1377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1414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1423</v>
      </c>
      <c r="B584" t="s">
        <v>1443</v>
      </c>
      <c r="C584">
        <v>0</v>
      </c>
      <c r="D584" t="s">
        <v>1377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1414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1423</v>
      </c>
      <c r="B585" t="s">
        <v>1444</v>
      </c>
      <c r="C585">
        <v>0</v>
      </c>
      <c r="D585" t="s">
        <v>1377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1414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1423</v>
      </c>
      <c r="B586" t="s">
        <v>1445</v>
      </c>
      <c r="C586">
        <v>0</v>
      </c>
      <c r="D586" t="s">
        <v>1377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1414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1423</v>
      </c>
      <c r="B587" t="s">
        <v>1446</v>
      </c>
      <c r="C587">
        <v>0</v>
      </c>
      <c r="D587" t="s">
        <v>1377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1414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1423</v>
      </c>
      <c r="B588" t="s">
        <v>1447</v>
      </c>
      <c r="C588">
        <v>0</v>
      </c>
      <c r="D588" t="s">
        <v>1377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1414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1423</v>
      </c>
      <c r="B589" t="s">
        <v>1448</v>
      </c>
      <c r="C589">
        <v>0</v>
      </c>
      <c r="D589" t="s">
        <v>1377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1414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1423</v>
      </c>
      <c r="B590" t="s">
        <v>1449</v>
      </c>
      <c r="C590">
        <v>0</v>
      </c>
      <c r="D590" t="s">
        <v>1377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1414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1423</v>
      </c>
      <c r="B591" t="s">
        <v>1450</v>
      </c>
      <c r="C591">
        <v>0</v>
      </c>
      <c r="D591" t="s">
        <v>1377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1414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1423</v>
      </c>
      <c r="B592" t="s">
        <v>1451</v>
      </c>
      <c r="C592">
        <v>0</v>
      </c>
      <c r="D592" t="s">
        <v>1377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1414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1423</v>
      </c>
      <c r="B593" t="s">
        <v>1452</v>
      </c>
      <c r="C593">
        <v>0</v>
      </c>
      <c r="D593" t="s">
        <v>1377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1414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1423</v>
      </c>
      <c r="B594" t="s">
        <v>1453</v>
      </c>
      <c r="C594">
        <v>0</v>
      </c>
      <c r="D594" t="s">
        <v>1377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1414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1454</v>
      </c>
      <c r="B595" t="s">
        <v>1455</v>
      </c>
      <c r="C595">
        <v>36.01</v>
      </c>
      <c r="D595" t="s">
        <v>1377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1456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1457</v>
      </c>
      <c r="B596" t="s">
        <v>1458</v>
      </c>
      <c r="C596">
        <v>55.27</v>
      </c>
      <c r="D596" t="s">
        <v>1377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1456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1459</v>
      </c>
      <c r="B597" t="s">
        <v>1460</v>
      </c>
      <c r="C597">
        <v>30.98</v>
      </c>
      <c r="D597" t="s">
        <v>1377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1456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1461</v>
      </c>
      <c r="B598" t="s">
        <v>1462</v>
      </c>
      <c r="C598">
        <v>80.2</v>
      </c>
      <c r="D598" t="s">
        <v>1377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1456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1463</v>
      </c>
      <c r="B599" t="s">
        <v>1464</v>
      </c>
      <c r="C599">
        <v>48.26</v>
      </c>
      <c r="D599" t="s">
        <v>1377</v>
      </c>
      <c r="E599" t="str">
        <f t="shared" si="15"/>
        <v>01. Chain Hoist</v>
      </c>
      <c r="F599">
        <v>75</v>
      </c>
      <c r="H599" t="b">
        <v>1</v>
      </c>
      <c r="I599">
        <v>1056.0999999999999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1465</v>
      </c>
      <c r="O599" s="198" t="s">
        <v>1466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1467</v>
      </c>
      <c r="B600" t="s">
        <v>1468</v>
      </c>
      <c r="C600">
        <v>0</v>
      </c>
      <c r="D600" t="s">
        <v>1377</v>
      </c>
      <c r="E600" t="str">
        <f t="shared" si="15"/>
        <v>01. Chain Hoist</v>
      </c>
      <c r="F600">
        <v>75</v>
      </c>
      <c r="H600" t="b">
        <v>0</v>
      </c>
      <c r="I600">
        <v>1057.0999999999999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1469</v>
      </c>
      <c r="O600" s="198" t="s">
        <v>1466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1470</v>
      </c>
      <c r="B601" t="s">
        <v>1471</v>
      </c>
      <c r="C601">
        <v>29.69</v>
      </c>
      <c r="D601" t="s">
        <v>1377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1472</v>
      </c>
      <c r="O601" s="198" t="s">
        <v>1473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1474</v>
      </c>
      <c r="B602" t="s">
        <v>1475</v>
      </c>
      <c r="C602">
        <v>7.92</v>
      </c>
      <c r="D602" t="s">
        <v>1377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1476</v>
      </c>
      <c r="O602" s="198" t="s">
        <v>1473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1477</v>
      </c>
      <c r="B603" t="s">
        <v>1478</v>
      </c>
      <c r="C603">
        <v>16.16</v>
      </c>
      <c r="D603" t="s">
        <v>1377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1479</v>
      </c>
      <c r="O603" s="198" t="s">
        <v>1473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1480</v>
      </c>
      <c r="B604" t="s">
        <v>1481</v>
      </c>
      <c r="C604">
        <v>17.07</v>
      </c>
      <c r="D604" t="s">
        <v>1377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1482</v>
      </c>
      <c r="O604" s="198" t="s">
        <v>1473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1483</v>
      </c>
      <c r="B605" t="s">
        <v>1484</v>
      </c>
      <c r="C605">
        <v>23.97</v>
      </c>
      <c r="D605" t="s">
        <v>1377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1485</v>
      </c>
      <c r="O605" s="198" t="s">
        <v>1473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1486</v>
      </c>
      <c r="B606" t="s">
        <v>1487</v>
      </c>
      <c r="C606">
        <v>79.180000000000007</v>
      </c>
      <c r="D606" t="s">
        <v>1377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1487</v>
      </c>
      <c r="O606" s="198" t="s">
        <v>1473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1488</v>
      </c>
      <c r="B607" t="s">
        <v>1489</v>
      </c>
      <c r="C607">
        <v>30.98</v>
      </c>
      <c r="D607" t="s">
        <v>1377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1489</v>
      </c>
      <c r="O607" s="198" t="s">
        <v>1473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1490</v>
      </c>
      <c r="B608" t="s">
        <v>1491</v>
      </c>
      <c r="C608">
        <v>19.309999999999999</v>
      </c>
      <c r="D608" t="s">
        <v>1377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1492</v>
      </c>
      <c r="O608" s="198" t="s">
        <v>1473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1493</v>
      </c>
      <c r="B609" t="s">
        <v>1494</v>
      </c>
      <c r="C609">
        <v>8.61</v>
      </c>
      <c r="D609" t="s">
        <v>1377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1495</v>
      </c>
      <c r="O609" s="198" t="s">
        <v>1473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1496</v>
      </c>
      <c r="B610" t="s">
        <v>1497</v>
      </c>
      <c r="C610">
        <v>23.97</v>
      </c>
      <c r="D610" t="s">
        <v>1377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1497</v>
      </c>
      <c r="O610" s="198" t="s">
        <v>1498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1499</v>
      </c>
      <c r="B611" t="s">
        <v>1500</v>
      </c>
      <c r="C611">
        <v>29.05</v>
      </c>
      <c r="D611" t="s">
        <v>1377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1500</v>
      </c>
      <c r="O611" s="198" t="s">
        <v>1498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1501</v>
      </c>
      <c r="B612" t="s">
        <v>1502</v>
      </c>
      <c r="C612">
        <v>156.49</v>
      </c>
      <c r="D612" t="s">
        <v>1377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1503</v>
      </c>
      <c r="O612" s="198" t="s">
        <v>1504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1505</v>
      </c>
      <c r="B613" t="s">
        <v>1506</v>
      </c>
      <c r="C613">
        <v>178.16</v>
      </c>
      <c r="D613" t="s">
        <v>1377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1507</v>
      </c>
      <c r="O613" s="198" t="s">
        <v>1504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1508</v>
      </c>
      <c r="B614" t="s">
        <v>1509</v>
      </c>
      <c r="C614">
        <v>192.70000000000002</v>
      </c>
      <c r="D614" t="s">
        <v>1377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1510</v>
      </c>
      <c r="O614" s="198" t="s">
        <v>1504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1511</v>
      </c>
      <c r="B615" t="s">
        <v>1512</v>
      </c>
      <c r="C615">
        <v>198.63</v>
      </c>
      <c r="D615" t="s">
        <v>1377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1513</v>
      </c>
      <c r="O615" s="198" t="s">
        <v>1504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1514</v>
      </c>
      <c r="B616" t="s">
        <v>1515</v>
      </c>
      <c r="C616">
        <v>25.57</v>
      </c>
      <c r="D616" t="s">
        <v>1377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1516</v>
      </c>
      <c r="O616" s="198" t="s">
        <v>1504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1517</v>
      </c>
      <c r="B617" t="s">
        <v>1518</v>
      </c>
      <c r="C617">
        <v>27.12</v>
      </c>
      <c r="D617" t="s">
        <v>1377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1519</v>
      </c>
      <c r="O617" s="198" t="s">
        <v>1504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1520</v>
      </c>
      <c r="B618" t="s">
        <v>1521</v>
      </c>
      <c r="C618">
        <v>113.58</v>
      </c>
      <c r="D618" t="s">
        <v>1377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1521</v>
      </c>
      <c r="O618" s="198" t="s">
        <v>1504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1522</v>
      </c>
      <c r="B619" t="s">
        <v>1523</v>
      </c>
      <c r="C619">
        <v>119.25</v>
      </c>
      <c r="D619" t="s">
        <v>1377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1523</v>
      </c>
      <c r="O619" s="198" t="s">
        <v>1504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1524</v>
      </c>
      <c r="B620" t="s">
        <v>1525</v>
      </c>
      <c r="C620">
        <v>35.04</v>
      </c>
      <c r="D620" t="s">
        <v>1377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1526</v>
      </c>
      <c r="O620" s="198" t="s">
        <v>1527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1528</v>
      </c>
      <c r="B621" t="s">
        <v>1529</v>
      </c>
      <c r="C621">
        <v>144.5</v>
      </c>
      <c r="D621" t="s">
        <v>1377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1530</v>
      </c>
      <c r="O621" s="198" t="s">
        <v>1527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1531</v>
      </c>
      <c r="B622" t="s">
        <v>1532</v>
      </c>
      <c r="C622">
        <v>73.78</v>
      </c>
      <c r="D622" t="s">
        <v>1377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1532</v>
      </c>
      <c r="O622" s="198" t="s">
        <v>1527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1533</v>
      </c>
      <c r="B623" t="s">
        <v>1534</v>
      </c>
      <c r="C623">
        <v>146.22</v>
      </c>
      <c r="D623" t="s">
        <v>1377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1534</v>
      </c>
      <c r="O623" s="198" t="s">
        <v>1535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1536</v>
      </c>
      <c r="B624" t="s">
        <v>1537</v>
      </c>
      <c r="C624">
        <v>35.36</v>
      </c>
      <c r="D624" t="s">
        <v>1377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1538</v>
      </c>
      <c r="O624" s="198" t="s">
        <v>1535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1539</v>
      </c>
      <c r="B625" t="s">
        <v>1540</v>
      </c>
      <c r="C625">
        <v>188.96</v>
      </c>
      <c r="D625" t="s">
        <v>1377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1541</v>
      </c>
      <c r="O625" s="198" t="s">
        <v>1535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1542</v>
      </c>
      <c r="B626" t="s">
        <v>1543</v>
      </c>
      <c r="C626">
        <v>246.03</v>
      </c>
      <c r="D626" t="s">
        <v>1377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1543</v>
      </c>
      <c r="O626" s="198" t="s">
        <v>1535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1544</v>
      </c>
      <c r="B627" t="s">
        <v>1545</v>
      </c>
      <c r="C627">
        <v>242.3</v>
      </c>
      <c r="D627" t="s">
        <v>1377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1546</v>
      </c>
      <c r="O627" s="198" t="s">
        <v>1535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1547</v>
      </c>
      <c r="B628" t="s">
        <v>1548</v>
      </c>
      <c r="C628">
        <v>56.76</v>
      </c>
      <c r="D628" t="s">
        <v>1377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1548</v>
      </c>
      <c r="O628" s="198" t="s">
        <v>1535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1549</v>
      </c>
      <c r="B629" t="s">
        <v>1550</v>
      </c>
      <c r="C629">
        <v>28.36</v>
      </c>
      <c r="D629" t="s">
        <v>1377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1550</v>
      </c>
      <c r="O629" s="198" t="s">
        <v>1535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1551</v>
      </c>
      <c r="B630" t="s">
        <v>1552</v>
      </c>
      <c r="C630">
        <v>56.76</v>
      </c>
      <c r="D630" t="s">
        <v>1377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1552</v>
      </c>
      <c r="O630" s="198" t="s">
        <v>1535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1553</v>
      </c>
      <c r="B631" t="s">
        <v>1554</v>
      </c>
      <c r="C631">
        <v>30.98</v>
      </c>
      <c r="D631" t="s">
        <v>1377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1554</v>
      </c>
      <c r="O631" s="198" t="s">
        <v>1535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1555</v>
      </c>
      <c r="B632" t="s">
        <v>1556</v>
      </c>
      <c r="C632">
        <v>30.330000000000002</v>
      </c>
      <c r="D632" t="s">
        <v>1377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1556</v>
      </c>
      <c r="O632" s="198" t="s">
        <v>1535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1557</v>
      </c>
      <c r="B633" t="s">
        <v>1558</v>
      </c>
      <c r="C633">
        <v>30.330000000000002</v>
      </c>
      <c r="D633" t="s">
        <v>1377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1559</v>
      </c>
      <c r="O633" s="198" t="s">
        <v>1535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1560</v>
      </c>
      <c r="B634" t="s">
        <v>1561</v>
      </c>
      <c r="C634">
        <v>23.97</v>
      </c>
      <c r="D634" t="s">
        <v>1377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1561</v>
      </c>
      <c r="O634" s="198" t="s">
        <v>1535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1562</v>
      </c>
      <c r="B635" t="s">
        <v>1563</v>
      </c>
      <c r="C635">
        <v>87.74</v>
      </c>
      <c r="D635" t="s">
        <v>1377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1563</v>
      </c>
      <c r="O635" s="198" t="s">
        <v>1564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1565</v>
      </c>
      <c r="B636" t="s">
        <v>1566</v>
      </c>
      <c r="C636">
        <v>78.86</v>
      </c>
      <c r="D636" t="s">
        <v>1377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1567</v>
      </c>
      <c r="O636" s="198" t="s">
        <v>1564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1568</v>
      </c>
      <c r="B637" t="s">
        <v>1569</v>
      </c>
      <c r="C637">
        <v>18.62</v>
      </c>
      <c r="D637" t="s">
        <v>1377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1570</v>
      </c>
      <c r="O637" s="198" t="s">
        <v>1571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1572</v>
      </c>
      <c r="B638" t="s">
        <v>1573</v>
      </c>
      <c r="C638">
        <v>27.12</v>
      </c>
      <c r="D638" t="s">
        <v>1377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1573</v>
      </c>
      <c r="O638" s="198" t="s">
        <v>1571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1574</v>
      </c>
      <c r="B639" t="s">
        <v>1575</v>
      </c>
      <c r="C639">
        <v>43.87</v>
      </c>
      <c r="D639" t="s">
        <v>1377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1575</v>
      </c>
      <c r="O639" s="198" t="s">
        <v>1571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1576</v>
      </c>
      <c r="B640" t="s">
        <v>1577</v>
      </c>
      <c r="C640">
        <v>121.23</v>
      </c>
      <c r="D640" t="s">
        <v>1377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1577</v>
      </c>
      <c r="O640" s="198" t="s">
        <v>1571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1578</v>
      </c>
      <c r="B641" t="s">
        <v>1579</v>
      </c>
      <c r="C641">
        <v>30.98</v>
      </c>
      <c r="D641" t="s">
        <v>1377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1580</v>
      </c>
      <c r="O641" s="198" t="s">
        <v>1456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1581</v>
      </c>
      <c r="B642" t="s">
        <v>1582</v>
      </c>
      <c r="C642">
        <v>55.27</v>
      </c>
      <c r="D642" t="s">
        <v>1377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1583</v>
      </c>
      <c r="O642" s="198" t="s">
        <v>1456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1584</v>
      </c>
      <c r="B643" t="s">
        <v>1585</v>
      </c>
      <c r="C643">
        <v>78.59</v>
      </c>
      <c r="D643" t="s">
        <v>1377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1585</v>
      </c>
      <c r="O643" s="198" t="s">
        <v>1456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1586</v>
      </c>
      <c r="B644" t="s">
        <v>1587</v>
      </c>
      <c r="C644">
        <v>69.39</v>
      </c>
      <c r="D644" t="s">
        <v>1377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1588</v>
      </c>
      <c r="O644" s="198" t="s">
        <v>1456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1589</v>
      </c>
      <c r="B645" t="s">
        <v>1590</v>
      </c>
      <c r="C645">
        <v>79.88</v>
      </c>
      <c r="D645" t="s">
        <v>1377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1590</v>
      </c>
      <c r="O645" s="198" t="s">
        <v>1456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1591</v>
      </c>
      <c r="B646" t="s">
        <v>1592</v>
      </c>
      <c r="C646">
        <v>86.56</v>
      </c>
      <c r="D646" t="s">
        <v>1377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1592</v>
      </c>
      <c r="O646" s="198" t="s">
        <v>1456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1593</v>
      </c>
      <c r="B647" t="s">
        <v>1594</v>
      </c>
      <c r="C647">
        <v>134.55000000000001</v>
      </c>
      <c r="D647" t="s">
        <v>1377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1595</v>
      </c>
      <c r="O647" s="198" t="s">
        <v>1456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1596</v>
      </c>
      <c r="B648" t="s">
        <v>1416</v>
      </c>
      <c r="C648">
        <v>246.05</v>
      </c>
      <c r="D648" t="s">
        <v>1377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1597</v>
      </c>
      <c r="O648" s="198" t="s">
        <v>1456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1598</v>
      </c>
      <c r="B649" t="s">
        <v>1599</v>
      </c>
      <c r="C649">
        <v>36.01</v>
      </c>
      <c r="D649" t="s">
        <v>1377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1599</v>
      </c>
      <c r="O649" s="198" t="s">
        <v>1456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1600</v>
      </c>
      <c r="B650" t="s">
        <v>1601</v>
      </c>
      <c r="C650">
        <v>37.69</v>
      </c>
      <c r="D650" t="s">
        <v>1377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1601</v>
      </c>
      <c r="O650" s="198" t="s">
        <v>1456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1602</v>
      </c>
      <c r="B651" t="s">
        <v>1603</v>
      </c>
      <c r="C651">
        <v>46.03</v>
      </c>
      <c r="D651" t="s">
        <v>1377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1603</v>
      </c>
      <c r="O651" s="198" t="s">
        <v>1456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1604</v>
      </c>
      <c r="B652" t="s">
        <v>1605</v>
      </c>
      <c r="C652">
        <v>43.980000000000004</v>
      </c>
      <c r="D652" t="s">
        <v>1377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1605</v>
      </c>
      <c r="O652" s="198" t="s">
        <v>1456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1606</v>
      </c>
      <c r="B653" t="s">
        <v>1607</v>
      </c>
      <c r="C653">
        <v>23.97</v>
      </c>
      <c r="D653" t="s">
        <v>1377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1607</v>
      </c>
      <c r="O653" s="198" t="s">
        <v>1456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1608</v>
      </c>
      <c r="B654" t="s">
        <v>1609</v>
      </c>
      <c r="C654">
        <v>32.85</v>
      </c>
      <c r="D654" t="s">
        <v>1377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1610</v>
      </c>
      <c r="O654" s="198" t="s">
        <v>1456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1611</v>
      </c>
      <c r="B655" t="s">
        <v>1612</v>
      </c>
      <c r="C655">
        <v>27.12</v>
      </c>
      <c r="D655" t="s">
        <v>1377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1612</v>
      </c>
      <c r="O655" s="198" t="s">
        <v>1456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1613</v>
      </c>
      <c r="B656" t="s">
        <v>1614</v>
      </c>
      <c r="C656">
        <v>47.03</v>
      </c>
      <c r="D656" t="s">
        <v>1377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1614</v>
      </c>
      <c r="O656" s="198" t="s">
        <v>1456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1615</v>
      </c>
      <c r="B657" t="s">
        <v>1616</v>
      </c>
      <c r="C657">
        <v>49.65</v>
      </c>
      <c r="D657" t="s">
        <v>1377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1617</v>
      </c>
      <c r="O657" s="198" t="s">
        <v>1456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1618</v>
      </c>
      <c r="B658" t="s">
        <v>1619</v>
      </c>
      <c r="C658">
        <v>49.65</v>
      </c>
      <c r="D658" t="s">
        <v>1377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1620</v>
      </c>
      <c r="O658" s="198" t="s">
        <v>1456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1621</v>
      </c>
      <c r="B659" t="s">
        <v>1622</v>
      </c>
      <c r="C659">
        <v>77.95</v>
      </c>
      <c r="D659" t="s">
        <v>1377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1623</v>
      </c>
      <c r="O659" s="198" t="s">
        <v>1456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1624</v>
      </c>
      <c r="B660" t="s">
        <v>1625</v>
      </c>
      <c r="C660">
        <v>74.47</v>
      </c>
      <c r="D660" t="s">
        <v>1377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1625</v>
      </c>
      <c r="O660" s="198" t="s">
        <v>1456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1626</v>
      </c>
      <c r="B661" t="s">
        <v>1627</v>
      </c>
      <c r="C661">
        <v>18.62</v>
      </c>
      <c r="D661" t="s">
        <v>1377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1627</v>
      </c>
      <c r="O661" s="198" t="s">
        <v>1456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1626</v>
      </c>
      <c r="B662" t="s">
        <v>1627</v>
      </c>
      <c r="C662">
        <v>18.62</v>
      </c>
      <c r="D662" t="s">
        <v>1377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1627</v>
      </c>
      <c r="O662" s="198" t="s">
        <v>1456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1628</v>
      </c>
      <c r="B663" t="s">
        <v>1629</v>
      </c>
      <c r="C663">
        <v>32.85</v>
      </c>
      <c r="D663" t="s">
        <v>1377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1629</v>
      </c>
      <c r="O663" s="198" t="s">
        <v>1456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1630</v>
      </c>
      <c r="B664" t="s">
        <v>1631</v>
      </c>
      <c r="C664">
        <v>27.12</v>
      </c>
      <c r="D664" t="s">
        <v>1377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1631</v>
      </c>
      <c r="O664" s="198" t="s">
        <v>1456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1632</v>
      </c>
      <c r="B665" t="s">
        <v>1633</v>
      </c>
      <c r="C665" t="s">
        <v>1634</v>
      </c>
      <c r="D665" t="s">
        <v>1377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1633</v>
      </c>
      <c r="O665" s="198" t="s">
        <v>1456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1635</v>
      </c>
      <c r="B666" t="s">
        <v>1636</v>
      </c>
      <c r="C666" t="s">
        <v>1634</v>
      </c>
      <c r="D666" t="s">
        <v>1377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1636</v>
      </c>
      <c r="O666" s="198" t="s">
        <v>1456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1637</v>
      </c>
      <c r="B667" t="s">
        <v>1638</v>
      </c>
      <c r="C667">
        <v>56.76</v>
      </c>
      <c r="D667" t="s">
        <v>1377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1638</v>
      </c>
      <c r="O667" s="198" t="s">
        <v>1456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1639</v>
      </c>
      <c r="B668" t="s">
        <v>1640</v>
      </c>
      <c r="C668">
        <v>14.23</v>
      </c>
      <c r="D668" t="s">
        <v>1377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1641</v>
      </c>
      <c r="L668" s="188" t="str">
        <f>IFERROR(_xlfn.XLOOKUP(A668,[1]Fleet!A:A,[1]Fleet!E:E,""),"")</f>
        <v/>
      </c>
      <c r="M668" s="188">
        <v>13.3</v>
      </c>
      <c r="N668" s="188" t="s">
        <v>1640</v>
      </c>
      <c r="O668" s="198" t="s">
        <v>1642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1643</v>
      </c>
      <c r="B669" t="s">
        <v>1644</v>
      </c>
      <c r="C669">
        <v>26.16</v>
      </c>
      <c r="D669" t="s">
        <v>1377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1641</v>
      </c>
      <c r="L669" s="188" t="str">
        <f>IFERROR(_xlfn.XLOOKUP(A669,[1]Fleet!A:A,[1]Fleet!E:E,""),"")</f>
        <v/>
      </c>
      <c r="M669" s="188">
        <v>24.450000000000003</v>
      </c>
      <c r="N669" s="188" t="s">
        <v>1644</v>
      </c>
      <c r="O669" s="198" t="s">
        <v>1642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1645</v>
      </c>
      <c r="B670" t="s">
        <v>1646</v>
      </c>
      <c r="C670">
        <v>25.57</v>
      </c>
      <c r="D670" t="s">
        <v>1377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1641</v>
      </c>
      <c r="L670" s="188" t="str">
        <f>IFERROR(_xlfn.XLOOKUP(A670,[1]Fleet!A:A,[1]Fleet!E:E,""),"")</f>
        <v/>
      </c>
      <c r="M670" s="188">
        <v>23.900000000000002</v>
      </c>
      <c r="N670" s="188" t="s">
        <v>1646</v>
      </c>
      <c r="O670" s="198" t="s">
        <v>1642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1647</v>
      </c>
      <c r="B671" t="s">
        <v>1648</v>
      </c>
      <c r="C671">
        <v>25.57</v>
      </c>
      <c r="D671" t="s">
        <v>1377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1641</v>
      </c>
      <c r="L671" s="188" t="str">
        <f>IFERROR(_xlfn.XLOOKUP(A671,[1]Fleet!A:A,[1]Fleet!E:E,""),"")</f>
        <v/>
      </c>
      <c r="M671" s="188">
        <v>23.900000000000002</v>
      </c>
      <c r="N671" s="188" t="s">
        <v>1648</v>
      </c>
      <c r="O671" s="198" t="s">
        <v>1642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1649</v>
      </c>
      <c r="B672" t="s">
        <v>1650</v>
      </c>
      <c r="C672">
        <v>29.69</v>
      </c>
      <c r="D672" t="s">
        <v>1377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1641</v>
      </c>
      <c r="L672" s="188" t="str">
        <f>IFERROR(_xlfn.XLOOKUP(A672,[1]Fleet!A:A,[1]Fleet!E:E,""),"")</f>
        <v/>
      </c>
      <c r="M672" s="188">
        <v>27.75</v>
      </c>
      <c r="N672" s="188" t="s">
        <v>1650</v>
      </c>
      <c r="O672" s="198" t="s">
        <v>1642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1651</v>
      </c>
      <c r="B673" t="s">
        <v>1652</v>
      </c>
      <c r="C673">
        <v>14.23</v>
      </c>
      <c r="D673" t="s">
        <v>1377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1641</v>
      </c>
      <c r="L673" s="188" t="str">
        <f>IFERROR(_xlfn.XLOOKUP(A673,[1]Fleet!A:A,[1]Fleet!E:E,""),"")</f>
        <v/>
      </c>
      <c r="M673" s="188">
        <v>13.3</v>
      </c>
      <c r="N673" s="188" t="s">
        <v>1652</v>
      </c>
      <c r="O673" s="198" t="s">
        <v>1642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1653</v>
      </c>
      <c r="B674" t="s">
        <v>1654</v>
      </c>
      <c r="C674">
        <v>17.07</v>
      </c>
      <c r="D674" t="s">
        <v>1377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1641</v>
      </c>
      <c r="L674" s="188" t="str">
        <f>IFERROR(_xlfn.XLOOKUP(A674,[1]Fleet!A:A,[1]Fleet!E:E,""),"")</f>
        <v/>
      </c>
      <c r="M674" s="188">
        <v>15.950000000000001</v>
      </c>
      <c r="N674" s="188" t="s">
        <v>1654</v>
      </c>
      <c r="O674" s="198" t="s">
        <v>1642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1655</v>
      </c>
      <c r="B675" t="s">
        <v>1656</v>
      </c>
      <c r="C675">
        <v>52.06</v>
      </c>
      <c r="D675" t="s">
        <v>1657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1658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1659</v>
      </c>
      <c r="B676" t="s">
        <v>1660</v>
      </c>
      <c r="C676">
        <v>66.13</v>
      </c>
      <c r="D676" t="s">
        <v>1657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1658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1661</v>
      </c>
      <c r="B677" t="s">
        <v>1662</v>
      </c>
      <c r="C677">
        <v>0</v>
      </c>
      <c r="D677" t="s">
        <v>1657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1658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1663</v>
      </c>
      <c r="B678" t="s">
        <v>1664</v>
      </c>
      <c r="C678">
        <v>66.13</v>
      </c>
      <c r="D678" t="s">
        <v>1657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1658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1665</v>
      </c>
      <c r="B679" t="s">
        <v>1666</v>
      </c>
      <c r="C679">
        <v>66.13</v>
      </c>
      <c r="D679" t="s">
        <v>1657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1658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1667</v>
      </c>
      <c r="B680" t="s">
        <v>1668</v>
      </c>
      <c r="C680">
        <v>0</v>
      </c>
      <c r="D680" t="s">
        <v>1657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1658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1669</v>
      </c>
      <c r="B681" t="s">
        <v>1670</v>
      </c>
      <c r="C681">
        <v>29.69</v>
      </c>
      <c r="D681" t="s">
        <v>1657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1658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1671</v>
      </c>
      <c r="B682" t="s">
        <v>1672</v>
      </c>
      <c r="C682">
        <v>0</v>
      </c>
      <c r="D682" t="s">
        <v>1657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1658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1671</v>
      </c>
      <c r="B683" t="s">
        <v>1673</v>
      </c>
      <c r="C683">
        <v>0</v>
      </c>
      <c r="D683" t="s">
        <v>1657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1658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1674</v>
      </c>
      <c r="B684" t="s">
        <v>1675</v>
      </c>
      <c r="C684">
        <v>23.97</v>
      </c>
      <c r="D684" t="s">
        <v>1657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1676</v>
      </c>
      <c r="O684" s="198" t="s">
        <v>1677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1678</v>
      </c>
      <c r="B685" t="s">
        <v>1679</v>
      </c>
      <c r="C685">
        <v>74.150000000000006</v>
      </c>
      <c r="D685" t="s">
        <v>1657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1680</v>
      </c>
      <c r="O685" s="198" t="s">
        <v>1677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1681</v>
      </c>
      <c r="B686" t="s">
        <v>1682</v>
      </c>
      <c r="C686">
        <v>29.69</v>
      </c>
      <c r="D686" t="s">
        <v>1657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1683</v>
      </c>
      <c r="O686" s="198" t="s">
        <v>1677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1684</v>
      </c>
      <c r="B687" t="s">
        <v>1685</v>
      </c>
      <c r="C687">
        <v>24.34</v>
      </c>
      <c r="D687" t="s">
        <v>1657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1686</v>
      </c>
      <c r="O687" s="198" t="s">
        <v>1677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1687</v>
      </c>
      <c r="B688" t="s">
        <v>1688</v>
      </c>
      <c r="C688">
        <v>25.68</v>
      </c>
      <c r="D688" t="s">
        <v>1657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1689</v>
      </c>
      <c r="O688" s="198" t="s">
        <v>1677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1690</v>
      </c>
      <c r="B689" t="s">
        <v>1691</v>
      </c>
      <c r="C689">
        <v>47.03</v>
      </c>
      <c r="D689" t="s">
        <v>1657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1692</v>
      </c>
      <c r="O689" s="198" t="s">
        <v>1677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1693</v>
      </c>
      <c r="B690" t="s">
        <v>1694</v>
      </c>
      <c r="C690">
        <v>38.200000000000003</v>
      </c>
      <c r="D690" t="s">
        <v>1657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1695</v>
      </c>
      <c r="O690" s="198" t="s">
        <v>1677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1696</v>
      </c>
      <c r="B691" t="s">
        <v>1697</v>
      </c>
      <c r="C691">
        <v>48.2</v>
      </c>
      <c r="D691" t="s">
        <v>1657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1697</v>
      </c>
      <c r="O691" s="198" t="s">
        <v>1677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1698</v>
      </c>
      <c r="B692" t="s">
        <v>1699</v>
      </c>
      <c r="C692">
        <v>15.46</v>
      </c>
      <c r="D692" t="s">
        <v>1657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1700</v>
      </c>
      <c r="O692" s="198" t="s">
        <v>1701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1702</v>
      </c>
      <c r="B693" t="s">
        <v>1703</v>
      </c>
      <c r="C693">
        <v>25.57</v>
      </c>
      <c r="D693" t="s">
        <v>1657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1704</v>
      </c>
      <c r="O693" s="198" t="s">
        <v>1701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1705</v>
      </c>
      <c r="B694" t="s">
        <v>1706</v>
      </c>
      <c r="C694">
        <v>20.22</v>
      </c>
      <c r="D694" t="s">
        <v>1657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1706</v>
      </c>
      <c r="O694" s="198" t="s">
        <v>1701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1707</v>
      </c>
      <c r="B695" t="s">
        <v>1708</v>
      </c>
      <c r="C695">
        <v>61.2</v>
      </c>
      <c r="D695" t="s">
        <v>1657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1709</v>
      </c>
      <c r="O695" s="198" t="s">
        <v>1701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1710</v>
      </c>
      <c r="B696" t="s">
        <v>1711</v>
      </c>
      <c r="C696">
        <v>30.39</v>
      </c>
      <c r="D696" t="s">
        <v>1657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1711</v>
      </c>
      <c r="O696" s="198" t="s">
        <v>1712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1713</v>
      </c>
      <c r="B697" t="s">
        <v>1714</v>
      </c>
      <c r="C697">
        <v>0</v>
      </c>
      <c r="D697" t="s">
        <v>1657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1715</v>
      </c>
      <c r="O697" s="198" t="s">
        <v>1712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1716</v>
      </c>
      <c r="B698" t="s">
        <v>1717</v>
      </c>
      <c r="C698">
        <v>7.92</v>
      </c>
      <c r="D698" t="s">
        <v>1657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1718</v>
      </c>
      <c r="O698" s="198" t="s">
        <v>1712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1719</v>
      </c>
      <c r="B699" t="s">
        <v>1720</v>
      </c>
      <c r="C699">
        <v>87.74</v>
      </c>
      <c r="D699" t="s">
        <v>1721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1722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1723</v>
      </c>
      <c r="B700" t="s">
        <v>1724</v>
      </c>
      <c r="C700">
        <v>0</v>
      </c>
      <c r="D700" t="s">
        <v>1721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1722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1725</v>
      </c>
      <c r="B701" t="s">
        <v>1726</v>
      </c>
      <c r="C701">
        <v>0</v>
      </c>
      <c r="D701" t="s">
        <v>1721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1726</v>
      </c>
      <c r="O701" s="198" t="s">
        <v>1727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1728</v>
      </c>
      <c r="B702" t="s">
        <v>1729</v>
      </c>
      <c r="C702">
        <v>21.19</v>
      </c>
      <c r="D702" t="s">
        <v>1721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1730</v>
      </c>
      <c r="O702" s="198" t="s">
        <v>1727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1731</v>
      </c>
      <c r="B703" t="s">
        <v>1732</v>
      </c>
      <c r="C703">
        <v>3.8000000000000003</v>
      </c>
      <c r="D703" t="s">
        <v>1721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1732</v>
      </c>
      <c r="O703" s="198" t="s">
        <v>1727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1733</v>
      </c>
      <c r="B704" t="s">
        <v>1734</v>
      </c>
      <c r="C704">
        <v>43.87</v>
      </c>
      <c r="D704" t="s">
        <v>1721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1735</v>
      </c>
      <c r="O704" s="198" t="s">
        <v>1736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1737</v>
      </c>
      <c r="B705" t="s">
        <v>1738</v>
      </c>
      <c r="C705">
        <v>10.75</v>
      </c>
      <c r="D705" t="s">
        <v>1721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1739</v>
      </c>
      <c r="O705" s="198" t="s">
        <v>1736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1740</v>
      </c>
      <c r="B706" t="s">
        <v>1741</v>
      </c>
      <c r="C706">
        <v>75.38</v>
      </c>
      <c r="D706" t="s">
        <v>1721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1741</v>
      </c>
      <c r="O706" s="198" t="s">
        <v>1736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1742</v>
      </c>
      <c r="B707" t="s">
        <v>1743</v>
      </c>
      <c r="C707">
        <v>101.17</v>
      </c>
      <c r="D707" t="s">
        <v>1721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1743</v>
      </c>
      <c r="O707" s="198" t="s">
        <v>1736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1744</v>
      </c>
      <c r="B708" t="s">
        <v>1745</v>
      </c>
      <c r="C708">
        <v>28.36</v>
      </c>
      <c r="D708" t="s">
        <v>1721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1746</v>
      </c>
      <c r="O708" s="198" t="s">
        <v>1736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1747</v>
      </c>
      <c r="B709" t="s">
        <v>1748</v>
      </c>
      <c r="C709">
        <v>21.19</v>
      </c>
      <c r="D709" t="s">
        <v>1721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1748</v>
      </c>
      <c r="O709" s="198" t="s">
        <v>1736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1749</v>
      </c>
      <c r="B710" t="s">
        <v>1750</v>
      </c>
      <c r="C710">
        <v>0</v>
      </c>
      <c r="D710" t="s">
        <v>1751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1752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1749</v>
      </c>
      <c r="B711" t="s">
        <v>1753</v>
      </c>
      <c r="C711">
        <v>0</v>
      </c>
      <c r="D711" t="s">
        <v>1751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1752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1749</v>
      </c>
      <c r="B712" t="s">
        <v>1754</v>
      </c>
      <c r="C712">
        <v>0</v>
      </c>
      <c r="D712" t="s">
        <v>1751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1752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1749</v>
      </c>
      <c r="B713" t="s">
        <v>1755</v>
      </c>
      <c r="C713">
        <v>0</v>
      </c>
      <c r="D713" t="s">
        <v>1751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1752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1749</v>
      </c>
      <c r="B714" t="s">
        <v>1756</v>
      </c>
      <c r="C714">
        <v>0</v>
      </c>
      <c r="D714" t="s">
        <v>1751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1752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1749</v>
      </c>
      <c r="B715" t="s">
        <v>1757</v>
      </c>
      <c r="C715">
        <v>0</v>
      </c>
      <c r="D715" t="s">
        <v>1751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1752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1749</v>
      </c>
      <c r="B716" t="s">
        <v>1758</v>
      </c>
      <c r="C716">
        <v>0</v>
      </c>
      <c r="D716" t="s">
        <v>1751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1752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1749</v>
      </c>
      <c r="B717" t="s">
        <v>1759</v>
      </c>
      <c r="C717">
        <v>0</v>
      </c>
      <c r="D717" t="s">
        <v>1751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1752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1749</v>
      </c>
      <c r="B718" t="s">
        <v>1760</v>
      </c>
      <c r="C718">
        <v>0</v>
      </c>
      <c r="D718" t="s">
        <v>1751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1752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1749</v>
      </c>
      <c r="B719" t="s">
        <v>1761</v>
      </c>
      <c r="C719">
        <v>0</v>
      </c>
      <c r="D719" t="s">
        <v>1751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1752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1749</v>
      </c>
      <c r="B720" t="s">
        <v>1762</v>
      </c>
      <c r="C720">
        <v>0</v>
      </c>
      <c r="D720" t="s">
        <v>1751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1752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1749</v>
      </c>
      <c r="B721" t="s">
        <v>1763</v>
      </c>
      <c r="C721">
        <v>0</v>
      </c>
      <c r="D721" t="s">
        <v>1751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1752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1749</v>
      </c>
      <c r="B722" t="s">
        <v>1764</v>
      </c>
      <c r="C722">
        <v>0</v>
      </c>
      <c r="D722" t="s">
        <v>1751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1752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1749</v>
      </c>
      <c r="B723" t="s">
        <v>1765</v>
      </c>
      <c r="C723">
        <v>0</v>
      </c>
      <c r="D723" t="s">
        <v>1751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1752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1749</v>
      </c>
      <c r="B724" t="s">
        <v>1766</v>
      </c>
      <c r="C724">
        <v>0</v>
      </c>
      <c r="D724" t="s">
        <v>1751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1752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1767</v>
      </c>
      <c r="B725" t="s">
        <v>1768</v>
      </c>
      <c r="C725">
        <v>0</v>
      </c>
      <c r="D725" t="s">
        <v>1769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1770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1771</v>
      </c>
      <c r="B726" t="s">
        <v>1772</v>
      </c>
      <c r="C726">
        <v>48.26</v>
      </c>
      <c r="D726" t="s">
        <v>1769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1773</v>
      </c>
      <c r="O726" s="198" t="s">
        <v>1774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1775</v>
      </c>
      <c r="B727" t="s">
        <v>1776</v>
      </c>
      <c r="C727">
        <v>48.26</v>
      </c>
      <c r="D727" t="s">
        <v>1769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1777</v>
      </c>
      <c r="O727" s="198" t="s">
        <v>1774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1778</v>
      </c>
      <c r="B728" t="s">
        <v>1779</v>
      </c>
      <c r="C728">
        <v>97.740000000000009</v>
      </c>
      <c r="D728" t="s">
        <v>1769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1780</v>
      </c>
      <c r="O728" s="198" t="s">
        <v>1774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1781</v>
      </c>
      <c r="B729" t="s">
        <v>1782</v>
      </c>
      <c r="C729">
        <v>140.38</v>
      </c>
      <c r="D729" t="s">
        <v>1769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1783</v>
      </c>
      <c r="O729" s="198" t="s">
        <v>1774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1784</v>
      </c>
      <c r="B730" t="s">
        <v>1785</v>
      </c>
      <c r="C730">
        <v>158.63</v>
      </c>
      <c r="D730" t="s">
        <v>1769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1785</v>
      </c>
      <c r="O730" s="198" t="s">
        <v>1774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1786</v>
      </c>
      <c r="B731" t="s">
        <v>1787</v>
      </c>
      <c r="C731">
        <v>34.130000000000003</v>
      </c>
      <c r="D731" t="s">
        <v>1769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1788</v>
      </c>
      <c r="O731" s="198" t="s">
        <v>1789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1790</v>
      </c>
      <c r="B732" t="s">
        <v>1791</v>
      </c>
      <c r="C732">
        <v>62.22</v>
      </c>
      <c r="D732" t="s">
        <v>1769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1791</v>
      </c>
      <c r="O732" s="198" t="s">
        <v>1789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1792</v>
      </c>
      <c r="B733" t="s">
        <v>1793</v>
      </c>
      <c r="C733">
        <v>75.7</v>
      </c>
      <c r="D733" t="s">
        <v>1769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1793</v>
      </c>
      <c r="O733" s="198" t="s">
        <v>1789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1794</v>
      </c>
      <c r="B734" t="s">
        <v>1795</v>
      </c>
      <c r="C734">
        <v>23.06</v>
      </c>
      <c r="D734" t="s">
        <v>1769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1796</v>
      </c>
      <c r="O734" s="198" t="s">
        <v>1789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1797</v>
      </c>
      <c r="B735" t="s">
        <v>1798</v>
      </c>
      <c r="C735">
        <v>56.76</v>
      </c>
      <c r="D735" t="s">
        <v>1769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1799</v>
      </c>
      <c r="O735" s="198" t="s">
        <v>1789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1800</v>
      </c>
      <c r="B736" t="s">
        <v>1801</v>
      </c>
      <c r="C736">
        <v>49.59</v>
      </c>
      <c r="D736" t="s">
        <v>1769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1802</v>
      </c>
      <c r="O736" s="198" t="s">
        <v>1803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1804</v>
      </c>
      <c r="B737" t="s">
        <v>1805</v>
      </c>
      <c r="C737">
        <v>113.58</v>
      </c>
      <c r="D737" t="s">
        <v>1769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1805</v>
      </c>
      <c r="O737" s="198" t="s">
        <v>1803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1806</v>
      </c>
      <c r="B738" t="s">
        <v>1807</v>
      </c>
      <c r="C738">
        <v>52.75</v>
      </c>
      <c r="D738" t="s">
        <v>1769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1808</v>
      </c>
      <c r="O738" s="198" t="s">
        <v>1803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1809</v>
      </c>
      <c r="B739" t="s">
        <v>1810</v>
      </c>
      <c r="C739">
        <v>47.03</v>
      </c>
      <c r="D739" t="s">
        <v>1769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1810</v>
      </c>
      <c r="O739" s="198" t="s">
        <v>1803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1811</v>
      </c>
      <c r="B740" t="s">
        <v>1812</v>
      </c>
      <c r="C740">
        <v>0</v>
      </c>
      <c r="D740" t="s">
        <v>1769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1812</v>
      </c>
      <c r="O740" s="198" t="s">
        <v>1803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1813</v>
      </c>
      <c r="B741" t="s">
        <v>1814</v>
      </c>
      <c r="C741">
        <v>49.59</v>
      </c>
      <c r="D741" t="s">
        <v>1769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1815</v>
      </c>
      <c r="O741" s="198" t="s">
        <v>1816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1817</v>
      </c>
      <c r="B742" t="s">
        <v>1818</v>
      </c>
      <c r="C742">
        <v>23.97</v>
      </c>
      <c r="D742" t="s">
        <v>1769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1818</v>
      </c>
      <c r="O742" s="198" t="s">
        <v>1816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1819</v>
      </c>
      <c r="B743" t="s">
        <v>1820</v>
      </c>
      <c r="C743">
        <v>29.05</v>
      </c>
      <c r="D743" t="s">
        <v>1769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1820</v>
      </c>
      <c r="O743" s="198" t="s">
        <v>1816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1821</v>
      </c>
      <c r="B744" t="s">
        <v>1822</v>
      </c>
      <c r="C744">
        <v>38.200000000000003</v>
      </c>
      <c r="D744" t="s">
        <v>1769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1822</v>
      </c>
      <c r="O744" s="198" t="s">
        <v>1816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1823</v>
      </c>
      <c r="B745" t="s">
        <v>1824</v>
      </c>
      <c r="C745">
        <v>19.900000000000002</v>
      </c>
      <c r="D745" t="s">
        <v>1769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1824</v>
      </c>
      <c r="O745" s="198" t="s">
        <v>1816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1825</v>
      </c>
      <c r="B746" t="s">
        <v>1826</v>
      </c>
      <c r="C746">
        <v>25.57</v>
      </c>
      <c r="D746" t="s">
        <v>1769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1826</v>
      </c>
      <c r="O746" s="198" t="s">
        <v>1816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1827</v>
      </c>
      <c r="B747" t="s">
        <v>1828</v>
      </c>
      <c r="C747">
        <v>27.12</v>
      </c>
      <c r="D747" t="s">
        <v>1769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1828</v>
      </c>
      <c r="O747" s="198" t="s">
        <v>1816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1829</v>
      </c>
      <c r="B748" t="s">
        <v>1830</v>
      </c>
      <c r="C748">
        <v>161.84</v>
      </c>
      <c r="D748" t="s">
        <v>1769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1831</v>
      </c>
      <c r="O748" s="198" t="s">
        <v>1832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1833</v>
      </c>
      <c r="B749" t="s">
        <v>1834</v>
      </c>
      <c r="C749">
        <v>48.26</v>
      </c>
      <c r="D749" t="s">
        <v>1769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1835</v>
      </c>
      <c r="O749" s="198" t="s">
        <v>1832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1836</v>
      </c>
      <c r="B750" t="s">
        <v>1837</v>
      </c>
      <c r="C750">
        <v>55.21</v>
      </c>
      <c r="D750" t="s">
        <v>1769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1837</v>
      </c>
      <c r="O750" s="198" t="s">
        <v>1838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1839</v>
      </c>
      <c r="B751" t="s">
        <v>1840</v>
      </c>
      <c r="C751">
        <v>15.46</v>
      </c>
      <c r="D751" t="s">
        <v>1769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1841</v>
      </c>
      <c r="O751" s="198" t="s">
        <v>1838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1842</v>
      </c>
      <c r="B752" t="s">
        <v>1843</v>
      </c>
      <c r="C752">
        <v>14.870000000000001</v>
      </c>
      <c r="D752" t="s">
        <v>1769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1843</v>
      </c>
      <c r="O752" s="198" t="s">
        <v>1838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1844</v>
      </c>
      <c r="B753" t="s">
        <v>1845</v>
      </c>
      <c r="C753">
        <v>13.540000000000001</v>
      </c>
      <c r="D753" t="s">
        <v>1769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1846</v>
      </c>
      <c r="O753" s="198" t="s">
        <v>1838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1847</v>
      </c>
      <c r="B754" t="s">
        <v>1848</v>
      </c>
      <c r="C754">
        <v>13.540000000000001</v>
      </c>
      <c r="D754" t="s">
        <v>1769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1848</v>
      </c>
      <c r="O754" s="198" t="s">
        <v>1838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1849</v>
      </c>
      <c r="B755" t="s">
        <v>1850</v>
      </c>
      <c r="C755">
        <v>6.96</v>
      </c>
      <c r="D755" t="s">
        <v>1769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1850</v>
      </c>
      <c r="O755" s="198" t="s">
        <v>1838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1851</v>
      </c>
      <c r="B756" t="s">
        <v>1852</v>
      </c>
      <c r="C756">
        <v>4.4400000000000004</v>
      </c>
      <c r="D756" t="s">
        <v>1769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1853</v>
      </c>
      <c r="O756" s="198" t="s">
        <v>1838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1854</v>
      </c>
      <c r="B757" t="s">
        <v>1855</v>
      </c>
      <c r="C757">
        <v>14.870000000000001</v>
      </c>
      <c r="D757" t="s">
        <v>1769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1856</v>
      </c>
      <c r="O757" s="198" t="s">
        <v>1838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1857</v>
      </c>
      <c r="B758" t="s">
        <v>1858</v>
      </c>
      <c r="C758">
        <v>19.900000000000002</v>
      </c>
      <c r="D758" t="s">
        <v>1769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1859</v>
      </c>
      <c r="O758" s="198" t="s">
        <v>1838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1860</v>
      </c>
      <c r="B759" t="s">
        <v>1861</v>
      </c>
      <c r="C759">
        <v>0</v>
      </c>
      <c r="D759" t="s">
        <v>1769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1861</v>
      </c>
      <c r="O759" s="198" t="s">
        <v>1862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1863</v>
      </c>
      <c r="B760" t="s">
        <v>1864</v>
      </c>
      <c r="C760">
        <v>22.740000000000002</v>
      </c>
      <c r="D760" t="s">
        <v>1769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1864</v>
      </c>
      <c r="O760" s="198" t="s">
        <v>1862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1865</v>
      </c>
      <c r="B761" t="s">
        <v>1866</v>
      </c>
      <c r="C761">
        <v>36.97</v>
      </c>
      <c r="D761" t="s">
        <v>1769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1866</v>
      </c>
      <c r="O761" s="198" t="s">
        <v>1862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1867</v>
      </c>
      <c r="B762" t="s">
        <v>1868</v>
      </c>
      <c r="C762">
        <v>14.870000000000001</v>
      </c>
      <c r="D762" t="s">
        <v>1869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1870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1871</v>
      </c>
      <c r="B763" t="s">
        <v>1872</v>
      </c>
      <c r="C763">
        <v>14.870000000000001</v>
      </c>
      <c r="D763" t="s">
        <v>1869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1870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1873</v>
      </c>
      <c r="B764" t="s">
        <v>1874</v>
      </c>
      <c r="C764">
        <v>0</v>
      </c>
      <c r="D764" t="s">
        <v>1869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1875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1876</v>
      </c>
      <c r="B765" t="s">
        <v>1877</v>
      </c>
      <c r="C765">
        <v>148.62</v>
      </c>
      <c r="D765" t="s">
        <v>1869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1875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1878</v>
      </c>
      <c r="B766" t="s">
        <v>1879</v>
      </c>
      <c r="C766">
        <v>101.65</v>
      </c>
      <c r="D766" t="s">
        <v>1869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1875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1880</v>
      </c>
      <c r="B767" t="s">
        <v>1881</v>
      </c>
      <c r="C767">
        <v>0</v>
      </c>
      <c r="D767" t="s">
        <v>1869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1414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1880</v>
      </c>
      <c r="B768" t="s">
        <v>1882</v>
      </c>
      <c r="C768">
        <v>0</v>
      </c>
      <c r="D768" t="s">
        <v>1869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1414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1880</v>
      </c>
      <c r="B769" t="s">
        <v>1883</v>
      </c>
      <c r="C769">
        <v>0</v>
      </c>
      <c r="D769" t="s">
        <v>1869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1414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1880</v>
      </c>
      <c r="B770" t="s">
        <v>1884</v>
      </c>
      <c r="C770">
        <v>0</v>
      </c>
      <c r="D770" t="s">
        <v>1869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1414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1880</v>
      </c>
      <c r="B771" t="s">
        <v>1885</v>
      </c>
      <c r="C771">
        <v>0</v>
      </c>
      <c r="D771" t="s">
        <v>1869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1414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1880</v>
      </c>
      <c r="B772" t="s">
        <v>1886</v>
      </c>
      <c r="C772">
        <v>0</v>
      </c>
      <c r="D772" t="s">
        <v>1869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1414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1880</v>
      </c>
      <c r="B773" t="s">
        <v>1887</v>
      </c>
      <c r="C773">
        <v>0</v>
      </c>
      <c r="D773" t="s">
        <v>1869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1414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1880</v>
      </c>
      <c r="B774" t="s">
        <v>1888</v>
      </c>
      <c r="C774">
        <v>0</v>
      </c>
      <c r="D774" t="s">
        <v>1869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1414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1880</v>
      </c>
      <c r="B775" t="s">
        <v>1889</v>
      </c>
      <c r="C775">
        <v>0</v>
      </c>
      <c r="D775" t="s">
        <v>1869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1414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1880</v>
      </c>
      <c r="B776" t="s">
        <v>1890</v>
      </c>
      <c r="C776">
        <v>0</v>
      </c>
      <c r="D776" t="s">
        <v>1869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1414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1880</v>
      </c>
      <c r="B777" t="s">
        <v>1891</v>
      </c>
      <c r="C777">
        <v>0</v>
      </c>
      <c r="D777" t="s">
        <v>1869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1414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1880</v>
      </c>
      <c r="B778" t="s">
        <v>1892</v>
      </c>
      <c r="C778">
        <v>0</v>
      </c>
      <c r="D778" t="s">
        <v>1869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1414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1893</v>
      </c>
      <c r="B779" t="s">
        <v>1894</v>
      </c>
      <c r="C779">
        <v>21.88</v>
      </c>
      <c r="D779" t="s">
        <v>1869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1895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1896</v>
      </c>
      <c r="B780" t="s">
        <v>1897</v>
      </c>
      <c r="C780">
        <v>0</v>
      </c>
      <c r="D780" t="s">
        <v>1869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1898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1896</v>
      </c>
      <c r="B781" t="s">
        <v>1899</v>
      </c>
      <c r="C781">
        <v>0</v>
      </c>
      <c r="D781" t="s">
        <v>1869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1898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1900</v>
      </c>
      <c r="B782" s="188" t="s">
        <v>1901</v>
      </c>
      <c r="C782">
        <v>75.38</v>
      </c>
      <c r="D782" t="s">
        <v>1869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1901</v>
      </c>
      <c r="O782" s="198" t="s">
        <v>1875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1902</v>
      </c>
      <c r="B783" s="188" t="s">
        <v>1903</v>
      </c>
      <c r="C783">
        <v>151.41</v>
      </c>
      <c r="D783" t="s">
        <v>1869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1903</v>
      </c>
      <c r="O783" s="198" t="s">
        <v>1875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1904</v>
      </c>
      <c r="B784" s="188" t="s">
        <v>1905</v>
      </c>
      <c r="C784">
        <v>139.18</v>
      </c>
      <c r="D784" t="s">
        <v>1869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1905</v>
      </c>
      <c r="O784" s="198" t="s">
        <v>1875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1906</v>
      </c>
      <c r="B785" s="188" t="s">
        <v>1907</v>
      </c>
      <c r="C785">
        <v>236.1</v>
      </c>
      <c r="D785" t="s">
        <v>1869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1907</v>
      </c>
      <c r="O785" s="198" t="s">
        <v>1875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1906</v>
      </c>
      <c r="B786" s="188" t="s">
        <v>1908</v>
      </c>
      <c r="C786">
        <v>236.1</v>
      </c>
      <c r="D786" t="s">
        <v>1869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1907</v>
      </c>
      <c r="O786" s="198" t="s">
        <v>1875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1909</v>
      </c>
      <c r="B787" s="188" t="s">
        <v>1910</v>
      </c>
      <c r="C787">
        <v>280.70999999999998</v>
      </c>
      <c r="D787" t="s">
        <v>1869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1910</v>
      </c>
      <c r="O787" s="198" t="s">
        <v>1875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1911</v>
      </c>
      <c r="B788" s="188" t="s">
        <v>1912</v>
      </c>
      <c r="C788">
        <v>314.79000000000002</v>
      </c>
      <c r="D788" t="s">
        <v>1869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1912</v>
      </c>
      <c r="O788" s="198" t="s">
        <v>1875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1913</v>
      </c>
      <c r="B789" t="s">
        <v>1914</v>
      </c>
      <c r="C789">
        <v>333.25</v>
      </c>
      <c r="D789" t="s">
        <v>1869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1875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1915</v>
      </c>
      <c r="B790" s="188" t="s">
        <v>1916</v>
      </c>
      <c r="C790">
        <v>334.32</v>
      </c>
      <c r="D790" t="s">
        <v>1869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1916</v>
      </c>
      <c r="O790" s="198" t="s">
        <v>1875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1917</v>
      </c>
      <c r="B791" s="188" t="s">
        <v>1918</v>
      </c>
      <c r="C791">
        <v>500.64</v>
      </c>
      <c r="D791" t="s">
        <v>1869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1918</v>
      </c>
      <c r="O791" s="198" t="s">
        <v>1875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1919</v>
      </c>
      <c r="B792" t="s">
        <v>1920</v>
      </c>
      <c r="C792">
        <v>230.22</v>
      </c>
      <c r="D792" t="s">
        <v>1869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1921</v>
      </c>
      <c r="O792" s="198" t="s">
        <v>1898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1922</v>
      </c>
      <c r="B793" t="s">
        <v>1923</v>
      </c>
      <c r="C793">
        <v>33.76</v>
      </c>
      <c r="D793" t="s">
        <v>1869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1924</v>
      </c>
      <c r="O793" s="198" t="s">
        <v>1898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1925</v>
      </c>
      <c r="B794" t="s">
        <v>1926</v>
      </c>
      <c r="C794">
        <v>47.03</v>
      </c>
      <c r="D794" t="s">
        <v>1869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1926</v>
      </c>
      <c r="O794" s="198" t="s">
        <v>1898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1927</v>
      </c>
      <c r="B795" t="s">
        <v>1928</v>
      </c>
      <c r="C795">
        <v>41.410000000000004</v>
      </c>
      <c r="D795" t="s">
        <v>1869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1928</v>
      </c>
      <c r="O795" s="198" t="s">
        <v>1895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1929</v>
      </c>
      <c r="B796" t="s">
        <v>1930</v>
      </c>
      <c r="C796">
        <v>15.46</v>
      </c>
      <c r="D796" t="s">
        <v>1869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1930</v>
      </c>
      <c r="O796" s="198" t="s">
        <v>1895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1931</v>
      </c>
      <c r="B797" t="s">
        <v>1932</v>
      </c>
      <c r="C797">
        <v>15.46</v>
      </c>
      <c r="D797" t="s">
        <v>1869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1932</v>
      </c>
      <c r="O797" s="198" t="s">
        <v>1895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1933</v>
      </c>
      <c r="B798" t="s">
        <v>1934</v>
      </c>
      <c r="C798">
        <v>29.69</v>
      </c>
      <c r="D798" t="s">
        <v>1869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1935</v>
      </c>
      <c r="O798" s="198" t="s">
        <v>1895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1936</v>
      </c>
      <c r="B799" t="s">
        <v>1937</v>
      </c>
      <c r="C799">
        <v>58.1</v>
      </c>
      <c r="D799" t="s">
        <v>1869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1938</v>
      </c>
      <c r="O799" s="198" t="s">
        <v>1895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1939</v>
      </c>
      <c r="B800" t="s">
        <v>1940</v>
      </c>
      <c r="C800">
        <v>70.989999999999995</v>
      </c>
      <c r="D800" t="s">
        <v>1869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1941</v>
      </c>
      <c r="O800" s="198" t="s">
        <v>1895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1942</v>
      </c>
      <c r="B801" t="s">
        <v>1943</v>
      </c>
      <c r="C801">
        <v>5.99</v>
      </c>
      <c r="D801" t="s">
        <v>1869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1944</v>
      </c>
      <c r="O801" s="198" t="s">
        <v>1870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1945</v>
      </c>
      <c r="B802" t="s">
        <v>1946</v>
      </c>
      <c r="C802">
        <v>14.98</v>
      </c>
      <c r="D802" t="s">
        <v>1869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1947</v>
      </c>
      <c r="O802" s="198" t="s">
        <v>1870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1948</v>
      </c>
      <c r="B803" t="s">
        <v>1949</v>
      </c>
      <c r="C803">
        <v>5.72</v>
      </c>
      <c r="D803" t="s">
        <v>1869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1949</v>
      </c>
      <c r="O803" s="198" t="s">
        <v>1870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1950</v>
      </c>
      <c r="B804" t="s">
        <v>1951</v>
      </c>
      <c r="C804">
        <v>25.57</v>
      </c>
      <c r="D804" t="s">
        <v>1869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1952</v>
      </c>
      <c r="O804" s="198" t="s">
        <v>1870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1953</v>
      </c>
      <c r="B805" t="s">
        <v>1954</v>
      </c>
      <c r="C805">
        <v>14.870000000000001</v>
      </c>
      <c r="D805" t="s">
        <v>1869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1955</v>
      </c>
      <c r="O805" s="198" t="s">
        <v>1870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1956</v>
      </c>
      <c r="B806" t="s">
        <v>1957</v>
      </c>
      <c r="C806">
        <v>2.89</v>
      </c>
      <c r="D806" t="s">
        <v>1869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1957</v>
      </c>
      <c r="O806" s="198" t="s">
        <v>1870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1958</v>
      </c>
      <c r="B807" t="s">
        <v>1959</v>
      </c>
      <c r="C807">
        <v>15.46</v>
      </c>
      <c r="D807" t="s">
        <v>1869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1960</v>
      </c>
      <c r="O807" s="198" t="s">
        <v>1870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1961</v>
      </c>
      <c r="B808" t="s">
        <v>1962</v>
      </c>
      <c r="C808">
        <v>35.36</v>
      </c>
      <c r="D808" t="s">
        <v>1869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1963</v>
      </c>
      <c r="O808" s="198" t="s">
        <v>1870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1964</v>
      </c>
      <c r="B809" t="s">
        <v>1965</v>
      </c>
      <c r="C809">
        <v>35.36</v>
      </c>
      <c r="D809" t="s">
        <v>1869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1966</v>
      </c>
      <c r="O809" s="198" t="s">
        <v>1870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1967</v>
      </c>
      <c r="B810" t="s">
        <v>1968</v>
      </c>
      <c r="C810">
        <v>38.200000000000003</v>
      </c>
      <c r="D810" t="s">
        <v>1869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1969</v>
      </c>
      <c r="O810" s="198" t="s">
        <v>1870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1970</v>
      </c>
      <c r="B811" t="s">
        <v>1971</v>
      </c>
      <c r="C811">
        <v>0</v>
      </c>
      <c r="D811" t="s">
        <v>1869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1972</v>
      </c>
      <c r="O811" s="198" t="s">
        <v>1870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1973</v>
      </c>
      <c r="B812" t="s">
        <v>1974</v>
      </c>
      <c r="C812">
        <v>87.63</v>
      </c>
      <c r="D812" t="s">
        <v>1975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1976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1977</v>
      </c>
      <c r="B813" t="s">
        <v>1978</v>
      </c>
      <c r="C813">
        <v>103.47</v>
      </c>
      <c r="D813" t="s">
        <v>1975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1976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1979</v>
      </c>
      <c r="B814" t="s">
        <v>1980</v>
      </c>
      <c r="C814">
        <v>56.76</v>
      </c>
      <c r="D814" t="s">
        <v>1975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1976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1981</v>
      </c>
      <c r="B815" t="s">
        <v>1982</v>
      </c>
      <c r="C815">
        <v>69.39</v>
      </c>
      <c r="D815" t="s">
        <v>1975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1983</v>
      </c>
      <c r="O815" s="198" t="s">
        <v>1976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1984</v>
      </c>
      <c r="B816" t="s">
        <v>1985</v>
      </c>
      <c r="C816">
        <v>69.39</v>
      </c>
      <c r="D816" t="s">
        <v>1975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1986</v>
      </c>
      <c r="O816" s="198" t="s">
        <v>1976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1987</v>
      </c>
      <c r="B817" t="s">
        <v>1988</v>
      </c>
      <c r="C817">
        <v>79.180000000000007</v>
      </c>
      <c r="D817" t="s">
        <v>1975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1989</v>
      </c>
      <c r="O817" s="198" t="s">
        <v>1976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1990</v>
      </c>
      <c r="B818" t="s">
        <v>1991</v>
      </c>
      <c r="C818">
        <v>66.61</v>
      </c>
      <c r="D818" t="s">
        <v>1975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1992</v>
      </c>
      <c r="O818" s="198" t="s">
        <v>1976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1993</v>
      </c>
      <c r="B819" t="s">
        <v>1994</v>
      </c>
      <c r="C819">
        <v>152.54</v>
      </c>
      <c r="D819" t="s">
        <v>1975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1995</v>
      </c>
      <c r="O819" s="198" t="s">
        <v>1976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1996</v>
      </c>
      <c r="B820" t="s">
        <v>1997</v>
      </c>
      <c r="C820">
        <v>160.44</v>
      </c>
      <c r="D820" t="s">
        <v>1975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1998</v>
      </c>
      <c r="O820" s="198" t="s">
        <v>1976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1999</v>
      </c>
      <c r="B821" t="s">
        <v>2000</v>
      </c>
      <c r="C821">
        <v>18.62</v>
      </c>
      <c r="D821" t="s">
        <v>1975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2001</v>
      </c>
      <c r="O821" s="198" t="s">
        <v>1976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2002</v>
      </c>
      <c r="B822" t="s">
        <v>2003</v>
      </c>
      <c r="C822">
        <v>8.61</v>
      </c>
      <c r="D822" t="s">
        <v>3972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2003</v>
      </c>
      <c r="O822" s="198" t="s">
        <v>2005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2006</v>
      </c>
      <c r="B823" t="s">
        <v>2007</v>
      </c>
      <c r="C823">
        <v>3.8000000000000003</v>
      </c>
      <c r="D823" t="s">
        <v>3972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2007</v>
      </c>
      <c r="O823" s="198" t="s">
        <v>2005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2008</v>
      </c>
      <c r="B824" t="s">
        <v>2009</v>
      </c>
      <c r="C824">
        <v>4.4400000000000004</v>
      </c>
      <c r="D824" t="s">
        <v>3972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2009</v>
      </c>
      <c r="O824" s="198" t="s">
        <v>2005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2010</v>
      </c>
      <c r="B825" t="s">
        <v>2011</v>
      </c>
      <c r="C825">
        <v>4.4400000000000004</v>
      </c>
      <c r="D825" t="s">
        <v>3972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2011</v>
      </c>
      <c r="O825" s="198" t="s">
        <v>2005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2012</v>
      </c>
      <c r="B826" t="s">
        <v>2013</v>
      </c>
      <c r="C826">
        <v>8.61</v>
      </c>
      <c r="D826" t="s">
        <v>3972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2013</v>
      </c>
      <c r="O826" s="198" t="s">
        <v>2005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2014</v>
      </c>
      <c r="B827" t="s">
        <v>2015</v>
      </c>
      <c r="C827">
        <v>2.89</v>
      </c>
      <c r="D827" t="s">
        <v>3972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2015</v>
      </c>
      <c r="O827" s="198" t="s">
        <v>2005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2016</v>
      </c>
      <c r="B828" t="s">
        <v>2017</v>
      </c>
      <c r="C828">
        <v>5.72</v>
      </c>
      <c r="D828" t="s">
        <v>3972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2018</v>
      </c>
      <c r="O828" s="198" t="s">
        <v>2005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2019</v>
      </c>
      <c r="B829" t="s">
        <v>2020</v>
      </c>
      <c r="C829">
        <v>6.96</v>
      </c>
      <c r="D829" t="s">
        <v>3972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2021</v>
      </c>
      <c r="O829" s="198" t="s">
        <v>2005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2022</v>
      </c>
      <c r="B830" t="s">
        <v>2023</v>
      </c>
      <c r="C830">
        <v>8.61</v>
      </c>
      <c r="D830" t="s">
        <v>3972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2024</v>
      </c>
      <c r="O830" s="198" t="s">
        <v>2005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2025</v>
      </c>
      <c r="B831" t="s">
        <v>2026</v>
      </c>
      <c r="C831">
        <v>14.23</v>
      </c>
      <c r="D831" t="s">
        <v>3972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2027</v>
      </c>
      <c r="O831" s="198" t="s">
        <v>2005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2028</v>
      </c>
      <c r="B832" t="s">
        <v>2029</v>
      </c>
      <c r="C832">
        <v>14.23</v>
      </c>
      <c r="D832" t="s">
        <v>3972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2030</v>
      </c>
      <c r="O832" s="198" t="s">
        <v>2005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2031</v>
      </c>
      <c r="B833" t="s">
        <v>2032</v>
      </c>
      <c r="C833">
        <v>14.23</v>
      </c>
      <c r="D833" t="s">
        <v>3972</v>
      </c>
      <c r="E833" t="str">
        <f t="shared" si="18"/>
        <v>02. Barriers, Covers and Protection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2033</v>
      </c>
      <c r="O833" s="198" t="s">
        <v>3979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2034</v>
      </c>
      <c r="B834" t="s">
        <v>2035</v>
      </c>
      <c r="C834">
        <v>30.330000000000002</v>
      </c>
      <c r="D834" t="s">
        <v>3972</v>
      </c>
      <c r="E834" t="str">
        <f t="shared" si="18"/>
        <v>02. Barriers, Covers and Protection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2035</v>
      </c>
      <c r="O834" s="198" t="s">
        <v>3979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2036</v>
      </c>
      <c r="B835" t="s">
        <v>2037</v>
      </c>
      <c r="C835">
        <v>10.75</v>
      </c>
      <c r="D835" t="s">
        <v>3972</v>
      </c>
      <c r="E835" t="str">
        <f t="shared" si="18"/>
        <v>02. Barriers, Covers and Protection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2038</v>
      </c>
      <c r="O835" s="198" t="s">
        <v>3979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2039</v>
      </c>
      <c r="B836" t="s">
        <v>2040</v>
      </c>
      <c r="C836">
        <v>2.89</v>
      </c>
      <c r="D836" t="s">
        <v>3972</v>
      </c>
      <c r="E836" t="str">
        <f t="shared" si="18"/>
        <v>02. Barriers, Covers and Protection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2040</v>
      </c>
      <c r="O836" s="198" t="s">
        <v>3979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2041</v>
      </c>
      <c r="B837" t="s">
        <v>2042</v>
      </c>
      <c r="C837">
        <v>2.89</v>
      </c>
      <c r="D837" t="s">
        <v>3972</v>
      </c>
      <c r="E837" t="str">
        <f t="shared" ref="E837:E903" si="19">CONCATENATE(K837,". ",O837)</f>
        <v>02. Barriers, Covers and Protection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2042</v>
      </c>
      <c r="O837" s="198" t="s">
        <v>3979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2043</v>
      </c>
      <c r="B838" t="s">
        <v>2044</v>
      </c>
      <c r="C838">
        <v>15.46</v>
      </c>
      <c r="D838" t="s">
        <v>3972</v>
      </c>
      <c r="E838" t="str">
        <f t="shared" si="19"/>
        <v>02. Barriers, Covers and Protection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2045</v>
      </c>
      <c r="O838" s="198" t="s">
        <v>3979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2046</v>
      </c>
      <c r="B839" t="s">
        <v>2047</v>
      </c>
      <c r="C839">
        <v>15.46</v>
      </c>
      <c r="D839" t="s">
        <v>3972</v>
      </c>
      <c r="E839" t="str">
        <f t="shared" si="19"/>
        <v>02. Barriers, Covers and Protection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2048</v>
      </c>
      <c r="O839" s="198" t="s">
        <v>3979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3977</v>
      </c>
      <c r="B840" t="s">
        <v>3978</v>
      </c>
      <c r="C840">
        <v>42.85</v>
      </c>
      <c r="D840" t="s">
        <v>3972</v>
      </c>
      <c r="E840" t="str">
        <f t="shared" si="19"/>
        <v>02. Barriers, Covers and Protection</v>
      </c>
      <c r="F840">
        <v>75</v>
      </c>
      <c r="H840" t="b">
        <v>1</v>
      </c>
      <c r="I840">
        <v>925</v>
      </c>
      <c r="K840" s="192" t="s">
        <v>54</v>
      </c>
      <c r="O840" s="198" t="s">
        <v>3979</v>
      </c>
    </row>
    <row r="841" spans="1:17" x14ac:dyDescent="0.25">
      <c r="A841" t="s">
        <v>3973</v>
      </c>
      <c r="B841" t="s">
        <v>3975</v>
      </c>
      <c r="C841">
        <v>3</v>
      </c>
      <c r="D841" t="s">
        <v>3972</v>
      </c>
      <c r="E841" t="str">
        <f t="shared" si="19"/>
        <v>02. Barriers, Covers and Protection</v>
      </c>
      <c r="F841">
        <v>75</v>
      </c>
      <c r="H841" t="b">
        <v>1</v>
      </c>
      <c r="I841">
        <v>926</v>
      </c>
      <c r="K841" s="192" t="s">
        <v>54</v>
      </c>
      <c r="O841" s="198" t="s">
        <v>3979</v>
      </c>
    </row>
    <row r="842" spans="1:17" x14ac:dyDescent="0.25">
      <c r="A842" t="s">
        <v>3974</v>
      </c>
      <c r="B842" t="s">
        <v>3976</v>
      </c>
      <c r="C842">
        <v>4</v>
      </c>
      <c r="D842" t="s">
        <v>3972</v>
      </c>
      <c r="E842" t="str">
        <f t="shared" si="19"/>
        <v>02. Barriers, Covers and Protection</v>
      </c>
      <c r="F842">
        <v>75</v>
      </c>
      <c r="H842" t="b">
        <v>1</v>
      </c>
      <c r="I842">
        <v>927</v>
      </c>
      <c r="K842" s="192" t="s">
        <v>54</v>
      </c>
      <c r="O842" s="198" t="s">
        <v>3979</v>
      </c>
    </row>
    <row r="843" spans="1:17" x14ac:dyDescent="0.25">
      <c r="A843" t="s">
        <v>2049</v>
      </c>
      <c r="B843" t="s">
        <v>2050</v>
      </c>
      <c r="C843">
        <v>12.950000000000001</v>
      </c>
      <c r="D843" t="s">
        <v>3972</v>
      </c>
      <c r="E843" t="str">
        <f t="shared" si="19"/>
        <v>03. General Tools</v>
      </c>
      <c r="F843">
        <v>75</v>
      </c>
      <c r="H843" t="b">
        <v>1</v>
      </c>
      <c r="I843">
        <v>936</v>
      </c>
      <c r="K843" s="192" t="s">
        <v>85</v>
      </c>
      <c r="L843" s="188" t="str">
        <f>IFERROR(_xlfn.XLOOKUP(A843,[1]Fleet!A:A,[1]Fleet!E:E,""),"")</f>
        <v/>
      </c>
      <c r="M843" s="188">
        <v>12.100000000000001</v>
      </c>
      <c r="N843" s="188" t="s">
        <v>2051</v>
      </c>
      <c r="O843" s="198" t="s">
        <v>2052</v>
      </c>
      <c r="P843">
        <v>812</v>
      </c>
      <c r="Q843">
        <f>_xlfn.XLOOKUP(A843,'[1]Classic Net to delete'!D:D,'[1]Classic Net to delete'!AA:AA,0)</f>
        <v>936</v>
      </c>
    </row>
    <row r="844" spans="1:17" x14ac:dyDescent="0.25">
      <c r="A844" t="s">
        <v>2053</v>
      </c>
      <c r="B844" t="s">
        <v>2054</v>
      </c>
      <c r="C844">
        <v>10.75</v>
      </c>
      <c r="D844" t="s">
        <v>3972</v>
      </c>
      <c r="E844" t="str">
        <f t="shared" si="19"/>
        <v>03. General Tools</v>
      </c>
      <c r="F844">
        <v>75</v>
      </c>
      <c r="H844" t="b">
        <v>1</v>
      </c>
      <c r="I844">
        <v>937</v>
      </c>
      <c r="K844" s="192" t="s">
        <v>85</v>
      </c>
      <c r="L844" s="188" t="str">
        <f>IFERROR(_xlfn.XLOOKUP(A844,[1]Fleet!A:A,[1]Fleet!E:E,""),"")</f>
        <v/>
      </c>
      <c r="M844" s="188">
        <v>10.050000000000001</v>
      </c>
      <c r="N844" s="188" t="s">
        <v>2055</v>
      </c>
      <c r="O844" s="198" t="s">
        <v>2052</v>
      </c>
      <c r="P844">
        <v>813</v>
      </c>
      <c r="Q844">
        <f>_xlfn.XLOOKUP(A844,'[1]Classic Net to delete'!D:D,'[1]Classic Net to delete'!AA:AA,0)</f>
        <v>937</v>
      </c>
    </row>
    <row r="845" spans="1:17" x14ac:dyDescent="0.25">
      <c r="A845" t="s">
        <v>2056</v>
      </c>
      <c r="B845" t="s">
        <v>2057</v>
      </c>
      <c r="C845">
        <v>22.1</v>
      </c>
      <c r="D845" t="s">
        <v>3972</v>
      </c>
      <c r="E845" t="str">
        <f t="shared" si="19"/>
        <v>03. General Tools</v>
      </c>
      <c r="F845">
        <v>75</v>
      </c>
      <c r="H845" t="b">
        <v>1</v>
      </c>
      <c r="I845">
        <v>940</v>
      </c>
      <c r="K845" s="192" t="s">
        <v>85</v>
      </c>
      <c r="L845" s="188" t="str">
        <f>IFERROR(_xlfn.XLOOKUP(A845,[1]Fleet!A:A,[1]Fleet!E:E,""),"")</f>
        <v/>
      </c>
      <c r="M845" s="188">
        <v>20.650000000000002</v>
      </c>
      <c r="N845" s="188" t="s">
        <v>2057</v>
      </c>
      <c r="O845" s="198" t="s">
        <v>2052</v>
      </c>
      <c r="P845">
        <v>811</v>
      </c>
      <c r="Q845">
        <f>_xlfn.XLOOKUP(A845,'[1]Classic Net to delete'!D:D,'[1]Classic Net to delete'!AA:AA,0)</f>
        <v>940</v>
      </c>
    </row>
    <row r="846" spans="1:17" x14ac:dyDescent="0.25">
      <c r="A846" t="s">
        <v>2058</v>
      </c>
      <c r="B846" t="s">
        <v>2059</v>
      </c>
      <c r="C846">
        <v>72.92</v>
      </c>
      <c r="D846" t="s">
        <v>2060</v>
      </c>
      <c r="E846" t="str">
        <f t="shared" si="19"/>
        <v>. Fire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16</v>
      </c>
      <c r="M846" s="188" t="s">
        <v>22</v>
      </c>
      <c r="N846" s="188" t="s">
        <v>22</v>
      </c>
      <c r="O846" s="198" t="s">
        <v>2061</v>
      </c>
      <c r="P846">
        <v>840</v>
      </c>
      <c r="Q846">
        <f>_xlfn.XLOOKUP(A846,'[1]Classic Net to delete'!D:D,'[1]Classic Net to delete'!AA:AA,0)</f>
        <v>0</v>
      </c>
    </row>
    <row r="847" spans="1:17" x14ac:dyDescent="0.25">
      <c r="A847" t="s">
        <v>2062</v>
      </c>
      <c r="B847" t="s">
        <v>2063</v>
      </c>
      <c r="C847">
        <v>22.580000000000002</v>
      </c>
      <c r="D847" t="s">
        <v>2060</v>
      </c>
      <c r="E847" t="str">
        <f t="shared" si="19"/>
        <v>. Fire</v>
      </c>
      <c r="F847">
        <v>75</v>
      </c>
      <c r="H847" t="b">
        <v>0</v>
      </c>
      <c r="I847">
        <v>0</v>
      </c>
      <c r="L847" s="188">
        <f>IFERROR(_xlfn.XLOOKUP(A847,[1]Fleet!A:A,[1]Fleet!E:E,""),"")</f>
        <v>2</v>
      </c>
      <c r="M847" s="188" t="s">
        <v>22</v>
      </c>
      <c r="N847" s="188" t="s">
        <v>22</v>
      </c>
      <c r="O847" s="198" t="s">
        <v>2061</v>
      </c>
      <c r="P847">
        <v>839</v>
      </c>
      <c r="Q847">
        <f>_xlfn.XLOOKUP(A847,'[1]Classic Net to delete'!D:D,'[1]Classic Net to delete'!AA:AA,0)</f>
        <v>0</v>
      </c>
    </row>
    <row r="848" spans="1:17" x14ac:dyDescent="0.25">
      <c r="A848" t="s">
        <v>2064</v>
      </c>
      <c r="B848" t="s">
        <v>2065</v>
      </c>
      <c r="C848">
        <v>45.15</v>
      </c>
      <c r="D848" t="s">
        <v>2060</v>
      </c>
      <c r="E848" t="str">
        <f t="shared" si="19"/>
        <v>. Site Storage</v>
      </c>
      <c r="F848">
        <v>75</v>
      </c>
      <c r="H848" t="b">
        <v>0</v>
      </c>
      <c r="I848">
        <v>0</v>
      </c>
      <c r="L848" s="188">
        <f>IFERROR(_xlfn.XLOOKUP(A848,[1]Fleet!A:A,[1]Fleet!E:E,""),"")</f>
        <v>6</v>
      </c>
      <c r="M848" s="188" t="s">
        <v>22</v>
      </c>
      <c r="N848" s="188" t="s">
        <v>22</v>
      </c>
      <c r="O848" s="198" t="s">
        <v>2066</v>
      </c>
      <c r="P848">
        <v>861</v>
      </c>
      <c r="Q848">
        <f>_xlfn.XLOOKUP(A848,'[1]Classic Net to delete'!D:D,'[1]Classic Net to delete'!AA:AA,0)</f>
        <v>0</v>
      </c>
    </row>
    <row r="849" spans="1:17" x14ac:dyDescent="0.25">
      <c r="A849" t="s">
        <v>2067</v>
      </c>
      <c r="B849" t="s">
        <v>2068</v>
      </c>
      <c r="C849">
        <v>83.62</v>
      </c>
      <c r="D849" t="s">
        <v>2060</v>
      </c>
      <c r="E849" t="str">
        <f t="shared" si="19"/>
        <v>. Site Storage</v>
      </c>
      <c r="F849">
        <v>75</v>
      </c>
      <c r="H849" t="b">
        <v>0</v>
      </c>
      <c r="I849">
        <v>0</v>
      </c>
      <c r="L849" s="188">
        <f>IFERROR(_xlfn.XLOOKUP(A849,[1]Fleet!A:A,[1]Fleet!E:E,""),"")</f>
        <v>18</v>
      </c>
      <c r="M849" s="188" t="s">
        <v>22</v>
      </c>
      <c r="N849" s="188" t="s">
        <v>22</v>
      </c>
      <c r="O849" s="198" t="s">
        <v>2066</v>
      </c>
      <c r="P849">
        <v>860</v>
      </c>
      <c r="Q849">
        <f>_xlfn.XLOOKUP(A849,'[1]Classic Net to delete'!D:D,'[1]Classic Net to delete'!AA:AA,0)</f>
        <v>0</v>
      </c>
    </row>
    <row r="850" spans="1:17" x14ac:dyDescent="0.25">
      <c r="A850" t="s">
        <v>2069</v>
      </c>
      <c r="B850" t="s">
        <v>2070</v>
      </c>
      <c r="C850">
        <v>128.4</v>
      </c>
      <c r="D850" t="s">
        <v>2060</v>
      </c>
      <c r="E850" t="str">
        <f t="shared" si="19"/>
        <v>. Site Storage</v>
      </c>
      <c r="F850">
        <v>75</v>
      </c>
      <c r="H850" t="b">
        <v>0</v>
      </c>
      <c r="I850">
        <v>0</v>
      </c>
      <c r="L850" s="188">
        <f>IFERROR(_xlfn.XLOOKUP(A850,[1]Fleet!A:A,[1]Fleet!E:E,""),"")</f>
        <v>6</v>
      </c>
      <c r="M850" s="188" t="s">
        <v>22</v>
      </c>
      <c r="N850" s="188" t="s">
        <v>22</v>
      </c>
      <c r="O850" s="198" t="s">
        <v>2066</v>
      </c>
      <c r="P850">
        <v>862</v>
      </c>
      <c r="Q850">
        <f>_xlfn.XLOOKUP(A850,'[1]Classic Net to delete'!D:D,'[1]Classic Net to delete'!AA:AA,0)</f>
        <v>0</v>
      </c>
    </row>
    <row r="851" spans="1:17" x14ac:dyDescent="0.25">
      <c r="A851" t="s">
        <v>2071</v>
      </c>
      <c r="B851" t="s">
        <v>2072</v>
      </c>
      <c r="C851">
        <v>11.34</v>
      </c>
      <c r="D851" t="s">
        <v>2060</v>
      </c>
      <c r="E851" t="str">
        <f t="shared" si="19"/>
        <v xml:space="preserve">. Specialty </v>
      </c>
      <c r="F851">
        <v>75</v>
      </c>
      <c r="H851" t="b">
        <v>0</v>
      </c>
      <c r="I851">
        <v>0</v>
      </c>
      <c r="L851" s="188">
        <f>IFERROR(_xlfn.XLOOKUP(A851,[1]Fleet!A:A,[1]Fleet!E:E,""),"")</f>
        <v>3</v>
      </c>
      <c r="M851" s="188" t="s">
        <v>22</v>
      </c>
      <c r="N851" s="188" t="s">
        <v>22</v>
      </c>
      <c r="O851" s="198" t="s">
        <v>535</v>
      </c>
      <c r="P851">
        <v>868</v>
      </c>
      <c r="Q851">
        <f>_xlfn.XLOOKUP(A851,'[1]Classic Net to delete'!D:D,'[1]Classic Net to delete'!AA:AA,0)</f>
        <v>0</v>
      </c>
    </row>
    <row r="852" spans="1:17" x14ac:dyDescent="0.25">
      <c r="A852" t="s">
        <v>2073</v>
      </c>
      <c r="B852" t="s">
        <v>2074</v>
      </c>
      <c r="C852">
        <v>5.99</v>
      </c>
      <c r="D852" t="s">
        <v>2060</v>
      </c>
      <c r="E852" t="str">
        <f t="shared" si="19"/>
        <v>01. Support Safety</v>
      </c>
      <c r="F852">
        <v>75</v>
      </c>
      <c r="H852" t="b">
        <v>1</v>
      </c>
      <c r="I852">
        <v>946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2075</v>
      </c>
      <c r="O852" s="198" t="s">
        <v>2076</v>
      </c>
      <c r="P852">
        <v>881</v>
      </c>
      <c r="Q852">
        <f>_xlfn.XLOOKUP(A852,'[1]Classic Net to delete'!D:D,'[1]Classic Net to delete'!AA:AA,0)</f>
        <v>946</v>
      </c>
    </row>
    <row r="853" spans="1:17" x14ac:dyDescent="0.25">
      <c r="A853" t="s">
        <v>2077</v>
      </c>
      <c r="B853" t="s">
        <v>2078</v>
      </c>
      <c r="C853">
        <v>5.99</v>
      </c>
      <c r="D853" t="s">
        <v>2060</v>
      </c>
      <c r="E853" t="str">
        <f t="shared" si="19"/>
        <v>01. Support Safety</v>
      </c>
      <c r="F853">
        <v>75</v>
      </c>
      <c r="H853" t="b">
        <v>1</v>
      </c>
      <c r="I853">
        <v>947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2079</v>
      </c>
      <c r="O853" s="198" t="s">
        <v>2076</v>
      </c>
      <c r="P853">
        <v>880</v>
      </c>
      <c r="Q853">
        <f>_xlfn.XLOOKUP(A853,'[1]Classic Net to delete'!D:D,'[1]Classic Net to delete'!AA:AA,0)</f>
        <v>947</v>
      </c>
    </row>
    <row r="854" spans="1:17" x14ac:dyDescent="0.25">
      <c r="A854" t="s">
        <v>2080</v>
      </c>
      <c r="B854" t="s">
        <v>2081</v>
      </c>
      <c r="C854">
        <v>5.99</v>
      </c>
      <c r="D854" t="s">
        <v>2060</v>
      </c>
      <c r="E854" t="str">
        <f t="shared" si="19"/>
        <v>01. Support Safety</v>
      </c>
      <c r="F854">
        <v>75</v>
      </c>
      <c r="H854" t="b">
        <v>1</v>
      </c>
      <c r="I854">
        <v>948</v>
      </c>
      <c r="K854" s="192" t="s">
        <v>21</v>
      </c>
      <c r="L854" s="188" t="str">
        <f>IFERROR(_xlfn.XLOOKUP(A854,[1]Fleet!A:A,[1]Fleet!E:E,""),"")</f>
        <v/>
      </c>
      <c r="M854" s="188">
        <v>5.6000000000000005</v>
      </c>
      <c r="N854" s="188" t="s">
        <v>2082</v>
      </c>
      <c r="O854" s="198" t="s">
        <v>2076</v>
      </c>
      <c r="P854">
        <v>879</v>
      </c>
      <c r="Q854">
        <f>_xlfn.XLOOKUP(A854,'[1]Classic Net to delete'!D:D,'[1]Classic Net to delete'!AA:AA,0)</f>
        <v>948</v>
      </c>
    </row>
    <row r="855" spans="1:17" x14ac:dyDescent="0.25">
      <c r="A855" t="s">
        <v>2083</v>
      </c>
      <c r="B855" t="s">
        <v>2084</v>
      </c>
      <c r="C855">
        <v>5.99</v>
      </c>
      <c r="D855" t="s">
        <v>2060</v>
      </c>
      <c r="E855" t="str">
        <f t="shared" si="19"/>
        <v>01. Support Safety</v>
      </c>
      <c r="F855">
        <v>75</v>
      </c>
      <c r="H855" t="b">
        <v>1</v>
      </c>
      <c r="I855">
        <v>949</v>
      </c>
      <c r="K855" s="192" t="s">
        <v>21</v>
      </c>
      <c r="L855" s="188" t="str">
        <f>IFERROR(_xlfn.XLOOKUP(A855,[1]Fleet!A:A,[1]Fleet!E:E,""),"")</f>
        <v/>
      </c>
      <c r="M855" s="188">
        <v>5.6000000000000005</v>
      </c>
      <c r="N855" s="188" t="s">
        <v>2085</v>
      </c>
      <c r="O855" s="198" t="s">
        <v>2076</v>
      </c>
      <c r="P855">
        <v>878</v>
      </c>
      <c r="Q855">
        <f>_xlfn.XLOOKUP(A855,'[1]Classic Net to delete'!D:D,'[1]Classic Net to delete'!AA:AA,0)</f>
        <v>949</v>
      </c>
    </row>
    <row r="856" spans="1:17" x14ac:dyDescent="0.25">
      <c r="A856" t="s">
        <v>2086</v>
      </c>
      <c r="B856" t="s">
        <v>2087</v>
      </c>
      <c r="C856">
        <v>5.99</v>
      </c>
      <c r="D856" t="s">
        <v>2060</v>
      </c>
      <c r="E856" t="str">
        <f t="shared" si="19"/>
        <v>01. Support Safety</v>
      </c>
      <c r="F856">
        <v>75</v>
      </c>
      <c r="H856" t="b">
        <v>1</v>
      </c>
      <c r="I856">
        <v>950</v>
      </c>
      <c r="K856" s="192" t="s">
        <v>21</v>
      </c>
      <c r="L856" s="188" t="str">
        <f>IFERROR(_xlfn.XLOOKUP(A856,[1]Fleet!A:A,[1]Fleet!E:E,""),"")</f>
        <v/>
      </c>
      <c r="M856" s="188">
        <v>5.6000000000000005</v>
      </c>
      <c r="N856" s="188" t="s">
        <v>2088</v>
      </c>
      <c r="O856" s="198" t="s">
        <v>2076</v>
      </c>
      <c r="P856">
        <v>877</v>
      </c>
      <c r="Q856">
        <f>_xlfn.XLOOKUP(A856,'[1]Classic Net to delete'!D:D,'[1]Classic Net to delete'!AA:AA,0)</f>
        <v>950</v>
      </c>
    </row>
    <row r="857" spans="1:17" x14ac:dyDescent="0.25">
      <c r="A857" t="s">
        <v>2089</v>
      </c>
      <c r="B857" t="s">
        <v>2090</v>
      </c>
      <c r="C857">
        <v>6.96</v>
      </c>
      <c r="D857" t="s">
        <v>2060</v>
      </c>
      <c r="E857" t="str">
        <f t="shared" si="19"/>
        <v>01. Support Safety</v>
      </c>
      <c r="F857">
        <v>75</v>
      </c>
      <c r="H857" t="b">
        <v>1</v>
      </c>
      <c r="I857">
        <v>951</v>
      </c>
      <c r="K857" s="192" t="s">
        <v>21</v>
      </c>
      <c r="L857" s="188" t="str">
        <f>IFERROR(_xlfn.XLOOKUP(A857,[1]Fleet!A:A,[1]Fleet!E:E,""),"")</f>
        <v/>
      </c>
      <c r="M857" s="188">
        <v>6.5</v>
      </c>
      <c r="N857" s="188" t="s">
        <v>2091</v>
      </c>
      <c r="O857" s="198" t="s">
        <v>2076</v>
      </c>
      <c r="P857">
        <v>876</v>
      </c>
      <c r="Q857">
        <f>_xlfn.XLOOKUP(A857,'[1]Classic Net to delete'!D:D,'[1]Classic Net to delete'!AA:AA,0)</f>
        <v>951</v>
      </c>
    </row>
    <row r="858" spans="1:17" x14ac:dyDescent="0.25">
      <c r="A858" t="s">
        <v>2092</v>
      </c>
      <c r="B858" t="s">
        <v>2093</v>
      </c>
      <c r="C858">
        <v>15.46</v>
      </c>
      <c r="D858" t="s">
        <v>2060</v>
      </c>
      <c r="E858" t="str">
        <f t="shared" si="19"/>
        <v>01. Support Safety</v>
      </c>
      <c r="F858">
        <v>75</v>
      </c>
      <c r="H858" t="b">
        <v>1</v>
      </c>
      <c r="I858">
        <v>952</v>
      </c>
      <c r="K858" s="192" t="s">
        <v>21</v>
      </c>
      <c r="L858" s="188" t="str">
        <f>IFERROR(_xlfn.XLOOKUP(A858,[1]Fleet!A:A,[1]Fleet!E:E,""),"")</f>
        <v/>
      </c>
      <c r="M858" s="188">
        <v>14.450000000000001</v>
      </c>
      <c r="N858" s="188" t="s">
        <v>2094</v>
      </c>
      <c r="O858" s="198" t="s">
        <v>2076</v>
      </c>
      <c r="P858">
        <v>875</v>
      </c>
      <c r="Q858">
        <f>_xlfn.XLOOKUP(A858,'[1]Classic Net to delete'!D:D,'[1]Classic Net to delete'!AA:AA,0)</f>
        <v>952</v>
      </c>
    </row>
    <row r="859" spans="1:17" x14ac:dyDescent="0.25">
      <c r="A859" t="s">
        <v>2095</v>
      </c>
      <c r="B859" t="s">
        <v>2096</v>
      </c>
      <c r="C859">
        <v>20.38</v>
      </c>
      <c r="D859" t="s">
        <v>2060</v>
      </c>
      <c r="E859" t="str">
        <f t="shared" si="19"/>
        <v>01. Support Safety</v>
      </c>
      <c r="F859">
        <v>75</v>
      </c>
      <c r="H859" t="b">
        <v>1</v>
      </c>
      <c r="I859">
        <v>953</v>
      </c>
      <c r="K859" s="192" t="s">
        <v>21</v>
      </c>
      <c r="L859" s="188" t="str">
        <f>IFERROR(_xlfn.XLOOKUP(A859,[1]Fleet!A:A,[1]Fleet!E:E,""),"")</f>
        <v/>
      </c>
      <c r="M859" s="188">
        <v>19.05</v>
      </c>
      <c r="N859" s="188" t="s">
        <v>2097</v>
      </c>
      <c r="O859" s="198" t="s">
        <v>2076</v>
      </c>
      <c r="P859">
        <v>870</v>
      </c>
      <c r="Q859">
        <f>_xlfn.XLOOKUP(A859,'[1]Classic Net to delete'!D:D,'[1]Classic Net to delete'!AA:AA,0)</f>
        <v>953</v>
      </c>
    </row>
    <row r="860" spans="1:17" x14ac:dyDescent="0.25">
      <c r="A860" t="s">
        <v>2098</v>
      </c>
      <c r="B860" t="s">
        <v>2099</v>
      </c>
      <c r="C860">
        <v>38.57</v>
      </c>
      <c r="D860" t="s">
        <v>2060</v>
      </c>
      <c r="E860" t="str">
        <f t="shared" si="19"/>
        <v>01. Support Safety</v>
      </c>
      <c r="F860">
        <v>75</v>
      </c>
      <c r="H860" t="b">
        <v>1</v>
      </c>
      <c r="I860">
        <v>954</v>
      </c>
      <c r="K860" s="192" t="s">
        <v>21</v>
      </c>
      <c r="L860" s="188" t="str">
        <f>IFERROR(_xlfn.XLOOKUP(A860,[1]Fleet!A:A,[1]Fleet!E:E,""),"")</f>
        <v/>
      </c>
      <c r="M860" s="188">
        <v>36.050000000000004</v>
      </c>
      <c r="N860" s="188" t="s">
        <v>2099</v>
      </c>
      <c r="O860" s="198" t="s">
        <v>2076</v>
      </c>
      <c r="P860">
        <v>869</v>
      </c>
      <c r="Q860">
        <f>_xlfn.XLOOKUP(A860,'[1]Classic Net to delete'!D:D,'[1]Classic Net to delete'!AA:AA,0)</f>
        <v>954</v>
      </c>
    </row>
    <row r="861" spans="1:17" x14ac:dyDescent="0.25">
      <c r="A861" t="s">
        <v>2100</v>
      </c>
      <c r="B861" t="s">
        <v>2101</v>
      </c>
      <c r="C861">
        <v>5.08</v>
      </c>
      <c r="D861" t="s">
        <v>2060</v>
      </c>
      <c r="E861" t="str">
        <f t="shared" si="19"/>
        <v>01. Support Safety</v>
      </c>
      <c r="F861">
        <v>75</v>
      </c>
      <c r="H861" t="b">
        <v>1</v>
      </c>
      <c r="I861">
        <v>955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2102</v>
      </c>
      <c r="O861" s="198" t="s">
        <v>2076</v>
      </c>
      <c r="P861">
        <v>874</v>
      </c>
      <c r="Q861">
        <f>_xlfn.XLOOKUP(A861,'[1]Classic Net to delete'!D:D,'[1]Classic Net to delete'!AA:AA,0)</f>
        <v>955</v>
      </c>
    </row>
    <row r="862" spans="1:17" x14ac:dyDescent="0.25">
      <c r="A862" t="s">
        <v>2103</v>
      </c>
      <c r="B862" t="s">
        <v>2104</v>
      </c>
      <c r="C862">
        <v>5.08</v>
      </c>
      <c r="D862" t="s">
        <v>2060</v>
      </c>
      <c r="E862" t="str">
        <f t="shared" si="19"/>
        <v>01. Support Safety</v>
      </c>
      <c r="F862">
        <v>75</v>
      </c>
      <c r="H862" t="b">
        <v>1</v>
      </c>
      <c r="I862">
        <v>956</v>
      </c>
      <c r="K862" s="192" t="s">
        <v>21</v>
      </c>
      <c r="L862" s="188" t="str">
        <f>IFERROR(_xlfn.XLOOKUP(A862,[1]Fleet!A:A,[1]Fleet!E:E,""),"")</f>
        <v/>
      </c>
      <c r="M862" s="188">
        <v>4.75</v>
      </c>
      <c r="N862" s="188" t="s">
        <v>2105</v>
      </c>
      <c r="O862" s="198" t="s">
        <v>2076</v>
      </c>
      <c r="P862">
        <v>873</v>
      </c>
      <c r="Q862">
        <f>_xlfn.XLOOKUP(A862,'[1]Classic Net to delete'!D:D,'[1]Classic Net to delete'!AA:AA,0)</f>
        <v>956</v>
      </c>
    </row>
    <row r="863" spans="1:17" x14ac:dyDescent="0.25">
      <c r="A863" t="s">
        <v>2106</v>
      </c>
      <c r="B863" t="s">
        <v>2107</v>
      </c>
      <c r="C863">
        <v>5.08</v>
      </c>
      <c r="D863" t="s">
        <v>2060</v>
      </c>
      <c r="E863" t="str">
        <f t="shared" si="19"/>
        <v>01. Support Safety</v>
      </c>
      <c r="F863">
        <v>75</v>
      </c>
      <c r="H863" t="b">
        <v>1</v>
      </c>
      <c r="I863">
        <v>957</v>
      </c>
      <c r="K863" s="192" t="s">
        <v>21</v>
      </c>
      <c r="L863" s="188" t="str">
        <f>IFERROR(_xlfn.XLOOKUP(A863,[1]Fleet!A:A,[1]Fleet!E:E,""),"")</f>
        <v/>
      </c>
      <c r="M863" s="188">
        <v>4.75</v>
      </c>
      <c r="N863" s="188" t="s">
        <v>2108</v>
      </c>
      <c r="O863" s="198" t="s">
        <v>2076</v>
      </c>
      <c r="P863">
        <v>872</v>
      </c>
      <c r="Q863">
        <f>_xlfn.XLOOKUP(A863,'[1]Classic Net to delete'!D:D,'[1]Classic Net to delete'!AA:AA,0)</f>
        <v>957</v>
      </c>
    </row>
    <row r="864" spans="1:17" x14ac:dyDescent="0.25">
      <c r="A864" t="s">
        <v>2109</v>
      </c>
      <c r="B864" t="s">
        <v>2110</v>
      </c>
      <c r="C864">
        <v>5.08</v>
      </c>
      <c r="D864" t="s">
        <v>2060</v>
      </c>
      <c r="E864" t="str">
        <f t="shared" si="19"/>
        <v>01. Support Safety</v>
      </c>
      <c r="F864">
        <v>75</v>
      </c>
      <c r="H864" t="b">
        <v>1</v>
      </c>
      <c r="I864">
        <v>958</v>
      </c>
      <c r="K864" s="192" t="s">
        <v>21</v>
      </c>
      <c r="L864" s="188" t="str">
        <f>IFERROR(_xlfn.XLOOKUP(A864,[1]Fleet!A:A,[1]Fleet!E:E,""),"")</f>
        <v/>
      </c>
      <c r="M864" s="188">
        <v>4.75</v>
      </c>
      <c r="N864" s="188" t="s">
        <v>2111</v>
      </c>
      <c r="O864" s="198" t="s">
        <v>2076</v>
      </c>
      <c r="P864">
        <v>871</v>
      </c>
      <c r="Q864">
        <f>_xlfn.XLOOKUP(A864,'[1]Classic Net to delete'!D:D,'[1]Classic Net to delete'!AA:AA,0)</f>
        <v>958</v>
      </c>
    </row>
    <row r="865" spans="1:17" x14ac:dyDescent="0.25">
      <c r="A865" t="s">
        <v>2112</v>
      </c>
      <c r="B865" t="s">
        <v>2113</v>
      </c>
      <c r="C865">
        <v>54.57</v>
      </c>
      <c r="D865" t="s">
        <v>2060</v>
      </c>
      <c r="E865" t="str">
        <f t="shared" si="19"/>
        <v>02. Working at Height</v>
      </c>
      <c r="F865">
        <v>75</v>
      </c>
      <c r="H865" t="b">
        <v>1</v>
      </c>
      <c r="I865">
        <v>961</v>
      </c>
      <c r="K865" s="192" t="s">
        <v>54</v>
      </c>
      <c r="L865" s="188">
        <f>IFERROR(_xlfn.XLOOKUP(A865,[1]Fleet!A:A,[1]Fleet!E:E,""),"")</f>
        <v>43</v>
      </c>
      <c r="M865" s="188">
        <v>51</v>
      </c>
      <c r="N865" s="188" t="s">
        <v>2114</v>
      </c>
      <c r="O865" s="198" t="s">
        <v>2115</v>
      </c>
      <c r="P865">
        <v>882</v>
      </c>
      <c r="Q865">
        <f>_xlfn.XLOOKUP(A865,'[1]Classic Net to delete'!D:D,'[1]Classic Net to delete'!AA:AA,0)</f>
        <v>961</v>
      </c>
    </row>
    <row r="866" spans="1:17" x14ac:dyDescent="0.25">
      <c r="A866" t="s">
        <v>2116</v>
      </c>
      <c r="B866" t="s">
        <v>2117</v>
      </c>
      <c r="C866">
        <v>61.85</v>
      </c>
      <c r="D866" t="s">
        <v>2060</v>
      </c>
      <c r="E866" t="str">
        <f t="shared" si="19"/>
        <v>02. Working at Height</v>
      </c>
      <c r="F866">
        <v>75</v>
      </c>
      <c r="H866" t="b">
        <v>1</v>
      </c>
      <c r="I866">
        <v>963</v>
      </c>
      <c r="K866" s="192" t="s">
        <v>54</v>
      </c>
      <c r="L866" s="188">
        <f>IFERROR(_xlfn.XLOOKUP(A866,[1]Fleet!A:A,[1]Fleet!E:E,""),"")</f>
        <v>8</v>
      </c>
      <c r="M866" s="188">
        <v>57.800000000000004</v>
      </c>
      <c r="N866" s="188" t="s">
        <v>2118</v>
      </c>
      <c r="O866" s="198" t="s">
        <v>2115</v>
      </c>
      <c r="P866">
        <v>885</v>
      </c>
      <c r="Q866">
        <f>_xlfn.XLOOKUP(A866,'[1]Classic Net to delete'!D:D,'[1]Classic Net to delete'!AA:AA,0)</f>
        <v>963</v>
      </c>
    </row>
    <row r="867" spans="1:17" x14ac:dyDescent="0.25">
      <c r="A867" t="s">
        <v>2119</v>
      </c>
      <c r="B867" t="s">
        <v>2120</v>
      </c>
      <c r="C867">
        <v>67.570000000000007</v>
      </c>
      <c r="D867" t="s">
        <v>2060</v>
      </c>
      <c r="E867" t="str">
        <f t="shared" si="19"/>
        <v>02. Working at Height</v>
      </c>
      <c r="F867">
        <v>75</v>
      </c>
      <c r="H867" t="b">
        <v>1</v>
      </c>
      <c r="I867">
        <v>964</v>
      </c>
      <c r="K867" s="192" t="s">
        <v>54</v>
      </c>
      <c r="L867" s="188">
        <f>IFERROR(_xlfn.XLOOKUP(A867,[1]Fleet!A:A,[1]Fleet!E:E,""),"")</f>
        <v>5</v>
      </c>
      <c r="M867" s="188">
        <v>63.150000000000006</v>
      </c>
      <c r="N867" s="188" t="s">
        <v>2121</v>
      </c>
      <c r="O867" s="198" t="s">
        <v>2115</v>
      </c>
      <c r="P867">
        <v>883</v>
      </c>
      <c r="Q867">
        <f>_xlfn.XLOOKUP(A867,'[1]Classic Net to delete'!D:D,'[1]Classic Net to delete'!AA:AA,0)</f>
        <v>964</v>
      </c>
    </row>
    <row r="868" spans="1:17" x14ac:dyDescent="0.25">
      <c r="A868" t="s">
        <v>2122</v>
      </c>
      <c r="B868" t="s">
        <v>2123</v>
      </c>
      <c r="C868">
        <v>70.350000000000009</v>
      </c>
      <c r="D868" t="s">
        <v>2060</v>
      </c>
      <c r="E868" t="str">
        <f t="shared" si="19"/>
        <v>02. Working at Height</v>
      </c>
      <c r="F868">
        <v>75</v>
      </c>
      <c r="H868" t="b">
        <v>1</v>
      </c>
      <c r="I868">
        <v>965</v>
      </c>
      <c r="K868" s="192" t="s">
        <v>54</v>
      </c>
      <c r="L868" s="188">
        <f>IFERROR(_xlfn.XLOOKUP(A868,[1]Fleet!A:A,[1]Fleet!E:E,""),"")</f>
        <v>3</v>
      </c>
      <c r="M868" s="188">
        <v>65.75</v>
      </c>
      <c r="N868" s="188" t="s">
        <v>2124</v>
      </c>
      <c r="O868" s="198" t="s">
        <v>2115</v>
      </c>
      <c r="P868">
        <v>884</v>
      </c>
      <c r="Q868">
        <f>_xlfn.XLOOKUP(A868,'[1]Classic Net to delete'!D:D,'[1]Classic Net to delete'!AA:AA,0)</f>
        <v>965</v>
      </c>
    </row>
    <row r="869" spans="1:17" x14ac:dyDescent="0.25">
      <c r="A869" t="s">
        <v>2125</v>
      </c>
      <c r="B869" t="s">
        <v>2126</v>
      </c>
      <c r="C869">
        <v>114.86</v>
      </c>
      <c r="D869" t="s">
        <v>2060</v>
      </c>
      <c r="E869" t="str">
        <f t="shared" si="19"/>
        <v>02. Working at Height</v>
      </c>
      <c r="F869">
        <v>75</v>
      </c>
      <c r="H869" t="b">
        <v>1</v>
      </c>
      <c r="I869">
        <v>966</v>
      </c>
      <c r="K869" s="192" t="s">
        <v>54</v>
      </c>
      <c r="L869" s="188">
        <f>IFERROR(_xlfn.XLOOKUP(A869,[1]Fleet!A:A,[1]Fleet!E:E,""),"")</f>
        <v>2</v>
      </c>
      <c r="M869" s="188">
        <v>107.35000000000001</v>
      </c>
      <c r="N869" s="188" t="s">
        <v>2127</v>
      </c>
      <c r="O869" s="198" t="s">
        <v>2115</v>
      </c>
      <c r="P869">
        <v>888</v>
      </c>
      <c r="Q869">
        <f>_xlfn.XLOOKUP(A869,'[1]Classic Net to delete'!D:D,'[1]Classic Net to delete'!AA:AA,0)</f>
        <v>966</v>
      </c>
    </row>
    <row r="870" spans="1:17" x14ac:dyDescent="0.25">
      <c r="A870" t="s">
        <v>2128</v>
      </c>
      <c r="B870" t="s">
        <v>2129</v>
      </c>
      <c r="C870">
        <v>151.08000000000001</v>
      </c>
      <c r="D870" t="s">
        <v>2060</v>
      </c>
      <c r="E870" t="str">
        <f t="shared" si="19"/>
        <v>02. Working at Height</v>
      </c>
      <c r="F870">
        <v>75</v>
      </c>
      <c r="H870" t="b">
        <v>1</v>
      </c>
      <c r="I870">
        <v>967</v>
      </c>
      <c r="K870" s="192" t="s">
        <v>54</v>
      </c>
      <c r="L870" s="188">
        <f>IFERROR(_xlfn.XLOOKUP(A870,[1]Fleet!A:A,[1]Fleet!E:E,""),"")</f>
        <v>3</v>
      </c>
      <c r="M870" s="188">
        <v>141.20000000000002</v>
      </c>
      <c r="N870" s="188" t="s">
        <v>2129</v>
      </c>
      <c r="O870" s="198" t="s">
        <v>2115</v>
      </c>
      <c r="P870">
        <v>887</v>
      </c>
      <c r="Q870">
        <f>_xlfn.XLOOKUP(A870,'[1]Classic Net to delete'!D:D,'[1]Classic Net to delete'!AA:AA,0)</f>
        <v>967</v>
      </c>
    </row>
    <row r="871" spans="1:17" x14ac:dyDescent="0.25">
      <c r="A871" t="s">
        <v>2130</v>
      </c>
      <c r="B871" t="s">
        <v>2131</v>
      </c>
      <c r="C871">
        <v>186.5</v>
      </c>
      <c r="D871" t="s">
        <v>2060</v>
      </c>
      <c r="E871" t="str">
        <f t="shared" si="19"/>
        <v>02. Working at Height</v>
      </c>
      <c r="F871">
        <v>75</v>
      </c>
      <c r="H871" t="b">
        <v>1</v>
      </c>
      <c r="I871">
        <v>968</v>
      </c>
      <c r="K871" s="192" t="s">
        <v>54</v>
      </c>
      <c r="L871" s="188">
        <f>IFERROR(_xlfn.XLOOKUP(A871,[1]Fleet!A:A,[1]Fleet!E:E,""),"")</f>
        <v>10</v>
      </c>
      <c r="M871" s="188">
        <v>174.3</v>
      </c>
      <c r="N871" s="188" t="s">
        <v>2131</v>
      </c>
      <c r="O871" s="198" t="s">
        <v>2115</v>
      </c>
      <c r="P871">
        <v>886</v>
      </c>
      <c r="Q871">
        <f>_xlfn.XLOOKUP(A871,'[1]Classic Net to delete'!D:D,'[1]Classic Net to delete'!AA:AA,0)</f>
        <v>968</v>
      </c>
    </row>
    <row r="872" spans="1:17" x14ac:dyDescent="0.25">
      <c r="A872" t="s">
        <v>2132</v>
      </c>
      <c r="B872" t="s">
        <v>2133</v>
      </c>
      <c r="C872">
        <v>194.31</v>
      </c>
      <c r="D872" t="s">
        <v>2060</v>
      </c>
      <c r="E872" t="str">
        <f t="shared" si="19"/>
        <v>02. Working at Height</v>
      </c>
      <c r="F872">
        <v>75</v>
      </c>
      <c r="H872" t="b">
        <v>1</v>
      </c>
      <c r="I872">
        <v>969</v>
      </c>
      <c r="K872" s="192" t="s">
        <v>54</v>
      </c>
      <c r="L872" s="188">
        <f>IFERROR(_xlfn.XLOOKUP(A872,[1]Fleet!A:A,[1]Fleet!E:E,""),"")</f>
        <v>12</v>
      </c>
      <c r="M872" s="188">
        <v>181.60000000000002</v>
      </c>
      <c r="N872" s="188" t="s">
        <v>2134</v>
      </c>
      <c r="O872" s="198" t="s">
        <v>2115</v>
      </c>
      <c r="P872">
        <v>889</v>
      </c>
      <c r="Q872">
        <f>_xlfn.XLOOKUP(A872,'[1]Classic Net to delete'!D:D,'[1]Classic Net to delete'!AA:AA,0)</f>
        <v>969</v>
      </c>
    </row>
    <row r="873" spans="1:17" x14ac:dyDescent="0.25">
      <c r="A873" t="s">
        <v>2135</v>
      </c>
      <c r="B873" t="s">
        <v>2136</v>
      </c>
      <c r="C873">
        <v>76.13</v>
      </c>
      <c r="D873" t="s">
        <v>2060</v>
      </c>
      <c r="E873" t="str">
        <f t="shared" si="19"/>
        <v>02. Working at Height</v>
      </c>
      <c r="F873">
        <v>75</v>
      </c>
      <c r="H873" t="b">
        <v>1</v>
      </c>
      <c r="I873">
        <v>970</v>
      </c>
      <c r="K873" s="192" t="s">
        <v>54</v>
      </c>
      <c r="L873" s="188">
        <f>IFERROR(_xlfn.XLOOKUP(A873,[1]Fleet!A:A,[1]Fleet!E:E,""),"")</f>
        <v>13</v>
      </c>
      <c r="M873" s="188">
        <v>71.150000000000006</v>
      </c>
      <c r="N873" s="188" t="s">
        <v>2137</v>
      </c>
      <c r="O873" s="198" t="s">
        <v>2115</v>
      </c>
      <c r="P873">
        <v>890</v>
      </c>
      <c r="Q873">
        <f>_xlfn.XLOOKUP(A873,'[1]Classic Net to delete'!D:D,'[1]Classic Net to delete'!AA:AA,0)</f>
        <v>970</v>
      </c>
    </row>
    <row r="874" spans="1:17" x14ac:dyDescent="0.25">
      <c r="A874" t="s">
        <v>2138</v>
      </c>
      <c r="B874" t="s">
        <v>2139</v>
      </c>
      <c r="C874">
        <v>17.07</v>
      </c>
      <c r="D874" t="s">
        <v>2060</v>
      </c>
      <c r="E874" t="str">
        <f t="shared" si="19"/>
        <v>03. Fire Safety</v>
      </c>
      <c r="F874">
        <v>75</v>
      </c>
      <c r="H874" t="b">
        <v>1</v>
      </c>
      <c r="I874">
        <v>973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2139</v>
      </c>
      <c r="O874" s="198" t="s">
        <v>2140</v>
      </c>
      <c r="P874">
        <v>846</v>
      </c>
      <c r="Q874">
        <f>_xlfn.XLOOKUP(A874,'[1]Classic Net to delete'!D:D,'[1]Classic Net to delete'!AA:AA,0)</f>
        <v>973</v>
      </c>
    </row>
    <row r="875" spans="1:17" x14ac:dyDescent="0.25">
      <c r="A875" t="s">
        <v>2141</v>
      </c>
      <c r="B875" t="s">
        <v>2142</v>
      </c>
      <c r="C875">
        <v>17.07</v>
      </c>
      <c r="D875" t="s">
        <v>2060</v>
      </c>
      <c r="E875" t="str">
        <f t="shared" si="19"/>
        <v>03. Fire Safety</v>
      </c>
      <c r="F875">
        <v>75</v>
      </c>
      <c r="H875" t="b">
        <v>1</v>
      </c>
      <c r="I875">
        <v>974</v>
      </c>
      <c r="K875" s="192" t="s">
        <v>85</v>
      </c>
      <c r="L875" s="188" t="str">
        <f>IFERROR(_xlfn.XLOOKUP(A875,[1]Fleet!A:A,[1]Fleet!E:E,""),"")</f>
        <v/>
      </c>
      <c r="M875" s="188">
        <v>15.950000000000001</v>
      </c>
      <c r="N875" s="188" t="s">
        <v>2143</v>
      </c>
      <c r="O875" s="198" t="s">
        <v>2140</v>
      </c>
      <c r="P875">
        <v>845</v>
      </c>
      <c r="Q875">
        <f>_xlfn.XLOOKUP(A875,'[1]Classic Net to delete'!D:D,'[1]Classic Net to delete'!AA:AA,0)</f>
        <v>974</v>
      </c>
    </row>
    <row r="876" spans="1:17" x14ac:dyDescent="0.25">
      <c r="A876" t="s">
        <v>2144</v>
      </c>
      <c r="B876" t="s">
        <v>2145</v>
      </c>
      <c r="C876">
        <v>17.07</v>
      </c>
      <c r="D876" t="s">
        <v>2060</v>
      </c>
      <c r="E876" t="str">
        <f t="shared" si="19"/>
        <v>03. Fire Safety</v>
      </c>
      <c r="F876">
        <v>75</v>
      </c>
      <c r="H876" t="b">
        <v>1</v>
      </c>
      <c r="I876">
        <v>975</v>
      </c>
      <c r="K876" s="192" t="s">
        <v>85</v>
      </c>
      <c r="L876" s="188" t="str">
        <f>IFERROR(_xlfn.XLOOKUP(A876,[1]Fleet!A:A,[1]Fleet!E:E,""),"")</f>
        <v/>
      </c>
      <c r="M876" s="188">
        <v>15.950000000000001</v>
      </c>
      <c r="N876" s="188" t="s">
        <v>2146</v>
      </c>
      <c r="O876" s="198" t="s">
        <v>2140</v>
      </c>
      <c r="P876">
        <v>842</v>
      </c>
      <c r="Q876">
        <f>_xlfn.XLOOKUP(A876,'[1]Classic Net to delete'!D:D,'[1]Classic Net to delete'!AA:AA,0)</f>
        <v>975</v>
      </c>
    </row>
    <row r="877" spans="1:17" x14ac:dyDescent="0.25">
      <c r="A877" t="s">
        <v>2147</v>
      </c>
      <c r="B877" t="s">
        <v>2148</v>
      </c>
      <c r="C877">
        <v>17.07</v>
      </c>
      <c r="D877" t="s">
        <v>2060</v>
      </c>
      <c r="E877" t="str">
        <f t="shared" si="19"/>
        <v>03. Fire Safety</v>
      </c>
      <c r="F877">
        <v>75</v>
      </c>
      <c r="H877" t="b">
        <v>1</v>
      </c>
      <c r="I877">
        <v>976</v>
      </c>
      <c r="K877" s="192" t="s">
        <v>85</v>
      </c>
      <c r="L877" s="188" t="str">
        <f>IFERROR(_xlfn.XLOOKUP(A877,[1]Fleet!A:A,[1]Fleet!E:E,""),"")</f>
        <v/>
      </c>
      <c r="M877" s="188">
        <v>15.950000000000001</v>
      </c>
      <c r="N877" s="188" t="s">
        <v>2148</v>
      </c>
      <c r="O877" s="198" t="s">
        <v>2140</v>
      </c>
      <c r="P877">
        <v>844</v>
      </c>
      <c r="Q877">
        <f>_xlfn.XLOOKUP(A877,'[1]Classic Net to delete'!D:D,'[1]Classic Net to delete'!AA:AA,0)</f>
        <v>976</v>
      </c>
    </row>
    <row r="878" spans="1:17" x14ac:dyDescent="0.25">
      <c r="A878" t="s">
        <v>2149</v>
      </c>
      <c r="B878" t="s">
        <v>2150</v>
      </c>
      <c r="C878">
        <v>21.19</v>
      </c>
      <c r="D878" t="s">
        <v>2060</v>
      </c>
      <c r="E878" t="str">
        <f t="shared" si="19"/>
        <v>03. Fire Safety</v>
      </c>
      <c r="F878">
        <v>75</v>
      </c>
      <c r="H878" t="b">
        <v>1</v>
      </c>
      <c r="I878">
        <v>977</v>
      </c>
      <c r="K878" s="192" t="s">
        <v>85</v>
      </c>
      <c r="L878" s="188" t="str">
        <f>IFERROR(_xlfn.XLOOKUP(A878,[1]Fleet!A:A,[1]Fleet!E:E,""),"")</f>
        <v/>
      </c>
      <c r="M878" s="188">
        <v>19.8</v>
      </c>
      <c r="N878" s="188" t="s">
        <v>2150</v>
      </c>
      <c r="O878" s="198" t="s">
        <v>2140</v>
      </c>
      <c r="P878">
        <v>843</v>
      </c>
      <c r="Q878">
        <f>_xlfn.XLOOKUP(A878,'[1]Classic Net to delete'!D:D,'[1]Classic Net to delete'!AA:AA,0)</f>
        <v>977</v>
      </c>
    </row>
    <row r="879" spans="1:17" x14ac:dyDescent="0.25">
      <c r="A879" t="s">
        <v>2151</v>
      </c>
      <c r="B879" t="s">
        <v>2152</v>
      </c>
      <c r="C879">
        <v>43.28</v>
      </c>
      <c r="D879" t="s">
        <v>2060</v>
      </c>
      <c r="E879" t="str">
        <f t="shared" si="19"/>
        <v>03. Fire Safety</v>
      </c>
      <c r="F879">
        <v>75</v>
      </c>
      <c r="H879" t="b">
        <v>1</v>
      </c>
      <c r="I879">
        <v>978</v>
      </c>
      <c r="K879" s="192" t="s">
        <v>85</v>
      </c>
      <c r="L879" s="188" t="str">
        <f>IFERROR(_xlfn.XLOOKUP(A879,[1]Fleet!A:A,[1]Fleet!E:E,""),"")</f>
        <v/>
      </c>
      <c r="M879" s="188">
        <v>40.450000000000003</v>
      </c>
      <c r="N879" s="188" t="s">
        <v>2153</v>
      </c>
      <c r="O879" s="198" t="s">
        <v>2140</v>
      </c>
      <c r="P879">
        <v>841</v>
      </c>
      <c r="Q879">
        <f>_xlfn.XLOOKUP(A879,'[1]Classic Net to delete'!D:D,'[1]Classic Net to delete'!AA:AA,0)</f>
        <v>978</v>
      </c>
    </row>
    <row r="880" spans="1:17" x14ac:dyDescent="0.25">
      <c r="A880" t="s">
        <v>2154</v>
      </c>
      <c r="B880" t="s">
        <v>2155</v>
      </c>
      <c r="C880">
        <v>56.76</v>
      </c>
      <c r="D880" t="s">
        <v>2060</v>
      </c>
      <c r="E880" t="str">
        <f t="shared" si="19"/>
        <v>03. Fire Safety</v>
      </c>
      <c r="F880">
        <v>75</v>
      </c>
      <c r="H880" t="b">
        <v>1</v>
      </c>
      <c r="I880">
        <v>979</v>
      </c>
      <c r="K880" s="192" t="s">
        <v>85</v>
      </c>
      <c r="L880" s="188">
        <f>IFERROR(_xlfn.XLOOKUP(A880,[1]Fleet!A:A,[1]Fleet!E:E,""),"")</f>
        <v>63</v>
      </c>
      <c r="M880" s="188">
        <v>53.050000000000004</v>
      </c>
      <c r="N880" s="188" t="s">
        <v>2156</v>
      </c>
      <c r="O880" s="198" t="s">
        <v>2140</v>
      </c>
      <c r="P880">
        <v>838</v>
      </c>
      <c r="Q880">
        <f>_xlfn.XLOOKUP(A880,'[1]Classic Net to delete'!D:D,'[1]Classic Net to delete'!AA:AA,0)</f>
        <v>979</v>
      </c>
    </row>
    <row r="881" spans="1:17" x14ac:dyDescent="0.25">
      <c r="A881" t="s">
        <v>2157</v>
      </c>
      <c r="B881" t="s">
        <v>2158</v>
      </c>
      <c r="C881">
        <v>34.130000000000003</v>
      </c>
      <c r="D881" t="s">
        <v>2060</v>
      </c>
      <c r="E881" t="str">
        <f t="shared" si="19"/>
        <v>04. Environmental Safety</v>
      </c>
      <c r="F881">
        <v>75</v>
      </c>
      <c r="H881" t="b">
        <v>1</v>
      </c>
      <c r="I881">
        <v>983</v>
      </c>
      <c r="K881" s="192" t="s">
        <v>89</v>
      </c>
      <c r="L881" s="188">
        <f>IFERROR(_xlfn.XLOOKUP(A881,[1]Fleet!A:A,[1]Fleet!E:E,""),"")</f>
        <v>12</v>
      </c>
      <c r="M881" s="188">
        <v>31.900000000000002</v>
      </c>
      <c r="N881" s="188" t="s">
        <v>2159</v>
      </c>
      <c r="O881" s="198" t="s">
        <v>2160</v>
      </c>
      <c r="P881">
        <v>863</v>
      </c>
      <c r="Q881">
        <f>_xlfn.XLOOKUP(A881,'[1]Classic Net to delete'!D:D,'[1]Classic Net to delete'!AA:AA,0)</f>
        <v>983</v>
      </c>
    </row>
    <row r="882" spans="1:17" x14ac:dyDescent="0.25">
      <c r="A882" t="s">
        <v>2161</v>
      </c>
      <c r="B882" t="s">
        <v>2162</v>
      </c>
      <c r="C882">
        <v>19.96</v>
      </c>
      <c r="D882" t="s">
        <v>2060</v>
      </c>
      <c r="E882" t="str">
        <f t="shared" si="19"/>
        <v>04. Environmental Safety</v>
      </c>
      <c r="F882">
        <v>75</v>
      </c>
      <c r="H882" t="b">
        <v>1</v>
      </c>
      <c r="I882">
        <v>984</v>
      </c>
      <c r="K882" s="192" t="s">
        <v>89</v>
      </c>
      <c r="L882" s="188" t="str">
        <f>IFERROR(_xlfn.XLOOKUP(A882,[1]Fleet!A:A,[1]Fleet!E:E,""),"")</f>
        <v/>
      </c>
      <c r="M882" s="188">
        <v>18.650000000000002</v>
      </c>
      <c r="N882" s="188" t="s">
        <v>2162</v>
      </c>
      <c r="O882" s="198" t="s">
        <v>2160</v>
      </c>
      <c r="P882">
        <v>837</v>
      </c>
      <c r="Q882">
        <f>_xlfn.XLOOKUP(A882,'[1]Classic Net to delete'!D:D,'[1]Classic Net to delete'!AA:AA,0)</f>
        <v>984</v>
      </c>
    </row>
    <row r="883" spans="1:17" x14ac:dyDescent="0.25">
      <c r="A883" t="s">
        <v>2163</v>
      </c>
      <c r="B883" t="s">
        <v>2164</v>
      </c>
      <c r="C883">
        <v>27.12</v>
      </c>
      <c r="D883" t="s">
        <v>2060</v>
      </c>
      <c r="E883" t="str">
        <f t="shared" si="19"/>
        <v>04. Environmental Safety</v>
      </c>
      <c r="F883">
        <v>75</v>
      </c>
      <c r="H883" t="b">
        <v>1</v>
      </c>
      <c r="I883">
        <v>985</v>
      </c>
      <c r="K883" s="192" t="s">
        <v>89</v>
      </c>
      <c r="L883" s="188" t="str">
        <f>IFERROR(_xlfn.XLOOKUP(A883,[1]Fleet!A:A,[1]Fleet!E:E,""),"")</f>
        <v/>
      </c>
      <c r="M883" s="188">
        <v>25.35</v>
      </c>
      <c r="N883" s="188" t="s">
        <v>2164</v>
      </c>
      <c r="O883" s="198" t="s">
        <v>2160</v>
      </c>
      <c r="P883">
        <v>836</v>
      </c>
      <c r="Q883">
        <f>_xlfn.XLOOKUP(A883,'[1]Classic Net to delete'!D:D,'[1]Classic Net to delete'!AA:AA,0)</f>
        <v>985</v>
      </c>
    </row>
    <row r="884" spans="1:17" x14ac:dyDescent="0.25">
      <c r="A884" t="s">
        <v>2165</v>
      </c>
      <c r="B884" t="s">
        <v>2166</v>
      </c>
      <c r="C884">
        <v>34.130000000000003</v>
      </c>
      <c r="D884" t="s">
        <v>2060</v>
      </c>
      <c r="E884" t="str">
        <f t="shared" si="19"/>
        <v>04. Environmental Safety</v>
      </c>
      <c r="F884">
        <v>75</v>
      </c>
      <c r="H884" t="b">
        <v>1</v>
      </c>
      <c r="I884">
        <v>987</v>
      </c>
      <c r="K884" s="192" t="s">
        <v>89</v>
      </c>
      <c r="L884" s="188">
        <f>IFERROR(_xlfn.XLOOKUP(A884,[1]Fleet!A:A,[1]Fleet!E:E,""),"")</f>
        <v>1</v>
      </c>
      <c r="M884" s="188">
        <v>31.900000000000002</v>
      </c>
      <c r="N884" s="188" t="s">
        <v>2166</v>
      </c>
      <c r="O884" s="198" t="s">
        <v>2160</v>
      </c>
      <c r="P884">
        <v>864</v>
      </c>
      <c r="Q884">
        <f>_xlfn.XLOOKUP(A884,'[1]Classic Net to delete'!D:D,'[1]Classic Net to delete'!AA:AA,0)</f>
        <v>987</v>
      </c>
    </row>
    <row r="885" spans="1:17" x14ac:dyDescent="0.25">
      <c r="A885" t="s">
        <v>2167</v>
      </c>
      <c r="B885" t="s">
        <v>2168</v>
      </c>
      <c r="C885">
        <v>10.75</v>
      </c>
      <c r="D885" t="s">
        <v>2060</v>
      </c>
      <c r="E885" t="str">
        <f t="shared" si="19"/>
        <v>04. Environmental Safety</v>
      </c>
      <c r="F885">
        <v>75</v>
      </c>
      <c r="H885" t="b">
        <v>1</v>
      </c>
      <c r="I885">
        <v>988</v>
      </c>
      <c r="K885" s="192" t="s">
        <v>89</v>
      </c>
      <c r="L885" s="188" t="str">
        <f>IFERROR(_xlfn.XLOOKUP(A885,[1]Fleet!A:A,[1]Fleet!E:E,""),"")</f>
        <v/>
      </c>
      <c r="M885" s="188">
        <v>10.050000000000001</v>
      </c>
      <c r="N885" s="188" t="s">
        <v>2168</v>
      </c>
      <c r="O885" s="198" t="s">
        <v>2160</v>
      </c>
      <c r="P885">
        <v>835</v>
      </c>
      <c r="Q885">
        <f>_xlfn.XLOOKUP(A885,'[1]Classic Net to delete'!D:D,'[1]Classic Net to delete'!AA:AA,0)</f>
        <v>988</v>
      </c>
    </row>
    <row r="886" spans="1:17" x14ac:dyDescent="0.25">
      <c r="A886" t="s">
        <v>2169</v>
      </c>
      <c r="B886" t="s">
        <v>2170</v>
      </c>
      <c r="C886">
        <v>1.61</v>
      </c>
      <c r="D886" t="s">
        <v>2060</v>
      </c>
      <c r="E886" t="str">
        <f t="shared" si="19"/>
        <v>05. Security Barriers &amp; Fencing</v>
      </c>
      <c r="F886">
        <v>75</v>
      </c>
      <c r="H886" t="b">
        <v>1</v>
      </c>
      <c r="I886">
        <v>915</v>
      </c>
      <c r="K886" s="192" t="s">
        <v>32</v>
      </c>
      <c r="L886" s="188" t="str">
        <f>IFERROR(_xlfn.XLOOKUP(A886,[1]Fleet!A:A,[1]Fleet!E:E,""),"")</f>
        <v/>
      </c>
      <c r="M886" s="188">
        <v>1.5</v>
      </c>
      <c r="N886" s="188" t="s">
        <v>2170</v>
      </c>
      <c r="O886" s="198" t="s">
        <v>2171</v>
      </c>
      <c r="P886">
        <v>853</v>
      </c>
      <c r="Q886">
        <f>_xlfn.XLOOKUP(A886,'[1]Classic Net to delete'!D:D,'[1]Classic Net to delete'!AA:AA,0)</f>
        <v>915</v>
      </c>
    </row>
    <row r="887" spans="1:17" x14ac:dyDescent="0.25">
      <c r="A887" t="s">
        <v>2172</v>
      </c>
      <c r="B887" t="s">
        <v>2173</v>
      </c>
      <c r="C887">
        <v>5.99</v>
      </c>
      <c r="D887" t="s">
        <v>2060</v>
      </c>
      <c r="E887" t="str">
        <f t="shared" si="19"/>
        <v>05. Security Barriers &amp; Fencing</v>
      </c>
      <c r="F887">
        <v>75</v>
      </c>
      <c r="H887" t="b">
        <v>1</v>
      </c>
      <c r="I887">
        <v>991</v>
      </c>
      <c r="K887" s="192" t="s">
        <v>32</v>
      </c>
      <c r="L887" s="188" t="str">
        <f>IFERROR(_xlfn.XLOOKUP(A887,[1]Fleet!A:A,[1]Fleet!E:E,""),"")</f>
        <v/>
      </c>
      <c r="M887" s="188">
        <v>5.6000000000000005</v>
      </c>
      <c r="N887" s="188" t="s">
        <v>2173</v>
      </c>
      <c r="O887" s="198" t="s">
        <v>2171</v>
      </c>
      <c r="P887">
        <v>852</v>
      </c>
      <c r="Q887">
        <f>_xlfn.XLOOKUP(A887,'[1]Classic Net to delete'!D:D,'[1]Classic Net to delete'!AA:AA,0)</f>
        <v>991</v>
      </c>
    </row>
    <row r="888" spans="1:17" x14ac:dyDescent="0.25">
      <c r="A888" t="s">
        <v>2174</v>
      </c>
      <c r="B888" t="s">
        <v>2175</v>
      </c>
      <c r="C888">
        <v>4.01</v>
      </c>
      <c r="D888" t="s">
        <v>2060</v>
      </c>
      <c r="E888" t="str">
        <f t="shared" si="19"/>
        <v>05. Security Barriers &amp; Fencing</v>
      </c>
      <c r="F888">
        <v>75</v>
      </c>
      <c r="H888" t="b">
        <v>1</v>
      </c>
      <c r="I888">
        <v>992</v>
      </c>
      <c r="K888" s="192" t="s">
        <v>32</v>
      </c>
      <c r="L888" s="188" t="str">
        <f>IFERROR(_xlfn.XLOOKUP(A888,[1]Fleet!A:A,[1]Fleet!E:E,""),"")</f>
        <v/>
      </c>
      <c r="M888" s="188">
        <v>3.75</v>
      </c>
      <c r="N888" s="188" t="s">
        <v>2176</v>
      </c>
      <c r="O888" s="198" t="s">
        <v>2171</v>
      </c>
      <c r="P888">
        <v>850</v>
      </c>
      <c r="Q888">
        <f>_xlfn.XLOOKUP(A888,'[1]Classic Net to delete'!D:D,'[1]Classic Net to delete'!AA:AA,0)</f>
        <v>992</v>
      </c>
    </row>
    <row r="889" spans="1:17" x14ac:dyDescent="0.25">
      <c r="A889" t="s">
        <v>2177</v>
      </c>
      <c r="B889" t="s">
        <v>2178</v>
      </c>
      <c r="C889">
        <v>9.7900000000000009</v>
      </c>
      <c r="D889" t="s">
        <v>2060</v>
      </c>
      <c r="E889" t="str">
        <f t="shared" si="19"/>
        <v>05. Security Barriers &amp; Fencing</v>
      </c>
      <c r="F889">
        <v>75</v>
      </c>
      <c r="H889" t="b">
        <v>1</v>
      </c>
      <c r="I889">
        <v>993</v>
      </c>
      <c r="K889" s="192" t="s">
        <v>32</v>
      </c>
      <c r="L889" s="188" t="str">
        <f>IFERROR(_xlfn.XLOOKUP(A889,[1]Fleet!A:A,[1]Fleet!E:E,""),"")</f>
        <v/>
      </c>
      <c r="M889" s="188">
        <v>9.15</v>
      </c>
      <c r="N889" s="188" t="s">
        <v>2178</v>
      </c>
      <c r="O889" s="198" t="s">
        <v>2171</v>
      </c>
      <c r="P889">
        <v>849</v>
      </c>
      <c r="Q889">
        <f>_xlfn.XLOOKUP(A889,'[1]Classic Net to delete'!D:D,'[1]Classic Net to delete'!AA:AA,0)</f>
        <v>993</v>
      </c>
    </row>
    <row r="890" spans="1:17" x14ac:dyDescent="0.25">
      <c r="A890" t="s">
        <v>2179</v>
      </c>
      <c r="B890" t="s">
        <v>2180</v>
      </c>
      <c r="C890">
        <v>10.38</v>
      </c>
      <c r="D890" t="s">
        <v>2060</v>
      </c>
      <c r="E890" t="str">
        <f t="shared" si="19"/>
        <v>05. Security Barriers &amp; Fencing</v>
      </c>
      <c r="F890">
        <v>75</v>
      </c>
      <c r="H890" t="b">
        <v>1</v>
      </c>
      <c r="I890">
        <v>994</v>
      </c>
      <c r="K890" s="192" t="s">
        <v>32</v>
      </c>
      <c r="L890" s="188" t="str">
        <f>IFERROR(_xlfn.XLOOKUP(A890,[1]Fleet!A:A,[1]Fleet!E:E,""),"")</f>
        <v/>
      </c>
      <c r="M890" s="188">
        <v>9.7000000000000011</v>
      </c>
      <c r="N890" s="188" t="s">
        <v>2181</v>
      </c>
      <c r="O890" s="198" t="s">
        <v>2171</v>
      </c>
      <c r="P890">
        <v>848</v>
      </c>
      <c r="Q890">
        <f>_xlfn.XLOOKUP(A890,'[1]Classic Net to delete'!D:D,'[1]Classic Net to delete'!AA:AA,0)</f>
        <v>994</v>
      </c>
    </row>
    <row r="891" spans="1:17" x14ac:dyDescent="0.25">
      <c r="A891" t="s">
        <v>2182</v>
      </c>
      <c r="B891" t="s">
        <v>2183</v>
      </c>
      <c r="C891">
        <v>17.07</v>
      </c>
      <c r="D891" t="s">
        <v>2060</v>
      </c>
      <c r="E891" t="str">
        <f t="shared" si="19"/>
        <v>05. Security Barriers &amp; Fencing</v>
      </c>
      <c r="F891">
        <v>75</v>
      </c>
      <c r="H891" t="b">
        <v>1</v>
      </c>
      <c r="I891">
        <v>995</v>
      </c>
      <c r="K891" s="192" t="s">
        <v>32</v>
      </c>
      <c r="L891" s="188" t="str">
        <f>IFERROR(_xlfn.XLOOKUP(A891,[1]Fleet!A:A,[1]Fleet!E:E,""),"")</f>
        <v/>
      </c>
      <c r="M891" s="188">
        <v>15.950000000000001</v>
      </c>
      <c r="N891" s="188" t="s">
        <v>2184</v>
      </c>
      <c r="O891" s="198" t="s">
        <v>2171</v>
      </c>
      <c r="P891">
        <v>851</v>
      </c>
      <c r="Q891">
        <f>_xlfn.XLOOKUP(A891,'[1]Classic Net to delete'!D:D,'[1]Classic Net to delete'!AA:AA,0)</f>
        <v>995</v>
      </c>
    </row>
    <row r="892" spans="1:17" x14ac:dyDescent="0.25">
      <c r="A892" t="s">
        <v>2185</v>
      </c>
      <c r="B892" t="s">
        <v>2186</v>
      </c>
      <c r="C892">
        <v>35.36</v>
      </c>
      <c r="D892" t="s">
        <v>2060</v>
      </c>
      <c r="E892" t="str">
        <f t="shared" si="19"/>
        <v>06. Site Storage</v>
      </c>
      <c r="F892">
        <v>75</v>
      </c>
      <c r="H892" t="b">
        <v>1</v>
      </c>
      <c r="I892">
        <v>1000</v>
      </c>
      <c r="K892" s="192" t="s">
        <v>36</v>
      </c>
      <c r="L892" s="188">
        <f>IFERROR(_xlfn.XLOOKUP(A892,[1]Fleet!A:A,[1]Fleet!E:E,""),"")</f>
        <v>247</v>
      </c>
      <c r="M892" s="188">
        <v>33.050000000000004</v>
      </c>
      <c r="N892" s="188" t="s">
        <v>2187</v>
      </c>
      <c r="O892" s="198" t="s">
        <v>2066</v>
      </c>
      <c r="P892">
        <v>854</v>
      </c>
      <c r="Q892">
        <f>_xlfn.XLOOKUP(A892,'[1]Classic Net to delete'!D:D,'[1]Classic Net to delete'!AA:AA,0)</f>
        <v>1000</v>
      </c>
    </row>
    <row r="893" spans="1:17" x14ac:dyDescent="0.25">
      <c r="A893" t="s">
        <v>2188</v>
      </c>
      <c r="B893" t="s">
        <v>2189</v>
      </c>
      <c r="C893">
        <v>45.15</v>
      </c>
      <c r="D893" t="s">
        <v>2060</v>
      </c>
      <c r="E893" t="str">
        <f t="shared" si="19"/>
        <v>06. Site Storage</v>
      </c>
      <c r="F893">
        <v>75</v>
      </c>
      <c r="H893" t="b">
        <v>1</v>
      </c>
      <c r="I893">
        <v>1001</v>
      </c>
      <c r="K893" s="192" t="s">
        <v>36</v>
      </c>
      <c r="L893" s="188">
        <f>IFERROR(_xlfn.XLOOKUP(A893,[1]Fleet!A:A,[1]Fleet!E:E,""),"")</f>
        <v>151</v>
      </c>
      <c r="M893" s="188">
        <v>42.2</v>
      </c>
      <c r="N893" s="188" t="s">
        <v>2190</v>
      </c>
      <c r="O893" s="198" t="s">
        <v>2066</v>
      </c>
      <c r="P893">
        <v>855</v>
      </c>
      <c r="Q893">
        <f>_xlfn.XLOOKUP(A893,'[1]Classic Net to delete'!D:D,'[1]Classic Net to delete'!AA:AA,0)</f>
        <v>1001</v>
      </c>
    </row>
    <row r="894" spans="1:17" x14ac:dyDescent="0.25">
      <c r="A894" t="s">
        <v>2191</v>
      </c>
      <c r="B894" t="s">
        <v>2192</v>
      </c>
      <c r="C894">
        <v>83.62</v>
      </c>
      <c r="D894" t="s">
        <v>2060</v>
      </c>
      <c r="E894" t="str">
        <f t="shared" si="19"/>
        <v>06. Site Storage</v>
      </c>
      <c r="F894">
        <v>75</v>
      </c>
      <c r="H894" t="b">
        <v>1</v>
      </c>
      <c r="I894">
        <v>1002</v>
      </c>
      <c r="K894" s="192" t="s">
        <v>36</v>
      </c>
      <c r="L894" s="188">
        <f>IFERROR(_xlfn.XLOOKUP(A894,[1]Fleet!A:A,[1]Fleet!E:E,""),"")</f>
        <v>69</v>
      </c>
      <c r="M894" s="188">
        <v>78.150000000000006</v>
      </c>
      <c r="N894" s="188" t="s">
        <v>2193</v>
      </c>
      <c r="O894" s="198" t="s">
        <v>2066</v>
      </c>
      <c r="P894">
        <v>857</v>
      </c>
      <c r="Q894">
        <f>_xlfn.XLOOKUP(A894,'[1]Classic Net to delete'!D:D,'[1]Classic Net to delete'!AA:AA,0)</f>
        <v>1002</v>
      </c>
    </row>
    <row r="895" spans="1:17" x14ac:dyDescent="0.25">
      <c r="A895" t="s">
        <v>2194</v>
      </c>
      <c r="B895" t="s">
        <v>2195</v>
      </c>
      <c r="C895">
        <v>35.36</v>
      </c>
      <c r="D895" t="s">
        <v>2060</v>
      </c>
      <c r="E895" t="str">
        <f t="shared" si="19"/>
        <v>06. Site Storage</v>
      </c>
      <c r="F895">
        <v>75</v>
      </c>
      <c r="H895" t="b">
        <v>1</v>
      </c>
      <c r="I895">
        <v>1003</v>
      </c>
      <c r="K895" s="192" t="s">
        <v>36</v>
      </c>
      <c r="L895" s="188">
        <f>IFERROR(_xlfn.XLOOKUP(A895,[1]Fleet!A:A,[1]Fleet!E:E,""),"")</f>
        <v>9</v>
      </c>
      <c r="M895" s="188">
        <v>33.050000000000004</v>
      </c>
      <c r="N895" s="188" t="s">
        <v>2195</v>
      </c>
      <c r="O895" s="198" t="s">
        <v>2066</v>
      </c>
      <c r="P895">
        <v>856</v>
      </c>
      <c r="Q895">
        <f>_xlfn.XLOOKUP(A895,'[1]Classic Net to delete'!D:D,'[1]Classic Net to delete'!AA:AA,0)</f>
        <v>1003</v>
      </c>
    </row>
    <row r="896" spans="1:17" x14ac:dyDescent="0.25">
      <c r="A896" t="s">
        <v>2196</v>
      </c>
      <c r="B896" t="s">
        <v>2197</v>
      </c>
      <c r="C896">
        <v>49.59</v>
      </c>
      <c r="D896" t="s">
        <v>2060</v>
      </c>
      <c r="E896" t="str">
        <f t="shared" si="19"/>
        <v>06. Site Storage</v>
      </c>
      <c r="F896">
        <v>75</v>
      </c>
      <c r="H896" t="b">
        <v>1</v>
      </c>
      <c r="I896">
        <v>1004</v>
      </c>
      <c r="K896" s="192" t="s">
        <v>36</v>
      </c>
      <c r="L896" s="188">
        <f>IFERROR(_xlfn.XLOOKUP(A896,[1]Fleet!A:A,[1]Fleet!E:E,""),"")</f>
        <v>20</v>
      </c>
      <c r="M896" s="188">
        <v>46.35</v>
      </c>
      <c r="N896" s="188" t="s">
        <v>2198</v>
      </c>
      <c r="O896" s="198" t="s">
        <v>2066</v>
      </c>
      <c r="P896">
        <v>866</v>
      </c>
      <c r="Q896">
        <f>_xlfn.XLOOKUP(A896,'[1]Classic Net to delete'!D:D,'[1]Classic Net to delete'!AA:AA,0)</f>
        <v>1004</v>
      </c>
    </row>
    <row r="897" spans="1:17" x14ac:dyDescent="0.25">
      <c r="A897" t="s">
        <v>2199</v>
      </c>
      <c r="B897" t="s">
        <v>2200</v>
      </c>
      <c r="C897">
        <v>49.86</v>
      </c>
      <c r="D897" t="s">
        <v>2060</v>
      </c>
      <c r="E897" t="str">
        <f t="shared" si="19"/>
        <v>06. Site Storage</v>
      </c>
      <c r="F897">
        <v>75</v>
      </c>
      <c r="H897" t="b">
        <v>1</v>
      </c>
      <c r="I897">
        <v>1005</v>
      </c>
      <c r="K897" s="192" t="s">
        <v>36</v>
      </c>
      <c r="L897" s="188">
        <f>IFERROR(_xlfn.XLOOKUP(A897,[1]Fleet!A:A,[1]Fleet!E:E,""),"")</f>
        <v>23</v>
      </c>
      <c r="M897" s="188">
        <v>46.6</v>
      </c>
      <c r="N897" s="188" t="s">
        <v>2201</v>
      </c>
      <c r="O897" s="198" t="s">
        <v>2066</v>
      </c>
      <c r="P897">
        <v>867</v>
      </c>
      <c r="Q897">
        <f>_xlfn.XLOOKUP(A897,'[1]Classic Net to delete'!D:D,'[1]Classic Net to delete'!AA:AA,0)</f>
        <v>1005</v>
      </c>
    </row>
    <row r="898" spans="1:17" x14ac:dyDescent="0.25">
      <c r="A898" t="s">
        <v>2202</v>
      </c>
      <c r="B898" t="s">
        <v>2203</v>
      </c>
      <c r="C898">
        <v>88.33</v>
      </c>
      <c r="D898" t="s">
        <v>2060</v>
      </c>
      <c r="E898" t="str">
        <f t="shared" si="19"/>
        <v>06. Site Storage</v>
      </c>
      <c r="F898">
        <v>75</v>
      </c>
      <c r="H898" t="b">
        <v>1</v>
      </c>
      <c r="I898">
        <v>1006</v>
      </c>
      <c r="K898" s="192" t="s">
        <v>36</v>
      </c>
      <c r="L898" s="188">
        <f>IFERROR(_xlfn.XLOOKUP(A898,[1]Fleet!A:A,[1]Fleet!E:E,""),"")</f>
        <v>36</v>
      </c>
      <c r="M898" s="188">
        <v>82.550000000000011</v>
      </c>
      <c r="N898" s="188" t="s">
        <v>2204</v>
      </c>
      <c r="O898" s="198" t="s">
        <v>2066</v>
      </c>
      <c r="P898">
        <v>859</v>
      </c>
      <c r="Q898">
        <f>_xlfn.XLOOKUP(A898,'[1]Classic Net to delete'!D:D,'[1]Classic Net to delete'!AA:AA,0)</f>
        <v>1006</v>
      </c>
    </row>
    <row r="899" spans="1:17" x14ac:dyDescent="0.25">
      <c r="A899" t="s">
        <v>2205</v>
      </c>
      <c r="B899" t="s">
        <v>2206</v>
      </c>
      <c r="C899">
        <v>68.05</v>
      </c>
      <c r="D899" t="s">
        <v>2060</v>
      </c>
      <c r="E899" t="str">
        <f t="shared" si="19"/>
        <v>06. Site Storage</v>
      </c>
      <c r="F899">
        <v>75</v>
      </c>
      <c r="H899" t="b">
        <v>1</v>
      </c>
      <c r="I899">
        <v>1007</v>
      </c>
      <c r="K899" s="192" t="s">
        <v>36</v>
      </c>
      <c r="L899" s="188">
        <f>IFERROR(_xlfn.XLOOKUP(A899,[1]Fleet!A:A,[1]Fleet!E:E,""),"")</f>
        <v>23</v>
      </c>
      <c r="M899" s="188">
        <v>63.6</v>
      </c>
      <c r="N899" s="188" t="s">
        <v>2207</v>
      </c>
      <c r="O899" s="198" t="s">
        <v>2066</v>
      </c>
      <c r="P899">
        <v>858</v>
      </c>
      <c r="Q899">
        <f>_xlfn.XLOOKUP(A899,'[1]Classic Net to delete'!D:D,'[1]Classic Net to delete'!AA:AA,0)</f>
        <v>1007</v>
      </c>
    </row>
    <row r="900" spans="1:17" x14ac:dyDescent="0.25">
      <c r="A900" t="s">
        <v>2208</v>
      </c>
      <c r="B900" t="s">
        <v>2209</v>
      </c>
      <c r="C900">
        <v>55.620000000000005</v>
      </c>
      <c r="D900" t="s">
        <v>2060</v>
      </c>
      <c r="E900" t="str">
        <f t="shared" si="19"/>
        <v>06. Site Storage</v>
      </c>
      <c r="F900">
        <v>75</v>
      </c>
      <c r="H900" t="b">
        <v>1</v>
      </c>
      <c r="I900">
        <v>1008</v>
      </c>
      <c r="K900" s="192" t="s">
        <v>36</v>
      </c>
      <c r="L900" s="188">
        <f>IFERROR(_xlfn.XLOOKUP(A900,[1]Fleet!A:A,[1]Fleet!E:E,""),"")</f>
        <v>32</v>
      </c>
      <c r="M900" s="188">
        <v>46.35</v>
      </c>
      <c r="N900" s="188" t="s">
        <v>2210</v>
      </c>
      <c r="O900" s="198" t="s">
        <v>2066</v>
      </c>
      <c r="P900">
        <v>865</v>
      </c>
      <c r="Q900">
        <f>_xlfn.XLOOKUP(A900,'[1]Classic Net to delete'!D:D,'[1]Classic Net to delete'!AA:AA,0)</f>
        <v>1008</v>
      </c>
    </row>
    <row r="901" spans="1:17" x14ac:dyDescent="0.25">
      <c r="A901" t="s">
        <v>2211</v>
      </c>
      <c r="B901" t="s">
        <v>2212</v>
      </c>
      <c r="C901">
        <v>44.51</v>
      </c>
      <c r="D901" t="s">
        <v>2060</v>
      </c>
      <c r="E901" t="str">
        <f t="shared" si="19"/>
        <v>07. Packaging Security</v>
      </c>
      <c r="F901">
        <v>75</v>
      </c>
      <c r="H901" t="b">
        <v>1</v>
      </c>
      <c r="I901">
        <v>1011</v>
      </c>
      <c r="K901" s="192" t="s">
        <v>40</v>
      </c>
      <c r="L901" s="188" t="str">
        <f>IFERROR(_xlfn.XLOOKUP(A901,[1]Fleet!A:A,[1]Fleet!E:E,""),"")</f>
        <v/>
      </c>
      <c r="M901" s="188">
        <v>41.6</v>
      </c>
      <c r="N901" s="188" t="s">
        <v>2212</v>
      </c>
      <c r="O901" s="198" t="s">
        <v>2213</v>
      </c>
      <c r="P901">
        <v>847</v>
      </c>
      <c r="Q901">
        <f>_xlfn.XLOOKUP(A901,'[1]Classic Net to delete'!D:D,'[1]Classic Net to delete'!AA:AA,0)</f>
        <v>1011</v>
      </c>
    </row>
    <row r="902" spans="1:17" x14ac:dyDescent="0.25">
      <c r="A902" t="s">
        <v>2214</v>
      </c>
      <c r="B902" t="s">
        <v>2215</v>
      </c>
      <c r="C902">
        <v>0</v>
      </c>
      <c r="D902" t="s">
        <v>2216</v>
      </c>
      <c r="E902" t="str">
        <f t="shared" si="19"/>
        <v>. TBC</v>
      </c>
      <c r="F902">
        <v>75</v>
      </c>
      <c r="H902" t="b">
        <v>0</v>
      </c>
      <c r="I902">
        <v>0</v>
      </c>
      <c r="L902" s="188">
        <f>IFERROR(_xlfn.XLOOKUP(A902,[1]Fleet!A:A,[1]Fleet!E:E,""),"")</f>
        <v>2</v>
      </c>
      <c r="M902" s="188" t="s">
        <v>22</v>
      </c>
      <c r="N902" s="188" t="s">
        <v>22</v>
      </c>
      <c r="O902" s="198" t="s">
        <v>1414</v>
      </c>
      <c r="P902">
        <v>917</v>
      </c>
      <c r="Q902">
        <f>_xlfn.XLOOKUP(A902,'[1]Classic Net to delete'!D:D,'[1]Classic Net to delete'!AA:AA,0)</f>
        <v>0</v>
      </c>
    </row>
    <row r="903" spans="1:17" x14ac:dyDescent="0.25">
      <c r="A903" t="s">
        <v>2214</v>
      </c>
      <c r="B903" t="s">
        <v>2217</v>
      </c>
      <c r="C903">
        <v>0</v>
      </c>
      <c r="D903" t="s">
        <v>2216</v>
      </c>
      <c r="E903" t="str">
        <f t="shared" si="19"/>
        <v>. TBC</v>
      </c>
      <c r="F903">
        <v>75</v>
      </c>
      <c r="H903" t="b">
        <v>0</v>
      </c>
      <c r="I903">
        <v>0</v>
      </c>
      <c r="L903" s="188">
        <f>IFERROR(_xlfn.XLOOKUP(A903,[1]Fleet!A:A,[1]Fleet!E:E,""),"")</f>
        <v>2</v>
      </c>
      <c r="M903" s="188" t="s">
        <v>22</v>
      </c>
      <c r="N903" s="188" t="s">
        <v>22</v>
      </c>
      <c r="O903" s="198" t="s">
        <v>1414</v>
      </c>
      <c r="P903">
        <v>918</v>
      </c>
      <c r="Q903">
        <f>_xlfn.XLOOKUP(A903,'[1]Classic Net to delete'!D:D,'[1]Classic Net to delete'!AA:AA,0)</f>
        <v>0</v>
      </c>
    </row>
    <row r="904" spans="1:17" x14ac:dyDescent="0.25">
      <c r="A904" t="s">
        <v>1749</v>
      </c>
      <c r="B904" t="s">
        <v>2215</v>
      </c>
      <c r="C904">
        <v>0</v>
      </c>
      <c r="D904" t="s">
        <v>2216</v>
      </c>
      <c r="E904" t="str">
        <f t="shared" ref="E904:E967" si="20">CONCATENATE(K904,". ",O904)</f>
        <v>. TBC</v>
      </c>
      <c r="F904">
        <v>75</v>
      </c>
      <c r="H904" t="b">
        <v>0</v>
      </c>
      <c r="I904">
        <v>0</v>
      </c>
      <c r="L904" s="188" t="str">
        <f>IFERROR(_xlfn.XLOOKUP(A904,[1]Fleet!A:A,[1]Fleet!E:E,""),"")</f>
        <v/>
      </c>
      <c r="M904" s="188" t="s">
        <v>22</v>
      </c>
      <c r="N904" s="188" t="s">
        <v>22</v>
      </c>
      <c r="O904" s="198" t="s">
        <v>1414</v>
      </c>
      <c r="P904">
        <v>915</v>
      </c>
      <c r="Q904">
        <f>_xlfn.XLOOKUP(A904,'[1]Classic Net to delete'!D:D,'[1]Classic Net to delete'!AA:AA,0)</f>
        <v>0</v>
      </c>
    </row>
    <row r="905" spans="1:17" x14ac:dyDescent="0.25">
      <c r="A905" t="s">
        <v>1749</v>
      </c>
      <c r="B905" t="s">
        <v>2217</v>
      </c>
      <c r="C905">
        <v>0</v>
      </c>
      <c r="D905" t="s">
        <v>2216</v>
      </c>
      <c r="E905" t="str">
        <f t="shared" si="20"/>
        <v>. TBC</v>
      </c>
      <c r="F905">
        <v>75</v>
      </c>
      <c r="H905" t="b">
        <v>0</v>
      </c>
      <c r="I905">
        <v>0</v>
      </c>
      <c r="L905" s="188" t="str">
        <f>IFERROR(_xlfn.XLOOKUP(A905,[1]Fleet!A:A,[1]Fleet!E:E,""),"")</f>
        <v/>
      </c>
      <c r="M905" s="188" t="s">
        <v>22</v>
      </c>
      <c r="N905" s="188" t="s">
        <v>22</v>
      </c>
      <c r="O905" s="198" t="s">
        <v>1414</v>
      </c>
      <c r="P905">
        <v>916</v>
      </c>
      <c r="Q905">
        <f>_xlfn.XLOOKUP(A905,'[1]Classic Net to delete'!D:D,'[1]Classic Net to delete'!AA:AA,0)</f>
        <v>0</v>
      </c>
    </row>
    <row r="906" spans="1:17" x14ac:dyDescent="0.25">
      <c r="A906" t="s">
        <v>2218</v>
      </c>
      <c r="B906" t="s">
        <v>2219</v>
      </c>
      <c r="C906">
        <v>3.8000000000000003</v>
      </c>
      <c r="D906" t="s">
        <v>2216</v>
      </c>
      <c r="E906" t="str">
        <f t="shared" si="20"/>
        <v>01. Event, Canteen &amp; Catering Equipment</v>
      </c>
      <c r="F906">
        <v>75</v>
      </c>
      <c r="H906" t="b">
        <v>1</v>
      </c>
      <c r="I906">
        <v>1018</v>
      </c>
      <c r="K906" s="192" t="s">
        <v>21</v>
      </c>
      <c r="L906" s="188" t="str">
        <f>IFERROR(_xlfn.XLOOKUP(A906,[1]Fleet!A:A,[1]Fleet!E:E,""),"")</f>
        <v/>
      </c>
      <c r="M906" s="188">
        <v>3.5500000000000003</v>
      </c>
      <c r="N906" s="188" t="s">
        <v>2220</v>
      </c>
      <c r="O906" s="198" t="s">
        <v>2221</v>
      </c>
      <c r="P906">
        <v>897</v>
      </c>
      <c r="Q906">
        <f>_xlfn.XLOOKUP(A906,'[1]Classic Net to delete'!D:D,'[1]Classic Net to delete'!AA:AA,0)</f>
        <v>1018</v>
      </c>
    </row>
    <row r="907" spans="1:17" x14ac:dyDescent="0.25">
      <c r="A907" t="s">
        <v>2222</v>
      </c>
      <c r="B907" t="s">
        <v>2223</v>
      </c>
      <c r="C907">
        <v>14.23</v>
      </c>
      <c r="D907" t="s">
        <v>2216</v>
      </c>
      <c r="E907" t="str">
        <f t="shared" si="20"/>
        <v>01. Event, Canteen &amp; Catering Equipment</v>
      </c>
      <c r="F907">
        <v>75</v>
      </c>
      <c r="H907" t="b">
        <v>1</v>
      </c>
      <c r="I907">
        <v>1039</v>
      </c>
      <c r="K907" s="192" t="s">
        <v>21</v>
      </c>
      <c r="L907" s="188" t="str">
        <f>IFERROR(_xlfn.XLOOKUP(A907,[1]Fleet!A:A,[1]Fleet!E:E,""),"")</f>
        <v/>
      </c>
      <c r="M907" s="188">
        <v>13.3</v>
      </c>
      <c r="N907" s="188" t="s">
        <v>2224</v>
      </c>
      <c r="O907" s="198" t="s">
        <v>2221</v>
      </c>
      <c r="P907">
        <v>895</v>
      </c>
      <c r="Q907">
        <f>_xlfn.XLOOKUP(A907,'[1]Classic Net to delete'!D:D,'[1]Classic Net to delete'!AA:AA,0)</f>
        <v>1039</v>
      </c>
    </row>
    <row r="908" spans="1:17" x14ac:dyDescent="0.25">
      <c r="A908" t="s">
        <v>2225</v>
      </c>
      <c r="B908" t="s">
        <v>2226</v>
      </c>
      <c r="C908">
        <v>6.26</v>
      </c>
      <c r="D908" t="s">
        <v>2216</v>
      </c>
      <c r="E908" t="str">
        <f t="shared" si="20"/>
        <v>01. Event, Canteen &amp; Catering Equipment</v>
      </c>
      <c r="F908">
        <v>75</v>
      </c>
      <c r="H908" t="b">
        <v>1</v>
      </c>
      <c r="I908">
        <v>1040</v>
      </c>
      <c r="K908" s="192" t="s">
        <v>21</v>
      </c>
      <c r="L908" s="188" t="str">
        <f>IFERROR(_xlfn.XLOOKUP(A908,[1]Fleet!A:A,[1]Fleet!E:E,""),"")</f>
        <v/>
      </c>
      <c r="M908" s="188">
        <v>5.8500000000000005</v>
      </c>
      <c r="N908" s="188" t="s">
        <v>2226</v>
      </c>
      <c r="O908" s="198" t="s">
        <v>2221</v>
      </c>
      <c r="P908">
        <v>896</v>
      </c>
      <c r="Q908">
        <f>_xlfn.XLOOKUP(A908,'[1]Classic Net to delete'!D:D,'[1]Classic Net to delete'!AA:AA,0)</f>
        <v>1040</v>
      </c>
    </row>
    <row r="909" spans="1:17" x14ac:dyDescent="0.25">
      <c r="A909" t="s">
        <v>2227</v>
      </c>
      <c r="B909" t="s">
        <v>2228</v>
      </c>
      <c r="C909">
        <v>45.15</v>
      </c>
      <c r="D909" t="s">
        <v>2216</v>
      </c>
      <c r="E909" t="str">
        <f t="shared" si="20"/>
        <v>01. Event, Canteen &amp; Catering Equipment</v>
      </c>
      <c r="F909">
        <v>75</v>
      </c>
      <c r="H909" t="b">
        <v>1</v>
      </c>
      <c r="I909">
        <v>1045</v>
      </c>
      <c r="K909" s="192" t="s">
        <v>21</v>
      </c>
      <c r="L909" s="188">
        <f>IFERROR(_xlfn.XLOOKUP(A909,[1]Fleet!A:A,[1]Fleet!E:E,""),"")</f>
        <v>1</v>
      </c>
      <c r="M909" s="188">
        <v>42.2</v>
      </c>
      <c r="N909" s="188" t="s">
        <v>2228</v>
      </c>
      <c r="O909" s="198" t="s">
        <v>2221</v>
      </c>
      <c r="P909">
        <v>899</v>
      </c>
      <c r="Q909">
        <f>_xlfn.XLOOKUP(A909,'[1]Classic Net to delete'!D:D,'[1]Classic Net to delete'!AA:AA,0)</f>
        <v>1045</v>
      </c>
    </row>
    <row r="910" spans="1:17" x14ac:dyDescent="0.25">
      <c r="A910" t="s">
        <v>2229</v>
      </c>
      <c r="B910" t="s">
        <v>2230</v>
      </c>
      <c r="C910">
        <v>0</v>
      </c>
      <c r="D910" t="s">
        <v>2216</v>
      </c>
      <c r="E910" t="str">
        <f t="shared" si="20"/>
        <v>01. Event, Canteen &amp; Catering Equipment</v>
      </c>
      <c r="F910">
        <v>75</v>
      </c>
      <c r="H910" t="b">
        <v>0</v>
      </c>
      <c r="I910">
        <v>1046</v>
      </c>
      <c r="K910" s="192" t="s">
        <v>21</v>
      </c>
      <c r="L910" s="188" t="str">
        <f>IFERROR(_xlfn.XLOOKUP(A910,[1]Fleet!A:A,[1]Fleet!E:E,""),"")</f>
        <v/>
      </c>
      <c r="M910" s="188">
        <v>42.5</v>
      </c>
      <c r="N910" s="188" t="s">
        <v>2231</v>
      </c>
      <c r="O910" s="198" t="s">
        <v>2221</v>
      </c>
      <c r="P910">
        <v>898</v>
      </c>
      <c r="Q910">
        <f>_xlfn.XLOOKUP(A910,'[1]Classic Net to delete'!D:D,'[1]Classic Net to delete'!AA:AA,0)</f>
        <v>1046</v>
      </c>
    </row>
    <row r="911" spans="1:17" x14ac:dyDescent="0.25">
      <c r="A911" t="s">
        <v>2232</v>
      </c>
      <c r="B911" t="s">
        <v>2233</v>
      </c>
      <c r="C911">
        <v>12.950000000000001</v>
      </c>
      <c r="D911" t="s">
        <v>2216</v>
      </c>
      <c r="E911" t="str">
        <f t="shared" si="20"/>
        <v>01. Event, Canteen &amp; Catering Equipment</v>
      </c>
      <c r="F911">
        <v>75</v>
      </c>
      <c r="H911" t="b">
        <v>1</v>
      </c>
      <c r="I911">
        <v>1047</v>
      </c>
      <c r="K911" s="192" t="s">
        <v>21</v>
      </c>
      <c r="L911" s="188" t="str">
        <f>IFERROR(_xlfn.XLOOKUP(A911,[1]Fleet!A:A,[1]Fleet!E:E,""),"")</f>
        <v/>
      </c>
      <c r="M911" s="188">
        <v>12.100000000000001</v>
      </c>
      <c r="N911" s="188" t="s">
        <v>2233</v>
      </c>
      <c r="O911" s="198" t="s">
        <v>2221</v>
      </c>
      <c r="P911">
        <v>893</v>
      </c>
      <c r="Q911">
        <f>_xlfn.XLOOKUP(A911,'[1]Classic Net to delete'!D:D,'[1]Classic Net to delete'!AA:AA,0)</f>
        <v>1047</v>
      </c>
    </row>
    <row r="912" spans="1:17" x14ac:dyDescent="0.25">
      <c r="A912" t="s">
        <v>2234</v>
      </c>
      <c r="B912" t="s">
        <v>2235</v>
      </c>
      <c r="C912">
        <v>28.36</v>
      </c>
      <c r="D912" t="s">
        <v>2216</v>
      </c>
      <c r="E912" t="str">
        <f t="shared" si="20"/>
        <v>01. Event, Canteen &amp; Catering Equipment</v>
      </c>
      <c r="F912">
        <v>75</v>
      </c>
      <c r="H912" t="b">
        <v>1</v>
      </c>
      <c r="I912">
        <v>1048</v>
      </c>
      <c r="K912" s="192" t="s">
        <v>21</v>
      </c>
      <c r="L912" s="188" t="str">
        <f>IFERROR(_xlfn.XLOOKUP(A912,[1]Fleet!A:A,[1]Fleet!E:E,""),"")</f>
        <v/>
      </c>
      <c r="M912" s="188">
        <v>26.5</v>
      </c>
      <c r="N912" s="188" t="s">
        <v>2235</v>
      </c>
      <c r="O912" s="198" t="s">
        <v>2221</v>
      </c>
      <c r="P912">
        <v>894</v>
      </c>
      <c r="Q912">
        <f>_xlfn.XLOOKUP(A912,'[1]Classic Net to delete'!D:D,'[1]Classic Net to delete'!AA:AA,0)</f>
        <v>1048</v>
      </c>
    </row>
    <row r="913" spans="1:17" x14ac:dyDescent="0.25">
      <c r="A913" t="s">
        <v>2236</v>
      </c>
      <c r="B913" t="s">
        <v>2237</v>
      </c>
      <c r="C913">
        <v>0</v>
      </c>
      <c r="D913" t="s">
        <v>2216</v>
      </c>
      <c r="E913" t="str">
        <f t="shared" si="20"/>
        <v>01. Event, Canteen &amp; Catering Equipment</v>
      </c>
      <c r="F913">
        <v>75</v>
      </c>
      <c r="H913" t="b">
        <v>0</v>
      </c>
      <c r="I913">
        <v>1049</v>
      </c>
      <c r="K913" s="192" t="s">
        <v>21</v>
      </c>
      <c r="L913" s="188">
        <f>IFERROR(_xlfn.XLOOKUP(A913,[1]Fleet!A:A,[1]Fleet!E:E,""),"")</f>
        <v>0</v>
      </c>
      <c r="M913" s="188">
        <v>97.600000000000009</v>
      </c>
      <c r="N913" s="188" t="s">
        <v>2238</v>
      </c>
      <c r="O913" s="198" t="s">
        <v>2221</v>
      </c>
      <c r="P913">
        <v>900</v>
      </c>
      <c r="Q913">
        <f>_xlfn.XLOOKUP(A913,'[1]Classic Net to delete'!D:D,'[1]Classic Net to delete'!AA:AA,0)</f>
        <v>1049</v>
      </c>
    </row>
    <row r="914" spans="1:17" x14ac:dyDescent="0.25">
      <c r="A914" t="s">
        <v>2239</v>
      </c>
      <c r="B914" t="s">
        <v>2240</v>
      </c>
      <c r="C914">
        <v>202.5</v>
      </c>
      <c r="D914" t="s">
        <v>2216</v>
      </c>
      <c r="E914" t="str">
        <f t="shared" si="20"/>
        <v>01. Event, Canteen &amp; Catering Equipment</v>
      </c>
      <c r="F914">
        <v>75</v>
      </c>
      <c r="H914" t="b">
        <v>1</v>
      </c>
      <c r="I914">
        <v>1050</v>
      </c>
      <c r="K914" s="192" t="s">
        <v>21</v>
      </c>
      <c r="L914" s="188" t="str">
        <f>IFERROR(_xlfn.XLOOKUP(A914,[1]Fleet!A:A,[1]Fleet!E:E,""),"")</f>
        <v/>
      </c>
      <c r="M914" s="188">
        <v>189.25</v>
      </c>
      <c r="N914" s="188" t="s">
        <v>2241</v>
      </c>
      <c r="O914" s="198" t="s">
        <v>2221</v>
      </c>
      <c r="P914">
        <v>892</v>
      </c>
      <c r="Q914">
        <f>_xlfn.XLOOKUP(A914,'[1]Classic Net to delete'!D:D,'[1]Classic Net to delete'!AA:AA,0)</f>
        <v>1050</v>
      </c>
    </row>
    <row r="915" spans="1:17" x14ac:dyDescent="0.25">
      <c r="A915" t="s">
        <v>2242</v>
      </c>
      <c r="B915" t="s">
        <v>2243</v>
      </c>
      <c r="C915">
        <v>135.09</v>
      </c>
      <c r="D915" t="s">
        <v>2216</v>
      </c>
      <c r="E915" t="str">
        <f t="shared" si="20"/>
        <v>01. Event, Canteen &amp; Catering Equipment</v>
      </c>
      <c r="F915">
        <v>75</v>
      </c>
      <c r="H915" t="b">
        <v>1</v>
      </c>
      <c r="I915">
        <v>1051</v>
      </c>
      <c r="K915" s="192" t="s">
        <v>21</v>
      </c>
      <c r="L915" s="188" t="str">
        <f>IFERROR(_xlfn.XLOOKUP(A915,[1]Fleet!A:A,[1]Fleet!E:E,""),"")</f>
        <v/>
      </c>
      <c r="M915" s="188">
        <v>126.25</v>
      </c>
      <c r="N915" s="188" t="s">
        <v>2244</v>
      </c>
      <c r="O915" s="198" t="s">
        <v>2221</v>
      </c>
      <c r="P915">
        <v>891</v>
      </c>
      <c r="Q915">
        <f>_xlfn.XLOOKUP(A915,'[1]Classic Net to delete'!D:D,'[1]Classic Net to delete'!AA:AA,0)</f>
        <v>1051</v>
      </c>
    </row>
    <row r="916" spans="1:17" x14ac:dyDescent="0.25">
      <c r="A916" t="s">
        <v>2245</v>
      </c>
      <c r="B916" t="s">
        <v>2246</v>
      </c>
      <c r="C916">
        <v>19.900000000000002</v>
      </c>
      <c r="D916" t="s">
        <v>2216</v>
      </c>
      <c r="E916" t="str">
        <f t="shared" si="20"/>
        <v>02. Office Storage</v>
      </c>
      <c r="F916">
        <v>75</v>
      </c>
      <c r="H916" t="b">
        <v>1</v>
      </c>
      <c r="I916">
        <v>1017</v>
      </c>
      <c r="K916" s="192" t="s">
        <v>54</v>
      </c>
      <c r="L916" s="188" t="str">
        <f>IFERROR(_xlfn.XLOOKUP(A916,[1]Fleet!A:A,[1]Fleet!E:E,""),"")</f>
        <v/>
      </c>
      <c r="M916" s="188">
        <v>18.600000000000001</v>
      </c>
      <c r="N916" s="188" t="s">
        <v>2247</v>
      </c>
      <c r="O916" s="198" t="s">
        <v>2248</v>
      </c>
      <c r="P916">
        <v>913</v>
      </c>
      <c r="Q916">
        <f>_xlfn.XLOOKUP(A916,'[1]Classic Net to delete'!D:D,'[1]Classic Net to delete'!AA:AA,0)</f>
        <v>1017</v>
      </c>
    </row>
    <row r="917" spans="1:17" x14ac:dyDescent="0.25">
      <c r="A917" t="s">
        <v>2249</v>
      </c>
      <c r="B917" t="s">
        <v>2250</v>
      </c>
      <c r="C917">
        <v>6.96</v>
      </c>
      <c r="D917" t="s">
        <v>2216</v>
      </c>
      <c r="E917" t="str">
        <f t="shared" si="20"/>
        <v>02. Office Storage</v>
      </c>
      <c r="F917">
        <v>75</v>
      </c>
      <c r="H917" t="b">
        <v>1</v>
      </c>
      <c r="I917">
        <v>1019</v>
      </c>
      <c r="K917" s="192" t="s">
        <v>54</v>
      </c>
      <c r="L917" s="188" t="str">
        <f>IFERROR(_xlfn.XLOOKUP(A917,[1]Fleet!A:A,[1]Fleet!E:E,""),"")</f>
        <v/>
      </c>
      <c r="M917" s="188">
        <v>6.5</v>
      </c>
      <c r="N917" s="188" t="s">
        <v>2250</v>
      </c>
      <c r="O917" s="198" t="s">
        <v>2248</v>
      </c>
      <c r="P917">
        <v>912</v>
      </c>
      <c r="Q917">
        <f>_xlfn.XLOOKUP(A917,'[1]Classic Net to delete'!D:D,'[1]Classic Net to delete'!AA:AA,0)</f>
        <v>1019</v>
      </c>
    </row>
    <row r="918" spans="1:17" x14ac:dyDescent="0.25">
      <c r="A918" t="s">
        <v>2251</v>
      </c>
      <c r="B918" t="s">
        <v>2252</v>
      </c>
      <c r="C918">
        <v>19.900000000000002</v>
      </c>
      <c r="D918" t="s">
        <v>2216</v>
      </c>
      <c r="E918" t="str">
        <f t="shared" si="20"/>
        <v>02. Office Storage</v>
      </c>
      <c r="F918">
        <v>75</v>
      </c>
      <c r="H918" t="b">
        <v>1</v>
      </c>
      <c r="I918">
        <v>1020</v>
      </c>
      <c r="K918" s="192" t="s">
        <v>54</v>
      </c>
      <c r="L918" s="188" t="str">
        <f>IFERROR(_xlfn.XLOOKUP(A918,[1]Fleet!A:A,[1]Fleet!E:E,""),"")</f>
        <v/>
      </c>
      <c r="M918" s="188">
        <v>18.600000000000001</v>
      </c>
      <c r="N918" s="188" t="s">
        <v>2253</v>
      </c>
      <c r="O918" s="198" t="s">
        <v>2248</v>
      </c>
      <c r="P918">
        <v>911</v>
      </c>
      <c r="Q918">
        <f>_xlfn.XLOOKUP(A918,'[1]Classic Net to delete'!D:D,'[1]Classic Net to delete'!AA:AA,0)</f>
        <v>1020</v>
      </c>
    </row>
    <row r="919" spans="1:17" x14ac:dyDescent="0.25">
      <c r="A919" t="s">
        <v>2254</v>
      </c>
      <c r="B919" t="s">
        <v>2255</v>
      </c>
      <c r="C919">
        <v>23.97</v>
      </c>
      <c r="D919" t="s">
        <v>2216</v>
      </c>
      <c r="E919" t="str">
        <f t="shared" si="20"/>
        <v>02. Office Storage</v>
      </c>
      <c r="F919">
        <v>75</v>
      </c>
      <c r="H919" t="b">
        <v>1</v>
      </c>
      <c r="I919">
        <v>1021</v>
      </c>
      <c r="K919" s="192" t="s">
        <v>54</v>
      </c>
      <c r="L919" s="188" t="str">
        <f>IFERROR(_xlfn.XLOOKUP(A919,[1]Fleet!A:A,[1]Fleet!E:E,""),"")</f>
        <v/>
      </c>
      <c r="M919" s="188">
        <v>22.400000000000002</v>
      </c>
      <c r="N919" s="188" t="s">
        <v>2256</v>
      </c>
      <c r="O919" s="198" t="s">
        <v>2248</v>
      </c>
      <c r="P919">
        <v>914</v>
      </c>
      <c r="Q919">
        <f>_xlfn.XLOOKUP(A919,'[1]Classic Net to delete'!D:D,'[1]Classic Net to delete'!AA:AA,0)</f>
        <v>1021</v>
      </c>
    </row>
    <row r="920" spans="1:17" x14ac:dyDescent="0.25">
      <c r="A920" t="s">
        <v>2257</v>
      </c>
      <c r="B920" t="s">
        <v>2258</v>
      </c>
      <c r="C920">
        <v>42.59</v>
      </c>
      <c r="D920" t="s">
        <v>2216</v>
      </c>
      <c r="E920" t="str">
        <f t="shared" si="20"/>
        <v>02. Office Storage</v>
      </c>
      <c r="F920">
        <v>75</v>
      </c>
      <c r="H920" t="b">
        <v>1</v>
      </c>
      <c r="I920">
        <v>1024</v>
      </c>
      <c r="K920" s="192" t="s">
        <v>54</v>
      </c>
      <c r="L920" s="188" t="str">
        <f>IFERROR(_xlfn.XLOOKUP(A920,[1]Fleet!A:A,[1]Fleet!E:E,""),"")</f>
        <v/>
      </c>
      <c r="M920" s="188">
        <v>39.800000000000004</v>
      </c>
      <c r="N920" s="188" t="s">
        <v>2259</v>
      </c>
      <c r="O920" s="198" t="s">
        <v>2248</v>
      </c>
      <c r="P920">
        <v>909</v>
      </c>
      <c r="Q920">
        <f>_xlfn.XLOOKUP(A920,'[1]Classic Net to delete'!D:D,'[1]Classic Net to delete'!AA:AA,0)</f>
        <v>1024</v>
      </c>
    </row>
    <row r="921" spans="1:17" x14ac:dyDescent="0.25">
      <c r="A921" t="s">
        <v>2260</v>
      </c>
      <c r="B921" t="s">
        <v>2261</v>
      </c>
      <c r="C921">
        <v>39.75</v>
      </c>
      <c r="D921" t="s">
        <v>2216</v>
      </c>
      <c r="E921" t="str">
        <f t="shared" si="20"/>
        <v>02. Office Storage</v>
      </c>
      <c r="F921">
        <v>75</v>
      </c>
      <c r="H921" t="b">
        <v>1</v>
      </c>
      <c r="I921">
        <v>1025</v>
      </c>
      <c r="K921" s="192" t="s">
        <v>54</v>
      </c>
      <c r="L921" s="188" t="str">
        <f>IFERROR(_xlfn.XLOOKUP(A921,[1]Fleet!A:A,[1]Fleet!E:E,""),"")</f>
        <v/>
      </c>
      <c r="M921" s="188">
        <v>37.15</v>
      </c>
      <c r="N921" s="188" t="s">
        <v>2262</v>
      </c>
      <c r="O921" s="198" t="s">
        <v>2248</v>
      </c>
      <c r="P921">
        <v>910</v>
      </c>
      <c r="Q921">
        <f>_xlfn.XLOOKUP(A921,'[1]Classic Net to delete'!D:D,'[1]Classic Net to delete'!AA:AA,0)</f>
        <v>1025</v>
      </c>
    </row>
    <row r="922" spans="1:17" x14ac:dyDescent="0.25">
      <c r="A922" t="s">
        <v>2263</v>
      </c>
      <c r="B922" t="s">
        <v>2264</v>
      </c>
      <c r="C922">
        <v>34.130000000000003</v>
      </c>
      <c r="D922" t="s">
        <v>2216</v>
      </c>
      <c r="E922" t="str">
        <f t="shared" si="20"/>
        <v>02. Office Storage</v>
      </c>
      <c r="F922">
        <v>75</v>
      </c>
      <c r="H922" t="b">
        <v>1</v>
      </c>
      <c r="I922">
        <v>1026</v>
      </c>
      <c r="K922" s="192" t="s">
        <v>54</v>
      </c>
      <c r="L922" s="188" t="str">
        <f>IFERROR(_xlfn.XLOOKUP(A922,[1]Fleet!A:A,[1]Fleet!E:E,""),"")</f>
        <v/>
      </c>
      <c r="M922" s="188">
        <v>31.900000000000002</v>
      </c>
      <c r="N922" s="188" t="s">
        <v>2265</v>
      </c>
      <c r="O922" s="198" t="s">
        <v>2248</v>
      </c>
      <c r="P922">
        <v>906</v>
      </c>
      <c r="Q922">
        <f>_xlfn.XLOOKUP(A922,'[1]Classic Net to delete'!D:D,'[1]Classic Net to delete'!AA:AA,0)</f>
        <v>1026</v>
      </c>
    </row>
    <row r="923" spans="1:17" x14ac:dyDescent="0.25">
      <c r="A923" t="s">
        <v>2266</v>
      </c>
      <c r="B923" t="s">
        <v>2267</v>
      </c>
      <c r="C923">
        <v>28.36</v>
      </c>
      <c r="D923" t="s">
        <v>2216</v>
      </c>
      <c r="E923" t="str">
        <f t="shared" si="20"/>
        <v>02. Office Storage</v>
      </c>
      <c r="F923">
        <v>75</v>
      </c>
      <c r="H923" t="b">
        <v>1</v>
      </c>
      <c r="I923">
        <v>1027</v>
      </c>
      <c r="K923" s="192" t="s">
        <v>54</v>
      </c>
      <c r="L923" s="188" t="str">
        <f>IFERROR(_xlfn.XLOOKUP(A923,[1]Fleet!A:A,[1]Fleet!E:E,""),"")</f>
        <v/>
      </c>
      <c r="M923" s="188">
        <v>26.5</v>
      </c>
      <c r="N923" s="188" t="s">
        <v>2268</v>
      </c>
      <c r="O923" s="198" t="s">
        <v>2248</v>
      </c>
      <c r="P923">
        <v>907</v>
      </c>
      <c r="Q923">
        <f>_xlfn.XLOOKUP(A923,'[1]Classic Net to delete'!D:D,'[1]Classic Net to delete'!AA:AA,0)</f>
        <v>1027</v>
      </c>
    </row>
    <row r="924" spans="1:17" x14ac:dyDescent="0.25">
      <c r="A924" t="s">
        <v>2269</v>
      </c>
      <c r="B924" t="s">
        <v>2270</v>
      </c>
      <c r="C924">
        <v>22.740000000000002</v>
      </c>
      <c r="D924" t="s">
        <v>2216</v>
      </c>
      <c r="E924" t="str">
        <f t="shared" si="20"/>
        <v>02. Office Storage</v>
      </c>
      <c r="F924">
        <v>75</v>
      </c>
      <c r="H924" t="b">
        <v>1</v>
      </c>
      <c r="I924">
        <v>1028</v>
      </c>
      <c r="K924" s="192" t="s">
        <v>54</v>
      </c>
      <c r="L924" s="188" t="str">
        <f>IFERROR(_xlfn.XLOOKUP(A924,[1]Fleet!A:A,[1]Fleet!E:E,""),"")</f>
        <v/>
      </c>
      <c r="M924" s="188">
        <v>21.25</v>
      </c>
      <c r="N924" s="188" t="s">
        <v>2271</v>
      </c>
      <c r="O924" s="198" t="s">
        <v>2248</v>
      </c>
      <c r="P924">
        <v>908</v>
      </c>
      <c r="Q924">
        <f>_xlfn.XLOOKUP(A924,'[1]Classic Net to delete'!D:D,'[1]Classic Net to delete'!AA:AA,0)</f>
        <v>1028</v>
      </c>
    </row>
    <row r="925" spans="1:17" x14ac:dyDescent="0.25">
      <c r="A925" t="s">
        <v>2272</v>
      </c>
      <c r="B925" t="s">
        <v>2273</v>
      </c>
      <c r="C925">
        <v>63.77</v>
      </c>
      <c r="D925" t="s">
        <v>2216</v>
      </c>
      <c r="E925" t="str">
        <f t="shared" si="20"/>
        <v>02. Office Storage</v>
      </c>
      <c r="F925">
        <v>75</v>
      </c>
      <c r="H925" t="b">
        <v>1</v>
      </c>
      <c r="I925">
        <v>1029</v>
      </c>
      <c r="K925" s="192" t="s">
        <v>54</v>
      </c>
      <c r="L925" s="188" t="str">
        <f>IFERROR(_xlfn.XLOOKUP(A925,[1]Fleet!A:A,[1]Fleet!E:E,""),"")</f>
        <v/>
      </c>
      <c r="M925" s="188">
        <v>59.6</v>
      </c>
      <c r="N925" s="188" t="s">
        <v>2274</v>
      </c>
      <c r="O925" s="198" t="s">
        <v>2248</v>
      </c>
      <c r="P925">
        <v>905</v>
      </c>
      <c r="Q925">
        <f>_xlfn.XLOOKUP(A925,'[1]Classic Net to delete'!D:D,'[1]Classic Net to delete'!AA:AA,0)</f>
        <v>1029</v>
      </c>
    </row>
    <row r="926" spans="1:17" x14ac:dyDescent="0.25">
      <c r="A926" t="s">
        <v>2275</v>
      </c>
      <c r="B926" t="s">
        <v>2276</v>
      </c>
      <c r="C926">
        <v>7.92</v>
      </c>
      <c r="D926" t="s">
        <v>2216</v>
      </c>
      <c r="E926" t="str">
        <f t="shared" si="20"/>
        <v>02. Office Storage</v>
      </c>
      <c r="F926">
        <v>75</v>
      </c>
      <c r="H926" t="b">
        <v>1</v>
      </c>
      <c r="I926">
        <v>1030</v>
      </c>
      <c r="K926" s="192" t="s">
        <v>54</v>
      </c>
      <c r="L926" s="188" t="str">
        <f>IFERROR(_xlfn.XLOOKUP(A926,[1]Fleet!A:A,[1]Fleet!E:E,""),"")</f>
        <v/>
      </c>
      <c r="M926" s="188">
        <v>7.4</v>
      </c>
      <c r="N926" s="188" t="s">
        <v>2277</v>
      </c>
      <c r="O926" s="198" t="s">
        <v>2248</v>
      </c>
      <c r="P926">
        <v>904</v>
      </c>
      <c r="Q926">
        <f>_xlfn.XLOOKUP(A926,'[1]Classic Net to delete'!D:D,'[1]Classic Net to delete'!AA:AA,0)</f>
        <v>1030</v>
      </c>
    </row>
    <row r="927" spans="1:17" x14ac:dyDescent="0.25">
      <c r="A927" t="s">
        <v>2278</v>
      </c>
      <c r="B927" t="s">
        <v>2279</v>
      </c>
      <c r="C927">
        <v>17.07</v>
      </c>
      <c r="D927" t="s">
        <v>2216</v>
      </c>
      <c r="E927" t="str">
        <f t="shared" si="20"/>
        <v>03. Lockers</v>
      </c>
      <c r="F927">
        <v>75</v>
      </c>
      <c r="H927" t="b">
        <v>1</v>
      </c>
      <c r="I927">
        <v>1034</v>
      </c>
      <c r="K927" s="192" t="s">
        <v>85</v>
      </c>
      <c r="L927" s="188" t="str">
        <f>IFERROR(_xlfn.XLOOKUP(A927,[1]Fleet!A:A,[1]Fleet!E:E,""),"")</f>
        <v/>
      </c>
      <c r="M927" s="188">
        <v>15.950000000000001</v>
      </c>
      <c r="N927" s="188" t="s">
        <v>2279</v>
      </c>
      <c r="O927" s="198" t="s">
        <v>2280</v>
      </c>
      <c r="P927">
        <v>903</v>
      </c>
      <c r="Q927">
        <f>_xlfn.XLOOKUP(A927,'[1]Classic Net to delete'!D:D,'[1]Classic Net to delete'!AA:AA,0)</f>
        <v>1034</v>
      </c>
    </row>
    <row r="928" spans="1:17" x14ac:dyDescent="0.25">
      <c r="A928" t="s">
        <v>2281</v>
      </c>
      <c r="B928" t="s">
        <v>2282</v>
      </c>
      <c r="C928">
        <v>23.97</v>
      </c>
      <c r="D928" t="s">
        <v>2216</v>
      </c>
      <c r="E928" t="str">
        <f t="shared" si="20"/>
        <v>03. Lockers</v>
      </c>
      <c r="F928">
        <v>75</v>
      </c>
      <c r="H928" t="b">
        <v>1</v>
      </c>
      <c r="I928">
        <v>1035</v>
      </c>
      <c r="K928" s="192" t="s">
        <v>85</v>
      </c>
      <c r="L928" s="188" t="str">
        <f>IFERROR(_xlfn.XLOOKUP(A928,[1]Fleet!A:A,[1]Fleet!E:E,""),"")</f>
        <v/>
      </c>
      <c r="M928" s="188">
        <v>22.400000000000002</v>
      </c>
      <c r="N928" s="188" t="s">
        <v>2282</v>
      </c>
      <c r="O928" s="198" t="s">
        <v>2280</v>
      </c>
      <c r="P928">
        <v>902</v>
      </c>
      <c r="Q928">
        <f>_xlfn.XLOOKUP(A928,'[1]Classic Net to delete'!D:D,'[1]Classic Net to delete'!AA:AA,0)</f>
        <v>1035</v>
      </c>
    </row>
    <row r="929" spans="1:17" x14ac:dyDescent="0.25">
      <c r="A929" t="s">
        <v>2283</v>
      </c>
      <c r="B929" t="s">
        <v>2284</v>
      </c>
      <c r="C929">
        <v>23.97</v>
      </c>
      <c r="D929" t="s">
        <v>2216</v>
      </c>
      <c r="E929" t="str">
        <f t="shared" si="20"/>
        <v>03. Lockers</v>
      </c>
      <c r="F929">
        <v>75</v>
      </c>
      <c r="H929" t="b">
        <v>1</v>
      </c>
      <c r="I929">
        <v>1036</v>
      </c>
      <c r="K929" s="192" t="s">
        <v>85</v>
      </c>
      <c r="L929" s="188" t="str">
        <f>IFERROR(_xlfn.XLOOKUP(A929,[1]Fleet!A:A,[1]Fleet!E:E,""),"")</f>
        <v/>
      </c>
      <c r="M929" s="188">
        <v>22.400000000000002</v>
      </c>
      <c r="N929" s="188" t="s">
        <v>2284</v>
      </c>
      <c r="O929" s="198" t="s">
        <v>2280</v>
      </c>
      <c r="P929">
        <v>901</v>
      </c>
      <c r="Q929">
        <f>_xlfn.XLOOKUP(A929,'[1]Classic Net to delete'!D:D,'[1]Classic Net to delete'!AA:AA,0)</f>
        <v>1036</v>
      </c>
    </row>
    <row r="930" spans="1:17" x14ac:dyDescent="0.25">
      <c r="A930" t="s">
        <v>2285</v>
      </c>
      <c r="B930" t="s">
        <v>2286</v>
      </c>
      <c r="C930">
        <v>194.04</v>
      </c>
      <c r="D930" t="s">
        <v>2287</v>
      </c>
      <c r="E930" t="str">
        <f t="shared" si="20"/>
        <v>. Floor Machines</v>
      </c>
      <c r="F930">
        <v>75</v>
      </c>
      <c r="H930" t="b">
        <v>0</v>
      </c>
      <c r="I930">
        <v>0</v>
      </c>
      <c r="L930" s="188">
        <f>IFERROR(_xlfn.XLOOKUP(A930,[1]Fleet!A:A,[1]Fleet!E:E,""),"")</f>
        <v>8</v>
      </c>
      <c r="M930" s="188" t="s">
        <v>22</v>
      </c>
      <c r="N930" s="188" t="s">
        <v>22</v>
      </c>
      <c r="O930" s="198" t="s">
        <v>2288</v>
      </c>
      <c r="P930">
        <v>920</v>
      </c>
      <c r="Q930">
        <f>_xlfn.XLOOKUP(A930,'[1]Classic Net to delete'!D:D,'[1]Classic Net to delete'!AA:AA,0)</f>
        <v>0</v>
      </c>
    </row>
    <row r="931" spans="1:17" x14ac:dyDescent="0.25">
      <c r="A931" t="s">
        <v>2289</v>
      </c>
      <c r="B931" t="s">
        <v>2290</v>
      </c>
      <c r="C931">
        <v>80.790000000000006</v>
      </c>
      <c r="D931" t="s">
        <v>2287</v>
      </c>
      <c r="E931" t="str">
        <f t="shared" si="20"/>
        <v>01. Grinders</v>
      </c>
      <c r="F931">
        <v>75</v>
      </c>
      <c r="H931" t="b">
        <v>1</v>
      </c>
      <c r="I931">
        <v>708</v>
      </c>
      <c r="K931" s="192" t="s">
        <v>21</v>
      </c>
      <c r="L931" s="188">
        <f>IFERROR(_xlfn.XLOOKUP(A931,[1]Fleet!A:A,[1]Fleet!E:E,""),"")</f>
        <v>9</v>
      </c>
      <c r="M931" s="188">
        <v>75.5</v>
      </c>
      <c r="N931" s="188" t="s">
        <v>2290</v>
      </c>
      <c r="O931" s="198" t="s">
        <v>2291</v>
      </c>
      <c r="P931">
        <v>926</v>
      </c>
      <c r="Q931">
        <f>_xlfn.XLOOKUP(A931,'[1]Classic Net to delete'!D:D,'[1]Classic Net to delete'!AA:AA,0)</f>
        <v>708</v>
      </c>
    </row>
    <row r="932" spans="1:17" x14ac:dyDescent="0.25">
      <c r="A932" t="s">
        <v>2292</v>
      </c>
      <c r="B932" t="s">
        <v>2293</v>
      </c>
      <c r="C932">
        <v>198.1</v>
      </c>
      <c r="D932" t="s">
        <v>2287</v>
      </c>
      <c r="E932" t="str">
        <f t="shared" si="20"/>
        <v>01. Grinders</v>
      </c>
      <c r="F932">
        <v>75</v>
      </c>
      <c r="H932" t="b">
        <v>1</v>
      </c>
      <c r="I932">
        <v>711</v>
      </c>
      <c r="K932" s="192" t="s">
        <v>21</v>
      </c>
      <c r="L932" s="188">
        <f>IFERROR(_xlfn.XLOOKUP(A932,[1]Fleet!A:A,[1]Fleet!E:E,""),"")</f>
        <v>10</v>
      </c>
      <c r="M932" s="188">
        <v>141.5</v>
      </c>
      <c r="N932" s="188" t="s">
        <v>2294</v>
      </c>
      <c r="O932" s="198" t="s">
        <v>2291</v>
      </c>
      <c r="P932">
        <v>928</v>
      </c>
      <c r="Q932">
        <f>_xlfn.XLOOKUP(A932,'[1]Classic Net to delete'!D:D,'[1]Classic Net to delete'!AA:AA,0)</f>
        <v>711</v>
      </c>
    </row>
    <row r="933" spans="1:17" x14ac:dyDescent="0.25">
      <c r="A933" t="s">
        <v>2295</v>
      </c>
      <c r="B933" t="s">
        <v>2296</v>
      </c>
      <c r="C933">
        <v>167.1</v>
      </c>
      <c r="D933" t="s">
        <v>2287</v>
      </c>
      <c r="E933" t="str">
        <f t="shared" si="20"/>
        <v>01. Grinders</v>
      </c>
      <c r="F933">
        <v>75</v>
      </c>
      <c r="H933" t="b">
        <v>1</v>
      </c>
      <c r="I933">
        <v>712</v>
      </c>
      <c r="K933" s="192" t="s">
        <v>21</v>
      </c>
      <c r="L933" s="188">
        <f>IFERROR(_xlfn.XLOOKUP(A933,[1]Fleet!A:A,[1]Fleet!E:E,""),"")</f>
        <v>10</v>
      </c>
      <c r="M933" s="188">
        <v>149.20000000000002</v>
      </c>
      <c r="N933" s="188" t="s">
        <v>2297</v>
      </c>
      <c r="O933" s="198" t="s">
        <v>2291</v>
      </c>
      <c r="P933">
        <v>922</v>
      </c>
      <c r="Q933">
        <f>_xlfn.XLOOKUP(A933,'[1]Classic Net to delete'!D:D,'[1]Classic Net to delete'!AA:AA,0)</f>
        <v>712</v>
      </c>
    </row>
    <row r="934" spans="1:17" x14ac:dyDescent="0.25">
      <c r="A934" t="s">
        <v>2298</v>
      </c>
      <c r="B934" t="s">
        <v>2299</v>
      </c>
      <c r="C934">
        <v>12.36</v>
      </c>
      <c r="D934" t="s">
        <v>2287</v>
      </c>
      <c r="E934" t="str">
        <f t="shared" si="20"/>
        <v>01. Grinders</v>
      </c>
      <c r="F934">
        <v>75</v>
      </c>
      <c r="H934" t="b">
        <v>1</v>
      </c>
      <c r="I934">
        <v>713</v>
      </c>
      <c r="K934" s="192" t="s">
        <v>21</v>
      </c>
      <c r="L934" s="188" t="str">
        <f>IFERROR(_xlfn.XLOOKUP(A934,[1]Fleet!A:A,[1]Fleet!E:E,""),"")</f>
        <v/>
      </c>
      <c r="M934" s="188">
        <v>11.55</v>
      </c>
      <c r="N934" s="188" t="s">
        <v>2300</v>
      </c>
      <c r="O934" s="198" t="s">
        <v>2291</v>
      </c>
      <c r="P934">
        <v>925</v>
      </c>
      <c r="Q934">
        <f>_xlfn.XLOOKUP(A934,'[1]Classic Net to delete'!D:D,'[1]Classic Net to delete'!AA:AA,0)</f>
        <v>713</v>
      </c>
    </row>
    <row r="935" spans="1:17" x14ac:dyDescent="0.25">
      <c r="A935" t="s">
        <v>2301</v>
      </c>
      <c r="B935" t="s">
        <v>2302</v>
      </c>
      <c r="C935">
        <v>35.36</v>
      </c>
      <c r="D935" t="s">
        <v>2287</v>
      </c>
      <c r="E935" t="str">
        <f t="shared" si="20"/>
        <v>01. Grinders</v>
      </c>
      <c r="F935">
        <v>75</v>
      </c>
      <c r="H935" t="b">
        <v>1</v>
      </c>
      <c r="I935">
        <v>714</v>
      </c>
      <c r="K935" s="192" t="s">
        <v>21</v>
      </c>
      <c r="L935" s="188">
        <f>IFERROR(_xlfn.XLOOKUP(A935,[1]Fleet!A:A,[1]Fleet!E:E,""),"")</f>
        <v>8</v>
      </c>
      <c r="M935" s="188">
        <v>33.050000000000004</v>
      </c>
      <c r="N935" s="188" t="s">
        <v>2303</v>
      </c>
      <c r="O935" s="198" t="s">
        <v>2291</v>
      </c>
      <c r="P935">
        <v>279</v>
      </c>
      <c r="Q935">
        <f>_xlfn.XLOOKUP(A935,'[1]Classic Net to delete'!D:D,'[1]Classic Net to delete'!AA:AA,0)</f>
        <v>714</v>
      </c>
    </row>
    <row r="936" spans="1:17" x14ac:dyDescent="0.25">
      <c r="A936" t="s">
        <v>2304</v>
      </c>
      <c r="B936" t="s">
        <v>2305</v>
      </c>
      <c r="C936">
        <v>167.19</v>
      </c>
      <c r="D936" t="s">
        <v>2287</v>
      </c>
      <c r="E936" t="str">
        <f t="shared" si="20"/>
        <v>01. Grinders</v>
      </c>
      <c r="F936">
        <v>75</v>
      </c>
      <c r="H936" t="b">
        <v>1</v>
      </c>
      <c r="I936">
        <v>715</v>
      </c>
      <c r="K936" s="192" t="s">
        <v>21</v>
      </c>
      <c r="L936" s="188">
        <f>IFERROR(_xlfn.XLOOKUP(A936,[1]Fleet!A:A,[1]Fleet!E:E,""),"")</f>
        <v>23</v>
      </c>
      <c r="M936" s="188">
        <v>156.25</v>
      </c>
      <c r="N936" s="188" t="s">
        <v>2306</v>
      </c>
      <c r="O936" s="198" t="s">
        <v>2291</v>
      </c>
      <c r="P936">
        <v>923</v>
      </c>
      <c r="Q936">
        <f>_xlfn.XLOOKUP(A936,'[1]Classic Net to delete'!D:D,'[1]Classic Net to delete'!AA:AA,0)</f>
        <v>715</v>
      </c>
    </row>
    <row r="937" spans="1:17" x14ac:dyDescent="0.25">
      <c r="A937" t="s">
        <v>2307</v>
      </c>
      <c r="B937" t="s">
        <v>2308</v>
      </c>
      <c r="C937">
        <v>72.23</v>
      </c>
      <c r="D937" t="s">
        <v>2287</v>
      </c>
      <c r="E937" t="str">
        <f t="shared" si="20"/>
        <v>02. Scarifiers, Planer &amp; Strippers</v>
      </c>
      <c r="F937">
        <v>75</v>
      </c>
      <c r="H937" t="b">
        <v>1</v>
      </c>
      <c r="I937">
        <v>719</v>
      </c>
      <c r="K937" s="192" t="s">
        <v>54</v>
      </c>
      <c r="L937" s="188">
        <f>IFERROR(_xlfn.XLOOKUP(A937,[1]Fleet!A:A,[1]Fleet!E:E,""),"")</f>
        <v>3</v>
      </c>
      <c r="M937" s="188">
        <v>67.5</v>
      </c>
      <c r="N937" s="188" t="s">
        <v>2308</v>
      </c>
      <c r="O937" s="198" t="s">
        <v>2309</v>
      </c>
      <c r="P937">
        <v>927</v>
      </c>
      <c r="Q937">
        <f>_xlfn.XLOOKUP(A937,'[1]Classic Net to delete'!D:D,'[1]Classic Net to delete'!AA:AA,0)</f>
        <v>719</v>
      </c>
    </row>
    <row r="938" spans="1:17" x14ac:dyDescent="0.25">
      <c r="A938" t="s">
        <v>2310</v>
      </c>
      <c r="B938" t="s">
        <v>2311</v>
      </c>
      <c r="C938">
        <v>194.04</v>
      </c>
      <c r="D938" t="s">
        <v>2287</v>
      </c>
      <c r="E938" t="str">
        <f t="shared" si="20"/>
        <v>02. Scarifiers, Planer &amp; Strippers</v>
      </c>
      <c r="F938">
        <v>75</v>
      </c>
      <c r="H938" t="b">
        <v>1</v>
      </c>
      <c r="I938">
        <v>720</v>
      </c>
      <c r="K938" s="192" t="s">
        <v>54</v>
      </c>
      <c r="L938" s="188">
        <f>IFERROR(_xlfn.XLOOKUP(A938,[1]Fleet!A:A,[1]Fleet!E:E,""),"")</f>
        <v>13</v>
      </c>
      <c r="M938" s="188">
        <v>181.35000000000002</v>
      </c>
      <c r="N938" s="188" t="s">
        <v>2312</v>
      </c>
      <c r="O938" s="198" t="s">
        <v>2309</v>
      </c>
      <c r="P938">
        <v>919</v>
      </c>
      <c r="Q938">
        <f>_xlfn.XLOOKUP(A938,'[1]Classic Net to delete'!D:D,'[1]Classic Net to delete'!AA:AA,0)</f>
        <v>720</v>
      </c>
    </row>
    <row r="939" spans="1:17" x14ac:dyDescent="0.25">
      <c r="A939" t="s">
        <v>2313</v>
      </c>
      <c r="B939" t="s">
        <v>2314</v>
      </c>
      <c r="C939">
        <v>126.21000000000001</v>
      </c>
      <c r="D939" t="s">
        <v>2287</v>
      </c>
      <c r="E939" t="str">
        <f t="shared" si="20"/>
        <v>02. Scarifiers, Planer &amp; Strippers</v>
      </c>
      <c r="F939">
        <v>75</v>
      </c>
      <c r="H939" t="b">
        <v>1</v>
      </c>
      <c r="I939">
        <v>721</v>
      </c>
      <c r="K939" s="192" t="s">
        <v>54</v>
      </c>
      <c r="L939" s="188">
        <f>IFERROR(_xlfn.XLOOKUP(A939,[1]Fleet!A:A,[1]Fleet!E:E,""),"")</f>
        <v>6</v>
      </c>
      <c r="M939" s="188">
        <v>117.95</v>
      </c>
      <c r="N939" s="188" t="s">
        <v>2314</v>
      </c>
      <c r="O939" s="198" t="s">
        <v>2309</v>
      </c>
      <c r="P939">
        <v>921</v>
      </c>
      <c r="Q939">
        <f>_xlfn.XLOOKUP(A939,'[1]Classic Net to delete'!D:D,'[1]Classic Net to delete'!AA:AA,0)</f>
        <v>721</v>
      </c>
    </row>
    <row r="940" spans="1:17" x14ac:dyDescent="0.25">
      <c r="A940" t="s">
        <v>2315</v>
      </c>
      <c r="B940" t="s">
        <v>2316</v>
      </c>
      <c r="C940">
        <v>160.55000000000001</v>
      </c>
      <c r="D940" t="s">
        <v>2287</v>
      </c>
      <c r="E940" t="str">
        <f t="shared" si="20"/>
        <v>03. Floor Saws</v>
      </c>
      <c r="F940">
        <v>75</v>
      </c>
      <c r="H940" t="b">
        <v>1</v>
      </c>
      <c r="I940">
        <v>736</v>
      </c>
      <c r="K940" s="192" t="s">
        <v>85</v>
      </c>
      <c r="L940" s="188">
        <f>IFERROR(_xlfn.XLOOKUP(A940,[1]Fleet!A:A,[1]Fleet!E:E,""),"")</f>
        <v>22</v>
      </c>
      <c r="M940" s="188">
        <v>150.05000000000001</v>
      </c>
      <c r="N940" s="188" t="s">
        <v>2316</v>
      </c>
      <c r="O940" s="198" t="s">
        <v>2317</v>
      </c>
      <c r="P940">
        <v>924</v>
      </c>
      <c r="Q940">
        <f>_xlfn.XLOOKUP(A940,'[1]Classic Net to delete'!D:D,'[1]Classic Net to delete'!AA:AA,0)</f>
        <v>736</v>
      </c>
    </row>
    <row r="941" spans="1:17" x14ac:dyDescent="0.25">
      <c r="A941" t="s">
        <v>2318</v>
      </c>
      <c r="B941" t="s">
        <v>2319</v>
      </c>
      <c r="C941">
        <v>191.18</v>
      </c>
      <c r="D941" t="s">
        <v>2320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4</v>
      </c>
      <c r="M941" s="188" t="s">
        <v>22</v>
      </c>
      <c r="N941" s="188" t="s">
        <v>22</v>
      </c>
      <c r="O941" s="198" t="s">
        <v>2321</v>
      </c>
      <c r="P941">
        <v>953</v>
      </c>
      <c r="Q941">
        <f>_xlfn.XLOOKUP(A941,'[1]Classic Net to delete'!D:D,'[1]Classic Net to delete'!AA:AA,0)</f>
        <v>0</v>
      </c>
    </row>
    <row r="942" spans="1:17" x14ac:dyDescent="0.25">
      <c r="A942" t="s">
        <v>2318</v>
      </c>
      <c r="B942" t="s">
        <v>2322</v>
      </c>
      <c r="C942">
        <v>191.18</v>
      </c>
      <c r="D942" t="s">
        <v>2320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>
        <f>IFERROR(_xlfn.XLOOKUP(A942,[1]Fleet!A:A,[1]Fleet!E:E,""),"")</f>
        <v>4</v>
      </c>
      <c r="M942" s="188" t="s">
        <v>22</v>
      </c>
      <c r="N942" s="188" t="s">
        <v>22</v>
      </c>
      <c r="O942" s="198" t="s">
        <v>2321</v>
      </c>
      <c r="P942">
        <v>954</v>
      </c>
      <c r="Q942">
        <f>_xlfn.XLOOKUP(A942,'[1]Classic Net to delete'!D:D,'[1]Classic Net to delete'!AA:AA,0)</f>
        <v>0</v>
      </c>
    </row>
    <row r="943" spans="1:17" x14ac:dyDescent="0.25">
      <c r="A943" t="s">
        <v>2323</v>
      </c>
      <c r="B943" t="s">
        <v>2324</v>
      </c>
      <c r="C943">
        <v>101.65</v>
      </c>
      <c r="D943" t="s">
        <v>2320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2321</v>
      </c>
      <c r="P943">
        <v>952</v>
      </c>
      <c r="Q943">
        <f>_xlfn.XLOOKUP(A943,'[1]Classic Net to delete'!D:D,'[1]Classic Net to delete'!AA:AA,0)</f>
        <v>0</v>
      </c>
    </row>
    <row r="944" spans="1:17" x14ac:dyDescent="0.25">
      <c r="A944" t="s">
        <v>2325</v>
      </c>
      <c r="B944" t="s">
        <v>2326</v>
      </c>
      <c r="C944">
        <v>27.12</v>
      </c>
      <c r="D944" t="s">
        <v>2320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1</v>
      </c>
      <c r="M944" s="188" t="s">
        <v>22</v>
      </c>
      <c r="N944" s="188" t="s">
        <v>22</v>
      </c>
      <c r="O944" s="198" t="s">
        <v>2321</v>
      </c>
      <c r="P944">
        <v>945</v>
      </c>
      <c r="Q944">
        <f>_xlfn.XLOOKUP(A944,'[1]Classic Net to delete'!D:D,'[1]Classic Net to delete'!AA:AA,0)</f>
        <v>0</v>
      </c>
    </row>
    <row r="945" spans="1:17" x14ac:dyDescent="0.25">
      <c r="A945" t="s">
        <v>2327</v>
      </c>
      <c r="B945" t="s">
        <v>2328</v>
      </c>
      <c r="C945">
        <v>0</v>
      </c>
      <c r="D945" t="s">
        <v>2320</v>
      </c>
      <c r="E945" t="str">
        <f t="shared" si="20"/>
        <v>. Devices</v>
      </c>
      <c r="F945">
        <v>75</v>
      </c>
      <c r="H945" t="b">
        <v>0</v>
      </c>
      <c r="I945">
        <v>0</v>
      </c>
      <c r="L945" s="188" t="str">
        <f>IFERROR(_xlfn.XLOOKUP(A945,[1]Fleet!A:A,[1]Fleet!E:E,""),"")</f>
        <v/>
      </c>
      <c r="M945" s="188" t="s">
        <v>22</v>
      </c>
      <c r="N945" s="188" t="s">
        <v>22</v>
      </c>
      <c r="O945" s="198" t="s">
        <v>2321</v>
      </c>
      <c r="P945">
        <v>938</v>
      </c>
      <c r="Q945">
        <f>_xlfn.XLOOKUP(A945,'[1]Classic Net to delete'!D:D,'[1]Classic Net to delete'!AA:AA,0)</f>
        <v>0</v>
      </c>
    </row>
    <row r="946" spans="1:17" x14ac:dyDescent="0.25">
      <c r="A946" t="s">
        <v>2329</v>
      </c>
      <c r="B946" t="s">
        <v>2330</v>
      </c>
      <c r="C946">
        <v>0</v>
      </c>
      <c r="D946" t="s">
        <v>2320</v>
      </c>
      <c r="E946" t="str">
        <f t="shared" si="20"/>
        <v>. Devices</v>
      </c>
      <c r="F946">
        <v>75</v>
      </c>
      <c r="H946" t="b">
        <v>0</v>
      </c>
      <c r="I946">
        <v>0</v>
      </c>
      <c r="L946" s="188">
        <f>IFERROR(_xlfn.XLOOKUP(A946,[1]Fleet!A:A,[1]Fleet!E:E,""),"")</f>
        <v>2</v>
      </c>
      <c r="M946" s="188" t="s">
        <v>22</v>
      </c>
      <c r="N946" s="188" t="s">
        <v>22</v>
      </c>
      <c r="O946" s="198" t="s">
        <v>2321</v>
      </c>
      <c r="P946">
        <v>950</v>
      </c>
      <c r="Q946">
        <f>_xlfn.XLOOKUP(A946,'[1]Classic Net to delete'!D:D,'[1]Classic Net to delete'!AA:AA,0)</f>
        <v>0</v>
      </c>
    </row>
    <row r="947" spans="1:17" x14ac:dyDescent="0.25">
      <c r="A947" t="s">
        <v>2329</v>
      </c>
      <c r="B947" t="s">
        <v>2331</v>
      </c>
      <c r="C947">
        <v>0</v>
      </c>
      <c r="D947" t="s">
        <v>2320</v>
      </c>
      <c r="E947" t="str">
        <f t="shared" si="20"/>
        <v>. Devices</v>
      </c>
      <c r="F947">
        <v>75</v>
      </c>
      <c r="H947" t="b">
        <v>0</v>
      </c>
      <c r="I947">
        <v>0</v>
      </c>
      <c r="L947" s="188">
        <f>IFERROR(_xlfn.XLOOKUP(A947,[1]Fleet!A:A,[1]Fleet!E:E,""),"")</f>
        <v>2</v>
      </c>
      <c r="M947" s="188" t="s">
        <v>22</v>
      </c>
      <c r="N947" s="188" t="s">
        <v>22</v>
      </c>
      <c r="O947" s="198" t="s">
        <v>2321</v>
      </c>
      <c r="P947">
        <v>951</v>
      </c>
      <c r="Q947">
        <f>_xlfn.XLOOKUP(A947,'[1]Classic Net to delete'!D:D,'[1]Classic Net to delete'!AA:AA,0)</f>
        <v>0</v>
      </c>
    </row>
    <row r="948" spans="1:17" x14ac:dyDescent="0.25">
      <c r="A948" t="s">
        <v>2332</v>
      </c>
      <c r="B948" t="s">
        <v>2333</v>
      </c>
      <c r="C948">
        <v>82.39</v>
      </c>
      <c r="D948" t="s">
        <v>2320</v>
      </c>
      <c r="E948" t="str">
        <f t="shared" si="20"/>
        <v>01. Cable &amp; Pipe Location</v>
      </c>
      <c r="F948">
        <v>75</v>
      </c>
      <c r="H948" t="b">
        <v>1</v>
      </c>
      <c r="I948">
        <v>740</v>
      </c>
      <c r="K948" s="192" t="s">
        <v>21</v>
      </c>
      <c r="L948" s="188">
        <f>IFERROR(_xlfn.XLOOKUP(A948,[1]Fleet!A:A,[1]Fleet!E:E,""),"")</f>
        <v>25</v>
      </c>
      <c r="M948" s="188">
        <v>77</v>
      </c>
      <c r="N948" s="188" t="s">
        <v>2334</v>
      </c>
      <c r="O948" s="198" t="s">
        <v>2335</v>
      </c>
      <c r="P948">
        <v>929</v>
      </c>
      <c r="Q948">
        <f>_xlfn.XLOOKUP(A948,'[1]Classic Net to delete'!D:D,'[1]Classic Net to delete'!AA:AA,0)</f>
        <v>740</v>
      </c>
    </row>
    <row r="949" spans="1:17" x14ac:dyDescent="0.25">
      <c r="A949" t="s">
        <v>2336</v>
      </c>
      <c r="B949" t="s">
        <v>2337</v>
      </c>
      <c r="C949">
        <v>77.95</v>
      </c>
      <c r="D949" t="s">
        <v>2320</v>
      </c>
      <c r="E949" t="str">
        <f t="shared" si="20"/>
        <v>01. Cable &amp; Pipe Location</v>
      </c>
      <c r="F949">
        <v>75</v>
      </c>
      <c r="H949" t="b">
        <v>1</v>
      </c>
      <c r="I949">
        <v>741</v>
      </c>
      <c r="K949" s="192" t="s">
        <v>21</v>
      </c>
      <c r="L949" s="188">
        <f>IFERROR(_xlfn.XLOOKUP(A949,[1]Fleet!A:A,[1]Fleet!E:E,""),"")</f>
        <v>15</v>
      </c>
      <c r="M949" s="188">
        <v>72.850000000000009</v>
      </c>
      <c r="N949" s="188" t="s">
        <v>2337</v>
      </c>
      <c r="O949" s="198" t="s">
        <v>2335</v>
      </c>
      <c r="P949">
        <v>930</v>
      </c>
      <c r="Q949">
        <f>_xlfn.XLOOKUP(A949,'[1]Classic Net to delete'!D:D,'[1]Classic Net to delete'!AA:AA,0)</f>
        <v>741</v>
      </c>
    </row>
    <row r="950" spans="1:17" x14ac:dyDescent="0.25">
      <c r="A950" t="s">
        <v>2338</v>
      </c>
      <c r="B950" t="s">
        <v>2339</v>
      </c>
      <c r="C950">
        <v>34.130000000000003</v>
      </c>
      <c r="D950" t="s">
        <v>2320</v>
      </c>
      <c r="E950" t="str">
        <f t="shared" si="20"/>
        <v>01. Cable &amp; Pipe Location</v>
      </c>
      <c r="F950">
        <v>75</v>
      </c>
      <c r="H950" t="b">
        <v>1</v>
      </c>
      <c r="I950">
        <v>742</v>
      </c>
      <c r="K950" s="192" t="s">
        <v>21</v>
      </c>
      <c r="L950" s="188">
        <f>IFERROR(_xlfn.XLOOKUP(A950,[1]Fleet!A:A,[1]Fleet!E:E,""),"")</f>
        <v>2</v>
      </c>
      <c r="M950" s="188">
        <v>31.900000000000002</v>
      </c>
      <c r="N950" s="188" t="s">
        <v>2340</v>
      </c>
      <c r="O950" s="198" t="s">
        <v>2335</v>
      </c>
      <c r="P950">
        <v>934</v>
      </c>
      <c r="Q950">
        <f>_xlfn.XLOOKUP(A950,'[1]Classic Net to delete'!D:D,'[1]Classic Net to delete'!AA:AA,0)</f>
        <v>742</v>
      </c>
    </row>
    <row r="951" spans="1:17" x14ac:dyDescent="0.25">
      <c r="A951" t="s">
        <v>2341</v>
      </c>
      <c r="B951" t="s">
        <v>2342</v>
      </c>
      <c r="C951">
        <v>229.68</v>
      </c>
      <c r="D951" t="s">
        <v>2320</v>
      </c>
      <c r="E951" t="str">
        <f t="shared" si="20"/>
        <v>01. Cable &amp; Pipe Location</v>
      </c>
      <c r="F951">
        <v>75</v>
      </c>
      <c r="H951" t="b">
        <v>1</v>
      </c>
      <c r="I951">
        <v>743</v>
      </c>
      <c r="K951" s="192" t="s">
        <v>21</v>
      </c>
      <c r="L951" s="188">
        <f>IFERROR(_xlfn.XLOOKUP(A951,[1]Fleet!A:A,[1]Fleet!E:E,""),"")</f>
        <v>3</v>
      </c>
      <c r="M951" s="188">
        <v>214.65</v>
      </c>
      <c r="N951" s="188" t="s">
        <v>2343</v>
      </c>
      <c r="O951" s="198" t="s">
        <v>2335</v>
      </c>
      <c r="P951">
        <v>941</v>
      </c>
      <c r="Q951">
        <f>_xlfn.XLOOKUP(A951,'[1]Classic Net to delete'!D:D,'[1]Classic Net to delete'!AA:AA,0)</f>
        <v>743</v>
      </c>
    </row>
    <row r="952" spans="1:17" x14ac:dyDescent="0.25">
      <c r="A952" t="s">
        <v>2344</v>
      </c>
      <c r="B952" t="s">
        <v>2345</v>
      </c>
      <c r="C952">
        <v>83.62</v>
      </c>
      <c r="D952" t="s">
        <v>2320</v>
      </c>
      <c r="E952" t="str">
        <f t="shared" si="20"/>
        <v>01. Cable &amp; Pipe Location</v>
      </c>
      <c r="F952">
        <v>75</v>
      </c>
      <c r="H952" t="b">
        <v>1</v>
      </c>
      <c r="I952">
        <v>744</v>
      </c>
      <c r="K952" s="192" t="s">
        <v>21</v>
      </c>
      <c r="L952" s="188">
        <f>IFERROR(_xlfn.XLOOKUP(A952,[1]Fleet!A:A,[1]Fleet!E:E,""),"")</f>
        <v>5</v>
      </c>
      <c r="M952" s="188">
        <v>78.150000000000006</v>
      </c>
      <c r="N952" s="188" t="s">
        <v>2345</v>
      </c>
      <c r="O952" s="198" t="s">
        <v>2335</v>
      </c>
      <c r="P952">
        <v>935</v>
      </c>
      <c r="Q952">
        <f>_xlfn.XLOOKUP(A952,'[1]Classic Net to delete'!D:D,'[1]Classic Net to delete'!AA:AA,0)</f>
        <v>744</v>
      </c>
    </row>
    <row r="953" spans="1:17" x14ac:dyDescent="0.25">
      <c r="A953" t="s">
        <v>2346</v>
      </c>
      <c r="B953" t="s">
        <v>2347</v>
      </c>
      <c r="C953">
        <v>121.45</v>
      </c>
      <c r="D953" t="s">
        <v>2320</v>
      </c>
      <c r="E953" t="str">
        <f t="shared" si="20"/>
        <v>01. Cable &amp; Pipe Location</v>
      </c>
      <c r="F953">
        <v>75</v>
      </c>
      <c r="H953" t="b">
        <v>1</v>
      </c>
      <c r="I953">
        <v>745</v>
      </c>
      <c r="K953" s="192" t="s">
        <v>21</v>
      </c>
      <c r="L953" s="188">
        <f>IFERROR(_xlfn.XLOOKUP(A953,[1]Fleet!A:A,[1]Fleet!E:E,""),"")</f>
        <v>14</v>
      </c>
      <c r="M953" s="188">
        <v>113.5</v>
      </c>
      <c r="N953" s="188" t="s">
        <v>2348</v>
      </c>
      <c r="O953" s="198" t="s">
        <v>2335</v>
      </c>
      <c r="P953">
        <v>942</v>
      </c>
      <c r="Q953">
        <f>_xlfn.XLOOKUP(A953,'[1]Classic Net to delete'!D:D,'[1]Classic Net to delete'!AA:AA,0)</f>
        <v>745</v>
      </c>
    </row>
    <row r="954" spans="1:17" x14ac:dyDescent="0.25">
      <c r="A954" t="s">
        <v>2349</v>
      </c>
      <c r="B954" t="s">
        <v>2350</v>
      </c>
      <c r="C954">
        <v>35.68</v>
      </c>
      <c r="D954" t="s">
        <v>2320</v>
      </c>
      <c r="E954" t="str">
        <f t="shared" si="20"/>
        <v>01. Cable &amp; Pipe Location</v>
      </c>
      <c r="F954">
        <v>75</v>
      </c>
      <c r="H954" t="b">
        <v>1</v>
      </c>
      <c r="I954">
        <v>746</v>
      </c>
      <c r="K954" s="192" t="s">
        <v>21</v>
      </c>
      <c r="L954" s="188">
        <f>IFERROR(_xlfn.XLOOKUP(A954,[1]Fleet!A:A,[1]Fleet!E:E,""),"")</f>
        <v>2</v>
      </c>
      <c r="M954" s="188">
        <v>33.35</v>
      </c>
      <c r="N954" s="188" t="s">
        <v>2350</v>
      </c>
      <c r="O954" s="198" t="s">
        <v>2335</v>
      </c>
      <c r="P954">
        <v>948</v>
      </c>
      <c r="Q954">
        <f>_xlfn.XLOOKUP(A954,'[1]Classic Net to delete'!D:D,'[1]Classic Net to delete'!AA:AA,0)</f>
        <v>746</v>
      </c>
    </row>
    <row r="955" spans="1:17" x14ac:dyDescent="0.25">
      <c r="A955" t="s">
        <v>2351</v>
      </c>
      <c r="B955" t="s">
        <v>2352</v>
      </c>
      <c r="C955">
        <v>124.33</v>
      </c>
      <c r="D955" t="s">
        <v>2320</v>
      </c>
      <c r="E955" t="str">
        <f t="shared" si="20"/>
        <v>01. Cable &amp; Pipe Location</v>
      </c>
      <c r="F955">
        <v>75</v>
      </c>
      <c r="H955" t="b">
        <v>1</v>
      </c>
      <c r="I955">
        <v>747</v>
      </c>
      <c r="K955" s="192" t="s">
        <v>21</v>
      </c>
      <c r="L955" s="188">
        <f>IFERROR(_xlfn.XLOOKUP(A955,[1]Fleet!A:A,[1]Fleet!E:E,""),"")</f>
        <v>3</v>
      </c>
      <c r="M955" s="188">
        <v>116.2</v>
      </c>
      <c r="N955" s="188" t="s">
        <v>2352</v>
      </c>
      <c r="O955" s="198" t="s">
        <v>2335</v>
      </c>
      <c r="P955">
        <v>947</v>
      </c>
      <c r="Q955">
        <f>_xlfn.XLOOKUP(A955,'[1]Classic Net to delete'!D:D,'[1]Classic Net to delete'!AA:AA,0)</f>
        <v>747</v>
      </c>
    </row>
    <row r="956" spans="1:17" x14ac:dyDescent="0.25">
      <c r="A956" t="s">
        <v>2353</v>
      </c>
      <c r="B956" t="s">
        <v>2354</v>
      </c>
      <c r="C956">
        <v>27.12</v>
      </c>
      <c r="D956" t="s">
        <v>2320</v>
      </c>
      <c r="E956" t="str">
        <f t="shared" si="20"/>
        <v>02. Meters, Detection &amp; Communication</v>
      </c>
      <c r="F956">
        <v>75</v>
      </c>
      <c r="H956" t="b">
        <v>1</v>
      </c>
      <c r="I956">
        <v>750</v>
      </c>
      <c r="K956" s="192" t="s">
        <v>54</v>
      </c>
      <c r="L956" s="188">
        <f>IFERROR(_xlfn.XLOOKUP(A956,[1]Fleet!A:A,[1]Fleet!E:E,""),"")</f>
        <v>4</v>
      </c>
      <c r="M956" s="188">
        <v>25.35</v>
      </c>
      <c r="N956" s="188" t="s">
        <v>2354</v>
      </c>
      <c r="O956" s="198" t="s">
        <v>2355</v>
      </c>
      <c r="P956">
        <v>931</v>
      </c>
      <c r="Q956">
        <f>_xlfn.XLOOKUP(A956,'[1]Classic Net to delete'!D:D,'[1]Classic Net to delete'!AA:AA,0)</f>
        <v>750</v>
      </c>
    </row>
    <row r="957" spans="1:17" x14ac:dyDescent="0.25">
      <c r="A957" t="s">
        <v>2356</v>
      </c>
      <c r="B957" t="s">
        <v>2357</v>
      </c>
      <c r="C957">
        <v>39.160000000000004</v>
      </c>
      <c r="D957" t="s">
        <v>2320</v>
      </c>
      <c r="E957" t="str">
        <f t="shared" si="20"/>
        <v>02. Meters, Detection &amp; Communication</v>
      </c>
      <c r="F957">
        <v>75</v>
      </c>
      <c r="H957" t="b">
        <v>1</v>
      </c>
      <c r="I957">
        <v>751</v>
      </c>
      <c r="K957" s="192" t="s">
        <v>54</v>
      </c>
      <c r="L957" s="188">
        <f>IFERROR(_xlfn.XLOOKUP(A957,[1]Fleet!A:A,[1]Fleet!E:E,""),"")</f>
        <v>1</v>
      </c>
      <c r="M957" s="188">
        <v>36.6</v>
      </c>
      <c r="N957" s="188" t="s">
        <v>2357</v>
      </c>
      <c r="O957" s="198" t="s">
        <v>2355</v>
      </c>
      <c r="P957">
        <v>936</v>
      </c>
      <c r="Q957">
        <f>_xlfn.XLOOKUP(A957,'[1]Classic Net to delete'!D:D,'[1]Classic Net to delete'!AA:AA,0)</f>
        <v>751</v>
      </c>
    </row>
    <row r="958" spans="1:17" x14ac:dyDescent="0.25">
      <c r="A958" t="s">
        <v>2358</v>
      </c>
      <c r="B958" t="s">
        <v>2359</v>
      </c>
      <c r="C958">
        <v>39.160000000000004</v>
      </c>
      <c r="D958" t="s">
        <v>2320</v>
      </c>
      <c r="E958" t="str">
        <f t="shared" si="20"/>
        <v>02. Meters, Detection &amp; Communication</v>
      </c>
      <c r="F958">
        <v>75</v>
      </c>
      <c r="H958" t="b">
        <v>1</v>
      </c>
      <c r="I958">
        <v>752</v>
      </c>
      <c r="K958" s="192" t="s">
        <v>54</v>
      </c>
      <c r="L958" s="188">
        <f>IFERROR(_xlfn.XLOOKUP(A958,[1]Fleet!A:A,[1]Fleet!E:E,""),"")</f>
        <v>4</v>
      </c>
      <c r="M958" s="188">
        <v>36.6</v>
      </c>
      <c r="N958" s="188" t="s">
        <v>2359</v>
      </c>
      <c r="O958" s="198" t="s">
        <v>2355</v>
      </c>
      <c r="P958">
        <v>943</v>
      </c>
      <c r="Q958">
        <f>_xlfn.XLOOKUP(A958,'[1]Classic Net to delete'!D:D,'[1]Classic Net to delete'!AA:AA,0)</f>
        <v>752</v>
      </c>
    </row>
    <row r="959" spans="1:17" x14ac:dyDescent="0.25">
      <c r="A959" t="s">
        <v>2360</v>
      </c>
      <c r="B959" t="s">
        <v>2361</v>
      </c>
      <c r="C959">
        <v>66.23</v>
      </c>
      <c r="D959" t="s">
        <v>2320</v>
      </c>
      <c r="E959" t="str">
        <f t="shared" si="20"/>
        <v>02. Meters, Detection &amp; Communication</v>
      </c>
      <c r="F959">
        <v>75</v>
      </c>
      <c r="H959" t="b">
        <v>1</v>
      </c>
      <c r="I959">
        <v>753</v>
      </c>
      <c r="K959" s="192" t="s">
        <v>54</v>
      </c>
      <c r="L959" s="188">
        <f>IFERROR(_xlfn.XLOOKUP(A959,[1]Fleet!A:A,[1]Fleet!E:E,""),"")</f>
        <v>1</v>
      </c>
      <c r="M959" s="188">
        <v>61.900000000000006</v>
      </c>
      <c r="N959" s="188" t="s">
        <v>2361</v>
      </c>
      <c r="O959" s="198" t="s">
        <v>2355</v>
      </c>
      <c r="P959">
        <v>949</v>
      </c>
      <c r="Q959">
        <f>_xlfn.XLOOKUP(A959,'[1]Classic Net to delete'!D:D,'[1]Classic Net to delete'!AA:AA,0)</f>
        <v>753</v>
      </c>
    </row>
    <row r="960" spans="1:17" x14ac:dyDescent="0.25">
      <c r="A960" t="s">
        <v>2362</v>
      </c>
      <c r="B960" t="s">
        <v>2363</v>
      </c>
      <c r="C960">
        <v>0</v>
      </c>
      <c r="D960" t="s">
        <v>2320</v>
      </c>
      <c r="E960" t="str">
        <f t="shared" si="20"/>
        <v>02. Meters, Detection &amp; Communication</v>
      </c>
      <c r="F960">
        <v>75</v>
      </c>
      <c r="H960" t="b">
        <v>0</v>
      </c>
      <c r="I960">
        <v>764</v>
      </c>
      <c r="K960" s="192" t="s">
        <v>54</v>
      </c>
      <c r="L960" s="188" t="str">
        <f>IFERROR(_xlfn.XLOOKUP(A960,[1]Fleet!A:A,[1]Fleet!E:E,""),"")</f>
        <v/>
      </c>
      <c r="M960" s="188">
        <v>30.400000000000002</v>
      </c>
      <c r="N960" s="188" t="s">
        <v>2364</v>
      </c>
      <c r="O960" s="198" t="s">
        <v>2355</v>
      </c>
      <c r="P960">
        <v>939</v>
      </c>
      <c r="Q960">
        <f>_xlfn.XLOOKUP(A960,'[1]Classic Net to delete'!D:D,'[1]Classic Net to delete'!AA:AA,0)</f>
        <v>764</v>
      </c>
    </row>
    <row r="961" spans="1:17" x14ac:dyDescent="0.25">
      <c r="A961" t="s">
        <v>2365</v>
      </c>
      <c r="B961" t="s">
        <v>2366</v>
      </c>
      <c r="C961">
        <v>0</v>
      </c>
      <c r="D961" t="s">
        <v>2320</v>
      </c>
      <c r="E961" t="str">
        <f t="shared" si="20"/>
        <v>02. Meters, Detection &amp; Communication</v>
      </c>
      <c r="F961">
        <v>75</v>
      </c>
      <c r="H961" t="b">
        <v>0</v>
      </c>
      <c r="I961">
        <v>765</v>
      </c>
      <c r="K961" s="192" t="s">
        <v>54</v>
      </c>
      <c r="L961" s="188" t="str">
        <f>IFERROR(_xlfn.XLOOKUP(A961,[1]Fleet!A:A,[1]Fleet!E:E,""),"")</f>
        <v/>
      </c>
      <c r="M961" s="188">
        <v>32.25</v>
      </c>
      <c r="N961" s="188" t="s">
        <v>2366</v>
      </c>
      <c r="O961" s="198" t="s">
        <v>2355</v>
      </c>
      <c r="P961">
        <v>940</v>
      </c>
      <c r="Q961">
        <f>_xlfn.XLOOKUP(A961,'[1]Classic Net to delete'!D:D,'[1]Classic Net to delete'!AA:AA,0)</f>
        <v>765</v>
      </c>
    </row>
    <row r="962" spans="1:17" x14ac:dyDescent="0.25">
      <c r="A962" t="s">
        <v>2367</v>
      </c>
      <c r="B962" t="s">
        <v>2368</v>
      </c>
      <c r="C962">
        <v>70.989999999999995</v>
      </c>
      <c r="D962" t="s">
        <v>2320</v>
      </c>
      <c r="E962" t="str">
        <f t="shared" si="20"/>
        <v>03. Lasers &amp; Levels</v>
      </c>
      <c r="F962">
        <v>75</v>
      </c>
      <c r="H962" t="b">
        <v>1</v>
      </c>
      <c r="I962">
        <v>757</v>
      </c>
      <c r="K962" s="192" t="s">
        <v>85</v>
      </c>
      <c r="L962" s="188">
        <f>IFERROR(_xlfn.XLOOKUP(A962,[1]Fleet!A:A,[1]Fleet!E:E,""),"")</f>
        <v>5</v>
      </c>
      <c r="M962" s="188">
        <v>66.350000000000009</v>
      </c>
      <c r="N962" s="188" t="s">
        <v>2369</v>
      </c>
      <c r="O962" s="198" t="s">
        <v>2370</v>
      </c>
      <c r="P962">
        <v>932</v>
      </c>
      <c r="Q962">
        <f>_xlfn.XLOOKUP(A962,'[1]Classic Net to delete'!D:D,'[1]Classic Net to delete'!AA:AA,0)</f>
        <v>757</v>
      </c>
    </row>
    <row r="963" spans="1:17" x14ac:dyDescent="0.25">
      <c r="A963" t="s">
        <v>2371</v>
      </c>
      <c r="B963" t="s">
        <v>2372</v>
      </c>
      <c r="C963">
        <v>52.75</v>
      </c>
      <c r="D963" t="s">
        <v>2320</v>
      </c>
      <c r="E963" t="str">
        <f t="shared" si="20"/>
        <v>03. Lasers &amp; Levels</v>
      </c>
      <c r="F963">
        <v>75</v>
      </c>
      <c r="H963" t="b">
        <v>1</v>
      </c>
      <c r="I963">
        <v>758</v>
      </c>
      <c r="K963" s="192" t="s">
        <v>85</v>
      </c>
      <c r="L963" s="188">
        <f>IFERROR(_xlfn.XLOOKUP(A963,[1]Fleet!A:A,[1]Fleet!E:E,""),"")</f>
        <v>4</v>
      </c>
      <c r="M963" s="188">
        <v>49.300000000000004</v>
      </c>
      <c r="N963" s="188" t="s">
        <v>2372</v>
      </c>
      <c r="O963" s="198" t="s">
        <v>2370</v>
      </c>
      <c r="P963">
        <v>937</v>
      </c>
      <c r="Q963">
        <f>_xlfn.XLOOKUP(A963,'[1]Classic Net to delete'!D:D,'[1]Classic Net to delete'!AA:AA,0)</f>
        <v>758</v>
      </c>
    </row>
    <row r="964" spans="1:17" x14ac:dyDescent="0.25">
      <c r="A964" t="s">
        <v>2373</v>
      </c>
      <c r="B964" t="s">
        <v>2322</v>
      </c>
      <c r="C964">
        <v>191.18</v>
      </c>
      <c r="D964" t="s">
        <v>2320</v>
      </c>
      <c r="E964" t="str">
        <f t="shared" si="20"/>
        <v>03. Lasers &amp; Levels</v>
      </c>
      <c r="F964">
        <v>75</v>
      </c>
      <c r="H964" t="b">
        <v>1</v>
      </c>
      <c r="I964">
        <v>759</v>
      </c>
      <c r="K964" s="192" t="s">
        <v>85</v>
      </c>
      <c r="L964" s="188">
        <f>IFERROR(_xlfn.XLOOKUP(A964,[1]Fleet!A:A,[1]Fleet!E:E,""),"")</f>
        <v>17</v>
      </c>
      <c r="M964" s="188">
        <v>170.70000000000002</v>
      </c>
      <c r="N964" s="188" t="s">
        <v>2374</v>
      </c>
      <c r="O964" s="198" t="s">
        <v>2370</v>
      </c>
      <c r="P964">
        <v>946</v>
      </c>
      <c r="Q964">
        <f>_xlfn.XLOOKUP(A964,'[1]Classic Net to delete'!D:D,'[1]Classic Net to delete'!AA:AA,0)</f>
        <v>759</v>
      </c>
    </row>
    <row r="965" spans="1:17" x14ac:dyDescent="0.25">
      <c r="A965" t="s">
        <v>2375</v>
      </c>
      <c r="B965" t="s">
        <v>2376</v>
      </c>
      <c r="C965">
        <v>0</v>
      </c>
      <c r="D965" t="s">
        <v>2320</v>
      </c>
      <c r="E965" t="str">
        <f t="shared" si="20"/>
        <v>03. Lasers &amp; Levels</v>
      </c>
      <c r="F965">
        <v>75</v>
      </c>
      <c r="H965" t="b">
        <v>0</v>
      </c>
      <c r="I965">
        <v>760</v>
      </c>
      <c r="K965" s="192" t="s">
        <v>85</v>
      </c>
      <c r="L965" s="188">
        <f>IFERROR(_xlfn.XLOOKUP(A965,[1]Fleet!A:A,[1]Fleet!E:E,""),"")</f>
        <v>2</v>
      </c>
      <c r="M965" s="188">
        <v>211.4</v>
      </c>
      <c r="N965" s="188" t="s">
        <v>2377</v>
      </c>
      <c r="O965" s="198" t="s">
        <v>2370</v>
      </c>
      <c r="P965">
        <v>944</v>
      </c>
      <c r="Q965">
        <f>_xlfn.XLOOKUP(A965,'[1]Classic Net to delete'!D:D,'[1]Classic Net to delete'!AA:AA,0)</f>
        <v>760</v>
      </c>
    </row>
    <row r="966" spans="1:17" x14ac:dyDescent="0.25">
      <c r="A966" t="s">
        <v>2378</v>
      </c>
      <c r="B966" t="s">
        <v>2379</v>
      </c>
      <c r="C966">
        <v>17.71</v>
      </c>
      <c r="D966" t="s">
        <v>2320</v>
      </c>
      <c r="E966" t="str">
        <f t="shared" si="20"/>
        <v>03. Lasers &amp; Levels</v>
      </c>
      <c r="F966">
        <v>75</v>
      </c>
      <c r="H966" t="b">
        <v>1</v>
      </c>
      <c r="I966">
        <v>761</v>
      </c>
      <c r="K966" s="192" t="s">
        <v>85</v>
      </c>
      <c r="L966" s="188">
        <f>IFERROR(_xlfn.XLOOKUP(A966,[1]Fleet!A:A,[1]Fleet!E:E,""),"")</f>
        <v>11</v>
      </c>
      <c r="M966" s="188">
        <v>16.55</v>
      </c>
      <c r="N966" s="188" t="s">
        <v>2380</v>
      </c>
      <c r="O966" s="198" t="s">
        <v>2370</v>
      </c>
      <c r="P966">
        <v>933</v>
      </c>
      <c r="Q966">
        <f>_xlfn.XLOOKUP(A966,'[1]Classic Net to delete'!D:D,'[1]Classic Net to delete'!AA:AA,0)</f>
        <v>761</v>
      </c>
    </row>
    <row r="967" spans="1:17" x14ac:dyDescent="0.25">
      <c r="A967" t="s">
        <v>2381</v>
      </c>
      <c r="B967" t="s">
        <v>2382</v>
      </c>
      <c r="C967">
        <v>45.26</v>
      </c>
      <c r="D967" t="s">
        <v>2383</v>
      </c>
      <c r="E967" t="str">
        <f t="shared" si="20"/>
        <v>. Sanding</v>
      </c>
      <c r="F967">
        <v>75</v>
      </c>
      <c r="H967" t="b">
        <v>0</v>
      </c>
      <c r="I967">
        <v>0</v>
      </c>
      <c r="L967" s="188">
        <f>IFERROR(_xlfn.XLOOKUP(A967,[1]Fleet!A:A,[1]Fleet!E:E,""),"")</f>
        <v>3</v>
      </c>
      <c r="M967" s="188" t="s">
        <v>22</v>
      </c>
      <c r="N967" s="188" t="s">
        <v>22</v>
      </c>
      <c r="O967" s="198" t="s">
        <v>2384</v>
      </c>
      <c r="P967">
        <v>977</v>
      </c>
      <c r="Q967">
        <f>_xlfn.XLOOKUP(A967,'[1]Classic Net to delete'!D:D,'[1]Classic Net to delete'!AA:AA,0)</f>
        <v>0</v>
      </c>
    </row>
    <row r="968" spans="1:17" x14ac:dyDescent="0.25">
      <c r="A968" t="s">
        <v>957</v>
      </c>
      <c r="B968" t="s">
        <v>2385</v>
      </c>
      <c r="C968">
        <v>79.23</v>
      </c>
      <c r="D968" t="s">
        <v>2383</v>
      </c>
      <c r="E968" t="str">
        <f t="shared" ref="E968:E1031" si="21">CONCATENATE(K968,". ",O968)</f>
        <v>. Sanding</v>
      </c>
      <c r="F968">
        <v>75</v>
      </c>
      <c r="H968" t="b">
        <v>0</v>
      </c>
      <c r="I968">
        <v>0</v>
      </c>
      <c r="L968" s="188">
        <f>IFERROR(_xlfn.XLOOKUP(A968,[1]Fleet!A:A,[1]Fleet!E:E,""),"")</f>
        <v>4</v>
      </c>
      <c r="M968" s="188" t="s">
        <v>22</v>
      </c>
      <c r="N968" s="188" t="s">
        <v>22</v>
      </c>
      <c r="O968" s="198" t="s">
        <v>2384</v>
      </c>
      <c r="P968">
        <v>974</v>
      </c>
      <c r="Q968">
        <f>_xlfn.XLOOKUP(A968,'[1]Classic Net to delete'!D:D,'[1]Classic Net to delete'!AA:AA,0)</f>
        <v>0</v>
      </c>
    </row>
    <row r="969" spans="1:17" x14ac:dyDescent="0.25">
      <c r="A969" t="s">
        <v>2386</v>
      </c>
      <c r="B969" t="s">
        <v>2387</v>
      </c>
      <c r="C969">
        <v>42.59</v>
      </c>
      <c r="D969" t="s">
        <v>2383</v>
      </c>
      <c r="E969" t="str">
        <f t="shared" si="21"/>
        <v>01. Routers and Planers</v>
      </c>
      <c r="F969">
        <v>75</v>
      </c>
      <c r="H969" t="b">
        <v>1</v>
      </c>
      <c r="I969">
        <v>769</v>
      </c>
      <c r="K969" s="192" t="s">
        <v>21</v>
      </c>
      <c r="L969" s="188">
        <f>IFERROR(_xlfn.XLOOKUP(A969,[1]Fleet!A:A,[1]Fleet!E:E,""),"")</f>
        <v>3</v>
      </c>
      <c r="M969" s="188">
        <v>39.800000000000004</v>
      </c>
      <c r="N969" s="188" t="s">
        <v>2387</v>
      </c>
      <c r="O969" s="198" t="s">
        <v>2388</v>
      </c>
      <c r="P969">
        <v>963</v>
      </c>
      <c r="Q969">
        <f>_xlfn.XLOOKUP(A969,'[1]Classic Net to delete'!D:D,'[1]Classic Net to delete'!AA:AA,0)</f>
        <v>769</v>
      </c>
    </row>
    <row r="970" spans="1:17" x14ac:dyDescent="0.25">
      <c r="A970" t="s">
        <v>2389</v>
      </c>
      <c r="B970" t="s">
        <v>2390</v>
      </c>
      <c r="C970">
        <v>42.59</v>
      </c>
      <c r="D970" t="s">
        <v>2383</v>
      </c>
      <c r="E970" t="str">
        <f t="shared" si="21"/>
        <v>01. Routers and Planers</v>
      </c>
      <c r="F970">
        <v>75</v>
      </c>
      <c r="H970" t="b">
        <v>1</v>
      </c>
      <c r="I970">
        <v>770</v>
      </c>
      <c r="K970" s="192" t="s">
        <v>21</v>
      </c>
      <c r="L970" s="188">
        <f>IFERROR(_xlfn.XLOOKUP(A970,[1]Fleet!A:A,[1]Fleet!E:E,""),"")</f>
        <v>6</v>
      </c>
      <c r="M970" s="188">
        <v>39.800000000000004</v>
      </c>
      <c r="N970" s="188" t="s">
        <v>2390</v>
      </c>
      <c r="O970" s="198" t="s">
        <v>2388</v>
      </c>
      <c r="P970">
        <v>962</v>
      </c>
      <c r="Q970">
        <f>_xlfn.XLOOKUP(A970,'[1]Classic Net to delete'!D:D,'[1]Classic Net to delete'!AA:AA,0)</f>
        <v>770</v>
      </c>
    </row>
    <row r="971" spans="1:17" x14ac:dyDescent="0.25">
      <c r="A971" t="s">
        <v>2391</v>
      </c>
      <c r="B971" t="s">
        <v>2392</v>
      </c>
      <c r="C971">
        <v>47.67</v>
      </c>
      <c r="D971" t="s">
        <v>2383</v>
      </c>
      <c r="E971" t="str">
        <f t="shared" si="21"/>
        <v>01. Routers and Planers</v>
      </c>
      <c r="F971">
        <v>75</v>
      </c>
      <c r="H971" t="b">
        <v>1</v>
      </c>
      <c r="I971">
        <v>773</v>
      </c>
      <c r="K971" s="192" t="s">
        <v>21</v>
      </c>
      <c r="L971" s="188">
        <f>IFERROR(_xlfn.XLOOKUP(A971,[1]Fleet!A:A,[1]Fleet!E:E,""),"")</f>
        <v>16</v>
      </c>
      <c r="M971" s="188">
        <v>44.550000000000004</v>
      </c>
      <c r="N971" s="188" t="s">
        <v>2393</v>
      </c>
      <c r="O971" s="198" t="s">
        <v>2388</v>
      </c>
      <c r="P971">
        <v>961</v>
      </c>
      <c r="Q971">
        <f>_xlfn.XLOOKUP(A971,'[1]Classic Net to delete'!D:D,'[1]Classic Net to delete'!AA:AA,0)</f>
        <v>773</v>
      </c>
    </row>
    <row r="972" spans="1:17" x14ac:dyDescent="0.25">
      <c r="A972" t="s">
        <v>2394</v>
      </c>
      <c r="B972" t="s">
        <v>2395</v>
      </c>
      <c r="C972">
        <v>69.39</v>
      </c>
      <c r="D972" t="s">
        <v>2383</v>
      </c>
      <c r="E972" t="str">
        <f t="shared" si="21"/>
        <v>01. Routers and Planers</v>
      </c>
      <c r="F972">
        <v>75</v>
      </c>
      <c r="H972" t="b">
        <v>1</v>
      </c>
      <c r="I972">
        <v>774</v>
      </c>
      <c r="K972" s="192" t="s">
        <v>21</v>
      </c>
      <c r="L972" s="188">
        <f>IFERROR(_xlfn.XLOOKUP(A972,[1]Fleet!A:A,[1]Fleet!E:E,""),"")</f>
        <v>4</v>
      </c>
      <c r="M972" s="188">
        <v>64.850000000000009</v>
      </c>
      <c r="N972" s="188" t="s">
        <v>2396</v>
      </c>
      <c r="O972" s="198" t="s">
        <v>2388</v>
      </c>
      <c r="P972">
        <v>964</v>
      </c>
      <c r="Q972">
        <f>_xlfn.XLOOKUP(A972,'[1]Classic Net to delete'!D:D,'[1]Classic Net to delete'!AA:AA,0)</f>
        <v>774</v>
      </c>
    </row>
    <row r="973" spans="1:17" x14ac:dyDescent="0.25">
      <c r="A973" t="s">
        <v>2397</v>
      </c>
      <c r="B973" t="s">
        <v>2398</v>
      </c>
      <c r="C973">
        <v>78.86</v>
      </c>
      <c r="D973" t="s">
        <v>2383</v>
      </c>
      <c r="E973" t="str">
        <f t="shared" si="21"/>
        <v>01. Routers and Planers</v>
      </c>
      <c r="F973">
        <v>75</v>
      </c>
      <c r="H973" t="b">
        <v>1</v>
      </c>
      <c r="I973">
        <v>813</v>
      </c>
      <c r="K973" s="192" t="s">
        <v>21</v>
      </c>
      <c r="L973" s="188">
        <f>IFERROR(_xlfn.XLOOKUP(A973,[1]Fleet!A:A,[1]Fleet!E:E,""),"")</f>
        <v>3</v>
      </c>
      <c r="M973" s="188">
        <v>73.7</v>
      </c>
      <c r="N973" s="188" t="s">
        <v>2398</v>
      </c>
      <c r="O973" s="198" t="s">
        <v>2388</v>
      </c>
      <c r="P973">
        <v>966</v>
      </c>
      <c r="Q973">
        <f>_xlfn.XLOOKUP(A973,'[1]Classic Net to delete'!D:D,'[1]Classic Net to delete'!AA:AA,0)</f>
        <v>813</v>
      </c>
    </row>
    <row r="974" spans="1:17" x14ac:dyDescent="0.25">
      <c r="A974" t="s">
        <v>2399</v>
      </c>
      <c r="B974" t="s">
        <v>2400</v>
      </c>
      <c r="C974">
        <v>7.6000000000000005</v>
      </c>
      <c r="D974" t="s">
        <v>2383</v>
      </c>
      <c r="E974" t="str">
        <f t="shared" si="21"/>
        <v>01. Routers and Planers</v>
      </c>
      <c r="F974">
        <v>75</v>
      </c>
      <c r="H974" t="b">
        <v>1</v>
      </c>
      <c r="I974">
        <v>814</v>
      </c>
      <c r="K974" s="192" t="s">
        <v>21</v>
      </c>
      <c r="L974" s="188">
        <f>IFERROR(_xlfn.XLOOKUP(A974,[1]Fleet!A:A,[1]Fleet!E:E,""),"")</f>
        <v>3</v>
      </c>
      <c r="M974" s="188">
        <v>7.1000000000000005</v>
      </c>
      <c r="N974" s="188" t="s">
        <v>2400</v>
      </c>
      <c r="O974" s="198" t="s">
        <v>2388</v>
      </c>
      <c r="P974">
        <v>965</v>
      </c>
      <c r="Q974">
        <f>_xlfn.XLOOKUP(A974,'[1]Classic Net to delete'!D:D,'[1]Classic Net to delete'!AA:AA,0)</f>
        <v>814</v>
      </c>
    </row>
    <row r="975" spans="1:17" x14ac:dyDescent="0.25">
      <c r="A975" t="s">
        <v>2401</v>
      </c>
      <c r="B975" t="s">
        <v>2402</v>
      </c>
      <c r="C975">
        <v>19.900000000000002</v>
      </c>
      <c r="D975" t="s">
        <v>2383</v>
      </c>
      <c r="E975" t="str">
        <f t="shared" si="21"/>
        <v>02. Cramps &amp; Clamps</v>
      </c>
      <c r="F975">
        <v>75</v>
      </c>
      <c r="H975" t="b">
        <v>1</v>
      </c>
      <c r="I975">
        <v>527</v>
      </c>
      <c r="K975" s="192" t="s">
        <v>54</v>
      </c>
      <c r="L975" s="188" t="str">
        <f>IFERROR(_xlfn.XLOOKUP(A975,[1]Fleet!A:A,[1]Fleet!E:E,""),"")</f>
        <v/>
      </c>
      <c r="M975" s="188">
        <v>18.600000000000001</v>
      </c>
      <c r="N975" s="188" t="s">
        <v>2403</v>
      </c>
      <c r="O975" s="198" t="s">
        <v>2404</v>
      </c>
      <c r="P975">
        <v>959</v>
      </c>
      <c r="Q975">
        <f>_xlfn.XLOOKUP(A975,'[1]Classic Net to delete'!D:D,'[1]Classic Net to delete'!AA:AA,0)</f>
        <v>527</v>
      </c>
    </row>
    <row r="976" spans="1:17" x14ac:dyDescent="0.25">
      <c r="A976" t="s">
        <v>2405</v>
      </c>
      <c r="B976" t="s">
        <v>2406</v>
      </c>
      <c r="C976">
        <v>17.07</v>
      </c>
      <c r="D976" t="s">
        <v>2383</v>
      </c>
      <c r="E976" t="str">
        <f t="shared" si="21"/>
        <v>02. Cramps &amp; Clamps</v>
      </c>
      <c r="F976">
        <v>75</v>
      </c>
      <c r="H976" t="b">
        <v>1</v>
      </c>
      <c r="I976">
        <v>818</v>
      </c>
      <c r="K976" s="192" t="s">
        <v>54</v>
      </c>
      <c r="L976" s="188" t="str">
        <f>IFERROR(_xlfn.XLOOKUP(A976,[1]Fleet!A:A,[1]Fleet!E:E,""),"")</f>
        <v/>
      </c>
      <c r="M976" s="188">
        <v>15.950000000000001</v>
      </c>
      <c r="N976" s="188" t="s">
        <v>2406</v>
      </c>
      <c r="O976" s="198" t="s">
        <v>2404</v>
      </c>
      <c r="P976">
        <v>958</v>
      </c>
      <c r="Q976">
        <f>_xlfn.XLOOKUP(A976,'[1]Classic Net to delete'!D:D,'[1]Classic Net to delete'!AA:AA,0)</f>
        <v>818</v>
      </c>
    </row>
    <row r="977" spans="1:17" x14ac:dyDescent="0.25">
      <c r="A977" t="s">
        <v>2407</v>
      </c>
      <c r="B977" t="s">
        <v>2408</v>
      </c>
      <c r="C977">
        <v>7.92</v>
      </c>
      <c r="D977" t="s">
        <v>2383</v>
      </c>
      <c r="E977" t="str">
        <f t="shared" si="21"/>
        <v>02. Cramps &amp; Clamps</v>
      </c>
      <c r="F977">
        <v>75</v>
      </c>
      <c r="H977" t="b">
        <v>1</v>
      </c>
      <c r="I977">
        <v>819</v>
      </c>
      <c r="K977" s="192" t="s">
        <v>54</v>
      </c>
      <c r="L977" s="188" t="str">
        <f>IFERROR(_xlfn.XLOOKUP(A977,[1]Fleet!A:A,[1]Fleet!E:E,""),"")</f>
        <v/>
      </c>
      <c r="M977" s="188">
        <v>7.4</v>
      </c>
      <c r="N977" s="188" t="s">
        <v>2409</v>
      </c>
      <c r="O977" s="198" t="s">
        <v>2404</v>
      </c>
      <c r="P977">
        <v>957</v>
      </c>
      <c r="Q977">
        <f>_xlfn.XLOOKUP(A977,'[1]Classic Net to delete'!D:D,'[1]Classic Net to delete'!AA:AA,0)</f>
        <v>819</v>
      </c>
    </row>
    <row r="978" spans="1:17" x14ac:dyDescent="0.25">
      <c r="A978" t="s">
        <v>2410</v>
      </c>
      <c r="B978" t="s">
        <v>2411</v>
      </c>
      <c r="C978">
        <v>13.540000000000001</v>
      </c>
      <c r="D978" t="s">
        <v>2383</v>
      </c>
      <c r="E978" t="str">
        <f t="shared" si="21"/>
        <v>02. Cramps &amp; Clamps</v>
      </c>
      <c r="F978">
        <v>75</v>
      </c>
      <c r="H978" t="b">
        <v>1</v>
      </c>
      <c r="I978">
        <v>820</v>
      </c>
      <c r="K978" s="192" t="s">
        <v>54</v>
      </c>
      <c r="L978" s="188" t="str">
        <f>IFERROR(_xlfn.XLOOKUP(A978,[1]Fleet!A:A,[1]Fleet!E:E,""),"")</f>
        <v/>
      </c>
      <c r="M978" s="188">
        <v>12.65</v>
      </c>
      <c r="N978" s="188" t="s">
        <v>2412</v>
      </c>
      <c r="O978" s="198" t="s">
        <v>2404</v>
      </c>
      <c r="P978">
        <v>956</v>
      </c>
      <c r="Q978">
        <f>_xlfn.XLOOKUP(A978,'[1]Classic Net to delete'!D:D,'[1]Classic Net to delete'!AA:AA,0)</f>
        <v>820</v>
      </c>
    </row>
    <row r="979" spans="1:17" x14ac:dyDescent="0.25">
      <c r="A979" t="s">
        <v>2413</v>
      </c>
      <c r="B979" t="s">
        <v>2414</v>
      </c>
      <c r="C979">
        <v>2.89</v>
      </c>
      <c r="D979" t="s">
        <v>2383</v>
      </c>
      <c r="E979" t="str">
        <f t="shared" si="21"/>
        <v>02. Cramps &amp; Clamps</v>
      </c>
      <c r="F979">
        <v>75</v>
      </c>
      <c r="H979" t="b">
        <v>1</v>
      </c>
      <c r="I979">
        <v>821</v>
      </c>
      <c r="K979" s="192" t="s">
        <v>54</v>
      </c>
      <c r="L979" s="188" t="str">
        <f>IFERROR(_xlfn.XLOOKUP(A979,[1]Fleet!A:A,[1]Fleet!E:E,""),"")</f>
        <v/>
      </c>
      <c r="M979" s="188">
        <v>2.7</v>
      </c>
      <c r="N979" s="188" t="s">
        <v>2414</v>
      </c>
      <c r="O979" s="198" t="s">
        <v>2404</v>
      </c>
      <c r="P979">
        <v>955</v>
      </c>
      <c r="Q979">
        <f>_xlfn.XLOOKUP(A979,'[1]Classic Net to delete'!D:D,'[1]Classic Net to delete'!AA:AA,0)</f>
        <v>821</v>
      </c>
    </row>
    <row r="980" spans="1:17" x14ac:dyDescent="0.25">
      <c r="A980" t="s">
        <v>2415</v>
      </c>
      <c r="B980" t="s">
        <v>2416</v>
      </c>
      <c r="C980">
        <v>12.950000000000001</v>
      </c>
      <c r="D980" t="s">
        <v>2383</v>
      </c>
      <c r="E980" t="str">
        <f t="shared" si="21"/>
        <v>03. Sanding</v>
      </c>
      <c r="F980">
        <v>75</v>
      </c>
      <c r="H980" t="b">
        <v>1</v>
      </c>
      <c r="I980">
        <v>824</v>
      </c>
      <c r="K980" s="192" t="s">
        <v>85</v>
      </c>
      <c r="L980" s="188">
        <f>IFERROR(_xlfn.XLOOKUP(A980,[1]Fleet!A:A,[1]Fleet!E:E,""),"")</f>
        <v>17</v>
      </c>
      <c r="M980" s="188">
        <v>12.100000000000001</v>
      </c>
      <c r="N980" s="188" t="s">
        <v>2417</v>
      </c>
      <c r="O980" s="198" t="s">
        <v>2384</v>
      </c>
      <c r="P980">
        <v>972</v>
      </c>
      <c r="Q980">
        <f>_xlfn.XLOOKUP(A980,'[1]Classic Net to delete'!D:D,'[1]Classic Net to delete'!AA:AA,0)</f>
        <v>824</v>
      </c>
    </row>
    <row r="981" spans="1:17" x14ac:dyDescent="0.25">
      <c r="A981" t="s">
        <v>2418</v>
      </c>
      <c r="B981" t="s">
        <v>2419</v>
      </c>
      <c r="C981">
        <v>30.98</v>
      </c>
      <c r="D981" t="s">
        <v>2383</v>
      </c>
      <c r="E981" t="str">
        <f t="shared" si="21"/>
        <v>03. Sanding</v>
      </c>
      <c r="F981">
        <v>75</v>
      </c>
      <c r="H981" t="b">
        <v>1</v>
      </c>
      <c r="I981">
        <v>825</v>
      </c>
      <c r="K981" s="192" t="s">
        <v>85</v>
      </c>
      <c r="L981" s="188">
        <f>IFERROR(_xlfn.XLOOKUP(A981,[1]Fleet!A:A,[1]Fleet!E:E,""),"")</f>
        <v>7</v>
      </c>
      <c r="M981" s="188">
        <v>28.950000000000003</v>
      </c>
      <c r="N981" s="188" t="s">
        <v>2420</v>
      </c>
      <c r="O981" s="198" t="s">
        <v>2384</v>
      </c>
      <c r="P981">
        <v>971</v>
      </c>
      <c r="Q981">
        <f>_xlfn.XLOOKUP(A981,'[1]Classic Net to delete'!D:D,'[1]Classic Net to delete'!AA:AA,0)</f>
        <v>825</v>
      </c>
    </row>
    <row r="982" spans="1:17" x14ac:dyDescent="0.25">
      <c r="A982" t="s">
        <v>2421</v>
      </c>
      <c r="B982" t="s">
        <v>2422</v>
      </c>
      <c r="C982">
        <v>40.39</v>
      </c>
      <c r="D982" t="s">
        <v>2383</v>
      </c>
      <c r="E982" t="str">
        <f t="shared" si="21"/>
        <v>03. Sanding</v>
      </c>
      <c r="F982">
        <v>75</v>
      </c>
      <c r="H982" t="b">
        <v>1</v>
      </c>
      <c r="I982">
        <v>826</v>
      </c>
      <c r="K982" s="192" t="s">
        <v>85</v>
      </c>
      <c r="L982" s="188">
        <f>IFERROR(_xlfn.XLOOKUP(A982,[1]Fleet!A:A,[1]Fleet!E:E,""),"")</f>
        <v>6</v>
      </c>
      <c r="M982" s="188">
        <v>37.75</v>
      </c>
      <c r="N982" s="188" t="s">
        <v>2423</v>
      </c>
      <c r="O982" s="198" t="s">
        <v>2384</v>
      </c>
      <c r="P982">
        <v>973</v>
      </c>
      <c r="Q982">
        <f>_xlfn.XLOOKUP(A982,'[1]Classic Net to delete'!D:D,'[1]Classic Net to delete'!AA:AA,0)</f>
        <v>826</v>
      </c>
    </row>
    <row r="983" spans="1:17" x14ac:dyDescent="0.25">
      <c r="A983" t="s">
        <v>2424</v>
      </c>
      <c r="B983" t="s">
        <v>2425</v>
      </c>
      <c r="C983">
        <v>36.97</v>
      </c>
      <c r="D983" t="s">
        <v>2383</v>
      </c>
      <c r="E983" t="str">
        <f t="shared" si="21"/>
        <v>03. Sanding</v>
      </c>
      <c r="F983">
        <v>75</v>
      </c>
      <c r="H983" t="b">
        <v>1</v>
      </c>
      <c r="I983">
        <v>827</v>
      </c>
      <c r="K983" s="192" t="s">
        <v>85</v>
      </c>
      <c r="L983" s="188">
        <f>IFERROR(_xlfn.XLOOKUP(A983,[1]Fleet!A:A,[1]Fleet!E:E,""),"")</f>
        <v>2</v>
      </c>
      <c r="M983" s="188">
        <v>34.550000000000004</v>
      </c>
      <c r="N983" s="188" t="s">
        <v>2425</v>
      </c>
      <c r="O983" s="198" t="s">
        <v>2384</v>
      </c>
      <c r="P983">
        <v>968</v>
      </c>
      <c r="Q983">
        <f>_xlfn.XLOOKUP(A983,'[1]Classic Net to delete'!D:D,'[1]Classic Net to delete'!AA:AA,0)</f>
        <v>827</v>
      </c>
    </row>
    <row r="984" spans="1:17" x14ac:dyDescent="0.25">
      <c r="A984" t="s">
        <v>2426</v>
      </c>
      <c r="B984" t="s">
        <v>2427</v>
      </c>
      <c r="C984">
        <v>43.87</v>
      </c>
      <c r="D984" t="s">
        <v>2383</v>
      </c>
      <c r="E984" t="str">
        <f t="shared" si="21"/>
        <v>03. Sanding</v>
      </c>
      <c r="F984">
        <v>75</v>
      </c>
      <c r="H984" t="b">
        <v>1</v>
      </c>
      <c r="I984">
        <v>828</v>
      </c>
      <c r="K984" s="192" t="s">
        <v>85</v>
      </c>
      <c r="L984" s="188">
        <f>IFERROR(_xlfn.XLOOKUP(A984,[1]Fleet!A:A,[1]Fleet!E:E,""),"")</f>
        <v>3</v>
      </c>
      <c r="M984" s="188">
        <v>41</v>
      </c>
      <c r="N984" s="188" t="s">
        <v>2428</v>
      </c>
      <c r="O984" s="198" t="s">
        <v>2384</v>
      </c>
      <c r="P984">
        <v>967</v>
      </c>
      <c r="Q984">
        <f>_xlfn.XLOOKUP(A984,'[1]Classic Net to delete'!D:D,'[1]Classic Net to delete'!AA:AA,0)</f>
        <v>828</v>
      </c>
    </row>
    <row r="985" spans="1:17" x14ac:dyDescent="0.25">
      <c r="A985" t="s">
        <v>2429</v>
      </c>
      <c r="B985" t="s">
        <v>2430</v>
      </c>
      <c r="C985">
        <v>118.76</v>
      </c>
      <c r="D985" t="s">
        <v>2383</v>
      </c>
      <c r="E985" t="str">
        <f t="shared" si="21"/>
        <v>03. Sanding</v>
      </c>
      <c r="F985">
        <v>75</v>
      </c>
      <c r="H985" t="b">
        <v>1</v>
      </c>
      <c r="I985">
        <v>829</v>
      </c>
      <c r="K985" s="192" t="s">
        <v>85</v>
      </c>
      <c r="L985" s="188">
        <f>IFERROR(_xlfn.XLOOKUP(A985,[1]Fleet!A:A,[1]Fleet!E:E,""),"")</f>
        <v>7</v>
      </c>
      <c r="M985" s="188">
        <v>91.350000000000009</v>
      </c>
      <c r="N985" s="188" t="s">
        <v>2431</v>
      </c>
      <c r="O985" s="198" t="s">
        <v>2384</v>
      </c>
      <c r="P985">
        <v>970</v>
      </c>
      <c r="Q985">
        <f>_xlfn.XLOOKUP(A985,'[1]Classic Net to delete'!D:D,'[1]Classic Net to delete'!AA:AA,0)</f>
        <v>829</v>
      </c>
    </row>
    <row r="986" spans="1:17" x14ac:dyDescent="0.25">
      <c r="A986" t="s">
        <v>2432</v>
      </c>
      <c r="B986" t="s">
        <v>2433</v>
      </c>
      <c r="C986">
        <v>74.36</v>
      </c>
      <c r="D986" t="s">
        <v>2383</v>
      </c>
      <c r="E986" t="str">
        <f t="shared" si="21"/>
        <v>03. Sanding</v>
      </c>
      <c r="F986">
        <v>75</v>
      </c>
      <c r="H986" t="b">
        <v>1</v>
      </c>
      <c r="I986">
        <v>830</v>
      </c>
      <c r="K986" s="192" t="s">
        <v>85</v>
      </c>
      <c r="L986" s="188">
        <f>IFERROR(_xlfn.XLOOKUP(A986,[1]Fleet!A:A,[1]Fleet!E:E,""),"")</f>
        <v>4</v>
      </c>
      <c r="M986" s="188">
        <v>57.2</v>
      </c>
      <c r="N986" s="188" t="s">
        <v>2434</v>
      </c>
      <c r="O986" s="198" t="s">
        <v>2384</v>
      </c>
      <c r="P986">
        <v>969</v>
      </c>
      <c r="Q986">
        <f>_xlfn.XLOOKUP(A986,'[1]Classic Net to delete'!D:D,'[1]Classic Net to delete'!AA:AA,0)</f>
        <v>830</v>
      </c>
    </row>
    <row r="987" spans="1:17" x14ac:dyDescent="0.25">
      <c r="A987" t="s">
        <v>2435</v>
      </c>
      <c r="B987" t="s">
        <v>2436</v>
      </c>
      <c r="C987">
        <v>50.34</v>
      </c>
      <c r="D987" t="s">
        <v>2383</v>
      </c>
      <c r="E987" t="str">
        <f t="shared" si="21"/>
        <v>03. Sanding</v>
      </c>
      <c r="F987">
        <v>75</v>
      </c>
      <c r="H987" t="b">
        <v>1</v>
      </c>
      <c r="I987">
        <v>831</v>
      </c>
      <c r="K987" s="192" t="s">
        <v>85</v>
      </c>
      <c r="L987" s="188">
        <f>IFERROR(_xlfn.XLOOKUP(A987,[1]Fleet!A:A,[1]Fleet!E:E,""),"")</f>
        <v>31</v>
      </c>
      <c r="M987" s="188">
        <v>47.050000000000004</v>
      </c>
      <c r="N987" s="188" t="s">
        <v>2436</v>
      </c>
      <c r="O987" s="198" t="s">
        <v>2384</v>
      </c>
      <c r="P987">
        <v>975</v>
      </c>
      <c r="Q987">
        <f>_xlfn.XLOOKUP(A987,'[1]Classic Net to delete'!D:D,'[1]Classic Net to delete'!AA:AA,0)</f>
        <v>831</v>
      </c>
    </row>
    <row r="988" spans="1:17" x14ac:dyDescent="0.25">
      <c r="A988" t="s">
        <v>2437</v>
      </c>
      <c r="B988" t="s">
        <v>2438</v>
      </c>
      <c r="C988">
        <v>87.38</v>
      </c>
      <c r="D988" t="s">
        <v>2383</v>
      </c>
      <c r="E988" t="str">
        <f t="shared" si="21"/>
        <v>03. Sanding</v>
      </c>
      <c r="F988">
        <v>75</v>
      </c>
      <c r="H988" t="b">
        <v>1</v>
      </c>
      <c r="I988">
        <v>832</v>
      </c>
      <c r="K988" s="192" t="s">
        <v>85</v>
      </c>
      <c r="L988" s="188">
        <f>IFERROR(_xlfn.XLOOKUP(A988,[1]Fleet!A:A,[1]Fleet!E:E,""),"")</f>
        <v>24</v>
      </c>
      <c r="M988" s="188">
        <v>74.05</v>
      </c>
      <c r="N988" s="188" t="s">
        <v>2385</v>
      </c>
      <c r="O988" s="198" t="s">
        <v>2384</v>
      </c>
      <c r="P988">
        <v>976</v>
      </c>
      <c r="Q988">
        <f>_xlfn.XLOOKUP(A988,'[1]Classic Net to delete'!D:D,'[1]Classic Net to delete'!AA:AA,0)</f>
        <v>832</v>
      </c>
    </row>
    <row r="989" spans="1:17" x14ac:dyDescent="0.25">
      <c r="A989" t="s">
        <v>2439</v>
      </c>
      <c r="B989" t="s">
        <v>2440</v>
      </c>
      <c r="C989">
        <v>5.72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1268</v>
      </c>
      <c r="Q989">
        <f>_xlfn.XLOOKUP(A989,'[1]Classic Net to delete'!D:D,'[1]Classic Net to delete'!AA:AA,0)</f>
        <v>0</v>
      </c>
    </row>
    <row r="990" spans="1:17" x14ac:dyDescent="0.25">
      <c r="A990" t="s">
        <v>2441</v>
      </c>
      <c r="B990" t="s">
        <v>2442</v>
      </c>
      <c r="C990">
        <v>5.72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1267</v>
      </c>
      <c r="Q990">
        <f>_xlfn.XLOOKUP(A990,'[1]Classic Net to delete'!D:D,'[1]Classic Net to delete'!AA:AA,0)</f>
        <v>0</v>
      </c>
    </row>
    <row r="991" spans="1:17" x14ac:dyDescent="0.25">
      <c r="A991" t="s">
        <v>2443</v>
      </c>
      <c r="B991" t="s">
        <v>2444</v>
      </c>
      <c r="C991">
        <v>3.8000000000000003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1266</v>
      </c>
      <c r="Q991">
        <f>_xlfn.XLOOKUP(A991,'[1]Classic Net to delete'!D:D,'[1]Classic Net to delete'!AA:AA,0)</f>
        <v>0</v>
      </c>
    </row>
    <row r="992" spans="1:17" x14ac:dyDescent="0.25">
      <c r="A992" t="s">
        <v>2445</v>
      </c>
      <c r="B992" t="s">
        <v>2446</v>
      </c>
      <c r="C992">
        <v>2.89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1265</v>
      </c>
      <c r="Q992">
        <f>_xlfn.XLOOKUP(A992,'[1]Classic Net to delete'!D:D,'[1]Classic Net to delete'!AA:AA,0)</f>
        <v>0</v>
      </c>
    </row>
    <row r="993" spans="1:17" x14ac:dyDescent="0.25">
      <c r="A993" t="s">
        <v>2447</v>
      </c>
      <c r="B993" t="s">
        <v>2448</v>
      </c>
      <c r="C993">
        <v>4.4400000000000004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1264</v>
      </c>
      <c r="Q993">
        <f>_xlfn.XLOOKUP(A993,'[1]Classic Net to delete'!D:D,'[1]Classic Net to delete'!AA:AA,0)</f>
        <v>0</v>
      </c>
    </row>
    <row r="994" spans="1:17" x14ac:dyDescent="0.25">
      <c r="A994" t="s">
        <v>2449</v>
      </c>
      <c r="B994" t="s">
        <v>2450</v>
      </c>
      <c r="C994">
        <v>4.12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1263</v>
      </c>
      <c r="Q994">
        <f>_xlfn.XLOOKUP(A994,'[1]Classic Net to delete'!D:D,'[1]Classic Net to delete'!AA:AA,0)</f>
        <v>0</v>
      </c>
    </row>
    <row r="995" spans="1:17" x14ac:dyDescent="0.25">
      <c r="A995" t="s">
        <v>2451</v>
      </c>
      <c r="B995" t="s">
        <v>2452</v>
      </c>
      <c r="C995">
        <v>4.12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1262</v>
      </c>
      <c r="Q995">
        <f>_xlfn.XLOOKUP(A995,'[1]Classic Net to delete'!D:D,'[1]Classic Net to delete'!AA:AA,0)</f>
        <v>0</v>
      </c>
    </row>
    <row r="996" spans="1:17" x14ac:dyDescent="0.25">
      <c r="A996" t="s">
        <v>2453</v>
      </c>
      <c r="B996" t="s">
        <v>2454</v>
      </c>
      <c r="C996">
        <v>4.12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1261</v>
      </c>
      <c r="Q996">
        <f>_xlfn.XLOOKUP(A996,'[1]Classic Net to delete'!D:D,'[1]Classic Net to delete'!AA:AA,0)</f>
        <v>0</v>
      </c>
    </row>
    <row r="997" spans="1:17" x14ac:dyDescent="0.25">
      <c r="A997" t="s">
        <v>2455</v>
      </c>
      <c r="B997" t="s">
        <v>2456</v>
      </c>
      <c r="C997">
        <v>12.63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1260</v>
      </c>
      <c r="Q997">
        <f>_xlfn.XLOOKUP(A997,'[1]Classic Net to delete'!D:D,'[1]Classic Net to delete'!AA:AA,0)</f>
        <v>0</v>
      </c>
    </row>
    <row r="998" spans="1:17" x14ac:dyDescent="0.25">
      <c r="A998" t="s">
        <v>2457</v>
      </c>
      <c r="B998" t="s">
        <v>2458</v>
      </c>
      <c r="C998">
        <v>12.63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1259</v>
      </c>
      <c r="Q998">
        <f>_xlfn.XLOOKUP(A998,'[1]Classic Net to delete'!D:D,'[1]Classic Net to delete'!AA:AA,0)</f>
        <v>0</v>
      </c>
    </row>
    <row r="999" spans="1:17" x14ac:dyDescent="0.25">
      <c r="A999" t="s">
        <v>2459</v>
      </c>
      <c r="B999" t="s">
        <v>2460</v>
      </c>
      <c r="C999">
        <v>33.76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1258</v>
      </c>
      <c r="Q999">
        <f>_xlfn.XLOOKUP(A999,'[1]Classic Net to delete'!D:D,'[1]Classic Net to delete'!AA:AA,0)</f>
        <v>0</v>
      </c>
    </row>
    <row r="1000" spans="1:17" x14ac:dyDescent="0.25">
      <c r="A1000" t="s">
        <v>2461</v>
      </c>
      <c r="B1000" t="s">
        <v>2462</v>
      </c>
      <c r="C1000">
        <v>20.22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1257</v>
      </c>
      <c r="Q1000">
        <f>_xlfn.XLOOKUP(A1000,'[1]Classic Net to delete'!D:D,'[1]Classic Net to delete'!AA:AA,0)</f>
        <v>0</v>
      </c>
    </row>
    <row r="1001" spans="1:17" x14ac:dyDescent="0.25">
      <c r="A1001" t="s">
        <v>2463</v>
      </c>
      <c r="B1001" t="s">
        <v>2464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1256</v>
      </c>
      <c r="Q1001">
        <f>_xlfn.XLOOKUP(A1001,'[1]Classic Net to delete'!D:D,'[1]Classic Net to delete'!AA:AA,0)</f>
        <v>0</v>
      </c>
    </row>
    <row r="1002" spans="1:17" x14ac:dyDescent="0.25">
      <c r="A1002" t="s">
        <v>2465</v>
      </c>
      <c r="B1002" t="s">
        <v>2466</v>
      </c>
      <c r="C1002">
        <v>10.540000000000001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1255</v>
      </c>
      <c r="Q1002">
        <f>_xlfn.XLOOKUP(A1002,'[1]Classic Net to delete'!D:D,'[1]Classic Net to delete'!AA:AA,0)</f>
        <v>0</v>
      </c>
    </row>
    <row r="1003" spans="1:17" x14ac:dyDescent="0.25">
      <c r="A1003" t="s">
        <v>2467</v>
      </c>
      <c r="B1003" t="s">
        <v>2468</v>
      </c>
      <c r="C1003">
        <v>15.84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1254</v>
      </c>
      <c r="Q1003">
        <f>_xlfn.XLOOKUP(A1003,'[1]Classic Net to delete'!D:D,'[1]Classic Net to delete'!AA:AA,0)</f>
        <v>0</v>
      </c>
    </row>
    <row r="1004" spans="1:17" x14ac:dyDescent="0.25">
      <c r="A1004" t="s">
        <v>2469</v>
      </c>
      <c r="B1004" t="s">
        <v>2470</v>
      </c>
      <c r="C1004">
        <v>10.540000000000001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1253</v>
      </c>
      <c r="Q1004">
        <f>_xlfn.XLOOKUP(A1004,'[1]Classic Net to delete'!D:D,'[1]Classic Net to delete'!AA:AA,0)</f>
        <v>0</v>
      </c>
    </row>
    <row r="1005" spans="1:17" x14ac:dyDescent="0.25">
      <c r="A1005" t="s">
        <v>2471</v>
      </c>
      <c r="B1005" t="s">
        <v>2472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1252</v>
      </c>
      <c r="Q1005">
        <f>_xlfn.XLOOKUP(A1005,'[1]Classic Net to delete'!D:D,'[1]Classic Net to delete'!AA:AA,0)</f>
        <v>0</v>
      </c>
    </row>
    <row r="1006" spans="1:17" x14ac:dyDescent="0.25">
      <c r="A1006" t="s">
        <v>2473</v>
      </c>
      <c r="B1006" t="s">
        <v>2474</v>
      </c>
      <c r="C1006">
        <v>10.540000000000001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1251</v>
      </c>
      <c r="Q1006">
        <f>_xlfn.XLOOKUP(A1006,'[1]Classic Net to delete'!D:D,'[1]Classic Net to delete'!AA:AA,0)</f>
        <v>0</v>
      </c>
    </row>
    <row r="1007" spans="1:17" x14ac:dyDescent="0.25">
      <c r="A1007" t="s">
        <v>2475</v>
      </c>
      <c r="B1007" t="s">
        <v>2476</v>
      </c>
      <c r="C1007">
        <v>23.38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1250</v>
      </c>
      <c r="Q1007">
        <f>_xlfn.XLOOKUP(A1007,'[1]Classic Net to delete'!D:D,'[1]Classic Net to delete'!AA:AA,0)</f>
        <v>0</v>
      </c>
    </row>
    <row r="1008" spans="1:17" x14ac:dyDescent="0.25">
      <c r="A1008" t="s">
        <v>2477</v>
      </c>
      <c r="B1008" t="s">
        <v>2478</v>
      </c>
      <c r="C1008">
        <v>23.38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1249</v>
      </c>
      <c r="Q1008">
        <f>_xlfn.XLOOKUP(A1008,'[1]Classic Net to delete'!D:D,'[1]Classic Net to delete'!AA:AA,0)</f>
        <v>0</v>
      </c>
    </row>
    <row r="1009" spans="1:17" x14ac:dyDescent="0.25">
      <c r="A1009" t="s">
        <v>2479</v>
      </c>
      <c r="B1009" t="s">
        <v>2480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1248</v>
      </c>
      <c r="Q1009">
        <f>_xlfn.XLOOKUP(A1009,'[1]Classic Net to delete'!D:D,'[1]Classic Net to delete'!AA:AA,0)</f>
        <v>0</v>
      </c>
    </row>
    <row r="1010" spans="1:17" x14ac:dyDescent="0.25">
      <c r="A1010" t="s">
        <v>2481</v>
      </c>
      <c r="B1010" t="s">
        <v>2482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1247</v>
      </c>
      <c r="Q1010">
        <f>_xlfn.XLOOKUP(A1010,'[1]Classic Net to delete'!D:D,'[1]Classic Net to delete'!AA:AA,0)</f>
        <v>0</v>
      </c>
    </row>
    <row r="1011" spans="1:17" x14ac:dyDescent="0.25">
      <c r="A1011" t="s">
        <v>2483</v>
      </c>
      <c r="B1011" t="s">
        <v>2484</v>
      </c>
      <c r="C1011">
        <v>3.8000000000000003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1246</v>
      </c>
      <c r="Q1011">
        <f>_xlfn.XLOOKUP(A1011,'[1]Classic Net to delete'!D:D,'[1]Classic Net to delete'!AA:AA,0)</f>
        <v>0</v>
      </c>
    </row>
    <row r="1012" spans="1:17" x14ac:dyDescent="0.25">
      <c r="A1012" t="s">
        <v>2485</v>
      </c>
      <c r="B1012" t="s">
        <v>2486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1245</v>
      </c>
      <c r="Q1012">
        <f>_xlfn.XLOOKUP(A1012,'[1]Classic Net to delete'!D:D,'[1]Classic Net to delete'!AA:AA,0)</f>
        <v>0</v>
      </c>
    </row>
    <row r="1013" spans="1:17" x14ac:dyDescent="0.25">
      <c r="A1013" t="s">
        <v>2487</v>
      </c>
      <c r="B1013" t="s">
        <v>2488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1244</v>
      </c>
      <c r="Q1013">
        <f>_xlfn.XLOOKUP(A1013,'[1]Classic Net to delete'!D:D,'[1]Classic Net to delete'!AA:AA,0)</f>
        <v>0</v>
      </c>
    </row>
    <row r="1014" spans="1:17" x14ac:dyDescent="0.25">
      <c r="A1014" t="s">
        <v>2489</v>
      </c>
      <c r="B1014" t="s">
        <v>2490</v>
      </c>
      <c r="C1014">
        <v>0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1243</v>
      </c>
      <c r="Q1014">
        <f>_xlfn.XLOOKUP(A1014,'[1]Classic Net to delete'!D:D,'[1]Classic Net to delete'!AA:AA,0)</f>
        <v>0</v>
      </c>
    </row>
    <row r="1015" spans="1:17" x14ac:dyDescent="0.25">
      <c r="A1015" t="s">
        <v>2491</v>
      </c>
      <c r="B1015" t="s">
        <v>2492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1242</v>
      </c>
      <c r="Q1015">
        <f>_xlfn.XLOOKUP(A1015,'[1]Classic Net to delete'!D:D,'[1]Classic Net to delete'!AA:AA,0)</f>
        <v>0</v>
      </c>
    </row>
    <row r="1016" spans="1:17" x14ac:dyDescent="0.25">
      <c r="A1016" t="s">
        <v>2493</v>
      </c>
      <c r="B1016" t="s">
        <v>2494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1241</v>
      </c>
      <c r="Q1016">
        <f>_xlfn.XLOOKUP(A1016,'[1]Classic Net to delete'!D:D,'[1]Classic Net to delete'!AA:AA,0)</f>
        <v>0</v>
      </c>
    </row>
    <row r="1017" spans="1:17" x14ac:dyDescent="0.25">
      <c r="A1017" t="s">
        <v>2495</v>
      </c>
      <c r="B1017" t="s">
        <v>2496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1240</v>
      </c>
      <c r="Q1017">
        <f>_xlfn.XLOOKUP(A1017,'[1]Classic Net to delete'!D:D,'[1]Classic Net to delete'!AA:AA,0)</f>
        <v>0</v>
      </c>
    </row>
    <row r="1018" spans="1:17" x14ac:dyDescent="0.25">
      <c r="A1018" t="s">
        <v>2497</v>
      </c>
      <c r="B1018" t="s">
        <v>2498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1239</v>
      </c>
      <c r="Q1018">
        <f>_xlfn.XLOOKUP(A1018,'[1]Classic Net to delete'!D:D,'[1]Classic Net to delete'!AA:AA,0)</f>
        <v>0</v>
      </c>
    </row>
    <row r="1019" spans="1:17" x14ac:dyDescent="0.25">
      <c r="A1019" t="s">
        <v>2499</v>
      </c>
      <c r="B1019" t="s">
        <v>2500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1238</v>
      </c>
      <c r="Q1019">
        <f>_xlfn.XLOOKUP(A1019,'[1]Classic Net to delete'!D:D,'[1]Classic Net to delete'!AA:AA,0)</f>
        <v>0</v>
      </c>
    </row>
    <row r="1020" spans="1:17" x14ac:dyDescent="0.25">
      <c r="A1020" t="s">
        <v>2501</v>
      </c>
      <c r="B1020" t="s">
        <v>2502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1237</v>
      </c>
      <c r="Q1020">
        <f>_xlfn.XLOOKUP(A1020,'[1]Classic Net to delete'!D:D,'[1]Classic Net to delete'!AA:AA,0)</f>
        <v>0</v>
      </c>
    </row>
    <row r="1021" spans="1:17" x14ac:dyDescent="0.25">
      <c r="A1021" t="s">
        <v>2503</v>
      </c>
      <c r="B1021" t="s">
        <v>2504</v>
      </c>
      <c r="C1021">
        <v>3.8000000000000003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1236</v>
      </c>
      <c r="Q1021">
        <f>_xlfn.XLOOKUP(A1021,'[1]Classic Net to delete'!D:D,'[1]Classic Net to delete'!AA:AA,0)</f>
        <v>0</v>
      </c>
    </row>
    <row r="1022" spans="1:17" x14ac:dyDescent="0.25">
      <c r="A1022" t="s">
        <v>2505</v>
      </c>
      <c r="B1022" t="s">
        <v>2506</v>
      </c>
      <c r="C1022">
        <v>3.8000000000000003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1235</v>
      </c>
      <c r="Q1022">
        <f>_xlfn.XLOOKUP(A1022,'[1]Classic Net to delete'!D:D,'[1]Classic Net to delete'!AA:AA,0)</f>
        <v>0</v>
      </c>
    </row>
    <row r="1023" spans="1:17" x14ac:dyDescent="0.25">
      <c r="A1023" t="s">
        <v>2507</v>
      </c>
      <c r="B1023" t="s">
        <v>2508</v>
      </c>
      <c r="C1023">
        <v>3.8000000000000003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1234</v>
      </c>
      <c r="Q1023">
        <f>_xlfn.XLOOKUP(A1023,'[1]Classic Net to delete'!D:D,'[1]Classic Net to delete'!AA:AA,0)</f>
        <v>0</v>
      </c>
    </row>
    <row r="1024" spans="1:17" x14ac:dyDescent="0.25">
      <c r="A1024" t="s">
        <v>2509</v>
      </c>
      <c r="B1024" t="s">
        <v>2510</v>
      </c>
      <c r="C1024">
        <v>4.12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1233</v>
      </c>
      <c r="Q1024">
        <f>_xlfn.XLOOKUP(A1024,'[1]Classic Net to delete'!D:D,'[1]Classic Net to delete'!AA:AA,0)</f>
        <v>0</v>
      </c>
    </row>
    <row r="1025" spans="1:17" x14ac:dyDescent="0.25">
      <c r="A1025" t="s">
        <v>2511</v>
      </c>
      <c r="B1025" t="s">
        <v>2512</v>
      </c>
      <c r="C1025">
        <v>5.08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1232</v>
      </c>
      <c r="Q1025">
        <f>_xlfn.XLOOKUP(A1025,'[1]Classic Net to delete'!D:D,'[1]Classic Net to delete'!AA:AA,0)</f>
        <v>0</v>
      </c>
    </row>
    <row r="1026" spans="1:17" x14ac:dyDescent="0.25">
      <c r="A1026" t="s">
        <v>2513</v>
      </c>
      <c r="B1026" t="s">
        <v>2514</v>
      </c>
      <c r="C1026">
        <v>5.08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1231</v>
      </c>
      <c r="Q1026">
        <f>_xlfn.XLOOKUP(A1026,'[1]Classic Net to delete'!D:D,'[1]Classic Net to delete'!AA:AA,0)</f>
        <v>0</v>
      </c>
    </row>
    <row r="1027" spans="1:17" x14ac:dyDescent="0.25">
      <c r="A1027" t="s">
        <v>2515</v>
      </c>
      <c r="B1027" t="s">
        <v>2516</v>
      </c>
      <c r="C1027">
        <v>2.25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1230</v>
      </c>
      <c r="Q1027">
        <f>_xlfn.XLOOKUP(A1027,'[1]Classic Net to delete'!D:D,'[1]Classic Net to delete'!AA:AA,0)</f>
        <v>0</v>
      </c>
    </row>
    <row r="1028" spans="1:17" x14ac:dyDescent="0.25">
      <c r="A1028" t="s">
        <v>2517</v>
      </c>
      <c r="B1028" t="s">
        <v>2518</v>
      </c>
      <c r="C1028">
        <v>2.25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1229</v>
      </c>
      <c r="Q1028">
        <f>_xlfn.XLOOKUP(A1028,'[1]Classic Net to delete'!D:D,'[1]Classic Net to delete'!AA:AA,0)</f>
        <v>0</v>
      </c>
    </row>
    <row r="1029" spans="1:17" x14ac:dyDescent="0.25">
      <c r="A1029" t="s">
        <v>2519</v>
      </c>
      <c r="B1029" t="s">
        <v>2520</v>
      </c>
      <c r="C1029">
        <v>2.25</v>
      </c>
      <c r="E1029" t="str">
        <f t="shared" si="21"/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1228</v>
      </c>
      <c r="Q1029">
        <f>_xlfn.XLOOKUP(A1029,'[1]Classic Net to delete'!D:D,'[1]Classic Net to delete'!AA:AA,0)</f>
        <v>0</v>
      </c>
    </row>
    <row r="1030" spans="1:17" x14ac:dyDescent="0.25">
      <c r="A1030" t="s">
        <v>2521</v>
      </c>
      <c r="B1030" t="s">
        <v>2522</v>
      </c>
      <c r="C1030">
        <v>5.08</v>
      </c>
      <c r="E1030" t="str">
        <f t="shared" si="21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1227</v>
      </c>
      <c r="Q1030">
        <f>_xlfn.XLOOKUP(A1030,'[1]Classic Net to delete'!D:D,'[1]Classic Net to delete'!AA:AA,0)</f>
        <v>0</v>
      </c>
    </row>
    <row r="1031" spans="1:17" x14ac:dyDescent="0.25">
      <c r="A1031" t="s">
        <v>2523</v>
      </c>
      <c r="B1031" t="s">
        <v>2524</v>
      </c>
      <c r="C1031">
        <v>9.15</v>
      </c>
      <c r="E1031" t="str">
        <f t="shared" si="21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1226</v>
      </c>
      <c r="Q1031">
        <f>_xlfn.XLOOKUP(A1031,'[1]Classic Net to delete'!D:D,'[1]Classic Net to delete'!AA:AA,0)</f>
        <v>0</v>
      </c>
    </row>
    <row r="1032" spans="1:17" x14ac:dyDescent="0.25">
      <c r="A1032" t="s">
        <v>2525</v>
      </c>
      <c r="B1032" t="s">
        <v>2526</v>
      </c>
      <c r="C1032">
        <v>2.25</v>
      </c>
      <c r="E1032" t="str">
        <f t="shared" ref="E1032:E1095" si="22">CONCATENATE(K1032,". ",O1032)</f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1225</v>
      </c>
      <c r="Q1032">
        <f>_xlfn.XLOOKUP(A1032,'[1]Classic Net to delete'!D:D,'[1]Classic Net to delete'!AA:AA,0)</f>
        <v>0</v>
      </c>
    </row>
    <row r="1033" spans="1:17" x14ac:dyDescent="0.25">
      <c r="A1033" t="s">
        <v>2527</v>
      </c>
      <c r="B1033" t="s">
        <v>2528</v>
      </c>
      <c r="C1033">
        <v>2.25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1224</v>
      </c>
      <c r="Q1033">
        <f>_xlfn.XLOOKUP(A1033,'[1]Classic Net to delete'!D:D,'[1]Classic Net to delete'!AA:AA,0)</f>
        <v>0</v>
      </c>
    </row>
    <row r="1034" spans="1:17" x14ac:dyDescent="0.25">
      <c r="A1034" t="s">
        <v>2529</v>
      </c>
      <c r="B1034" t="s">
        <v>2530</v>
      </c>
      <c r="C1034">
        <v>2.25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1223</v>
      </c>
      <c r="Q1034">
        <f>_xlfn.XLOOKUP(A1034,'[1]Classic Net to delete'!D:D,'[1]Classic Net to delete'!AA:AA,0)</f>
        <v>0</v>
      </c>
    </row>
    <row r="1035" spans="1:17" x14ac:dyDescent="0.25">
      <c r="A1035" t="s">
        <v>2531</v>
      </c>
      <c r="B1035" t="s">
        <v>2532</v>
      </c>
      <c r="C1035">
        <v>5.08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1222</v>
      </c>
      <c r="Q1035">
        <f>_xlfn.XLOOKUP(A1035,'[1]Classic Net to delete'!D:D,'[1]Classic Net to delete'!AA:AA,0)</f>
        <v>0</v>
      </c>
    </row>
    <row r="1036" spans="1:17" x14ac:dyDescent="0.25">
      <c r="A1036" t="s">
        <v>2533</v>
      </c>
      <c r="B1036" t="s">
        <v>2534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1221</v>
      </c>
      <c r="Q1036">
        <f>_xlfn.XLOOKUP(A1036,'[1]Classic Net to delete'!D:D,'[1]Classic Net to delete'!AA:AA,0)</f>
        <v>0</v>
      </c>
    </row>
    <row r="1037" spans="1:17" x14ac:dyDescent="0.25">
      <c r="A1037" t="s">
        <v>2535</v>
      </c>
      <c r="B1037" t="s">
        <v>2536</v>
      </c>
      <c r="C1037">
        <v>9.7900000000000009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1220</v>
      </c>
      <c r="Q1037">
        <f>_xlfn.XLOOKUP(A1037,'[1]Classic Net to delete'!D:D,'[1]Classic Net to delete'!AA:AA,0)</f>
        <v>0</v>
      </c>
    </row>
    <row r="1038" spans="1:17" x14ac:dyDescent="0.25">
      <c r="A1038" t="s">
        <v>2537</v>
      </c>
      <c r="B1038" t="s">
        <v>2538</v>
      </c>
      <c r="C1038">
        <v>2.25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1219</v>
      </c>
      <c r="Q1038">
        <f>_xlfn.XLOOKUP(A1038,'[1]Classic Net to delete'!D:D,'[1]Classic Net to delete'!AA:AA,0)</f>
        <v>0</v>
      </c>
    </row>
    <row r="1039" spans="1:17" x14ac:dyDescent="0.25">
      <c r="A1039" t="s">
        <v>2539</v>
      </c>
      <c r="B1039" t="s">
        <v>2540</v>
      </c>
      <c r="C1039">
        <v>5.08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1218</v>
      </c>
      <c r="Q1039">
        <f>_xlfn.XLOOKUP(A1039,'[1]Classic Net to delete'!D:D,'[1]Classic Net to delete'!AA:AA,0)</f>
        <v>0</v>
      </c>
    </row>
    <row r="1040" spans="1:17" x14ac:dyDescent="0.25">
      <c r="A1040" t="s">
        <v>2541</v>
      </c>
      <c r="B1040" t="s">
        <v>2542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1217</v>
      </c>
      <c r="Q1040">
        <f>_xlfn.XLOOKUP(A1040,'[1]Classic Net to delete'!D:D,'[1]Classic Net to delete'!AA:AA,0)</f>
        <v>0</v>
      </c>
    </row>
    <row r="1041" spans="1:17" x14ac:dyDescent="0.25">
      <c r="A1041" t="s">
        <v>2543</v>
      </c>
      <c r="B1041" t="s">
        <v>2544</v>
      </c>
      <c r="C1041">
        <v>5.08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1216</v>
      </c>
      <c r="Q1041">
        <f>_xlfn.XLOOKUP(A1041,'[1]Classic Net to delete'!D:D,'[1]Classic Net to delete'!AA:AA,0)</f>
        <v>0</v>
      </c>
    </row>
    <row r="1042" spans="1:17" x14ac:dyDescent="0.25">
      <c r="A1042" t="s">
        <v>2545</v>
      </c>
      <c r="B1042" t="s">
        <v>2546</v>
      </c>
      <c r="C1042">
        <v>10.75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1215</v>
      </c>
      <c r="Q1042">
        <f>_xlfn.XLOOKUP(A1042,'[1]Classic Net to delete'!D:D,'[1]Classic Net to delete'!AA:AA,0)</f>
        <v>0</v>
      </c>
    </row>
    <row r="1043" spans="1:17" x14ac:dyDescent="0.25">
      <c r="A1043" t="s">
        <v>2547</v>
      </c>
      <c r="B1043" t="s">
        <v>2548</v>
      </c>
      <c r="C1043">
        <v>5.08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1214</v>
      </c>
      <c r="Q1043">
        <f>_xlfn.XLOOKUP(A1043,'[1]Classic Net to delete'!D:D,'[1]Classic Net to delete'!AA:AA,0)</f>
        <v>0</v>
      </c>
    </row>
    <row r="1044" spans="1:17" x14ac:dyDescent="0.25">
      <c r="A1044" t="s">
        <v>2549</v>
      </c>
      <c r="B1044" t="s">
        <v>2550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1213</v>
      </c>
      <c r="Q1044">
        <f>_xlfn.XLOOKUP(A1044,'[1]Classic Net to delete'!D:D,'[1]Classic Net to delete'!AA:AA,0)</f>
        <v>0</v>
      </c>
    </row>
    <row r="1045" spans="1:17" x14ac:dyDescent="0.25">
      <c r="A1045" t="s">
        <v>2551</v>
      </c>
      <c r="B1045" t="s">
        <v>2552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1212</v>
      </c>
      <c r="Q1045">
        <f>_xlfn.XLOOKUP(A1045,'[1]Classic Net to delete'!D:D,'[1]Classic Net to delete'!AA:AA,0)</f>
        <v>0</v>
      </c>
    </row>
    <row r="1046" spans="1:17" x14ac:dyDescent="0.25">
      <c r="A1046" t="s">
        <v>2553</v>
      </c>
      <c r="B1046" t="s">
        <v>2554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1211</v>
      </c>
      <c r="Q1046">
        <f>_xlfn.XLOOKUP(A1046,'[1]Classic Net to delete'!D:D,'[1]Classic Net to delete'!AA:AA,0)</f>
        <v>0</v>
      </c>
    </row>
    <row r="1047" spans="1:17" x14ac:dyDescent="0.25">
      <c r="A1047" t="s">
        <v>2555</v>
      </c>
      <c r="B1047" t="s">
        <v>2556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1210</v>
      </c>
      <c r="Q1047">
        <f>_xlfn.XLOOKUP(A1047,'[1]Classic Net to delete'!D:D,'[1]Classic Net to delete'!AA:AA,0)</f>
        <v>0</v>
      </c>
    </row>
    <row r="1048" spans="1:17" x14ac:dyDescent="0.25">
      <c r="A1048" t="s">
        <v>2557</v>
      </c>
      <c r="B1048" t="s">
        <v>2558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1209</v>
      </c>
      <c r="Q1048">
        <f>_xlfn.XLOOKUP(A1048,'[1]Classic Net to delete'!D:D,'[1]Classic Net to delete'!AA:AA,0)</f>
        <v>0</v>
      </c>
    </row>
    <row r="1049" spans="1:17" x14ac:dyDescent="0.25">
      <c r="A1049" t="s">
        <v>2559</v>
      </c>
      <c r="B1049" t="s">
        <v>2560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1208</v>
      </c>
      <c r="Q1049">
        <f>_xlfn.XLOOKUP(A1049,'[1]Classic Net to delete'!D:D,'[1]Classic Net to delete'!AA:AA,0)</f>
        <v>0</v>
      </c>
    </row>
    <row r="1050" spans="1:17" x14ac:dyDescent="0.25">
      <c r="A1050" t="s">
        <v>2561</v>
      </c>
      <c r="B1050" t="s">
        <v>2562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1207</v>
      </c>
      <c r="Q1050">
        <f>_xlfn.XLOOKUP(A1050,'[1]Classic Net to delete'!D:D,'[1]Classic Net to delete'!AA:AA,0)</f>
        <v>0</v>
      </c>
    </row>
    <row r="1051" spans="1:17" x14ac:dyDescent="0.25">
      <c r="A1051" t="s">
        <v>2563</v>
      </c>
      <c r="B1051" t="s">
        <v>2564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1206</v>
      </c>
      <c r="Q1051">
        <f>_xlfn.XLOOKUP(A1051,'[1]Classic Net to delete'!D:D,'[1]Classic Net to delete'!AA:AA,0)</f>
        <v>0</v>
      </c>
    </row>
    <row r="1052" spans="1:17" x14ac:dyDescent="0.25">
      <c r="A1052" t="s">
        <v>2565</v>
      </c>
      <c r="B1052" t="s">
        <v>2566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1205</v>
      </c>
      <c r="Q1052">
        <f>_xlfn.XLOOKUP(A1052,'[1]Classic Net to delete'!D:D,'[1]Classic Net to delete'!AA:AA,0)</f>
        <v>0</v>
      </c>
    </row>
    <row r="1053" spans="1:17" x14ac:dyDescent="0.25">
      <c r="A1053" t="s">
        <v>2567</v>
      </c>
      <c r="B1053" t="s">
        <v>2568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1204</v>
      </c>
      <c r="Q1053">
        <f>_xlfn.XLOOKUP(A1053,'[1]Classic Net to delete'!D:D,'[1]Classic Net to delete'!AA:AA,0)</f>
        <v>0</v>
      </c>
    </row>
    <row r="1054" spans="1:17" x14ac:dyDescent="0.25">
      <c r="A1054" t="s">
        <v>2569</v>
      </c>
      <c r="B1054" t="s">
        <v>2570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1203</v>
      </c>
      <c r="Q1054">
        <f>_xlfn.XLOOKUP(A1054,'[1]Classic Net to delete'!D:D,'[1]Classic Net to delete'!AA:AA,0)</f>
        <v>0</v>
      </c>
    </row>
    <row r="1055" spans="1:17" x14ac:dyDescent="0.25">
      <c r="A1055" t="s">
        <v>2571</v>
      </c>
      <c r="B1055" t="s">
        <v>2572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1202</v>
      </c>
      <c r="Q1055">
        <f>_xlfn.XLOOKUP(A1055,'[1]Classic Net to delete'!D:D,'[1]Classic Net to delete'!AA:AA,0)</f>
        <v>0</v>
      </c>
    </row>
    <row r="1056" spans="1:17" x14ac:dyDescent="0.25">
      <c r="A1056" t="s">
        <v>2573</v>
      </c>
      <c r="B1056" t="s">
        <v>2574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1201</v>
      </c>
      <c r="Q1056">
        <f>_xlfn.XLOOKUP(A1056,'[1]Classic Net to delete'!D:D,'[1]Classic Net to delete'!AA:AA,0)</f>
        <v>0</v>
      </c>
    </row>
    <row r="1057" spans="1:17" x14ac:dyDescent="0.25">
      <c r="A1057" t="s">
        <v>2575</v>
      </c>
      <c r="B1057" t="s">
        <v>2576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1200</v>
      </c>
      <c r="Q1057">
        <f>_xlfn.XLOOKUP(A1057,'[1]Classic Net to delete'!D:D,'[1]Classic Net to delete'!AA:AA,0)</f>
        <v>0</v>
      </c>
    </row>
    <row r="1058" spans="1:17" x14ac:dyDescent="0.25">
      <c r="A1058" t="s">
        <v>2577</v>
      </c>
      <c r="B1058" t="s">
        <v>2578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1199</v>
      </c>
      <c r="Q1058">
        <f>_xlfn.XLOOKUP(A1058,'[1]Classic Net to delete'!D:D,'[1]Classic Net to delete'!AA:AA,0)</f>
        <v>0</v>
      </c>
    </row>
    <row r="1059" spans="1:17" x14ac:dyDescent="0.25">
      <c r="A1059" t="s">
        <v>2579</v>
      </c>
      <c r="B1059" t="s">
        <v>2580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1198</v>
      </c>
      <c r="Q1059">
        <f>_xlfn.XLOOKUP(A1059,'[1]Classic Net to delete'!D:D,'[1]Classic Net to delete'!AA:AA,0)</f>
        <v>0</v>
      </c>
    </row>
    <row r="1060" spans="1:17" x14ac:dyDescent="0.25">
      <c r="A1060" t="s">
        <v>2581</v>
      </c>
      <c r="B1060" t="s">
        <v>2582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1197</v>
      </c>
      <c r="Q1060">
        <f>_xlfn.XLOOKUP(A1060,'[1]Classic Net to delete'!D:D,'[1]Classic Net to delete'!AA:AA,0)</f>
        <v>0</v>
      </c>
    </row>
    <row r="1061" spans="1:17" x14ac:dyDescent="0.25">
      <c r="A1061" t="s">
        <v>2583</v>
      </c>
      <c r="B1061" t="s">
        <v>2584</v>
      </c>
      <c r="C1061">
        <v>3.8000000000000003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1196</v>
      </c>
      <c r="Q1061">
        <f>_xlfn.XLOOKUP(A1061,'[1]Classic Net to delete'!D:D,'[1]Classic Net to delete'!AA:AA,0)</f>
        <v>0</v>
      </c>
    </row>
    <row r="1062" spans="1:17" x14ac:dyDescent="0.25">
      <c r="A1062" t="s">
        <v>2585</v>
      </c>
      <c r="B1062" t="s">
        <v>2586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1195</v>
      </c>
      <c r="Q1062">
        <f>_xlfn.XLOOKUP(A1062,'[1]Classic Net to delete'!D:D,'[1]Classic Net to delete'!AA:AA,0)</f>
        <v>0</v>
      </c>
    </row>
    <row r="1063" spans="1:17" x14ac:dyDescent="0.25">
      <c r="A1063" t="s">
        <v>2587</v>
      </c>
      <c r="B1063" t="s">
        <v>2588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1194</v>
      </c>
      <c r="Q1063">
        <f>_xlfn.XLOOKUP(A1063,'[1]Classic Net to delete'!D:D,'[1]Classic Net to delete'!AA:AA,0)</f>
        <v>0</v>
      </c>
    </row>
    <row r="1064" spans="1:17" x14ac:dyDescent="0.25">
      <c r="A1064" t="s">
        <v>2589</v>
      </c>
      <c r="B1064" t="s">
        <v>2590</v>
      </c>
      <c r="C1064">
        <v>0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1193</v>
      </c>
      <c r="Q1064">
        <f>_xlfn.XLOOKUP(A1064,'[1]Classic Net to delete'!D:D,'[1]Classic Net to delete'!AA:AA,0)</f>
        <v>0</v>
      </c>
    </row>
    <row r="1065" spans="1:17" x14ac:dyDescent="0.25">
      <c r="A1065" t="s">
        <v>2591</v>
      </c>
      <c r="B1065" t="s">
        <v>2592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1192</v>
      </c>
      <c r="Q1065">
        <f>_xlfn.XLOOKUP(A1065,'[1]Classic Net to delete'!D:D,'[1]Classic Net to delete'!AA:AA,0)</f>
        <v>0</v>
      </c>
    </row>
    <row r="1066" spans="1:17" x14ac:dyDescent="0.25">
      <c r="A1066" t="s">
        <v>2593</v>
      </c>
      <c r="B1066" t="s">
        <v>2594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1191</v>
      </c>
      <c r="Q1066">
        <f>_xlfn.XLOOKUP(A1066,'[1]Classic Net to delete'!D:D,'[1]Classic Net to delete'!AA:AA,0)</f>
        <v>0</v>
      </c>
    </row>
    <row r="1067" spans="1:17" x14ac:dyDescent="0.25">
      <c r="A1067" t="s">
        <v>2595</v>
      </c>
      <c r="B1067" t="s">
        <v>2596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1190</v>
      </c>
      <c r="Q1067">
        <f>_xlfn.XLOOKUP(A1067,'[1]Classic Net to delete'!D:D,'[1]Classic Net to delete'!AA:AA,0)</f>
        <v>0</v>
      </c>
    </row>
    <row r="1068" spans="1:17" x14ac:dyDescent="0.25">
      <c r="A1068" t="s">
        <v>2597</v>
      </c>
      <c r="B1068" t="s">
        <v>2598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1189</v>
      </c>
      <c r="Q1068">
        <f>_xlfn.XLOOKUP(A1068,'[1]Classic Net to delete'!D:D,'[1]Classic Net to delete'!AA:AA,0)</f>
        <v>0</v>
      </c>
    </row>
    <row r="1069" spans="1:17" x14ac:dyDescent="0.25">
      <c r="A1069" t="s">
        <v>2599</v>
      </c>
      <c r="B1069" t="s">
        <v>2600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1188</v>
      </c>
      <c r="Q1069">
        <f>_xlfn.XLOOKUP(A1069,'[1]Classic Net to delete'!D:D,'[1]Classic Net to delete'!AA:AA,0)</f>
        <v>0</v>
      </c>
    </row>
    <row r="1070" spans="1:17" x14ac:dyDescent="0.25">
      <c r="A1070" t="s">
        <v>2601</v>
      </c>
      <c r="B1070" t="s">
        <v>2602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1187</v>
      </c>
      <c r="Q1070">
        <f>_xlfn.XLOOKUP(A1070,'[1]Classic Net to delete'!D:D,'[1]Classic Net to delete'!AA:AA,0)</f>
        <v>0</v>
      </c>
    </row>
    <row r="1071" spans="1:17" x14ac:dyDescent="0.25">
      <c r="A1071" t="s">
        <v>2603</v>
      </c>
      <c r="B1071" t="s">
        <v>2604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1186</v>
      </c>
      <c r="Q1071">
        <f>_xlfn.XLOOKUP(A1071,'[1]Classic Net to delete'!D:D,'[1]Classic Net to delete'!AA:AA,0)</f>
        <v>0</v>
      </c>
    </row>
    <row r="1072" spans="1:17" x14ac:dyDescent="0.25">
      <c r="A1072" t="s">
        <v>2605</v>
      </c>
      <c r="B1072" t="s">
        <v>2606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1185</v>
      </c>
      <c r="Q1072">
        <f>_xlfn.XLOOKUP(A1072,'[1]Classic Net to delete'!D:D,'[1]Classic Net to delete'!AA:AA,0)</f>
        <v>0</v>
      </c>
    </row>
    <row r="1073" spans="1:17" x14ac:dyDescent="0.25">
      <c r="A1073" t="s">
        <v>2607</v>
      </c>
      <c r="B1073" t="s">
        <v>2608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1184</v>
      </c>
      <c r="Q1073">
        <f>_xlfn.XLOOKUP(A1073,'[1]Classic Net to delete'!D:D,'[1]Classic Net to delete'!AA:AA,0)</f>
        <v>0</v>
      </c>
    </row>
    <row r="1074" spans="1:17" x14ac:dyDescent="0.25">
      <c r="A1074" t="s">
        <v>2609</v>
      </c>
      <c r="B1074" t="s">
        <v>2610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1183</v>
      </c>
      <c r="Q1074">
        <f>_xlfn.XLOOKUP(A1074,'[1]Classic Net to delete'!D:D,'[1]Classic Net to delete'!AA:AA,0)</f>
        <v>0</v>
      </c>
    </row>
    <row r="1075" spans="1:17" x14ac:dyDescent="0.25">
      <c r="A1075" t="s">
        <v>2611</v>
      </c>
      <c r="B1075" t="s">
        <v>2612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1182</v>
      </c>
      <c r="Q1075">
        <f>_xlfn.XLOOKUP(A1075,'[1]Classic Net to delete'!D:D,'[1]Classic Net to delete'!AA:AA,0)</f>
        <v>0</v>
      </c>
    </row>
    <row r="1076" spans="1:17" x14ac:dyDescent="0.25">
      <c r="A1076" t="s">
        <v>2613</v>
      </c>
      <c r="B1076" t="s">
        <v>2614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1181</v>
      </c>
      <c r="Q1076">
        <f>_xlfn.XLOOKUP(A1076,'[1]Classic Net to delete'!D:D,'[1]Classic Net to delete'!AA:AA,0)</f>
        <v>0</v>
      </c>
    </row>
    <row r="1077" spans="1:17" x14ac:dyDescent="0.25">
      <c r="A1077" t="s">
        <v>2615</v>
      </c>
      <c r="B1077" t="s">
        <v>2616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1180</v>
      </c>
      <c r="Q1077">
        <f>_xlfn.XLOOKUP(A1077,'[1]Classic Net to delete'!D:D,'[1]Classic Net to delete'!AA:AA,0)</f>
        <v>0</v>
      </c>
    </row>
    <row r="1078" spans="1:17" x14ac:dyDescent="0.25">
      <c r="A1078" t="s">
        <v>2617</v>
      </c>
      <c r="B1078" t="s">
        <v>2618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1179</v>
      </c>
      <c r="Q1078">
        <f>_xlfn.XLOOKUP(A1078,'[1]Classic Net to delete'!D:D,'[1]Classic Net to delete'!AA:AA,0)</f>
        <v>0</v>
      </c>
    </row>
    <row r="1079" spans="1:17" x14ac:dyDescent="0.25">
      <c r="A1079" t="s">
        <v>2619</v>
      </c>
      <c r="B1079" t="s">
        <v>2620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1178</v>
      </c>
      <c r="Q1079">
        <f>_xlfn.XLOOKUP(A1079,'[1]Classic Net to delete'!D:D,'[1]Classic Net to delete'!AA:AA,0)</f>
        <v>0</v>
      </c>
    </row>
    <row r="1080" spans="1:17" x14ac:dyDescent="0.25">
      <c r="A1080" t="s">
        <v>2621</v>
      </c>
      <c r="B1080" t="s">
        <v>2622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1177</v>
      </c>
      <c r="Q1080">
        <f>_xlfn.XLOOKUP(A1080,'[1]Classic Net to delete'!D:D,'[1]Classic Net to delete'!AA:AA,0)</f>
        <v>0</v>
      </c>
    </row>
    <row r="1081" spans="1:17" x14ac:dyDescent="0.25">
      <c r="A1081" t="s">
        <v>2623</v>
      </c>
      <c r="B1081" t="s">
        <v>2624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1176</v>
      </c>
      <c r="Q1081">
        <f>_xlfn.XLOOKUP(A1081,'[1]Classic Net to delete'!D:D,'[1]Classic Net to delete'!AA:AA,0)</f>
        <v>0</v>
      </c>
    </row>
    <row r="1082" spans="1:17" x14ac:dyDescent="0.25">
      <c r="A1082" t="s">
        <v>2625</v>
      </c>
      <c r="B1082" t="s">
        <v>2626</v>
      </c>
      <c r="C1082">
        <v>3.8000000000000003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1175</v>
      </c>
      <c r="Q1082">
        <f>_xlfn.XLOOKUP(A1082,'[1]Classic Net to delete'!D:D,'[1]Classic Net to delete'!AA:AA,0)</f>
        <v>0</v>
      </c>
    </row>
    <row r="1083" spans="1:17" x14ac:dyDescent="0.25">
      <c r="A1083" t="s">
        <v>2627</v>
      </c>
      <c r="B1083" t="s">
        <v>2628</v>
      </c>
      <c r="C1083">
        <v>3.8000000000000003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1174</v>
      </c>
      <c r="Q1083">
        <f>_xlfn.XLOOKUP(A1083,'[1]Classic Net to delete'!D:D,'[1]Classic Net to delete'!AA:AA,0)</f>
        <v>0</v>
      </c>
    </row>
    <row r="1084" spans="1:17" x14ac:dyDescent="0.25">
      <c r="A1084" t="s">
        <v>2629</v>
      </c>
      <c r="B1084" t="s">
        <v>2630</v>
      </c>
      <c r="C1084">
        <v>3.8000000000000003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1173</v>
      </c>
      <c r="Q1084">
        <f>_xlfn.XLOOKUP(A1084,'[1]Classic Net to delete'!D:D,'[1]Classic Net to delete'!AA:AA,0)</f>
        <v>0</v>
      </c>
    </row>
    <row r="1085" spans="1:17" x14ac:dyDescent="0.25">
      <c r="A1085" t="s">
        <v>2631</v>
      </c>
      <c r="B1085" t="s">
        <v>2632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1172</v>
      </c>
      <c r="Q1085">
        <f>_xlfn.XLOOKUP(A1085,'[1]Classic Net to delete'!D:D,'[1]Classic Net to delete'!AA:AA,0)</f>
        <v>0</v>
      </c>
    </row>
    <row r="1086" spans="1:17" x14ac:dyDescent="0.25">
      <c r="A1086" t="s">
        <v>2633</v>
      </c>
      <c r="B1086" t="s">
        <v>2634</v>
      </c>
      <c r="C1086">
        <v>6.96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1171</v>
      </c>
      <c r="Q1086">
        <f>_xlfn.XLOOKUP(A1086,'[1]Classic Net to delete'!D:D,'[1]Classic Net to delete'!AA:AA,0)</f>
        <v>0</v>
      </c>
    </row>
    <row r="1087" spans="1:17" x14ac:dyDescent="0.25">
      <c r="A1087" t="s">
        <v>2635</v>
      </c>
      <c r="B1087" t="s">
        <v>2636</v>
      </c>
      <c r="C1087">
        <v>6.96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1170</v>
      </c>
      <c r="Q1087">
        <f>_xlfn.XLOOKUP(A1087,'[1]Classic Net to delete'!D:D,'[1]Classic Net to delete'!AA:AA,0)</f>
        <v>0</v>
      </c>
    </row>
    <row r="1088" spans="1:17" x14ac:dyDescent="0.25">
      <c r="A1088" t="s">
        <v>2637</v>
      </c>
      <c r="B1088" t="s">
        <v>2638</v>
      </c>
      <c r="C1088">
        <v>6.96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1169</v>
      </c>
      <c r="Q1088">
        <f>_xlfn.XLOOKUP(A1088,'[1]Classic Net to delete'!D:D,'[1]Classic Net to delete'!AA:AA,0)</f>
        <v>0</v>
      </c>
    </row>
    <row r="1089" spans="1:17" x14ac:dyDescent="0.25">
      <c r="A1089" t="s">
        <v>2639</v>
      </c>
      <c r="B1089" t="s">
        <v>2640</v>
      </c>
      <c r="C1089">
        <v>15.46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1168</v>
      </c>
      <c r="Q1089">
        <f>_xlfn.XLOOKUP(A1089,'[1]Classic Net to delete'!D:D,'[1]Classic Net to delete'!AA:AA,0)</f>
        <v>0</v>
      </c>
    </row>
    <row r="1090" spans="1:17" x14ac:dyDescent="0.25">
      <c r="A1090" t="s">
        <v>2641</v>
      </c>
      <c r="B1090" t="s">
        <v>2642</v>
      </c>
      <c r="C1090">
        <v>24.98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1167</v>
      </c>
      <c r="Q1090">
        <f>_xlfn.XLOOKUP(A1090,'[1]Classic Net to delete'!D:D,'[1]Classic Net to delete'!AA:AA,0)</f>
        <v>0</v>
      </c>
    </row>
    <row r="1091" spans="1:17" x14ac:dyDescent="0.25">
      <c r="A1091" t="s">
        <v>2643</v>
      </c>
      <c r="B1091" t="s">
        <v>2644</v>
      </c>
      <c r="C1091">
        <v>15.780000000000001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1166</v>
      </c>
      <c r="Q1091">
        <f>_xlfn.XLOOKUP(A1091,'[1]Classic Net to delete'!D:D,'[1]Classic Net to delete'!AA:AA,0)</f>
        <v>0</v>
      </c>
    </row>
    <row r="1092" spans="1:17" x14ac:dyDescent="0.25">
      <c r="A1092" t="s">
        <v>2645</v>
      </c>
      <c r="B1092" t="s">
        <v>2646</v>
      </c>
      <c r="C1092">
        <v>12.63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1165</v>
      </c>
      <c r="Q1092">
        <f>_xlfn.XLOOKUP(A1092,'[1]Classic Net to delete'!D:D,'[1]Classic Net to delete'!AA:AA,0)</f>
        <v>0</v>
      </c>
    </row>
    <row r="1093" spans="1:17" x14ac:dyDescent="0.25">
      <c r="A1093" t="s">
        <v>2647</v>
      </c>
      <c r="B1093" t="s">
        <v>2648</v>
      </c>
      <c r="C1093">
        <v>0</v>
      </c>
      <c r="E1093" t="str">
        <f t="shared" si="22"/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1164</v>
      </c>
      <c r="Q1093">
        <f>_xlfn.XLOOKUP(A1093,'[1]Classic Net to delete'!D:D,'[1]Classic Net to delete'!AA:AA,0)</f>
        <v>0</v>
      </c>
    </row>
    <row r="1094" spans="1:17" x14ac:dyDescent="0.25">
      <c r="A1094" t="s">
        <v>2649</v>
      </c>
      <c r="B1094" t="s">
        <v>2650</v>
      </c>
      <c r="C1094">
        <v>17.07</v>
      </c>
      <c r="E1094" t="str">
        <f t="shared" si="22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1163</v>
      </c>
      <c r="Q1094">
        <f>_xlfn.XLOOKUP(A1094,'[1]Classic Net to delete'!D:D,'[1]Classic Net to delete'!AA:AA,0)</f>
        <v>0</v>
      </c>
    </row>
    <row r="1095" spans="1:17" x14ac:dyDescent="0.25">
      <c r="A1095" t="s">
        <v>2651</v>
      </c>
      <c r="B1095" t="s">
        <v>2652</v>
      </c>
      <c r="C1095">
        <v>5.08</v>
      </c>
      <c r="E1095" t="str">
        <f t="shared" si="22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1162</v>
      </c>
      <c r="Q1095">
        <f>_xlfn.XLOOKUP(A1095,'[1]Classic Net to delete'!D:D,'[1]Classic Net to delete'!AA:AA,0)</f>
        <v>0</v>
      </c>
    </row>
    <row r="1096" spans="1:17" x14ac:dyDescent="0.25">
      <c r="A1096" t="s">
        <v>2653</v>
      </c>
      <c r="B1096" t="s">
        <v>2654</v>
      </c>
      <c r="C1096">
        <v>1.93</v>
      </c>
      <c r="E1096" t="str">
        <f t="shared" ref="E1096:E1159" si="23">CONCATENATE(K1096,". ",O1096)</f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1161</v>
      </c>
      <c r="Q1096">
        <f>_xlfn.XLOOKUP(A1096,'[1]Classic Net to delete'!D:D,'[1]Classic Net to delete'!AA:AA,0)</f>
        <v>0</v>
      </c>
    </row>
    <row r="1097" spans="1:17" x14ac:dyDescent="0.25">
      <c r="A1097" t="s">
        <v>2655</v>
      </c>
      <c r="B1097" t="s">
        <v>2656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1160</v>
      </c>
      <c r="Q1097">
        <f>_xlfn.XLOOKUP(A1097,'[1]Classic Net to delete'!D:D,'[1]Classic Net to delete'!AA:AA,0)</f>
        <v>0</v>
      </c>
    </row>
    <row r="1098" spans="1:17" x14ac:dyDescent="0.25">
      <c r="A1098" t="s">
        <v>2657</v>
      </c>
      <c r="B1098" t="s">
        <v>2658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1159</v>
      </c>
      <c r="Q1098">
        <f>_xlfn.XLOOKUP(A1098,'[1]Classic Net to delete'!D:D,'[1]Classic Net to delete'!AA:AA,0)</f>
        <v>0</v>
      </c>
    </row>
    <row r="1099" spans="1:17" x14ac:dyDescent="0.25">
      <c r="A1099" t="s">
        <v>2659</v>
      </c>
      <c r="B1099" t="s">
        <v>2660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1158</v>
      </c>
      <c r="Q1099">
        <f>_xlfn.XLOOKUP(A1099,'[1]Classic Net to delete'!D:D,'[1]Classic Net to delete'!AA:AA,0)</f>
        <v>0</v>
      </c>
    </row>
    <row r="1100" spans="1:17" x14ac:dyDescent="0.25">
      <c r="A1100" t="s">
        <v>2661</v>
      </c>
      <c r="B1100" t="s">
        <v>2662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1157</v>
      </c>
      <c r="Q1100">
        <f>_xlfn.XLOOKUP(A1100,'[1]Classic Net to delete'!D:D,'[1]Classic Net to delete'!AA:AA,0)</f>
        <v>0</v>
      </c>
    </row>
    <row r="1101" spans="1:17" x14ac:dyDescent="0.25">
      <c r="A1101" t="s">
        <v>2663</v>
      </c>
      <c r="B1101" t="s">
        <v>2664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1156</v>
      </c>
      <c r="Q1101">
        <f>_xlfn.XLOOKUP(A1101,'[1]Classic Net to delete'!D:D,'[1]Classic Net to delete'!AA:AA,0)</f>
        <v>0</v>
      </c>
    </row>
    <row r="1102" spans="1:17" x14ac:dyDescent="0.25">
      <c r="A1102" t="s">
        <v>2665</v>
      </c>
      <c r="B1102" t="s">
        <v>2666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1155</v>
      </c>
      <c r="Q1102">
        <f>_xlfn.XLOOKUP(A1102,'[1]Classic Net to delete'!D:D,'[1]Classic Net to delete'!AA:AA,0)</f>
        <v>0</v>
      </c>
    </row>
    <row r="1103" spans="1:17" x14ac:dyDescent="0.25">
      <c r="A1103" t="s">
        <v>2667</v>
      </c>
      <c r="B1103" t="s">
        <v>2668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1154</v>
      </c>
      <c r="Q1103">
        <f>_xlfn.XLOOKUP(A1103,'[1]Classic Net to delete'!D:D,'[1]Classic Net to delete'!AA:AA,0)</f>
        <v>0</v>
      </c>
    </row>
    <row r="1104" spans="1:17" x14ac:dyDescent="0.25">
      <c r="A1104" t="s">
        <v>2669</v>
      </c>
      <c r="B1104" t="s">
        <v>2670</v>
      </c>
      <c r="C1104">
        <v>1.93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1153</v>
      </c>
      <c r="Q1104">
        <f>_xlfn.XLOOKUP(A1104,'[1]Classic Net to delete'!D:D,'[1]Classic Net to delete'!AA:AA,0)</f>
        <v>0</v>
      </c>
    </row>
    <row r="1105" spans="1:17" x14ac:dyDescent="0.25">
      <c r="A1105" t="s">
        <v>2671</v>
      </c>
      <c r="B1105" t="s">
        <v>2672</v>
      </c>
      <c r="C1105">
        <v>1.93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1152</v>
      </c>
      <c r="Q1105">
        <f>_xlfn.XLOOKUP(A1105,'[1]Classic Net to delete'!D:D,'[1]Classic Net to delete'!AA:AA,0)</f>
        <v>0</v>
      </c>
    </row>
    <row r="1106" spans="1:17" x14ac:dyDescent="0.25">
      <c r="A1106" t="s">
        <v>2673</v>
      </c>
      <c r="B1106" t="s">
        <v>2674</v>
      </c>
      <c r="C1106">
        <v>1.93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1151</v>
      </c>
      <c r="Q1106">
        <f>_xlfn.XLOOKUP(A1106,'[1]Classic Net to delete'!D:D,'[1]Classic Net to delete'!AA:AA,0)</f>
        <v>0</v>
      </c>
    </row>
    <row r="1107" spans="1:17" x14ac:dyDescent="0.25">
      <c r="A1107" t="s">
        <v>2675</v>
      </c>
      <c r="B1107" t="s">
        <v>2676</v>
      </c>
      <c r="C1107">
        <v>18.73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1150</v>
      </c>
      <c r="Q1107">
        <f>_xlfn.XLOOKUP(A1107,'[1]Classic Net to delete'!D:D,'[1]Classic Net to delete'!AA:AA,0)</f>
        <v>0</v>
      </c>
    </row>
    <row r="1108" spans="1:17" x14ac:dyDescent="0.25">
      <c r="A1108" t="s">
        <v>2677</v>
      </c>
      <c r="B1108" t="s">
        <v>2678</v>
      </c>
      <c r="C1108">
        <v>9.9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1149</v>
      </c>
      <c r="Q1108">
        <f>_xlfn.XLOOKUP(A1108,'[1]Classic Net to delete'!D:D,'[1]Classic Net to delete'!AA:AA,0)</f>
        <v>0</v>
      </c>
    </row>
    <row r="1109" spans="1:17" x14ac:dyDescent="0.25">
      <c r="A1109" t="s">
        <v>2679</v>
      </c>
      <c r="B1109" t="s">
        <v>2680</v>
      </c>
      <c r="C1109">
        <v>0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1148</v>
      </c>
      <c r="Q1109">
        <f>_xlfn.XLOOKUP(A1109,'[1]Classic Net to delete'!D:D,'[1]Classic Net to delete'!AA:AA,0)</f>
        <v>0</v>
      </c>
    </row>
    <row r="1110" spans="1:17" x14ac:dyDescent="0.25">
      <c r="A1110" t="s">
        <v>2681</v>
      </c>
      <c r="B1110" t="s">
        <v>2682</v>
      </c>
      <c r="C1110">
        <v>14.23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1147</v>
      </c>
      <c r="Q1110">
        <f>_xlfn.XLOOKUP(A1110,'[1]Classic Net to delete'!D:D,'[1]Classic Net to delete'!AA:AA,0)</f>
        <v>0</v>
      </c>
    </row>
    <row r="1111" spans="1:17" x14ac:dyDescent="0.25">
      <c r="A1111" t="s">
        <v>2683</v>
      </c>
      <c r="B1111" t="s">
        <v>2684</v>
      </c>
      <c r="C1111">
        <v>16.16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1146</v>
      </c>
      <c r="Q1111">
        <f>_xlfn.XLOOKUP(A1111,'[1]Classic Net to delete'!D:D,'[1]Classic Net to delete'!AA:AA,0)</f>
        <v>0</v>
      </c>
    </row>
    <row r="1112" spans="1:17" x14ac:dyDescent="0.25">
      <c r="A1112" t="s">
        <v>2685</v>
      </c>
      <c r="B1112" t="s">
        <v>2686</v>
      </c>
      <c r="C1112">
        <v>21.51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1145</v>
      </c>
      <c r="Q1112">
        <f>_xlfn.XLOOKUP(A1112,'[1]Classic Net to delete'!D:D,'[1]Classic Net to delete'!AA:AA,0)</f>
        <v>0</v>
      </c>
    </row>
    <row r="1113" spans="1:17" x14ac:dyDescent="0.25">
      <c r="A1113" t="s">
        <v>2687</v>
      </c>
      <c r="B1113" t="s">
        <v>2688</v>
      </c>
      <c r="C1113">
        <v>27.12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1144</v>
      </c>
      <c r="Q1113">
        <f>_xlfn.XLOOKUP(A1113,'[1]Classic Net to delete'!D:D,'[1]Classic Net to delete'!AA:AA,0)</f>
        <v>0</v>
      </c>
    </row>
    <row r="1114" spans="1:17" x14ac:dyDescent="0.25">
      <c r="A1114" t="s">
        <v>2689</v>
      </c>
      <c r="B1114" t="s">
        <v>2690</v>
      </c>
      <c r="C1114">
        <v>32.53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1143</v>
      </c>
      <c r="Q1114">
        <f>_xlfn.XLOOKUP(A1114,'[1]Classic Net to delete'!D:D,'[1]Classic Net to delete'!AA:AA,0)</f>
        <v>0</v>
      </c>
    </row>
    <row r="1115" spans="1:17" x14ac:dyDescent="0.25">
      <c r="A1115" t="s">
        <v>2691</v>
      </c>
      <c r="B1115" t="s">
        <v>2692</v>
      </c>
      <c r="C1115">
        <v>37.880000000000003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1142</v>
      </c>
      <c r="Q1115">
        <f>_xlfn.XLOOKUP(A1115,'[1]Classic Net to delete'!D:D,'[1]Classic Net to delete'!AA:AA,0)</f>
        <v>0</v>
      </c>
    </row>
    <row r="1116" spans="1:17" x14ac:dyDescent="0.25">
      <c r="A1116" t="s">
        <v>2693</v>
      </c>
      <c r="B1116" t="s">
        <v>2694</v>
      </c>
      <c r="C1116">
        <v>18.89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1141</v>
      </c>
      <c r="Q1116">
        <f>_xlfn.XLOOKUP(A1116,'[1]Classic Net to delete'!D:D,'[1]Classic Net to delete'!AA:AA,0)</f>
        <v>0</v>
      </c>
    </row>
    <row r="1117" spans="1:17" x14ac:dyDescent="0.25">
      <c r="A1117" t="s">
        <v>2695</v>
      </c>
      <c r="B1117" t="s">
        <v>2696</v>
      </c>
      <c r="C1117">
        <v>18.89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1140</v>
      </c>
      <c r="Q1117">
        <f>_xlfn.XLOOKUP(A1117,'[1]Classic Net to delete'!D:D,'[1]Classic Net to delete'!AA:AA,0)</f>
        <v>0</v>
      </c>
    </row>
    <row r="1118" spans="1:17" x14ac:dyDescent="0.25">
      <c r="A1118" t="s">
        <v>2697</v>
      </c>
      <c r="B1118" t="s">
        <v>2698</v>
      </c>
      <c r="C1118">
        <v>1.77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1139</v>
      </c>
      <c r="Q1118">
        <f>_xlfn.XLOOKUP(A1118,'[1]Classic Net to delete'!D:D,'[1]Classic Net to delete'!AA:AA,0)</f>
        <v>0</v>
      </c>
    </row>
    <row r="1119" spans="1:17" x14ac:dyDescent="0.25">
      <c r="A1119" t="s">
        <v>2699</v>
      </c>
      <c r="B1119" t="s">
        <v>2700</v>
      </c>
      <c r="C1119">
        <v>2.35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1138</v>
      </c>
      <c r="Q1119">
        <f>_xlfn.XLOOKUP(A1119,'[1]Classic Net to delete'!D:D,'[1]Classic Net to delete'!AA:AA,0)</f>
        <v>0</v>
      </c>
    </row>
    <row r="1120" spans="1:17" x14ac:dyDescent="0.25">
      <c r="A1120" t="s">
        <v>2701</v>
      </c>
      <c r="B1120" t="s">
        <v>2702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1137</v>
      </c>
      <c r="Q1120">
        <f>_xlfn.XLOOKUP(A1120,'[1]Classic Net to delete'!D:D,'[1]Classic Net to delete'!AA:AA,0)</f>
        <v>0</v>
      </c>
    </row>
    <row r="1121" spans="1:17" x14ac:dyDescent="0.25">
      <c r="A1121" t="s">
        <v>2703</v>
      </c>
      <c r="B1121" t="s">
        <v>2704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1136</v>
      </c>
      <c r="Q1121">
        <f>_xlfn.XLOOKUP(A1121,'[1]Classic Net to delete'!D:D,'[1]Classic Net to delete'!AA:AA,0)</f>
        <v>0</v>
      </c>
    </row>
    <row r="1122" spans="1:17" x14ac:dyDescent="0.25">
      <c r="A1122" t="s">
        <v>2705</v>
      </c>
      <c r="B1122" t="s">
        <v>2706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1135</v>
      </c>
      <c r="Q1122">
        <f>_xlfn.XLOOKUP(A1122,'[1]Classic Net to delete'!D:D,'[1]Classic Net to delete'!AA:AA,0)</f>
        <v>0</v>
      </c>
    </row>
    <row r="1123" spans="1:17" x14ac:dyDescent="0.25">
      <c r="A1123" t="s">
        <v>2707</v>
      </c>
      <c r="B1123" t="s">
        <v>2708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1134</v>
      </c>
      <c r="Q1123">
        <f>_xlfn.XLOOKUP(A1123,'[1]Classic Net to delete'!D:D,'[1]Classic Net to delete'!AA:AA,0)</f>
        <v>0</v>
      </c>
    </row>
    <row r="1124" spans="1:17" x14ac:dyDescent="0.25">
      <c r="A1124" t="s">
        <v>2709</v>
      </c>
      <c r="B1124" t="s">
        <v>2710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1133</v>
      </c>
      <c r="Q1124">
        <f>_xlfn.XLOOKUP(A1124,'[1]Classic Net to delete'!D:D,'[1]Classic Net to delete'!AA:AA,0)</f>
        <v>0</v>
      </c>
    </row>
    <row r="1125" spans="1:17" x14ac:dyDescent="0.25">
      <c r="A1125" t="s">
        <v>2711</v>
      </c>
      <c r="B1125" t="s">
        <v>2712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1132</v>
      </c>
      <c r="Q1125">
        <f>_xlfn.XLOOKUP(A1125,'[1]Classic Net to delete'!D:D,'[1]Classic Net to delete'!AA:AA,0)</f>
        <v>0</v>
      </c>
    </row>
    <row r="1126" spans="1:17" x14ac:dyDescent="0.25">
      <c r="A1126" t="s">
        <v>2713</v>
      </c>
      <c r="B1126" t="s">
        <v>2714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1131</v>
      </c>
      <c r="Q1126">
        <f>_xlfn.XLOOKUP(A1126,'[1]Classic Net to delete'!D:D,'[1]Classic Net to delete'!AA:AA,0)</f>
        <v>0</v>
      </c>
    </row>
    <row r="1127" spans="1:17" x14ac:dyDescent="0.25">
      <c r="A1127" t="s">
        <v>2715</v>
      </c>
      <c r="B1127" t="s">
        <v>2716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1130</v>
      </c>
      <c r="Q1127">
        <f>_xlfn.XLOOKUP(A1127,'[1]Classic Net to delete'!D:D,'[1]Classic Net to delete'!AA:AA,0)</f>
        <v>0</v>
      </c>
    </row>
    <row r="1128" spans="1:17" x14ac:dyDescent="0.25">
      <c r="A1128" t="s">
        <v>2717</v>
      </c>
      <c r="B1128" t="s">
        <v>2718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1129</v>
      </c>
      <c r="Q1128">
        <f>_xlfn.XLOOKUP(A1128,'[1]Classic Net to delete'!D:D,'[1]Classic Net to delete'!AA:AA,0)</f>
        <v>0</v>
      </c>
    </row>
    <row r="1129" spans="1:17" x14ac:dyDescent="0.25">
      <c r="A1129" t="s">
        <v>2719</v>
      </c>
      <c r="B1129" t="s">
        <v>2720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1128</v>
      </c>
      <c r="Q1129">
        <f>_xlfn.XLOOKUP(A1129,'[1]Classic Net to delete'!D:D,'[1]Classic Net to delete'!AA:AA,0)</f>
        <v>0</v>
      </c>
    </row>
    <row r="1130" spans="1:17" x14ac:dyDescent="0.25">
      <c r="A1130" t="s">
        <v>2721</v>
      </c>
      <c r="B1130" t="s">
        <v>2722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1127</v>
      </c>
      <c r="Q1130">
        <f>_xlfn.XLOOKUP(A1130,'[1]Classic Net to delete'!D:D,'[1]Classic Net to delete'!AA:AA,0)</f>
        <v>0</v>
      </c>
    </row>
    <row r="1131" spans="1:17" x14ac:dyDescent="0.25">
      <c r="A1131" t="s">
        <v>2723</v>
      </c>
      <c r="B1131" t="s">
        <v>2724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1126</v>
      </c>
      <c r="Q1131">
        <f>_xlfn.XLOOKUP(A1131,'[1]Classic Net to delete'!D:D,'[1]Classic Net to delete'!AA:AA,0)</f>
        <v>0</v>
      </c>
    </row>
    <row r="1132" spans="1:17" x14ac:dyDescent="0.25">
      <c r="A1132" t="s">
        <v>2725</v>
      </c>
      <c r="B1132" t="s">
        <v>2726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1125</v>
      </c>
      <c r="Q1132">
        <f>_xlfn.XLOOKUP(A1132,'[1]Classic Net to delete'!D:D,'[1]Classic Net to delete'!AA:AA,0)</f>
        <v>0</v>
      </c>
    </row>
    <row r="1133" spans="1:17" x14ac:dyDescent="0.25">
      <c r="A1133" t="s">
        <v>2727</v>
      </c>
      <c r="B1133" t="s">
        <v>2728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1124</v>
      </c>
      <c r="Q1133">
        <f>_xlfn.XLOOKUP(A1133,'[1]Classic Net to delete'!D:D,'[1]Classic Net to delete'!AA:AA,0)</f>
        <v>0</v>
      </c>
    </row>
    <row r="1134" spans="1:17" x14ac:dyDescent="0.25">
      <c r="A1134" t="s">
        <v>2729</v>
      </c>
      <c r="B1134" t="s">
        <v>2730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1123</v>
      </c>
      <c r="Q1134">
        <f>_xlfn.XLOOKUP(A1134,'[1]Classic Net to delete'!D:D,'[1]Classic Net to delete'!AA:AA,0)</f>
        <v>0</v>
      </c>
    </row>
    <row r="1135" spans="1:17" x14ac:dyDescent="0.25">
      <c r="A1135" t="s">
        <v>2731</v>
      </c>
      <c r="B1135" t="s">
        <v>2732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1122</v>
      </c>
      <c r="Q1135">
        <f>_xlfn.XLOOKUP(A1135,'[1]Classic Net to delete'!D:D,'[1]Classic Net to delete'!AA:AA,0)</f>
        <v>0</v>
      </c>
    </row>
    <row r="1136" spans="1:17" x14ac:dyDescent="0.25">
      <c r="A1136" t="s">
        <v>2733</v>
      </c>
      <c r="B1136" t="s">
        <v>2734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1121</v>
      </c>
      <c r="Q1136">
        <f>_xlfn.XLOOKUP(A1136,'[1]Classic Net to delete'!D:D,'[1]Classic Net to delete'!AA:AA,0)</f>
        <v>0</v>
      </c>
    </row>
    <row r="1137" spans="1:17" x14ac:dyDescent="0.25">
      <c r="A1137" t="s">
        <v>2735</v>
      </c>
      <c r="B1137" t="s">
        <v>2736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1120</v>
      </c>
      <c r="Q1137">
        <f>_xlfn.XLOOKUP(A1137,'[1]Classic Net to delete'!D:D,'[1]Classic Net to delete'!AA:AA,0)</f>
        <v>0</v>
      </c>
    </row>
    <row r="1138" spans="1:17" x14ac:dyDescent="0.25">
      <c r="A1138" t="s">
        <v>2737</v>
      </c>
      <c r="B1138" t="s">
        <v>2738</v>
      </c>
      <c r="C1138">
        <v>3.8000000000000003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1119</v>
      </c>
      <c r="Q1138">
        <f>_xlfn.XLOOKUP(A1138,'[1]Classic Net to delete'!D:D,'[1]Classic Net to delete'!AA:AA,0)</f>
        <v>0</v>
      </c>
    </row>
    <row r="1139" spans="1:17" x14ac:dyDescent="0.25">
      <c r="A1139" t="s">
        <v>2739</v>
      </c>
      <c r="B1139" t="s">
        <v>2740</v>
      </c>
      <c r="C1139">
        <v>3.8000000000000003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1118</v>
      </c>
      <c r="Q1139">
        <f>_xlfn.XLOOKUP(A1139,'[1]Classic Net to delete'!D:D,'[1]Classic Net to delete'!AA:AA,0)</f>
        <v>0</v>
      </c>
    </row>
    <row r="1140" spans="1:17" x14ac:dyDescent="0.25">
      <c r="A1140" t="s">
        <v>2741</v>
      </c>
      <c r="B1140" t="s">
        <v>2742</v>
      </c>
      <c r="C1140">
        <v>3.8000000000000003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1117</v>
      </c>
      <c r="Q1140">
        <f>_xlfn.XLOOKUP(A1140,'[1]Classic Net to delete'!D:D,'[1]Classic Net to delete'!AA:AA,0)</f>
        <v>0</v>
      </c>
    </row>
    <row r="1141" spans="1:17" x14ac:dyDescent="0.25">
      <c r="A1141" t="s">
        <v>2743</v>
      </c>
      <c r="B1141" t="s">
        <v>2744</v>
      </c>
      <c r="C1141">
        <v>0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1116</v>
      </c>
      <c r="Q1141">
        <f>_xlfn.XLOOKUP(A1141,'[1]Classic Net to delete'!D:D,'[1]Classic Net to delete'!AA:AA,0)</f>
        <v>0</v>
      </c>
    </row>
    <row r="1142" spans="1:17" x14ac:dyDescent="0.25">
      <c r="A1142" t="s">
        <v>2745</v>
      </c>
      <c r="B1142" t="s">
        <v>2746</v>
      </c>
      <c r="C1142">
        <v>10.540000000000001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1115</v>
      </c>
      <c r="Q1142">
        <f>_xlfn.XLOOKUP(A1142,'[1]Classic Net to delete'!D:D,'[1]Classic Net to delete'!AA:AA,0)</f>
        <v>0</v>
      </c>
    </row>
    <row r="1143" spans="1:17" x14ac:dyDescent="0.25">
      <c r="A1143" t="s">
        <v>2747</v>
      </c>
      <c r="B1143" t="s">
        <v>2748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1114</v>
      </c>
      <c r="Q1143">
        <f>_xlfn.XLOOKUP(A1143,'[1]Classic Net to delete'!D:D,'[1]Classic Net to delete'!AA:AA,0)</f>
        <v>0</v>
      </c>
    </row>
    <row r="1144" spans="1:17" x14ac:dyDescent="0.25">
      <c r="A1144" t="s">
        <v>2749</v>
      </c>
      <c r="B1144" t="s">
        <v>2750</v>
      </c>
      <c r="C1144">
        <v>23.38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1113</v>
      </c>
      <c r="Q1144">
        <f>_xlfn.XLOOKUP(A1144,'[1]Classic Net to delete'!D:D,'[1]Classic Net to delete'!AA:AA,0)</f>
        <v>0</v>
      </c>
    </row>
    <row r="1145" spans="1:17" x14ac:dyDescent="0.25">
      <c r="A1145" t="s">
        <v>2751</v>
      </c>
      <c r="B1145" t="s">
        <v>2752</v>
      </c>
      <c r="C1145">
        <v>15.780000000000001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1112</v>
      </c>
      <c r="Q1145">
        <f>_xlfn.XLOOKUP(A1145,'[1]Classic Net to delete'!D:D,'[1]Classic Net to delete'!AA:AA,0)</f>
        <v>0</v>
      </c>
    </row>
    <row r="1146" spans="1:17" x14ac:dyDescent="0.25">
      <c r="A1146" t="s">
        <v>2753</v>
      </c>
      <c r="B1146" t="s">
        <v>2754</v>
      </c>
      <c r="C1146">
        <v>10.540000000000001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1111</v>
      </c>
      <c r="Q1146">
        <f>_xlfn.XLOOKUP(A1146,'[1]Classic Net to delete'!D:D,'[1]Classic Net to delete'!AA:AA,0)</f>
        <v>0</v>
      </c>
    </row>
    <row r="1147" spans="1:17" x14ac:dyDescent="0.25">
      <c r="A1147" t="s">
        <v>2755</v>
      </c>
      <c r="B1147" t="s">
        <v>2756</v>
      </c>
      <c r="C1147">
        <v>0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1110</v>
      </c>
      <c r="Q1147">
        <f>_xlfn.XLOOKUP(A1147,'[1]Classic Net to delete'!D:D,'[1]Classic Net to delete'!AA:AA,0)</f>
        <v>0</v>
      </c>
    </row>
    <row r="1148" spans="1:17" x14ac:dyDescent="0.25">
      <c r="A1148" t="s">
        <v>2757</v>
      </c>
      <c r="B1148" t="s">
        <v>2758</v>
      </c>
      <c r="C1148">
        <v>0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1109</v>
      </c>
      <c r="Q1148">
        <f>_xlfn.XLOOKUP(A1148,'[1]Classic Net to delete'!D:D,'[1]Classic Net to delete'!AA:AA,0)</f>
        <v>0</v>
      </c>
    </row>
    <row r="1149" spans="1:17" x14ac:dyDescent="0.25">
      <c r="A1149" t="s">
        <v>2759</v>
      </c>
      <c r="B1149" t="s">
        <v>2760</v>
      </c>
      <c r="C1149">
        <v>0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1108</v>
      </c>
      <c r="Q1149">
        <f>_xlfn.XLOOKUP(A1149,'[1]Classic Net to delete'!D:D,'[1]Classic Net to delete'!AA:AA,0)</f>
        <v>0</v>
      </c>
    </row>
    <row r="1150" spans="1:17" x14ac:dyDescent="0.25">
      <c r="A1150" t="s">
        <v>2761</v>
      </c>
      <c r="B1150" t="s">
        <v>2762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1107</v>
      </c>
      <c r="Q1150">
        <f>_xlfn.XLOOKUP(A1150,'[1]Classic Net to delete'!D:D,'[1]Classic Net to delete'!AA:AA,0)</f>
        <v>0</v>
      </c>
    </row>
    <row r="1151" spans="1:17" x14ac:dyDescent="0.25">
      <c r="A1151" t="s">
        <v>2763</v>
      </c>
      <c r="B1151" t="s">
        <v>2764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1106</v>
      </c>
      <c r="Q1151">
        <f>_xlfn.XLOOKUP(A1151,'[1]Classic Net to delete'!D:D,'[1]Classic Net to delete'!AA:AA,0)</f>
        <v>0</v>
      </c>
    </row>
    <row r="1152" spans="1:17" x14ac:dyDescent="0.25">
      <c r="A1152" t="s">
        <v>2765</v>
      </c>
      <c r="B1152" t="s">
        <v>2766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1105</v>
      </c>
      <c r="Q1152">
        <f>_xlfn.XLOOKUP(A1152,'[1]Classic Net to delete'!D:D,'[1]Classic Net to delete'!AA:AA,0)</f>
        <v>0</v>
      </c>
    </row>
    <row r="1153" spans="1:17" x14ac:dyDescent="0.25">
      <c r="A1153" t="s">
        <v>2767</v>
      </c>
      <c r="B1153" t="s">
        <v>2768</v>
      </c>
      <c r="C1153">
        <v>9.15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1104</v>
      </c>
      <c r="Q1153">
        <f>_xlfn.XLOOKUP(A1153,'[1]Classic Net to delete'!D:D,'[1]Classic Net to delete'!AA:AA,0)</f>
        <v>0</v>
      </c>
    </row>
    <row r="1154" spans="1:17" x14ac:dyDescent="0.25">
      <c r="A1154" t="s">
        <v>2769</v>
      </c>
      <c r="B1154" t="s">
        <v>2770</v>
      </c>
      <c r="C1154">
        <v>9.15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1103</v>
      </c>
      <c r="Q1154">
        <f>_xlfn.XLOOKUP(A1154,'[1]Classic Net to delete'!D:D,'[1]Classic Net to delete'!AA:AA,0)</f>
        <v>0</v>
      </c>
    </row>
    <row r="1155" spans="1:17" x14ac:dyDescent="0.25">
      <c r="A1155" t="s">
        <v>2771</v>
      </c>
      <c r="B1155" t="s">
        <v>2772</v>
      </c>
      <c r="C1155">
        <v>9.15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1102</v>
      </c>
      <c r="Q1155">
        <f>_xlfn.XLOOKUP(A1155,'[1]Classic Net to delete'!D:D,'[1]Classic Net to delete'!AA:AA,0)</f>
        <v>0</v>
      </c>
    </row>
    <row r="1156" spans="1:17" x14ac:dyDescent="0.25">
      <c r="A1156" t="s">
        <v>2773</v>
      </c>
      <c r="B1156" t="s">
        <v>2774</v>
      </c>
      <c r="C1156">
        <v>10.17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1101</v>
      </c>
      <c r="Q1156">
        <f>_xlfn.XLOOKUP(A1156,'[1]Classic Net to delete'!D:D,'[1]Classic Net to delete'!AA:AA,0)</f>
        <v>0</v>
      </c>
    </row>
    <row r="1157" spans="1:17" x14ac:dyDescent="0.25">
      <c r="A1157" t="s">
        <v>2775</v>
      </c>
      <c r="B1157" t="s">
        <v>2776</v>
      </c>
      <c r="C1157">
        <v>10.17</v>
      </c>
      <c r="E1157" t="str">
        <f t="shared" si="23"/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1100</v>
      </c>
      <c r="Q1157">
        <f>_xlfn.XLOOKUP(A1157,'[1]Classic Net to delete'!D:D,'[1]Classic Net to delete'!AA:AA,0)</f>
        <v>0</v>
      </c>
    </row>
    <row r="1158" spans="1:17" x14ac:dyDescent="0.25">
      <c r="A1158" t="s">
        <v>2777</v>
      </c>
      <c r="B1158" t="s">
        <v>2778</v>
      </c>
      <c r="C1158">
        <v>10.17</v>
      </c>
      <c r="E1158" t="str">
        <f t="shared" si="23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1099</v>
      </c>
      <c r="Q1158">
        <f>_xlfn.XLOOKUP(A1158,'[1]Classic Net to delete'!D:D,'[1]Classic Net to delete'!AA:AA,0)</f>
        <v>0</v>
      </c>
    </row>
    <row r="1159" spans="1:17" x14ac:dyDescent="0.25">
      <c r="A1159" t="s">
        <v>2779</v>
      </c>
      <c r="B1159" t="s">
        <v>2780</v>
      </c>
      <c r="C1159">
        <v>15.46</v>
      </c>
      <c r="E1159" t="str">
        <f t="shared" si="23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1098</v>
      </c>
      <c r="Q1159">
        <f>_xlfn.XLOOKUP(A1159,'[1]Classic Net to delete'!D:D,'[1]Classic Net to delete'!AA:AA,0)</f>
        <v>0</v>
      </c>
    </row>
    <row r="1160" spans="1:17" x14ac:dyDescent="0.25">
      <c r="A1160" t="s">
        <v>2781</v>
      </c>
      <c r="B1160" t="s">
        <v>2782</v>
      </c>
      <c r="C1160">
        <v>10.75</v>
      </c>
      <c r="E1160" t="str">
        <f t="shared" ref="E1160:E1223" si="24">CONCATENATE(K1160,". ",O1160)</f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1097</v>
      </c>
      <c r="Q1160">
        <f>_xlfn.XLOOKUP(A1160,'[1]Classic Net to delete'!D:D,'[1]Classic Net to delete'!AA:AA,0)</f>
        <v>0</v>
      </c>
    </row>
    <row r="1161" spans="1:17" x14ac:dyDescent="0.25">
      <c r="A1161" t="s">
        <v>2783</v>
      </c>
      <c r="B1161" t="s">
        <v>2784</v>
      </c>
      <c r="C1161">
        <v>10.17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1096</v>
      </c>
      <c r="Q1161">
        <f>_xlfn.XLOOKUP(A1161,'[1]Classic Net to delete'!D:D,'[1]Classic Net to delete'!AA:AA,0)</f>
        <v>0</v>
      </c>
    </row>
    <row r="1162" spans="1:17" x14ac:dyDescent="0.25">
      <c r="A1162" t="s">
        <v>2785</v>
      </c>
      <c r="B1162" t="s">
        <v>2786</v>
      </c>
      <c r="C1162">
        <v>10.17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1095</v>
      </c>
      <c r="Q1162">
        <f>_xlfn.XLOOKUP(A1162,'[1]Classic Net to delete'!D:D,'[1]Classic Net to delete'!AA:AA,0)</f>
        <v>0</v>
      </c>
    </row>
    <row r="1163" spans="1:17" x14ac:dyDescent="0.25">
      <c r="A1163" t="s">
        <v>2787</v>
      </c>
      <c r="B1163" t="s">
        <v>2788</v>
      </c>
      <c r="C1163">
        <v>10.17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1094</v>
      </c>
      <c r="Q1163">
        <f>_xlfn.XLOOKUP(A1163,'[1]Classic Net to delete'!D:D,'[1]Classic Net to delete'!AA:AA,0)</f>
        <v>0</v>
      </c>
    </row>
    <row r="1164" spans="1:17" x14ac:dyDescent="0.25">
      <c r="A1164" t="s">
        <v>2789</v>
      </c>
      <c r="B1164" t="s">
        <v>2790</v>
      </c>
      <c r="C1164">
        <v>11.02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1093</v>
      </c>
      <c r="Q1164">
        <f>_xlfn.XLOOKUP(A1164,'[1]Classic Net to delete'!D:D,'[1]Classic Net to delete'!AA:AA,0)</f>
        <v>0</v>
      </c>
    </row>
    <row r="1165" spans="1:17" x14ac:dyDescent="0.25">
      <c r="A1165" t="s">
        <v>2791</v>
      </c>
      <c r="B1165" t="s">
        <v>2792</v>
      </c>
      <c r="C1165">
        <v>22.04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1092</v>
      </c>
      <c r="Q1165">
        <f>_xlfn.XLOOKUP(A1165,'[1]Classic Net to delete'!D:D,'[1]Classic Net to delete'!AA:AA,0)</f>
        <v>0</v>
      </c>
    </row>
    <row r="1166" spans="1:17" x14ac:dyDescent="0.25">
      <c r="A1166" t="s">
        <v>2793</v>
      </c>
      <c r="B1166" t="s">
        <v>2794</v>
      </c>
      <c r="C1166">
        <v>0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1091</v>
      </c>
      <c r="Q1166">
        <f>_xlfn.XLOOKUP(A1166,'[1]Classic Net to delete'!D:D,'[1]Classic Net to delete'!AA:AA,0)</f>
        <v>0</v>
      </c>
    </row>
    <row r="1167" spans="1:17" x14ac:dyDescent="0.25">
      <c r="A1167" t="s">
        <v>2795</v>
      </c>
      <c r="B1167" t="s">
        <v>2796</v>
      </c>
      <c r="C1167">
        <v>18.62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1090</v>
      </c>
      <c r="Q1167">
        <f>_xlfn.XLOOKUP(A1167,'[1]Classic Net to delete'!D:D,'[1]Classic Net to delete'!AA:AA,0)</f>
        <v>0</v>
      </c>
    </row>
    <row r="1168" spans="1:17" x14ac:dyDescent="0.25">
      <c r="A1168" t="s">
        <v>2797</v>
      </c>
      <c r="B1168" t="s">
        <v>2798</v>
      </c>
      <c r="C1168">
        <v>18.62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1089</v>
      </c>
      <c r="Q1168">
        <f>_xlfn.XLOOKUP(A1168,'[1]Classic Net to delete'!D:D,'[1]Classic Net to delete'!AA:AA,0)</f>
        <v>0</v>
      </c>
    </row>
    <row r="1169" spans="1:17" x14ac:dyDescent="0.25">
      <c r="A1169" t="s">
        <v>2799</v>
      </c>
      <c r="B1169" t="s">
        <v>2800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1088</v>
      </c>
      <c r="Q1169">
        <f>_xlfn.XLOOKUP(A1169,'[1]Classic Net to delete'!D:D,'[1]Classic Net to delete'!AA:AA,0)</f>
        <v>0</v>
      </c>
    </row>
    <row r="1170" spans="1:17" x14ac:dyDescent="0.25">
      <c r="A1170" t="s">
        <v>2801</v>
      </c>
      <c r="B1170" t="s">
        <v>2802</v>
      </c>
      <c r="C1170">
        <v>11.34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1087</v>
      </c>
      <c r="Q1170">
        <f>_xlfn.XLOOKUP(A1170,'[1]Classic Net to delete'!D:D,'[1]Classic Net to delete'!AA:AA,0)</f>
        <v>0</v>
      </c>
    </row>
    <row r="1171" spans="1:17" x14ac:dyDescent="0.25">
      <c r="A1171" t="s">
        <v>2803</v>
      </c>
      <c r="B1171" t="s">
        <v>2804</v>
      </c>
      <c r="C1171">
        <v>11.34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1086</v>
      </c>
      <c r="Q1171">
        <f>_xlfn.XLOOKUP(A1171,'[1]Classic Net to delete'!D:D,'[1]Classic Net to delete'!AA:AA,0)</f>
        <v>0</v>
      </c>
    </row>
    <row r="1172" spans="1:17" x14ac:dyDescent="0.25">
      <c r="A1172" t="s">
        <v>2805</v>
      </c>
      <c r="B1172" t="s">
        <v>2806</v>
      </c>
      <c r="C1172">
        <v>11.34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1085</v>
      </c>
      <c r="Q1172">
        <f>_xlfn.XLOOKUP(A1172,'[1]Classic Net to delete'!D:D,'[1]Classic Net to delete'!AA:AA,0)</f>
        <v>0</v>
      </c>
    </row>
    <row r="1173" spans="1:17" x14ac:dyDescent="0.25">
      <c r="A1173" t="s">
        <v>2807</v>
      </c>
      <c r="B1173" t="s">
        <v>2808</v>
      </c>
      <c r="C1173">
        <v>31.51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1084</v>
      </c>
      <c r="Q1173">
        <f>_xlfn.XLOOKUP(A1173,'[1]Classic Net to delete'!D:D,'[1]Classic Net to delete'!AA:AA,0)</f>
        <v>0</v>
      </c>
    </row>
    <row r="1174" spans="1:17" x14ac:dyDescent="0.25">
      <c r="A1174" t="s">
        <v>2809</v>
      </c>
      <c r="B1174" t="s">
        <v>2810</v>
      </c>
      <c r="C1174">
        <v>5.72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1083</v>
      </c>
      <c r="Q1174">
        <f>_xlfn.XLOOKUP(A1174,'[1]Classic Net to delete'!D:D,'[1]Classic Net to delete'!AA:AA,0)</f>
        <v>0</v>
      </c>
    </row>
    <row r="1175" spans="1:17" x14ac:dyDescent="0.25">
      <c r="A1175" t="s">
        <v>2811</v>
      </c>
      <c r="B1175" t="s">
        <v>2812</v>
      </c>
      <c r="C1175">
        <v>14.98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1082</v>
      </c>
      <c r="Q1175">
        <f>_xlfn.XLOOKUP(A1175,'[1]Classic Net to delete'!D:D,'[1]Classic Net to delete'!AA:AA,0)</f>
        <v>0</v>
      </c>
    </row>
    <row r="1176" spans="1:17" x14ac:dyDescent="0.25">
      <c r="A1176" t="s">
        <v>2813</v>
      </c>
      <c r="B1176" t="s">
        <v>2814</v>
      </c>
      <c r="C1176">
        <v>4.4400000000000004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1081</v>
      </c>
      <c r="Q1176">
        <f>_xlfn.XLOOKUP(A1176,'[1]Classic Net to delete'!D:D,'[1]Classic Net to delete'!AA:AA,0)</f>
        <v>0</v>
      </c>
    </row>
    <row r="1177" spans="1:17" x14ac:dyDescent="0.25">
      <c r="A1177" t="s">
        <v>2815</v>
      </c>
      <c r="B1177" t="s">
        <v>2816</v>
      </c>
      <c r="C1177">
        <v>9.68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1080</v>
      </c>
      <c r="Q1177">
        <f>_xlfn.XLOOKUP(A1177,'[1]Classic Net to delete'!D:D,'[1]Classic Net to delete'!AA:AA,0)</f>
        <v>0</v>
      </c>
    </row>
    <row r="1178" spans="1:17" x14ac:dyDescent="0.25">
      <c r="A1178" t="s">
        <v>2817</v>
      </c>
      <c r="B1178" t="s">
        <v>2818</v>
      </c>
      <c r="C1178">
        <v>3.8000000000000003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1079</v>
      </c>
      <c r="Q1178">
        <f>_xlfn.XLOOKUP(A1178,'[1]Classic Net to delete'!D:D,'[1]Classic Net to delete'!AA:AA,0)</f>
        <v>0</v>
      </c>
    </row>
    <row r="1179" spans="1:17" x14ac:dyDescent="0.25">
      <c r="A1179" t="s">
        <v>2819</v>
      </c>
      <c r="B1179" t="s">
        <v>2820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1078</v>
      </c>
      <c r="Q1179">
        <f>_xlfn.XLOOKUP(A1179,'[1]Classic Net to delete'!D:D,'[1]Classic Net to delete'!AA:AA,0)</f>
        <v>0</v>
      </c>
    </row>
    <row r="1180" spans="1:17" x14ac:dyDescent="0.25">
      <c r="A1180" t="s">
        <v>2821</v>
      </c>
      <c r="B1180" t="s">
        <v>2822</v>
      </c>
      <c r="C1180">
        <v>163.98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1077</v>
      </c>
      <c r="Q1180">
        <f>_xlfn.XLOOKUP(A1180,'[1]Classic Net to delete'!D:D,'[1]Classic Net to delete'!AA:AA,0)</f>
        <v>0</v>
      </c>
    </row>
    <row r="1181" spans="1:17" x14ac:dyDescent="0.25">
      <c r="A1181" t="s">
        <v>2823</v>
      </c>
      <c r="B1181" t="s">
        <v>2824</v>
      </c>
      <c r="C1181">
        <v>21.19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1076</v>
      </c>
      <c r="Q1181">
        <f>_xlfn.XLOOKUP(A1181,'[1]Classic Net to delete'!D:D,'[1]Classic Net to delete'!AA:AA,0)</f>
        <v>0</v>
      </c>
    </row>
    <row r="1182" spans="1:17" x14ac:dyDescent="0.25">
      <c r="A1182" t="s">
        <v>2825</v>
      </c>
      <c r="B1182" t="s">
        <v>2826</v>
      </c>
      <c r="C1182">
        <v>51.15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1075</v>
      </c>
      <c r="Q1182">
        <f>_xlfn.XLOOKUP(A1182,'[1]Classic Net to delete'!D:D,'[1]Classic Net to delete'!AA:AA,0)</f>
        <v>0</v>
      </c>
    </row>
    <row r="1183" spans="1:17" x14ac:dyDescent="0.25">
      <c r="A1183" t="s">
        <v>2827</v>
      </c>
      <c r="B1183" t="s">
        <v>2828</v>
      </c>
      <c r="C1183">
        <v>72.600000000000009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1074</v>
      </c>
      <c r="Q1183">
        <f>_xlfn.XLOOKUP(A1183,'[1]Classic Net to delete'!D:D,'[1]Classic Net to delete'!AA:AA,0)</f>
        <v>0</v>
      </c>
    </row>
    <row r="1184" spans="1:17" x14ac:dyDescent="0.25">
      <c r="A1184" t="s">
        <v>2829</v>
      </c>
      <c r="B1184" t="s">
        <v>2830</v>
      </c>
      <c r="C1184">
        <v>78.86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1073</v>
      </c>
      <c r="Q1184">
        <f>_xlfn.XLOOKUP(A1184,'[1]Classic Net to delete'!D:D,'[1]Classic Net to delete'!AA:AA,0)</f>
        <v>0</v>
      </c>
    </row>
    <row r="1185" spans="1:17" x14ac:dyDescent="0.25">
      <c r="A1185" t="s">
        <v>2831</v>
      </c>
      <c r="B1185" t="s">
        <v>2832</v>
      </c>
      <c r="C1185">
        <v>0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1072</v>
      </c>
      <c r="Q1185">
        <f>_xlfn.XLOOKUP(A1185,'[1]Classic Net to delete'!D:D,'[1]Classic Net to delete'!AA:AA,0)</f>
        <v>0</v>
      </c>
    </row>
    <row r="1186" spans="1:17" x14ac:dyDescent="0.25">
      <c r="A1186" t="s">
        <v>2833</v>
      </c>
      <c r="B1186" t="s">
        <v>2834</v>
      </c>
      <c r="C1186">
        <v>6.69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1071</v>
      </c>
      <c r="Q1186">
        <f>_xlfn.XLOOKUP(A1186,'[1]Classic Net to delete'!D:D,'[1]Classic Net to delete'!AA:AA,0)</f>
        <v>0</v>
      </c>
    </row>
    <row r="1187" spans="1:17" x14ac:dyDescent="0.25">
      <c r="A1187" t="s">
        <v>2835</v>
      </c>
      <c r="B1187" t="s">
        <v>2836</v>
      </c>
      <c r="C1187">
        <v>6.69</v>
      </c>
      <c r="E1187" t="str">
        <f t="shared" si="24"/>
        <v xml:space="preserve">. </v>
      </c>
      <c r="F1187">
        <v>75</v>
      </c>
      <c r="H1187" t="b">
        <v>0</v>
      </c>
      <c r="L1187" s="188" t="str">
        <f>IFERROR(_xlfn.XLOOKUP(A1187,[1]Fleet!A:A,[1]Fleet!E:E,""),"")</f>
        <v/>
      </c>
      <c r="M1187" s="188" t="s">
        <v>22</v>
      </c>
      <c r="N1187" s="188" t="s">
        <v>22</v>
      </c>
      <c r="P1187">
        <v>1070</v>
      </c>
      <c r="Q1187">
        <f>_xlfn.XLOOKUP(A1187,'[1]Classic Net to delete'!D:D,'[1]Classic Net to delete'!AA:AA,0)</f>
        <v>0</v>
      </c>
    </row>
    <row r="1188" spans="1:17" x14ac:dyDescent="0.25">
      <c r="A1188" t="s">
        <v>2837</v>
      </c>
      <c r="B1188" t="s">
        <v>2838</v>
      </c>
      <c r="C1188">
        <v>6.69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1069</v>
      </c>
      <c r="Q1188">
        <f>_xlfn.XLOOKUP(A1188,'[1]Classic Net to delete'!D:D,'[1]Classic Net to delete'!AA:AA,0)</f>
        <v>0</v>
      </c>
    </row>
    <row r="1189" spans="1:17" x14ac:dyDescent="0.25">
      <c r="A1189" t="s">
        <v>2839</v>
      </c>
      <c r="B1189" t="s">
        <v>2840</v>
      </c>
      <c r="C1189">
        <v>0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1068</v>
      </c>
      <c r="Q1189">
        <f>_xlfn.XLOOKUP(A1189,'[1]Classic Net to delete'!D:D,'[1]Classic Net to delete'!AA:AA,0)</f>
        <v>0</v>
      </c>
    </row>
    <row r="1190" spans="1:17" x14ac:dyDescent="0.25">
      <c r="A1190" t="s">
        <v>2841</v>
      </c>
      <c r="B1190" t="s">
        <v>2842</v>
      </c>
      <c r="C1190">
        <v>43.87</v>
      </c>
      <c r="E1190" t="str">
        <f t="shared" si="24"/>
        <v xml:space="preserve">. </v>
      </c>
      <c r="F1190">
        <v>75</v>
      </c>
      <c r="H1190" t="s">
        <v>22</v>
      </c>
      <c r="L1190" s="188" t="str">
        <f>IFERROR(_xlfn.XLOOKUP(A1190,[1]Fleet!A:A,[1]Fleet!E:E,""),"")</f>
        <v/>
      </c>
      <c r="M1190" s="188">
        <v>41</v>
      </c>
      <c r="N1190" s="188" t="s">
        <v>2843</v>
      </c>
      <c r="P1190">
        <v>1067</v>
      </c>
      <c r="Q1190">
        <f>_xlfn.XLOOKUP(A1190,'[1]Classic Net to delete'!D:D,'[1]Classic Net to delete'!AA:AA,0)</f>
        <v>525</v>
      </c>
    </row>
    <row r="1191" spans="1:17" x14ac:dyDescent="0.25">
      <c r="A1191" t="s">
        <v>2844</v>
      </c>
      <c r="B1191" t="s">
        <v>2845</v>
      </c>
      <c r="C1191">
        <v>6.96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1066</v>
      </c>
      <c r="Q1191">
        <f>_xlfn.XLOOKUP(A1191,'[1]Classic Net to delete'!D:D,'[1]Classic Net to delete'!AA:AA,0)</f>
        <v>0</v>
      </c>
    </row>
    <row r="1192" spans="1:17" x14ac:dyDescent="0.25">
      <c r="A1192" t="s">
        <v>2846</v>
      </c>
      <c r="B1192" t="s">
        <v>2847</v>
      </c>
      <c r="C1192">
        <v>10.75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1065</v>
      </c>
      <c r="Q1192">
        <f>_xlfn.XLOOKUP(A1192,'[1]Classic Net to delete'!D:D,'[1]Classic Net to delete'!AA:AA,0)</f>
        <v>0</v>
      </c>
    </row>
    <row r="1193" spans="1:17" x14ac:dyDescent="0.25">
      <c r="A1193" t="s">
        <v>2848</v>
      </c>
      <c r="B1193" t="s">
        <v>2849</v>
      </c>
      <c r="C1193">
        <v>24.34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1064</v>
      </c>
      <c r="Q1193">
        <f>_xlfn.XLOOKUP(A1193,'[1]Classic Net to delete'!D:D,'[1]Classic Net to delete'!AA:AA,0)</f>
        <v>0</v>
      </c>
    </row>
    <row r="1194" spans="1:17" x14ac:dyDescent="0.25">
      <c r="A1194" t="s">
        <v>2850</v>
      </c>
      <c r="B1194" t="s">
        <v>2851</v>
      </c>
      <c r="C1194">
        <v>24.61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1063</v>
      </c>
      <c r="Q1194">
        <f>_xlfn.XLOOKUP(A1194,'[1]Classic Net to delete'!D:D,'[1]Classic Net to delete'!AA:AA,0)</f>
        <v>0</v>
      </c>
    </row>
    <row r="1195" spans="1:17" x14ac:dyDescent="0.25">
      <c r="A1195" t="s">
        <v>2852</v>
      </c>
      <c r="B1195" t="s">
        <v>2853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1062</v>
      </c>
      <c r="Q1195">
        <f>_xlfn.XLOOKUP(A1195,'[1]Classic Net to delete'!D:D,'[1]Classic Net to delete'!AA:AA,0)</f>
        <v>0</v>
      </c>
    </row>
    <row r="1196" spans="1:17" x14ac:dyDescent="0.25">
      <c r="A1196" t="s">
        <v>2854</v>
      </c>
      <c r="B1196" t="s">
        <v>2855</v>
      </c>
      <c r="C1196">
        <v>7.92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1061</v>
      </c>
      <c r="Q1196">
        <f>_xlfn.XLOOKUP(A1196,'[1]Classic Net to delete'!D:D,'[1]Classic Net to delete'!AA:AA,0)</f>
        <v>0</v>
      </c>
    </row>
    <row r="1197" spans="1:17" x14ac:dyDescent="0.25">
      <c r="A1197" t="s">
        <v>2856</v>
      </c>
      <c r="B1197" t="s">
        <v>2857</v>
      </c>
      <c r="C1197">
        <v>7.92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1060</v>
      </c>
      <c r="Q1197">
        <f>_xlfn.XLOOKUP(A1197,'[1]Classic Net to delete'!D:D,'[1]Classic Net to delete'!AA:AA,0)</f>
        <v>0</v>
      </c>
    </row>
    <row r="1198" spans="1:17" x14ac:dyDescent="0.25">
      <c r="A1198" t="s">
        <v>2858</v>
      </c>
      <c r="B1198" t="s">
        <v>2859</v>
      </c>
      <c r="C1198">
        <v>7.92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1059</v>
      </c>
      <c r="Q1198">
        <f>_xlfn.XLOOKUP(A1198,'[1]Classic Net to delete'!D:D,'[1]Classic Net to delete'!AA:AA,0)</f>
        <v>0</v>
      </c>
    </row>
    <row r="1199" spans="1:17" x14ac:dyDescent="0.25">
      <c r="A1199" t="s">
        <v>2860</v>
      </c>
      <c r="B1199" t="s">
        <v>2861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1058</v>
      </c>
      <c r="Q1199">
        <f>_xlfn.XLOOKUP(A1199,'[1]Classic Net to delete'!D:D,'[1]Classic Net to delete'!AA:AA,0)</f>
        <v>0</v>
      </c>
    </row>
    <row r="1200" spans="1:17" x14ac:dyDescent="0.25">
      <c r="A1200" t="s">
        <v>2862</v>
      </c>
      <c r="B1200" t="s">
        <v>2863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1057</v>
      </c>
      <c r="Q1200">
        <f>_xlfn.XLOOKUP(A1200,'[1]Classic Net to delete'!D:D,'[1]Classic Net to delete'!AA:AA,0)</f>
        <v>0</v>
      </c>
    </row>
    <row r="1201" spans="1:17" x14ac:dyDescent="0.25">
      <c r="A1201" t="s">
        <v>2864</v>
      </c>
      <c r="B1201" t="s">
        <v>2865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1056</v>
      </c>
      <c r="Q1201">
        <f>_xlfn.XLOOKUP(A1201,'[1]Classic Net to delete'!D:D,'[1]Classic Net to delete'!AA:AA,0)</f>
        <v>0</v>
      </c>
    </row>
    <row r="1202" spans="1:17" x14ac:dyDescent="0.25">
      <c r="A1202" t="s">
        <v>2866</v>
      </c>
      <c r="B1202" t="s">
        <v>2867</v>
      </c>
      <c r="C1202">
        <v>13.540000000000001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1055</v>
      </c>
      <c r="Q1202">
        <f>_xlfn.XLOOKUP(A1202,'[1]Classic Net to delete'!D:D,'[1]Classic Net to delete'!AA:AA,0)</f>
        <v>0</v>
      </c>
    </row>
    <row r="1203" spans="1:17" x14ac:dyDescent="0.25">
      <c r="A1203" t="s">
        <v>2868</v>
      </c>
      <c r="B1203" t="s">
        <v>2869</v>
      </c>
      <c r="C1203">
        <v>13.540000000000001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1054</v>
      </c>
      <c r="Q1203">
        <f>_xlfn.XLOOKUP(A1203,'[1]Classic Net to delete'!D:D,'[1]Classic Net to delete'!AA:AA,0)</f>
        <v>0</v>
      </c>
    </row>
    <row r="1204" spans="1:17" x14ac:dyDescent="0.25">
      <c r="A1204" t="s">
        <v>2870</v>
      </c>
      <c r="B1204" t="s">
        <v>2871</v>
      </c>
      <c r="C1204">
        <v>13.540000000000001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1053</v>
      </c>
      <c r="Q1204">
        <f>_xlfn.XLOOKUP(A1204,'[1]Classic Net to delete'!D:D,'[1]Classic Net to delete'!AA:AA,0)</f>
        <v>0</v>
      </c>
    </row>
    <row r="1205" spans="1:17" x14ac:dyDescent="0.25">
      <c r="A1205" t="s">
        <v>2872</v>
      </c>
      <c r="B1205" t="s">
        <v>2873</v>
      </c>
      <c r="C1205">
        <v>6.96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1052</v>
      </c>
      <c r="Q1205">
        <f>_xlfn.XLOOKUP(A1205,'[1]Classic Net to delete'!D:D,'[1]Classic Net to delete'!AA:AA,0)</f>
        <v>0</v>
      </c>
    </row>
    <row r="1206" spans="1:17" x14ac:dyDescent="0.25">
      <c r="A1206" t="s">
        <v>2874</v>
      </c>
      <c r="B1206" t="s">
        <v>2875</v>
      </c>
      <c r="C1206">
        <v>4.4400000000000004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1051</v>
      </c>
      <c r="Q1206">
        <f>_xlfn.XLOOKUP(A1206,'[1]Classic Net to delete'!D:D,'[1]Classic Net to delete'!AA:AA,0)</f>
        <v>0</v>
      </c>
    </row>
    <row r="1207" spans="1:17" x14ac:dyDescent="0.25">
      <c r="A1207" t="s">
        <v>2876</v>
      </c>
      <c r="B1207" t="s">
        <v>2877</v>
      </c>
      <c r="C1207">
        <v>4.4400000000000004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1050</v>
      </c>
      <c r="Q1207">
        <f>_xlfn.XLOOKUP(A1207,'[1]Classic Net to delete'!D:D,'[1]Classic Net to delete'!AA:AA,0)</f>
        <v>0</v>
      </c>
    </row>
    <row r="1208" spans="1:17" x14ac:dyDescent="0.25">
      <c r="A1208" t="s">
        <v>2878</v>
      </c>
      <c r="B1208" t="s">
        <v>2879</v>
      </c>
      <c r="C1208">
        <v>4.4400000000000004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1049</v>
      </c>
      <c r="Q1208">
        <f>_xlfn.XLOOKUP(A1208,'[1]Classic Net to delete'!D:D,'[1]Classic Net to delete'!AA:AA,0)</f>
        <v>0</v>
      </c>
    </row>
    <row r="1209" spans="1:17" x14ac:dyDescent="0.25">
      <c r="A1209" t="s">
        <v>2880</v>
      </c>
      <c r="B1209" t="s">
        <v>2881</v>
      </c>
      <c r="C1209">
        <v>0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1048</v>
      </c>
      <c r="Q1209">
        <f>_xlfn.XLOOKUP(A1209,'[1]Classic Net to delete'!D:D,'[1]Classic Net to delete'!AA:AA,0)</f>
        <v>0</v>
      </c>
    </row>
    <row r="1210" spans="1:17" x14ac:dyDescent="0.25">
      <c r="A1210" t="s">
        <v>2882</v>
      </c>
      <c r="B1210" t="s">
        <v>2883</v>
      </c>
      <c r="C1210">
        <v>52.75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1047</v>
      </c>
      <c r="Q1210">
        <f>_xlfn.XLOOKUP(A1210,'[1]Classic Net to delete'!D:D,'[1]Classic Net to delete'!AA:AA,0)</f>
        <v>0</v>
      </c>
    </row>
    <row r="1211" spans="1:17" x14ac:dyDescent="0.25">
      <c r="A1211" t="s">
        <v>2884</v>
      </c>
      <c r="B1211" t="s">
        <v>2885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1046</v>
      </c>
      <c r="Q1211">
        <f>_xlfn.XLOOKUP(A1211,'[1]Classic Net to delete'!D:D,'[1]Classic Net to delete'!AA:AA,0)</f>
        <v>0</v>
      </c>
    </row>
    <row r="1212" spans="1:17" x14ac:dyDescent="0.25">
      <c r="A1212" t="s">
        <v>2886</v>
      </c>
      <c r="B1212" t="s">
        <v>2887</v>
      </c>
      <c r="C1212">
        <v>10.75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1045</v>
      </c>
      <c r="Q1212">
        <f>_xlfn.XLOOKUP(A1212,'[1]Classic Net to delete'!D:D,'[1]Classic Net to delete'!AA:AA,0)</f>
        <v>0</v>
      </c>
    </row>
    <row r="1213" spans="1:17" x14ac:dyDescent="0.25">
      <c r="A1213" t="s">
        <v>2888</v>
      </c>
      <c r="B1213" t="s">
        <v>2889</v>
      </c>
      <c r="C1213">
        <v>10.75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1044</v>
      </c>
      <c r="Q1213">
        <f>_xlfn.XLOOKUP(A1213,'[1]Classic Net to delete'!D:D,'[1]Classic Net to delete'!AA:AA,0)</f>
        <v>0</v>
      </c>
    </row>
    <row r="1214" spans="1:17" x14ac:dyDescent="0.25">
      <c r="A1214" t="s">
        <v>2890</v>
      </c>
      <c r="B1214" t="s">
        <v>2891</v>
      </c>
      <c r="C1214">
        <v>10.75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1043</v>
      </c>
      <c r="Q1214">
        <f>_xlfn.XLOOKUP(A1214,'[1]Classic Net to delete'!D:D,'[1]Classic Net to delete'!AA:AA,0)</f>
        <v>0</v>
      </c>
    </row>
    <row r="1215" spans="1:17" x14ac:dyDescent="0.25">
      <c r="A1215" t="s">
        <v>2892</v>
      </c>
      <c r="B1215" t="s">
        <v>2893</v>
      </c>
      <c r="C1215">
        <v>16.16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1042</v>
      </c>
      <c r="Q1215">
        <f>_xlfn.XLOOKUP(A1215,'[1]Classic Net to delete'!D:D,'[1]Classic Net to delete'!AA:AA,0)</f>
        <v>0</v>
      </c>
    </row>
    <row r="1216" spans="1:17" x14ac:dyDescent="0.25">
      <c r="A1216" t="s">
        <v>2894</v>
      </c>
      <c r="B1216" t="s">
        <v>2895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1041</v>
      </c>
      <c r="Q1216">
        <f>_xlfn.XLOOKUP(A1216,'[1]Classic Net to delete'!D:D,'[1]Classic Net to delete'!AA:AA,0)</f>
        <v>0</v>
      </c>
    </row>
    <row r="1217" spans="1:17" x14ac:dyDescent="0.25">
      <c r="A1217" t="s">
        <v>2896</v>
      </c>
      <c r="B1217" t="s">
        <v>2897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1040</v>
      </c>
      <c r="Q1217">
        <f>_xlfn.XLOOKUP(A1217,'[1]Classic Net to delete'!D:D,'[1]Classic Net to delete'!AA:AA,0)</f>
        <v>0</v>
      </c>
    </row>
    <row r="1218" spans="1:17" x14ac:dyDescent="0.25">
      <c r="A1218" t="s">
        <v>2898</v>
      </c>
      <c r="B1218" t="s">
        <v>2899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1039</v>
      </c>
      <c r="Q1218">
        <f>_xlfn.XLOOKUP(A1218,'[1]Classic Net to delete'!D:D,'[1]Classic Net to delete'!AA:AA,0)</f>
        <v>0</v>
      </c>
    </row>
    <row r="1219" spans="1:17" x14ac:dyDescent="0.25">
      <c r="A1219" t="s">
        <v>2900</v>
      </c>
      <c r="B1219" t="s">
        <v>2901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1038</v>
      </c>
      <c r="Q1219">
        <f>_xlfn.XLOOKUP(A1219,'[1]Classic Net to delete'!D:D,'[1]Classic Net to delete'!AA:AA,0)</f>
        <v>0</v>
      </c>
    </row>
    <row r="1220" spans="1:17" x14ac:dyDescent="0.25">
      <c r="A1220" t="s">
        <v>2902</v>
      </c>
      <c r="B1220" t="s">
        <v>2903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1037</v>
      </c>
      <c r="Q1220">
        <f>_xlfn.XLOOKUP(A1220,'[1]Classic Net to delete'!D:D,'[1]Classic Net to delete'!AA:AA,0)</f>
        <v>0</v>
      </c>
    </row>
    <row r="1221" spans="1:17" x14ac:dyDescent="0.25">
      <c r="A1221" t="s">
        <v>2904</v>
      </c>
      <c r="B1221" t="s">
        <v>2905</v>
      </c>
      <c r="C1221">
        <v>8.19</v>
      </c>
      <c r="E1221" t="str">
        <f t="shared" si="24"/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1036</v>
      </c>
      <c r="Q1221">
        <f>_xlfn.XLOOKUP(A1221,'[1]Classic Net to delete'!D:D,'[1]Classic Net to delete'!AA:AA,0)</f>
        <v>0</v>
      </c>
    </row>
    <row r="1222" spans="1:17" x14ac:dyDescent="0.25">
      <c r="A1222" t="s">
        <v>2906</v>
      </c>
      <c r="B1222" t="s">
        <v>2907</v>
      </c>
      <c r="C1222">
        <v>8.19</v>
      </c>
      <c r="E1222" t="str">
        <f t="shared" si="24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1035</v>
      </c>
      <c r="Q1222">
        <f>_xlfn.XLOOKUP(A1222,'[1]Classic Net to delete'!D:D,'[1]Classic Net to delete'!AA:AA,0)</f>
        <v>0</v>
      </c>
    </row>
    <row r="1223" spans="1:17" x14ac:dyDescent="0.25">
      <c r="A1223" t="s">
        <v>2908</v>
      </c>
      <c r="B1223" t="s">
        <v>2909</v>
      </c>
      <c r="C1223">
        <v>8.19</v>
      </c>
      <c r="E1223" t="str">
        <f t="shared" si="24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1034</v>
      </c>
      <c r="Q1223">
        <f>_xlfn.XLOOKUP(A1223,'[1]Classic Net to delete'!D:D,'[1]Classic Net to delete'!AA:AA,0)</f>
        <v>0</v>
      </c>
    </row>
    <row r="1224" spans="1:17" x14ac:dyDescent="0.25">
      <c r="A1224" t="s">
        <v>2910</v>
      </c>
      <c r="B1224" t="s">
        <v>2911</v>
      </c>
      <c r="C1224">
        <v>8.19</v>
      </c>
      <c r="E1224" t="str">
        <f t="shared" ref="E1224:E1287" si="25">CONCATENATE(K1224,". ",O1224)</f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1033</v>
      </c>
      <c r="Q1224">
        <f>_xlfn.XLOOKUP(A1224,'[1]Classic Net to delete'!D:D,'[1]Classic Net to delete'!AA:AA,0)</f>
        <v>0</v>
      </c>
    </row>
    <row r="1225" spans="1:17" x14ac:dyDescent="0.25">
      <c r="A1225" t="s">
        <v>2912</v>
      </c>
      <c r="B1225" t="s">
        <v>2913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1032</v>
      </c>
      <c r="Q1225">
        <f>_xlfn.XLOOKUP(A1225,'[1]Classic Net to delete'!D:D,'[1]Classic Net to delete'!AA:AA,0)</f>
        <v>0</v>
      </c>
    </row>
    <row r="1226" spans="1:17" x14ac:dyDescent="0.25">
      <c r="A1226" t="s">
        <v>2914</v>
      </c>
      <c r="B1226" t="s">
        <v>2915</v>
      </c>
      <c r="C1226">
        <v>8.19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1031</v>
      </c>
      <c r="Q1226">
        <f>_xlfn.XLOOKUP(A1226,'[1]Classic Net to delete'!D:D,'[1]Classic Net to delete'!AA:AA,0)</f>
        <v>0</v>
      </c>
    </row>
    <row r="1227" spans="1:17" x14ac:dyDescent="0.25">
      <c r="A1227" t="s">
        <v>2916</v>
      </c>
      <c r="B1227" t="s">
        <v>2917</v>
      </c>
      <c r="C1227">
        <v>8.19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1030</v>
      </c>
      <c r="Q1227">
        <f>_xlfn.XLOOKUP(A1227,'[1]Classic Net to delete'!D:D,'[1]Classic Net to delete'!AA:AA,0)</f>
        <v>0</v>
      </c>
    </row>
    <row r="1228" spans="1:17" x14ac:dyDescent="0.25">
      <c r="A1228" t="s">
        <v>2918</v>
      </c>
      <c r="B1228" t="s">
        <v>2919</v>
      </c>
      <c r="C1228">
        <v>8.19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1029</v>
      </c>
      <c r="Q1228">
        <f>_xlfn.XLOOKUP(A1228,'[1]Classic Net to delete'!D:D,'[1]Classic Net to delete'!AA:AA,0)</f>
        <v>0</v>
      </c>
    </row>
    <row r="1229" spans="1:17" x14ac:dyDescent="0.25">
      <c r="A1229" t="s">
        <v>2920</v>
      </c>
      <c r="B1229" t="s">
        <v>2921</v>
      </c>
      <c r="C1229">
        <v>51.15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1028</v>
      </c>
      <c r="Q1229">
        <f>_xlfn.XLOOKUP(A1229,'[1]Classic Net to delete'!D:D,'[1]Classic Net to delete'!AA:AA,0)</f>
        <v>0</v>
      </c>
    </row>
    <row r="1230" spans="1:17" x14ac:dyDescent="0.25">
      <c r="A1230" t="s">
        <v>2922</v>
      </c>
      <c r="B1230" t="s">
        <v>2923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1027</v>
      </c>
      <c r="Q1230">
        <f>_xlfn.XLOOKUP(A1230,'[1]Classic Net to delete'!D:D,'[1]Classic Net to delete'!AA:AA,0)</f>
        <v>0</v>
      </c>
    </row>
    <row r="1231" spans="1:17" x14ac:dyDescent="0.25">
      <c r="A1231" t="s">
        <v>2924</v>
      </c>
      <c r="B1231" t="s">
        <v>2925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1026</v>
      </c>
      <c r="Q1231">
        <f>_xlfn.XLOOKUP(A1231,'[1]Classic Net to delete'!D:D,'[1]Classic Net to delete'!AA:AA,0)</f>
        <v>0</v>
      </c>
    </row>
    <row r="1232" spans="1:17" x14ac:dyDescent="0.25">
      <c r="A1232" t="s">
        <v>2926</v>
      </c>
      <c r="B1232" t="s">
        <v>2927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1025</v>
      </c>
      <c r="Q1232">
        <f>_xlfn.XLOOKUP(A1232,'[1]Classic Net to delete'!D:D,'[1]Classic Net to delete'!AA:AA,0)</f>
        <v>0</v>
      </c>
    </row>
    <row r="1233" spans="1:17" x14ac:dyDescent="0.25">
      <c r="A1233" t="s">
        <v>2928</v>
      </c>
      <c r="B1233" t="s">
        <v>2929</v>
      </c>
      <c r="C1233">
        <v>10.75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1024</v>
      </c>
      <c r="Q1233">
        <f>_xlfn.XLOOKUP(A1233,'[1]Classic Net to delete'!D:D,'[1]Classic Net to delete'!AA:AA,0)</f>
        <v>0</v>
      </c>
    </row>
    <row r="1234" spans="1:17" x14ac:dyDescent="0.25">
      <c r="A1234" t="s">
        <v>2930</v>
      </c>
      <c r="B1234" t="s">
        <v>2931</v>
      </c>
      <c r="C1234">
        <v>10.75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1023</v>
      </c>
      <c r="Q1234">
        <f>_xlfn.XLOOKUP(A1234,'[1]Classic Net to delete'!D:D,'[1]Classic Net to delete'!AA:AA,0)</f>
        <v>0</v>
      </c>
    </row>
    <row r="1235" spans="1:17" x14ac:dyDescent="0.25">
      <c r="A1235" t="s">
        <v>2932</v>
      </c>
      <c r="B1235" t="s">
        <v>2933</v>
      </c>
      <c r="C1235">
        <v>10.75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1022</v>
      </c>
      <c r="Q1235">
        <f>_xlfn.XLOOKUP(A1235,'[1]Classic Net to delete'!D:D,'[1]Classic Net to delete'!AA:AA,0)</f>
        <v>0</v>
      </c>
    </row>
    <row r="1236" spans="1:17" x14ac:dyDescent="0.25">
      <c r="A1236" t="s">
        <v>2934</v>
      </c>
      <c r="B1236" t="s">
        <v>2935</v>
      </c>
      <c r="C1236">
        <v>52.38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1021</v>
      </c>
      <c r="Q1236">
        <f>_xlfn.XLOOKUP(A1236,'[1]Classic Net to delete'!D:D,'[1]Classic Net to delete'!AA:AA,0)</f>
        <v>0</v>
      </c>
    </row>
    <row r="1237" spans="1:17" x14ac:dyDescent="0.25">
      <c r="A1237" t="s">
        <v>2936</v>
      </c>
      <c r="B1237" t="s">
        <v>2937</v>
      </c>
      <c r="C1237">
        <v>59.33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1019</v>
      </c>
      <c r="Q1237">
        <f>_xlfn.XLOOKUP(A1237,'[1]Classic Net to delete'!D:D,'[1]Classic Net to delete'!AA:AA,0)</f>
        <v>0</v>
      </c>
    </row>
    <row r="1238" spans="1:17" x14ac:dyDescent="0.25">
      <c r="A1238" t="s">
        <v>2936</v>
      </c>
      <c r="B1238" t="s">
        <v>2937</v>
      </c>
      <c r="C1238">
        <v>59.33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1020</v>
      </c>
      <c r="Q1238">
        <f>_xlfn.XLOOKUP(A1238,'[1]Classic Net to delete'!D:D,'[1]Classic Net to delete'!AA:AA,0)</f>
        <v>0</v>
      </c>
    </row>
    <row r="1239" spans="1:17" x14ac:dyDescent="0.25">
      <c r="A1239" t="s">
        <v>2938</v>
      </c>
      <c r="B1239" t="s">
        <v>2939</v>
      </c>
      <c r="C1239">
        <v>12.950000000000001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1018</v>
      </c>
      <c r="Q1239">
        <f>_xlfn.XLOOKUP(A1239,'[1]Classic Net to delete'!D:D,'[1]Classic Net to delete'!AA:AA,0)</f>
        <v>0</v>
      </c>
    </row>
    <row r="1240" spans="1:17" x14ac:dyDescent="0.25">
      <c r="A1240" t="s">
        <v>2940</v>
      </c>
      <c r="B1240" t="s">
        <v>2941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1017</v>
      </c>
      <c r="Q1240">
        <f>_xlfn.XLOOKUP(A1240,'[1]Classic Net to delete'!D:D,'[1]Classic Net to delete'!AA:AA,0)</f>
        <v>0</v>
      </c>
    </row>
    <row r="1241" spans="1:17" x14ac:dyDescent="0.25">
      <c r="A1241" t="s">
        <v>2942</v>
      </c>
      <c r="B1241" t="s">
        <v>2943</v>
      </c>
      <c r="C1241">
        <v>0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1016</v>
      </c>
      <c r="Q1241">
        <f>_xlfn.XLOOKUP(A1241,'[1]Classic Net to delete'!D:D,'[1]Classic Net to delete'!AA:AA,0)</f>
        <v>0</v>
      </c>
    </row>
    <row r="1242" spans="1:17" x14ac:dyDescent="0.25">
      <c r="A1242" t="s">
        <v>2944</v>
      </c>
      <c r="B1242" t="s">
        <v>2945</v>
      </c>
      <c r="C1242">
        <v>10.75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1015</v>
      </c>
      <c r="Q1242">
        <f>_xlfn.XLOOKUP(A1242,'[1]Classic Net to delete'!D:D,'[1]Classic Net to delete'!AA:AA,0)</f>
        <v>0</v>
      </c>
    </row>
    <row r="1243" spans="1:17" x14ac:dyDescent="0.25">
      <c r="A1243" t="s">
        <v>2946</v>
      </c>
      <c r="B1243" t="s">
        <v>2947</v>
      </c>
      <c r="C1243">
        <v>0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1014</v>
      </c>
      <c r="Q1243">
        <f>_xlfn.XLOOKUP(A1243,'[1]Classic Net to delete'!D:D,'[1]Classic Net to delete'!AA:AA,0)</f>
        <v>0</v>
      </c>
    </row>
    <row r="1244" spans="1:17" x14ac:dyDescent="0.25">
      <c r="A1244" t="s">
        <v>2948</v>
      </c>
      <c r="B1244" t="s">
        <v>2949</v>
      </c>
      <c r="C1244">
        <v>14.23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1013</v>
      </c>
      <c r="Q1244">
        <f>_xlfn.XLOOKUP(A1244,'[1]Classic Net to delete'!D:D,'[1]Classic Net to delete'!AA:AA,0)</f>
        <v>0</v>
      </c>
    </row>
    <row r="1245" spans="1:17" x14ac:dyDescent="0.25">
      <c r="A1245" t="s">
        <v>2950</v>
      </c>
      <c r="B1245" t="s">
        <v>2951</v>
      </c>
      <c r="C1245">
        <v>20.170000000000002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1012</v>
      </c>
      <c r="Q1245">
        <f>_xlfn.XLOOKUP(A1245,'[1]Classic Net to delete'!D:D,'[1]Classic Net to delete'!AA:AA,0)</f>
        <v>0</v>
      </c>
    </row>
    <row r="1246" spans="1:17" x14ac:dyDescent="0.25">
      <c r="A1246" t="s">
        <v>2952</v>
      </c>
      <c r="B1246" t="s">
        <v>2953</v>
      </c>
      <c r="C1246">
        <v>8.2900000000000009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1011</v>
      </c>
      <c r="Q1246">
        <f>_xlfn.XLOOKUP(A1246,'[1]Classic Net to delete'!D:D,'[1]Classic Net to delete'!AA:AA,0)</f>
        <v>0</v>
      </c>
    </row>
    <row r="1247" spans="1:17" x14ac:dyDescent="0.25">
      <c r="A1247" t="s">
        <v>2954</v>
      </c>
      <c r="B1247" t="s">
        <v>2955</v>
      </c>
      <c r="C1247">
        <v>5.51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1010</v>
      </c>
      <c r="Q1247">
        <f>_xlfn.XLOOKUP(A1247,'[1]Classic Net to delete'!D:D,'[1]Classic Net to delete'!AA:AA,0)</f>
        <v>0</v>
      </c>
    </row>
    <row r="1248" spans="1:17" x14ac:dyDescent="0.25">
      <c r="A1248" t="s">
        <v>2956</v>
      </c>
      <c r="B1248" t="s">
        <v>2957</v>
      </c>
      <c r="C1248">
        <v>15.14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1009</v>
      </c>
      <c r="Q1248">
        <f>_xlfn.XLOOKUP(A1248,'[1]Classic Net to delete'!D:D,'[1]Classic Net to delete'!AA:AA,0)</f>
        <v>0</v>
      </c>
    </row>
    <row r="1249" spans="1:17" x14ac:dyDescent="0.25">
      <c r="A1249" t="s">
        <v>2958</v>
      </c>
      <c r="B1249" t="s">
        <v>2959</v>
      </c>
      <c r="C1249">
        <v>5.94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1008</v>
      </c>
      <c r="Q1249">
        <f>_xlfn.XLOOKUP(A1249,'[1]Classic Net to delete'!D:D,'[1]Classic Net to delete'!AA:AA,0)</f>
        <v>0</v>
      </c>
    </row>
    <row r="1250" spans="1:17" x14ac:dyDescent="0.25">
      <c r="A1250" t="s">
        <v>2960</v>
      </c>
      <c r="B1250" t="s">
        <v>2961</v>
      </c>
      <c r="C1250">
        <v>19.96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1007</v>
      </c>
      <c r="Q1250">
        <f>_xlfn.XLOOKUP(A1250,'[1]Classic Net to delete'!D:D,'[1]Classic Net to delete'!AA:AA,0)</f>
        <v>0</v>
      </c>
    </row>
    <row r="1251" spans="1:17" x14ac:dyDescent="0.25">
      <c r="A1251" t="s">
        <v>2962</v>
      </c>
      <c r="B1251" t="s">
        <v>2963</v>
      </c>
      <c r="C1251">
        <v>0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1006</v>
      </c>
      <c r="Q1251">
        <f>_xlfn.XLOOKUP(A1251,'[1]Classic Net to delete'!D:D,'[1]Classic Net to delete'!AA:AA,0)</f>
        <v>0</v>
      </c>
    </row>
    <row r="1252" spans="1:17" x14ac:dyDescent="0.25">
      <c r="A1252" t="s">
        <v>2964</v>
      </c>
      <c r="B1252" t="s">
        <v>2965</v>
      </c>
      <c r="C1252">
        <v>21.19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1005</v>
      </c>
      <c r="Q1252">
        <f>_xlfn.XLOOKUP(A1252,'[1]Classic Net to delete'!D:D,'[1]Classic Net to delete'!AA:AA,0)</f>
        <v>0</v>
      </c>
    </row>
    <row r="1253" spans="1:17" x14ac:dyDescent="0.25">
      <c r="A1253" t="s">
        <v>2966</v>
      </c>
      <c r="B1253" t="s">
        <v>2967</v>
      </c>
      <c r="C1253">
        <v>11.34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1004</v>
      </c>
      <c r="Q1253">
        <f>_xlfn.XLOOKUP(A1253,'[1]Classic Net to delete'!D:D,'[1]Classic Net to delete'!AA:AA,0)</f>
        <v>0</v>
      </c>
    </row>
    <row r="1254" spans="1:17" x14ac:dyDescent="0.25">
      <c r="A1254" t="s">
        <v>2968</v>
      </c>
      <c r="B1254" t="s">
        <v>2969</v>
      </c>
      <c r="C1254">
        <v>27.12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1003</v>
      </c>
      <c r="Q1254">
        <f>_xlfn.XLOOKUP(A1254,'[1]Classic Net to delete'!D:D,'[1]Classic Net to delete'!AA:AA,0)</f>
        <v>0</v>
      </c>
    </row>
    <row r="1255" spans="1:17" x14ac:dyDescent="0.25">
      <c r="A1255" t="s">
        <v>2970</v>
      </c>
      <c r="B1255" t="s">
        <v>2971</v>
      </c>
      <c r="C1255">
        <v>17.07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1002</v>
      </c>
      <c r="Q1255">
        <f>_xlfn.XLOOKUP(A1255,'[1]Classic Net to delete'!D:D,'[1]Classic Net to delete'!AA:AA,0)</f>
        <v>0</v>
      </c>
    </row>
    <row r="1256" spans="1:17" x14ac:dyDescent="0.25">
      <c r="A1256" t="s">
        <v>2972</v>
      </c>
      <c r="B1256" t="s">
        <v>2973</v>
      </c>
      <c r="C1256">
        <v>17.07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1001</v>
      </c>
      <c r="Q1256">
        <f>_xlfn.XLOOKUP(A1256,'[1]Classic Net to delete'!D:D,'[1]Classic Net to delete'!AA:AA,0)</f>
        <v>0</v>
      </c>
    </row>
    <row r="1257" spans="1:17" x14ac:dyDescent="0.25">
      <c r="A1257" t="s">
        <v>2974</v>
      </c>
      <c r="B1257" t="s">
        <v>2975</v>
      </c>
      <c r="C1257">
        <v>17.07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1000</v>
      </c>
      <c r="Q1257">
        <f>_xlfn.XLOOKUP(A1257,'[1]Classic Net to delete'!D:D,'[1]Classic Net to delete'!AA:AA,0)</f>
        <v>0</v>
      </c>
    </row>
    <row r="1258" spans="1:17" x14ac:dyDescent="0.25">
      <c r="A1258" t="s">
        <v>2976</v>
      </c>
      <c r="B1258" t="s">
        <v>2977</v>
      </c>
      <c r="C1258">
        <v>0.96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999</v>
      </c>
      <c r="Q1258">
        <f>_xlfn.XLOOKUP(A1258,'[1]Classic Net to delete'!D:D,'[1]Classic Net to delete'!AA:AA,0)</f>
        <v>0</v>
      </c>
    </row>
    <row r="1259" spans="1:17" x14ac:dyDescent="0.25">
      <c r="A1259" t="s">
        <v>2978</v>
      </c>
      <c r="B1259" t="s">
        <v>2979</v>
      </c>
      <c r="C1259">
        <v>0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998</v>
      </c>
      <c r="Q1259">
        <f>_xlfn.XLOOKUP(A1259,'[1]Classic Net to delete'!D:D,'[1]Classic Net to delete'!AA:AA,0)</f>
        <v>0</v>
      </c>
    </row>
    <row r="1260" spans="1:17" x14ac:dyDescent="0.25">
      <c r="A1260" t="s">
        <v>2980</v>
      </c>
      <c r="B1260" t="s">
        <v>2981</v>
      </c>
      <c r="C1260">
        <v>3.8000000000000003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997</v>
      </c>
      <c r="Q1260">
        <f>_xlfn.XLOOKUP(A1260,'[1]Classic Net to delete'!D:D,'[1]Classic Net to delete'!AA:AA,0)</f>
        <v>0</v>
      </c>
    </row>
    <row r="1261" spans="1:17" x14ac:dyDescent="0.25">
      <c r="A1261" t="s">
        <v>2982</v>
      </c>
      <c r="B1261" t="s">
        <v>2983</v>
      </c>
      <c r="C1261">
        <v>14.23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996</v>
      </c>
      <c r="Q1261">
        <f>_xlfn.XLOOKUP(A1261,'[1]Classic Net to delete'!D:D,'[1]Classic Net to delete'!AA:AA,0)</f>
        <v>0</v>
      </c>
    </row>
    <row r="1262" spans="1:17" x14ac:dyDescent="0.25">
      <c r="A1262" t="s">
        <v>2984</v>
      </c>
      <c r="B1262" t="s">
        <v>2985</v>
      </c>
      <c r="C1262">
        <v>63.77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995</v>
      </c>
      <c r="Q1262">
        <f>_xlfn.XLOOKUP(A1262,'[1]Classic Net to delete'!D:D,'[1]Classic Net to delete'!AA:AA,0)</f>
        <v>0</v>
      </c>
    </row>
    <row r="1263" spans="1:17" x14ac:dyDescent="0.25">
      <c r="A1263" t="s">
        <v>2986</v>
      </c>
      <c r="B1263" t="s">
        <v>2987</v>
      </c>
      <c r="C1263">
        <v>0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994</v>
      </c>
      <c r="Q1263">
        <f>_xlfn.XLOOKUP(A1263,'[1]Classic Net to delete'!D:D,'[1]Classic Net to delete'!AA:AA,0)</f>
        <v>0</v>
      </c>
    </row>
    <row r="1264" spans="1:17" x14ac:dyDescent="0.25">
      <c r="A1264" t="s">
        <v>2988</v>
      </c>
      <c r="B1264" t="s">
        <v>2989</v>
      </c>
      <c r="C1264">
        <v>8.19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993</v>
      </c>
      <c r="Q1264">
        <f>_xlfn.XLOOKUP(A1264,'[1]Classic Net to delete'!D:D,'[1]Classic Net to delete'!AA:AA,0)</f>
        <v>0</v>
      </c>
    </row>
    <row r="1265" spans="1:17" x14ac:dyDescent="0.25">
      <c r="A1265" t="s">
        <v>2990</v>
      </c>
      <c r="B1265" t="s">
        <v>2991</v>
      </c>
      <c r="C1265">
        <v>17.330000000000002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992</v>
      </c>
      <c r="Q1265">
        <f>_xlfn.XLOOKUP(A1265,'[1]Classic Net to delete'!D:D,'[1]Classic Net to delete'!AA:AA,0)</f>
        <v>0</v>
      </c>
    </row>
    <row r="1266" spans="1:17" x14ac:dyDescent="0.25">
      <c r="A1266" t="s">
        <v>2992</v>
      </c>
      <c r="B1266" t="s">
        <v>2993</v>
      </c>
      <c r="C1266">
        <v>13.540000000000001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991</v>
      </c>
      <c r="Q1266">
        <f>_xlfn.XLOOKUP(A1266,'[1]Classic Net to delete'!D:D,'[1]Classic Net to delete'!AA:AA,0)</f>
        <v>0</v>
      </c>
    </row>
    <row r="1267" spans="1:17" x14ac:dyDescent="0.25">
      <c r="A1267" t="s">
        <v>2994</v>
      </c>
      <c r="B1267" t="s">
        <v>2995</v>
      </c>
      <c r="C1267">
        <v>28.36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990</v>
      </c>
      <c r="Q1267">
        <f>_xlfn.XLOOKUP(A1267,'[1]Classic Net to delete'!D:D,'[1]Classic Net to delete'!AA:AA,0)</f>
        <v>0</v>
      </c>
    </row>
    <row r="1268" spans="1:17" x14ac:dyDescent="0.25">
      <c r="A1268" t="s">
        <v>2996</v>
      </c>
      <c r="B1268" t="s">
        <v>2997</v>
      </c>
      <c r="C1268">
        <v>36.92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988</v>
      </c>
      <c r="Q1268">
        <f>_xlfn.XLOOKUP(A1268,'[1]Classic Net to delete'!D:D,'[1]Classic Net to delete'!AA:AA,0)</f>
        <v>0</v>
      </c>
    </row>
    <row r="1269" spans="1:17" x14ac:dyDescent="0.25">
      <c r="A1269" t="s">
        <v>2996</v>
      </c>
      <c r="B1269" t="s">
        <v>2997</v>
      </c>
      <c r="C1269">
        <v>36.92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989</v>
      </c>
      <c r="Q1269">
        <f>_xlfn.XLOOKUP(A1269,'[1]Classic Net to delete'!D:D,'[1]Classic Net to delete'!AA:AA,0)</f>
        <v>0</v>
      </c>
    </row>
    <row r="1270" spans="1:17" x14ac:dyDescent="0.25">
      <c r="A1270" t="s">
        <v>2998</v>
      </c>
      <c r="B1270" t="s">
        <v>2999</v>
      </c>
      <c r="C1270">
        <v>7.92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987</v>
      </c>
      <c r="Q1270">
        <f>_xlfn.XLOOKUP(A1270,'[1]Classic Net to delete'!D:D,'[1]Classic Net to delete'!AA:AA,0)</f>
        <v>0</v>
      </c>
    </row>
    <row r="1271" spans="1:17" x14ac:dyDescent="0.25">
      <c r="A1271" t="s">
        <v>3000</v>
      </c>
      <c r="B1271" t="s">
        <v>3001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986</v>
      </c>
      <c r="Q1271">
        <f>_xlfn.XLOOKUP(A1271,'[1]Classic Net to delete'!D:D,'[1]Classic Net to delete'!AA:AA,0)</f>
        <v>0</v>
      </c>
    </row>
    <row r="1272" spans="1:17" x14ac:dyDescent="0.25">
      <c r="A1272" t="s">
        <v>3002</v>
      </c>
      <c r="B1272" t="s">
        <v>3003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985</v>
      </c>
      <c r="Q1272">
        <f>_xlfn.XLOOKUP(A1272,'[1]Classic Net to delete'!D:D,'[1]Classic Net to delete'!AA:AA,0)</f>
        <v>0</v>
      </c>
    </row>
    <row r="1273" spans="1:17" x14ac:dyDescent="0.25">
      <c r="A1273" t="s">
        <v>3004</v>
      </c>
      <c r="B1273" t="s">
        <v>3005</v>
      </c>
      <c r="C1273">
        <v>15.46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984</v>
      </c>
      <c r="Q1273">
        <f>_xlfn.XLOOKUP(A1273,'[1]Classic Net to delete'!D:D,'[1]Classic Net to delete'!AA:AA,0)</f>
        <v>0</v>
      </c>
    </row>
    <row r="1274" spans="1:17" x14ac:dyDescent="0.25">
      <c r="A1274" t="s">
        <v>3006</v>
      </c>
      <c r="B1274" t="s">
        <v>3007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983</v>
      </c>
      <c r="Q1274">
        <f>_xlfn.XLOOKUP(A1274,'[1]Classic Net to delete'!D:D,'[1]Classic Net to delete'!AA:AA,0)</f>
        <v>0</v>
      </c>
    </row>
    <row r="1275" spans="1:17" x14ac:dyDescent="0.25">
      <c r="A1275" t="s">
        <v>3008</v>
      </c>
      <c r="B1275" t="s">
        <v>3009</v>
      </c>
      <c r="C1275">
        <v>7.92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982</v>
      </c>
      <c r="Q1275">
        <f>_xlfn.XLOOKUP(A1275,'[1]Classic Net to delete'!D:D,'[1]Classic Net to delete'!AA:AA,0)</f>
        <v>0</v>
      </c>
    </row>
    <row r="1276" spans="1:17" x14ac:dyDescent="0.25">
      <c r="A1276" t="s">
        <v>3010</v>
      </c>
      <c r="B1276" t="s">
        <v>3011</v>
      </c>
      <c r="C1276">
        <v>7.92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981</v>
      </c>
      <c r="Q1276">
        <f>_xlfn.XLOOKUP(A1276,'[1]Classic Net to delete'!D:D,'[1]Classic Net to delete'!AA:AA,0)</f>
        <v>0</v>
      </c>
    </row>
    <row r="1277" spans="1:17" x14ac:dyDescent="0.25">
      <c r="A1277" t="s">
        <v>3012</v>
      </c>
      <c r="B1277" t="s">
        <v>3013</v>
      </c>
      <c r="C1277">
        <v>7.92</v>
      </c>
      <c r="E1277" t="str">
        <f t="shared" si="25"/>
        <v xml:space="preserve">. 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P1277">
        <v>980</v>
      </c>
      <c r="Q1277">
        <f>_xlfn.XLOOKUP(A1277,'[1]Classic Net to delete'!D:D,'[1]Classic Net to delete'!AA:AA,0)</f>
        <v>0</v>
      </c>
    </row>
    <row r="1278" spans="1:17" x14ac:dyDescent="0.25">
      <c r="A1278" t="s">
        <v>3014</v>
      </c>
      <c r="B1278" t="s">
        <v>3015</v>
      </c>
      <c r="C1278">
        <v>15.46</v>
      </c>
      <c r="E1278" t="str">
        <f t="shared" si="25"/>
        <v xml:space="preserve">. 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P1278">
        <v>979</v>
      </c>
      <c r="Q1278">
        <f>_xlfn.XLOOKUP(A1278,'[1]Classic Net to delete'!D:D,'[1]Classic Net to delete'!AA:AA,0)</f>
        <v>0</v>
      </c>
    </row>
    <row r="1279" spans="1:17" x14ac:dyDescent="0.25">
      <c r="A1279" t="s">
        <v>3016</v>
      </c>
      <c r="B1279" t="s">
        <v>3017</v>
      </c>
      <c r="C1279">
        <v>15.46</v>
      </c>
      <c r="E1279" t="str">
        <f t="shared" si="25"/>
        <v xml:space="preserve">. 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P1279">
        <v>978</v>
      </c>
      <c r="Q1279">
        <f>_xlfn.XLOOKUP(A1279,'[1]Classic Net to delete'!D:D,'[1]Classic Net to delete'!AA:AA,0)</f>
        <v>0</v>
      </c>
    </row>
    <row r="1280" spans="1:17" x14ac:dyDescent="0.25">
      <c r="A1280" t="s">
        <v>3018</v>
      </c>
      <c r="B1280" t="s">
        <v>3019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942</v>
      </c>
      <c r="P1280">
        <v>1273</v>
      </c>
      <c r="Q1280">
        <f>_xlfn.XLOOKUP(A1280,'[1]Classic Net to delete'!D:D,'[1]Classic Net to delete'!AA:AA,0)</f>
        <v>0</v>
      </c>
    </row>
    <row r="1281" spans="1:17" x14ac:dyDescent="0.25">
      <c r="A1281" t="s">
        <v>3020</v>
      </c>
      <c r="B1281" t="s">
        <v>3021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942</v>
      </c>
      <c r="P1281">
        <v>1271</v>
      </c>
      <c r="Q1281">
        <f>_xlfn.XLOOKUP(A1281,'[1]Classic Net to delete'!D:D,'[1]Classic Net to delete'!AA:AA,0)</f>
        <v>0</v>
      </c>
    </row>
    <row r="1282" spans="1:17" x14ac:dyDescent="0.25">
      <c r="A1282" t="s">
        <v>3022</v>
      </c>
      <c r="B1282" t="s">
        <v>3023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942</v>
      </c>
      <c r="P1282">
        <v>1275</v>
      </c>
      <c r="Q1282">
        <f>_xlfn.XLOOKUP(A1282,'[1]Classic Net to delete'!D:D,'[1]Classic Net to delete'!AA:AA,0)</f>
        <v>0</v>
      </c>
    </row>
    <row r="1283" spans="1:17" x14ac:dyDescent="0.25">
      <c r="A1283" t="s">
        <v>3024</v>
      </c>
      <c r="B1283" t="s">
        <v>3025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942</v>
      </c>
      <c r="P1283">
        <v>1276</v>
      </c>
      <c r="Q1283">
        <f>_xlfn.XLOOKUP(A1283,'[1]Classic Net to delete'!D:D,'[1]Classic Net to delete'!AA:AA,0)</f>
        <v>0</v>
      </c>
    </row>
    <row r="1284" spans="1:17" x14ac:dyDescent="0.25">
      <c r="A1284" t="s">
        <v>3024</v>
      </c>
      <c r="B1284" t="s">
        <v>3026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942</v>
      </c>
      <c r="P1284">
        <v>1277</v>
      </c>
      <c r="Q1284">
        <f>_xlfn.XLOOKUP(A1284,'[1]Classic Net to delete'!D:D,'[1]Classic Net to delete'!AA:AA,0)</f>
        <v>0</v>
      </c>
    </row>
    <row r="1285" spans="1:17" x14ac:dyDescent="0.25">
      <c r="A1285" t="s">
        <v>3024</v>
      </c>
      <c r="B1285" t="s">
        <v>3027</v>
      </c>
      <c r="C1285">
        <v>0</v>
      </c>
      <c r="E1285" t="str">
        <f t="shared" si="25"/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942</v>
      </c>
      <c r="P1285">
        <v>1278</v>
      </c>
      <c r="Q1285">
        <f>_xlfn.XLOOKUP(A1285,'[1]Classic Net to delete'!D:D,'[1]Classic Net to delete'!AA:AA,0)</f>
        <v>0</v>
      </c>
    </row>
    <row r="1286" spans="1:17" x14ac:dyDescent="0.25">
      <c r="A1286" t="s">
        <v>3024</v>
      </c>
      <c r="B1286" t="s">
        <v>3028</v>
      </c>
      <c r="C1286">
        <v>0</v>
      </c>
      <c r="E1286" t="str">
        <f t="shared" si="25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942</v>
      </c>
      <c r="P1286">
        <v>1279</v>
      </c>
      <c r="Q1286">
        <f>_xlfn.XLOOKUP(A1286,'[1]Classic Net to delete'!D:D,'[1]Classic Net to delete'!AA:AA,0)</f>
        <v>0</v>
      </c>
    </row>
    <row r="1287" spans="1:17" x14ac:dyDescent="0.25">
      <c r="A1287" t="s">
        <v>3024</v>
      </c>
      <c r="B1287" t="s">
        <v>3029</v>
      </c>
      <c r="C1287">
        <v>0</v>
      </c>
      <c r="E1287" t="str">
        <f t="shared" si="25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942</v>
      </c>
      <c r="P1287">
        <v>1280</v>
      </c>
      <c r="Q1287">
        <f>_xlfn.XLOOKUP(A1287,'[1]Classic Net to delete'!D:D,'[1]Classic Net to delete'!AA:AA,0)</f>
        <v>0</v>
      </c>
    </row>
    <row r="1288" spans="1:17" x14ac:dyDescent="0.25">
      <c r="A1288" t="s">
        <v>3024</v>
      </c>
      <c r="B1288" t="s">
        <v>3030</v>
      </c>
      <c r="C1288">
        <v>0</v>
      </c>
      <c r="E1288" t="str">
        <f t="shared" ref="E1288:E1310" si="26">CONCATENATE(K1288,". ",O1288)</f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942</v>
      </c>
      <c r="P1288">
        <v>1281</v>
      </c>
      <c r="Q1288">
        <f>_xlfn.XLOOKUP(A1288,'[1]Classic Net to delete'!D:D,'[1]Classic Net to delete'!AA:AA,0)</f>
        <v>0</v>
      </c>
    </row>
    <row r="1289" spans="1:17" x14ac:dyDescent="0.25">
      <c r="A1289" t="s">
        <v>3024</v>
      </c>
      <c r="B1289" t="s">
        <v>3031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942</v>
      </c>
      <c r="P1289">
        <v>1282</v>
      </c>
      <c r="Q1289">
        <f>_xlfn.XLOOKUP(A1289,'[1]Classic Net to delete'!D:D,'[1]Classic Net to delete'!AA:AA,0)</f>
        <v>0</v>
      </c>
    </row>
    <row r="1290" spans="1:17" x14ac:dyDescent="0.25">
      <c r="A1290" t="s">
        <v>3024</v>
      </c>
      <c r="B1290" t="s">
        <v>3032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942</v>
      </c>
      <c r="P1290">
        <v>1283</v>
      </c>
      <c r="Q1290">
        <f>_xlfn.XLOOKUP(A1290,'[1]Classic Net to delete'!D:D,'[1]Classic Net to delete'!AA:AA,0)</f>
        <v>0</v>
      </c>
    </row>
    <row r="1291" spans="1:17" x14ac:dyDescent="0.25">
      <c r="A1291" t="s">
        <v>3024</v>
      </c>
      <c r="B1291" t="s">
        <v>3033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942</v>
      </c>
      <c r="P1291">
        <v>1284</v>
      </c>
      <c r="Q1291">
        <f>_xlfn.XLOOKUP(A1291,'[1]Classic Net to delete'!D:D,'[1]Classic Net to delete'!AA:AA,0)</f>
        <v>0</v>
      </c>
    </row>
    <row r="1292" spans="1:17" x14ac:dyDescent="0.25">
      <c r="A1292" t="s">
        <v>3024</v>
      </c>
      <c r="B1292" t="s">
        <v>3034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942</v>
      </c>
      <c r="P1292">
        <v>1285</v>
      </c>
      <c r="Q1292">
        <f>_xlfn.XLOOKUP(A1292,'[1]Classic Net to delete'!D:D,'[1]Classic Net to delete'!AA:AA,0)</f>
        <v>0</v>
      </c>
    </row>
    <row r="1293" spans="1:17" x14ac:dyDescent="0.25">
      <c r="A1293" t="s">
        <v>3024</v>
      </c>
      <c r="B1293" t="s">
        <v>3035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942</v>
      </c>
      <c r="P1293">
        <v>1286</v>
      </c>
      <c r="Q1293">
        <f>_xlfn.XLOOKUP(A1293,'[1]Classic Net to delete'!D:D,'[1]Classic Net to delete'!AA:AA,0)</f>
        <v>0</v>
      </c>
    </row>
    <row r="1294" spans="1:17" x14ac:dyDescent="0.25">
      <c r="A1294" t="s">
        <v>3024</v>
      </c>
      <c r="B1294" t="s">
        <v>3036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942</v>
      </c>
      <c r="P1294">
        <v>1287</v>
      </c>
      <c r="Q1294">
        <f>_xlfn.XLOOKUP(A1294,'[1]Classic Net to delete'!D:D,'[1]Classic Net to delete'!AA:AA,0)</f>
        <v>0</v>
      </c>
    </row>
    <row r="1295" spans="1:17" x14ac:dyDescent="0.25">
      <c r="A1295" t="s">
        <v>3024</v>
      </c>
      <c r="B1295" t="s">
        <v>3037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942</v>
      </c>
      <c r="P1295">
        <v>1288</v>
      </c>
      <c r="Q1295">
        <f>_xlfn.XLOOKUP(A1295,'[1]Classic Net to delete'!D:D,'[1]Classic Net to delete'!AA:AA,0)</f>
        <v>0</v>
      </c>
    </row>
    <row r="1296" spans="1:17" x14ac:dyDescent="0.25">
      <c r="A1296" t="s">
        <v>3024</v>
      </c>
      <c r="B1296" t="s">
        <v>3038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942</v>
      </c>
      <c r="P1296">
        <v>1289</v>
      </c>
      <c r="Q1296">
        <f>_xlfn.XLOOKUP(A1296,'[1]Classic Net to delete'!D:D,'[1]Classic Net to delete'!AA:AA,0)</f>
        <v>0</v>
      </c>
    </row>
    <row r="1297" spans="1:17" x14ac:dyDescent="0.25">
      <c r="A1297" t="s">
        <v>3024</v>
      </c>
      <c r="B1297" t="s">
        <v>3039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942</v>
      </c>
      <c r="P1297">
        <v>1290</v>
      </c>
      <c r="Q1297">
        <f>_xlfn.XLOOKUP(A1297,'[1]Classic Net to delete'!D:D,'[1]Classic Net to delete'!AA:AA,0)</f>
        <v>0</v>
      </c>
    </row>
    <row r="1298" spans="1:17" x14ac:dyDescent="0.25">
      <c r="A1298" t="s">
        <v>3024</v>
      </c>
      <c r="B1298" t="s">
        <v>3040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942</v>
      </c>
      <c r="P1298">
        <v>1291</v>
      </c>
      <c r="Q1298">
        <f>_xlfn.XLOOKUP(A1298,'[1]Classic Net to delete'!D:D,'[1]Classic Net to delete'!AA:AA,0)</f>
        <v>0</v>
      </c>
    </row>
    <row r="1299" spans="1:17" x14ac:dyDescent="0.25">
      <c r="A1299" t="s">
        <v>3024</v>
      </c>
      <c r="B1299" t="s">
        <v>3041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942</v>
      </c>
      <c r="P1299">
        <v>1292</v>
      </c>
      <c r="Q1299">
        <f>_xlfn.XLOOKUP(A1299,'[1]Classic Net to delete'!D:D,'[1]Classic Net to delete'!AA:AA,0)</f>
        <v>0</v>
      </c>
    </row>
    <row r="1300" spans="1:17" x14ac:dyDescent="0.25">
      <c r="A1300" t="s">
        <v>3042</v>
      </c>
      <c r="B1300" t="s">
        <v>3043</v>
      </c>
      <c r="C1300">
        <v>0</v>
      </c>
      <c r="E1300" t="str">
        <f t="shared" si="26"/>
        <v>. Accessories</v>
      </c>
      <c r="F1300">
        <v>75</v>
      </c>
      <c r="H1300" t="b">
        <v>0</v>
      </c>
      <c r="L1300" s="188" t="str">
        <f>IFERROR(_xlfn.XLOOKUP(A1300,[1]Fleet!A:A,[1]Fleet!E:E,""),"")</f>
        <v/>
      </c>
      <c r="M1300" s="188" t="s">
        <v>22</v>
      </c>
      <c r="N1300" s="188" t="s">
        <v>22</v>
      </c>
      <c r="O1300" s="198" t="s">
        <v>942</v>
      </c>
      <c r="P1300">
        <v>1272</v>
      </c>
      <c r="Q1300">
        <f>_xlfn.XLOOKUP(A1300,'[1]Classic Net to delete'!D:D,'[1]Classic Net to delete'!AA:AA,0)</f>
        <v>0</v>
      </c>
    </row>
    <row r="1301" spans="1:17" x14ac:dyDescent="0.25">
      <c r="A1301" t="s">
        <v>3044</v>
      </c>
      <c r="B1301" t="s">
        <v>3045</v>
      </c>
      <c r="C1301">
        <v>0</v>
      </c>
      <c r="E1301" t="str">
        <f t="shared" si="26"/>
        <v>. Accessories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942</v>
      </c>
      <c r="P1301">
        <v>1274</v>
      </c>
      <c r="Q1301">
        <f>_xlfn.XLOOKUP(A1301,'[1]Classic Net to delete'!D:D,'[1]Classic Net to delete'!AA:AA,0)</f>
        <v>0</v>
      </c>
    </row>
    <row r="1302" spans="1:17" x14ac:dyDescent="0.25">
      <c r="A1302" t="s">
        <v>3044</v>
      </c>
      <c r="B1302" t="s">
        <v>3046</v>
      </c>
      <c r="C1302">
        <v>0</v>
      </c>
      <c r="E1302" t="str">
        <f t="shared" si="26"/>
        <v>. Accessories</v>
      </c>
      <c r="F1302">
        <v>75</v>
      </c>
      <c r="H1302" t="b">
        <v>0</v>
      </c>
      <c r="L1302" s="188" t="str">
        <f>IFERROR(_xlfn.XLOOKUP(A1302,[1]Fleet!A:A,[1]Fleet!E:E,""),"")</f>
        <v/>
      </c>
      <c r="M1302" s="188" t="s">
        <v>22</v>
      </c>
      <c r="N1302" s="188" t="s">
        <v>22</v>
      </c>
      <c r="O1302" s="198" t="s">
        <v>942</v>
      </c>
      <c r="P1302">
        <v>1293</v>
      </c>
      <c r="Q1302">
        <f>_xlfn.XLOOKUP(A1302,'[1]Classic Net to delete'!D:D,'[1]Classic Net to delete'!AA:AA,0)</f>
        <v>0</v>
      </c>
    </row>
    <row r="1303" spans="1:17" x14ac:dyDescent="0.25">
      <c r="A1303" t="s">
        <v>3047</v>
      </c>
      <c r="B1303" t="s">
        <v>3048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1414</v>
      </c>
      <c r="P1303">
        <v>1297</v>
      </c>
      <c r="Q1303">
        <f>_xlfn.XLOOKUP(A1303,'[1]Classic Net to delete'!D:D,'[1]Classic Net to delete'!AA:AA,0)</f>
        <v>0</v>
      </c>
    </row>
    <row r="1304" spans="1:17" x14ac:dyDescent="0.25">
      <c r="A1304" t="s">
        <v>3049</v>
      </c>
      <c r="B1304" t="s">
        <v>3050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 t="str">
        <f>IFERROR(_xlfn.XLOOKUP(A1304,[1]Fleet!A:A,[1]Fleet!E:E,""),"")</f>
        <v/>
      </c>
      <c r="M1304" s="188" t="s">
        <v>22</v>
      </c>
      <c r="N1304" s="188" t="s">
        <v>22</v>
      </c>
      <c r="O1304" s="198" t="s">
        <v>1414</v>
      </c>
      <c r="P1304">
        <v>1301</v>
      </c>
      <c r="Q1304">
        <f>_xlfn.XLOOKUP(A1304,'[1]Classic Net to delete'!D:D,'[1]Classic Net to delete'!AA:AA,0)</f>
        <v>0</v>
      </c>
    </row>
    <row r="1305" spans="1:17" x14ac:dyDescent="0.25">
      <c r="A1305" t="s">
        <v>3051</v>
      </c>
      <c r="B1305" t="s">
        <v>3052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3</v>
      </c>
      <c r="M1305" s="188" t="s">
        <v>22</v>
      </c>
      <c r="N1305" s="188" t="s">
        <v>22</v>
      </c>
      <c r="O1305" s="198" t="s">
        <v>1414</v>
      </c>
      <c r="P1305">
        <v>1299</v>
      </c>
      <c r="Q1305">
        <f>_xlfn.XLOOKUP(A1305,'[1]Classic Net to delete'!D:D,'[1]Classic Net to delete'!AA:AA,0)</f>
        <v>0</v>
      </c>
    </row>
    <row r="1306" spans="1:17" x14ac:dyDescent="0.25">
      <c r="A1306" t="s">
        <v>3053</v>
      </c>
      <c r="B1306" t="s">
        <v>3054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1414</v>
      </c>
      <c r="P1306">
        <v>1295</v>
      </c>
      <c r="Q1306">
        <f>_xlfn.XLOOKUP(A1306,'[1]Classic Net to delete'!D:D,'[1]Classic Net to delete'!AA:AA,0)</f>
        <v>0</v>
      </c>
    </row>
    <row r="1307" spans="1:17" x14ac:dyDescent="0.25">
      <c r="A1307" t="s">
        <v>3055</v>
      </c>
      <c r="B1307" t="s">
        <v>3056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3</v>
      </c>
      <c r="M1307" s="188" t="s">
        <v>22</v>
      </c>
      <c r="N1307" s="188" t="s">
        <v>22</v>
      </c>
      <c r="O1307" s="198" t="s">
        <v>1414</v>
      </c>
      <c r="P1307">
        <v>1294</v>
      </c>
      <c r="Q1307">
        <f>_xlfn.XLOOKUP(A1307,'[1]Classic Net to delete'!D:D,'[1]Classic Net to delete'!AA:AA,0)</f>
        <v>0</v>
      </c>
    </row>
    <row r="1308" spans="1:17" x14ac:dyDescent="0.25">
      <c r="A1308" t="s">
        <v>3057</v>
      </c>
      <c r="B1308" t="s">
        <v>3058</v>
      </c>
      <c r="C1308">
        <v>0</v>
      </c>
      <c r="E1308" t="str">
        <f t="shared" si="26"/>
        <v>. TBC</v>
      </c>
      <c r="F1308">
        <v>75</v>
      </c>
      <c r="H1308" t="b">
        <v>0</v>
      </c>
      <c r="L1308" s="188">
        <f>IFERROR(_xlfn.XLOOKUP(A1308,[1]Fleet!A:A,[1]Fleet!E:E,""),"")</f>
        <v>2</v>
      </c>
      <c r="M1308" s="188" t="s">
        <v>22</v>
      </c>
      <c r="N1308" s="188" t="s">
        <v>22</v>
      </c>
      <c r="O1308" s="198" t="s">
        <v>1414</v>
      </c>
      <c r="P1308">
        <v>1298</v>
      </c>
      <c r="Q1308">
        <f>_xlfn.XLOOKUP(A1308,'[1]Classic Net to delete'!D:D,'[1]Classic Net to delete'!AA:AA,0)</f>
        <v>0</v>
      </c>
    </row>
    <row r="1309" spans="1:17" x14ac:dyDescent="0.25">
      <c r="A1309" t="s">
        <v>3059</v>
      </c>
      <c r="B1309" t="s">
        <v>3060</v>
      </c>
      <c r="C1309">
        <v>0</v>
      </c>
      <c r="E1309" t="str">
        <f t="shared" si="26"/>
        <v>. TBC</v>
      </c>
      <c r="F1309">
        <v>75</v>
      </c>
      <c r="H1309" t="b">
        <v>0</v>
      </c>
      <c r="L1309" s="188">
        <f>IFERROR(_xlfn.XLOOKUP(A1309,[1]Fleet!A:A,[1]Fleet!E:E,""),"")</f>
        <v>2</v>
      </c>
      <c r="M1309" s="188" t="s">
        <v>22</v>
      </c>
      <c r="N1309" s="188" t="s">
        <v>22</v>
      </c>
      <c r="O1309" s="198" t="s">
        <v>1414</v>
      </c>
      <c r="P1309">
        <v>1296</v>
      </c>
      <c r="Q1309">
        <f>_xlfn.XLOOKUP(A1309,'[1]Classic Net to delete'!D:D,'[1]Classic Net to delete'!AA:AA,0)</f>
        <v>0</v>
      </c>
    </row>
    <row r="1310" spans="1:17" x14ac:dyDescent="0.25">
      <c r="A1310" t="s">
        <v>3061</v>
      </c>
      <c r="B1310" t="s">
        <v>3050</v>
      </c>
      <c r="C1310">
        <v>0</v>
      </c>
      <c r="E1310" t="str">
        <f t="shared" si="26"/>
        <v>. TBC</v>
      </c>
      <c r="F1310">
        <v>75</v>
      </c>
      <c r="H1310" t="b">
        <v>0</v>
      </c>
      <c r="L1310" s="188">
        <f>IFERROR(_xlfn.XLOOKUP(A1310,[1]Fleet!A:A,[1]Fleet!E:E,""),"")</f>
        <v>47</v>
      </c>
      <c r="M1310" s="188" t="s">
        <v>22</v>
      </c>
      <c r="N1310" s="188" t="s">
        <v>22</v>
      </c>
      <c r="O1310" s="198" t="s">
        <v>1414</v>
      </c>
      <c r="P1310">
        <v>1300</v>
      </c>
      <c r="Q1310">
        <f>_xlfn.XLOOKUP(A1310,'[1]Classic Net to delete'!D:D,'[1]Classic Net to delete'!AA:AA,0)</f>
        <v>0</v>
      </c>
    </row>
  </sheetData>
  <autoFilter ref="A1:R1310" xr:uid="{BF661E98-B30F-47C0-B0D5-2948F47AA2E8}">
    <sortState xmlns:xlrd2="http://schemas.microsoft.com/office/spreadsheetml/2017/richdata2" ref="A2:R1310">
      <sortCondition ref="D2:D1310"/>
      <sortCondition ref="E2:E1310"/>
      <sortCondition ref="I2:I1310"/>
    </sortState>
  </autoFilter>
  <sortState xmlns:xlrd2="http://schemas.microsoft.com/office/spreadsheetml/2017/richdata2" ref="A4:Q988">
    <sortCondition ref="D2:D1310"/>
    <sortCondition ref="E2:E1310"/>
    <sortCondition ref="I2:I1310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3062</v>
      </c>
      <c r="B1" t="s">
        <v>3063</v>
      </c>
      <c r="C1" t="s">
        <v>3</v>
      </c>
      <c r="D1" t="s">
        <v>2</v>
      </c>
      <c r="E1" t="s">
        <v>3064</v>
      </c>
      <c r="F1" t="s">
        <v>3065</v>
      </c>
      <c r="G1" t="s">
        <v>3066</v>
      </c>
    </row>
    <row r="2" spans="1:7" x14ac:dyDescent="0.25">
      <c r="A2" t="s">
        <v>184</v>
      </c>
      <c r="B2" t="s">
        <v>185</v>
      </c>
      <c r="C2" t="s">
        <v>3067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3067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3067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3067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3067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3067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3067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3067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3067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3067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3067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3067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3067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3067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3067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3067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3067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3067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3067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3067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3067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3067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3067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3067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3067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3067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3067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3067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3067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3067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3067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3067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3067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3068</v>
      </c>
      <c r="C35" t="s">
        <v>3067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3067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3067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3067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3067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3067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3067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3067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3067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3067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3067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3067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3067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3067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3067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3067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3067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3067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3067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3067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3067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3067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3067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3067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3067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3067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3067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3067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3067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3067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3067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3067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3069</v>
      </c>
      <c r="C67" t="s">
        <v>3067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3067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3067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3067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3067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3067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3067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3067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3067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3067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3067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3067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3067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3067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3067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3067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3070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3071</v>
      </c>
      <c r="C84" t="s">
        <v>3070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3070</v>
      </c>
      <c r="F85">
        <v>0</v>
      </c>
    </row>
    <row r="86" spans="1:7" x14ac:dyDescent="0.25">
      <c r="A86" t="s">
        <v>514</v>
      </c>
      <c r="B86" t="s">
        <v>515</v>
      </c>
      <c r="C86" t="s">
        <v>3070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3070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3070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3070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3070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3070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3070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3070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3070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3070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3070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3070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3070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3072</v>
      </c>
      <c r="C99" t="s">
        <v>3070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3070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3070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3073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3073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3073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3073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3073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3073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3073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3073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3073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3073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3073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3073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3073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3073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3073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3073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3073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3073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3074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3074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3074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3074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3075</v>
      </c>
      <c r="C124" t="s">
        <v>3074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3074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3074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3074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3074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3074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2301</v>
      </c>
      <c r="B130" t="s">
        <v>2302</v>
      </c>
      <c r="C130" t="s">
        <v>3074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3074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3074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3074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3074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3074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3074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3074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3074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3076</v>
      </c>
      <c r="C139" t="s">
        <v>3074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3074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3074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3074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3074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3074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3074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3077</v>
      </c>
      <c r="C146" t="s">
        <v>3074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3074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3074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3074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3074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3074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3074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3074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3074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3074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3074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3078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3078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3078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3078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3078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3078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3078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3078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3078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3078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3078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3078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3079</v>
      </c>
      <c r="C169" t="s">
        <v>3078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3078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3078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3078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3078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3078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3078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3078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3078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3078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3078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3078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3078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3078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3078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3078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3078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3078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3078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3078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3078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3078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3078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3078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3078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3078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3078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3080</v>
      </c>
      <c r="C196" t="s">
        <v>3081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3082</v>
      </c>
      <c r="C197" t="s">
        <v>3081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3081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3081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3083</v>
      </c>
      <c r="C200" t="s">
        <v>3081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3081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3081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3081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3081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3081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3081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3084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3084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3084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3084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3084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3084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3084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3084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3084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3084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3084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3084</v>
      </c>
      <c r="F218">
        <v>0</v>
      </c>
    </row>
    <row r="219" spans="1:7" x14ac:dyDescent="0.25">
      <c r="A219" t="s">
        <v>1131</v>
      </c>
      <c r="B219" t="s">
        <v>1132</v>
      </c>
      <c r="C219" t="s">
        <v>3084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3085</v>
      </c>
      <c r="C220" t="s">
        <v>3084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3084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3084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3084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3084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3084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3084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3084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3084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3084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3084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3084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3084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3084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3084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3084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3084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3084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3084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3084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3084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3084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3084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3084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3084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3086</v>
      </c>
      <c r="C245" t="s">
        <v>3084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3084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3084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3084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3084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3084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3084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3084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3084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3084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3084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3084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3084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3084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3084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3084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3084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3084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3087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3088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3089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3090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3091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3091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3091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3091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3091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3091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3091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3091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3091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3091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3091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3091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3091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3091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3091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3091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3091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3091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3091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3091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3091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3091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3091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3092</v>
      </c>
      <c r="C335" t="s">
        <v>3091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3091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3093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3093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3093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3093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3094</v>
      </c>
      <c r="C341" t="s">
        <v>3093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3093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3093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3093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3093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3093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3093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3093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3093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3095</v>
      </c>
      <c r="C350" t="s">
        <v>3093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3093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3096</v>
      </c>
      <c r="C352" t="s">
        <v>3093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3061</v>
      </c>
      <c r="B353" t="s">
        <v>3097</v>
      </c>
      <c r="C353" t="s">
        <v>3098</v>
      </c>
      <c r="E353">
        <v>47</v>
      </c>
      <c r="F353">
        <v>0</v>
      </c>
      <c r="G353">
        <v>0</v>
      </c>
    </row>
    <row r="354" spans="1:7" x14ac:dyDescent="0.25">
      <c r="A354" t="s">
        <v>3047</v>
      </c>
      <c r="B354" t="s">
        <v>3048</v>
      </c>
      <c r="C354" t="s">
        <v>3098</v>
      </c>
      <c r="E354">
        <v>2</v>
      </c>
    </row>
    <row r="355" spans="1:7" x14ac:dyDescent="0.25">
      <c r="A355" t="s">
        <v>3051</v>
      </c>
      <c r="B355" t="s">
        <v>3052</v>
      </c>
      <c r="C355" t="s">
        <v>3098</v>
      </c>
      <c r="E355">
        <v>3</v>
      </c>
    </row>
    <row r="356" spans="1:7" x14ac:dyDescent="0.25">
      <c r="A356" t="s">
        <v>3053</v>
      </c>
      <c r="B356" t="s">
        <v>3054</v>
      </c>
      <c r="C356" t="s">
        <v>3098</v>
      </c>
      <c r="E356">
        <v>2</v>
      </c>
    </row>
    <row r="357" spans="1:7" x14ac:dyDescent="0.25">
      <c r="A357" t="s">
        <v>3055</v>
      </c>
      <c r="B357" t="s">
        <v>3056</v>
      </c>
      <c r="C357" t="s">
        <v>3098</v>
      </c>
      <c r="E357">
        <v>3</v>
      </c>
    </row>
    <row r="358" spans="1:7" x14ac:dyDescent="0.25">
      <c r="A358" t="s">
        <v>3057</v>
      </c>
      <c r="B358" t="s">
        <v>3099</v>
      </c>
      <c r="C358" t="s">
        <v>3098</v>
      </c>
      <c r="E358">
        <v>2</v>
      </c>
    </row>
    <row r="359" spans="1:7" x14ac:dyDescent="0.25">
      <c r="A359" t="s">
        <v>3059</v>
      </c>
      <c r="B359" t="s">
        <v>3060</v>
      </c>
      <c r="C359" t="s">
        <v>3098</v>
      </c>
      <c r="E359">
        <v>2</v>
      </c>
    </row>
    <row r="360" spans="1:7" x14ac:dyDescent="0.25">
      <c r="A360" t="s">
        <v>1323</v>
      </c>
      <c r="B360" t="s">
        <v>1324</v>
      </c>
      <c r="C360" t="s">
        <v>3100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3100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3100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3100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3100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3101</v>
      </c>
      <c r="C365" t="s">
        <v>3100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3100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3100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3100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3100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3100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3100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3100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3100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3100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3100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3102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3103</v>
      </c>
      <c r="C377" t="s">
        <v>3102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3102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3104</v>
      </c>
      <c r="C379" t="s">
        <v>3102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3105</v>
      </c>
      <c r="C380" t="s">
        <v>3102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3106</v>
      </c>
      <c r="C381" t="s">
        <v>3102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3102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3102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3102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3102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3102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3107</v>
      </c>
      <c r="C387" t="s">
        <v>3102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3108</v>
      </c>
      <c r="C388" t="s">
        <v>3102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3109</v>
      </c>
      <c r="C389" t="s">
        <v>3102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3110</v>
      </c>
      <c r="C390" t="s">
        <v>3102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3102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3102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3102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3102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3102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3102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3111</v>
      </c>
      <c r="C397" t="s">
        <v>3102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3102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3102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3102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3102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3102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3102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3102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3102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3102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3102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3102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3102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3102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3102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3102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3112</v>
      </c>
      <c r="B413" t="s">
        <v>1627</v>
      </c>
      <c r="C413" t="s">
        <v>3102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3102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3102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3102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3102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3102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3102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3102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3102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3102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3102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3102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3102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3102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3113</v>
      </c>
      <c r="C427" t="s">
        <v>3102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3102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3102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3102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3102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3102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3102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3102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3102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3102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3102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3102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3114</v>
      </c>
      <c r="C439" t="s">
        <v>3102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3102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3115</v>
      </c>
      <c r="B441" t="s">
        <v>2997</v>
      </c>
      <c r="C441" t="s">
        <v>3102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3102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3102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3102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3102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3102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3102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3102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3102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3116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3116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3117</v>
      </c>
      <c r="C452" t="s">
        <v>3116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3116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3116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3116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3116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3116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3116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3116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3116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3116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3116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3118</v>
      </c>
      <c r="C463" t="s">
        <v>3116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3116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3116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3116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3116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3116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3116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3116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3116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3119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3119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3119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3119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3119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3119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3119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3119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3120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3120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3120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3120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3120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3120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3120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3120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3120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3120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3120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3120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3120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3121</v>
      </c>
      <c r="C493" t="s">
        <v>3120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3120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3120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3120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3120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3120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3120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3120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3120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3120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3122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3123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3123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3123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2208</v>
      </c>
      <c r="B522" t="s">
        <v>2209</v>
      </c>
      <c r="C522" t="s">
        <v>3124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2157</v>
      </c>
      <c r="B523" t="s">
        <v>2158</v>
      </c>
      <c r="C523" t="s">
        <v>3124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2199</v>
      </c>
      <c r="B524" t="s">
        <v>2200</v>
      </c>
      <c r="C524" t="s">
        <v>3124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2058</v>
      </c>
      <c r="B525" t="s">
        <v>2059</v>
      </c>
      <c r="C525" t="s">
        <v>3124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2154</v>
      </c>
      <c r="B526" t="s">
        <v>2155</v>
      </c>
      <c r="C526" t="s">
        <v>3124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2202</v>
      </c>
      <c r="B527" t="s">
        <v>2203</v>
      </c>
      <c r="C527" t="s">
        <v>3124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2069</v>
      </c>
      <c r="B528" t="s">
        <v>2070</v>
      </c>
      <c r="C528" t="s">
        <v>3124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2196</v>
      </c>
      <c r="B529" t="s">
        <v>2197</v>
      </c>
      <c r="C529" t="s">
        <v>3124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2205</v>
      </c>
      <c r="B530" t="s">
        <v>2206</v>
      </c>
      <c r="C530" t="s">
        <v>3124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2064</v>
      </c>
      <c r="B531" t="s">
        <v>2065</v>
      </c>
      <c r="C531" t="s">
        <v>3124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2062</v>
      </c>
      <c r="B532" t="s">
        <v>2063</v>
      </c>
      <c r="C532" t="s">
        <v>3124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2165</v>
      </c>
      <c r="B533" t="s">
        <v>2166</v>
      </c>
      <c r="C533" t="s">
        <v>3124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2071</v>
      </c>
      <c r="B534" t="s">
        <v>2072</v>
      </c>
      <c r="C534" t="s">
        <v>3124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2067</v>
      </c>
      <c r="B535" t="s">
        <v>2068</v>
      </c>
      <c r="C535" t="s">
        <v>3124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2191</v>
      </c>
      <c r="B536" t="s">
        <v>2192</v>
      </c>
      <c r="C536" t="s">
        <v>3124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2185</v>
      </c>
      <c r="B537" t="s">
        <v>2186</v>
      </c>
      <c r="C537" t="s">
        <v>3124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2188</v>
      </c>
      <c r="B538" t="s">
        <v>2189</v>
      </c>
      <c r="C538" t="s">
        <v>3124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2194</v>
      </c>
      <c r="B539" t="s">
        <v>2195</v>
      </c>
      <c r="C539" t="s">
        <v>3124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3125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3126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3127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2236</v>
      </c>
      <c r="B546" t="s">
        <v>2237</v>
      </c>
      <c r="C546" t="s">
        <v>3128</v>
      </c>
      <c r="F546">
        <v>0</v>
      </c>
    </row>
    <row r="547" spans="1:7" x14ac:dyDescent="0.25">
      <c r="A547" t="s">
        <v>2214</v>
      </c>
      <c r="B547" t="s">
        <v>3129</v>
      </c>
      <c r="C547" t="s">
        <v>3128</v>
      </c>
      <c r="D547">
        <v>1000</v>
      </c>
      <c r="E547">
        <v>2</v>
      </c>
    </row>
    <row r="548" spans="1:7" x14ac:dyDescent="0.25">
      <c r="A548" t="s">
        <v>2227</v>
      </c>
      <c r="B548" t="s">
        <v>2228</v>
      </c>
      <c r="C548" t="s">
        <v>3128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3130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3131</v>
      </c>
      <c r="C550" t="s">
        <v>3130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3130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3130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3132</v>
      </c>
      <c r="C553" t="s">
        <v>3130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3130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3130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3133</v>
      </c>
      <c r="C556" t="s">
        <v>3130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3130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3130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3130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3130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3130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3130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3134</v>
      </c>
      <c r="C563" t="s">
        <v>3130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3135</v>
      </c>
      <c r="C564" t="s">
        <v>3130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3130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3130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3130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3130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3136</v>
      </c>
      <c r="C569" t="s">
        <v>3130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3130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3137</v>
      </c>
      <c r="C571" t="s">
        <v>3130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3138</v>
      </c>
      <c r="C572" t="s">
        <v>3130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3130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3130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3139</v>
      </c>
      <c r="C575" t="s">
        <v>3130</v>
      </c>
      <c r="D575">
        <v>6000</v>
      </c>
      <c r="E575">
        <v>12</v>
      </c>
    </row>
    <row r="576" spans="1:7" x14ac:dyDescent="0.25">
      <c r="A576" t="s">
        <v>1913</v>
      </c>
      <c r="B576" t="s">
        <v>3140</v>
      </c>
      <c r="C576" t="s">
        <v>3130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3130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3130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3130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3141</v>
      </c>
      <c r="B580" t="s">
        <v>2937</v>
      </c>
      <c r="C580" t="s">
        <v>3142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2310</v>
      </c>
      <c r="B581" t="s">
        <v>2311</v>
      </c>
      <c r="C581" t="s">
        <v>3142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2285</v>
      </c>
      <c r="B582" t="s">
        <v>2286</v>
      </c>
      <c r="C582" t="s">
        <v>3142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2315</v>
      </c>
      <c r="B583" t="s">
        <v>2316</v>
      </c>
      <c r="C583" t="s">
        <v>3142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2313</v>
      </c>
      <c r="B584" t="s">
        <v>2314</v>
      </c>
      <c r="C584" t="s">
        <v>3142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2289</v>
      </c>
      <c r="B585" t="s">
        <v>2290</v>
      </c>
      <c r="C585" t="s">
        <v>3142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2307</v>
      </c>
      <c r="B586" t="s">
        <v>2308</v>
      </c>
      <c r="C586" t="s">
        <v>3142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2304</v>
      </c>
      <c r="B587" t="s">
        <v>2305</v>
      </c>
      <c r="C587" t="s">
        <v>3142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2292</v>
      </c>
      <c r="B588" t="s">
        <v>2293</v>
      </c>
      <c r="C588" t="s">
        <v>3142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2295</v>
      </c>
      <c r="B589" t="s">
        <v>2296</v>
      </c>
      <c r="C589" t="s">
        <v>3142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2332</v>
      </c>
      <c r="B590" t="s">
        <v>2333</v>
      </c>
      <c r="C590" t="s">
        <v>3143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2371</v>
      </c>
      <c r="B591" t="s">
        <v>2372</v>
      </c>
      <c r="C591" t="s">
        <v>3143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2353</v>
      </c>
      <c r="B592" t="s">
        <v>2354</v>
      </c>
      <c r="C592" t="s">
        <v>3143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2325</v>
      </c>
      <c r="B593" t="s">
        <v>2326</v>
      </c>
      <c r="C593" t="s">
        <v>3143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2346</v>
      </c>
      <c r="B594" t="s">
        <v>2347</v>
      </c>
      <c r="C594" t="s">
        <v>3143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2367</v>
      </c>
      <c r="B595" t="s">
        <v>2368</v>
      </c>
      <c r="C595" t="s">
        <v>3143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2318</v>
      </c>
      <c r="B596" t="s">
        <v>2319</v>
      </c>
      <c r="C596" t="s">
        <v>3143</v>
      </c>
      <c r="D596">
        <v>682.8</v>
      </c>
      <c r="E596">
        <v>4</v>
      </c>
      <c r="G596">
        <v>1533.88</v>
      </c>
    </row>
    <row r="597" spans="1:7" x14ac:dyDescent="0.25">
      <c r="A597" t="s">
        <v>2373</v>
      </c>
      <c r="B597" t="s">
        <v>3144</v>
      </c>
      <c r="C597" t="s">
        <v>3143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2375</v>
      </c>
      <c r="B598" t="s">
        <v>2376</v>
      </c>
      <c r="C598" t="s">
        <v>3143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2351</v>
      </c>
      <c r="B599" t="s">
        <v>2352</v>
      </c>
      <c r="C599" t="s">
        <v>3143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2323</v>
      </c>
      <c r="B600" t="s">
        <v>2324</v>
      </c>
      <c r="C600" t="s">
        <v>3143</v>
      </c>
      <c r="D600">
        <v>190</v>
      </c>
      <c r="E600">
        <v>2</v>
      </c>
      <c r="G600">
        <v>357.5</v>
      </c>
    </row>
    <row r="601" spans="1:7" x14ac:dyDescent="0.25">
      <c r="A601" t="s">
        <v>2341</v>
      </c>
      <c r="B601" t="s">
        <v>2342</v>
      </c>
      <c r="C601" t="s">
        <v>3143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2338</v>
      </c>
      <c r="B602" t="s">
        <v>2339</v>
      </c>
      <c r="C602" t="s">
        <v>3143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2336</v>
      </c>
      <c r="B603" t="s">
        <v>2337</v>
      </c>
      <c r="C603" t="s">
        <v>3143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2344</v>
      </c>
      <c r="B604" t="s">
        <v>2345</v>
      </c>
      <c r="C604" t="s">
        <v>3143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2356</v>
      </c>
      <c r="B605" t="s">
        <v>2357</v>
      </c>
      <c r="C605" t="s">
        <v>3143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2349</v>
      </c>
      <c r="B606" t="s">
        <v>3145</v>
      </c>
      <c r="C606" t="s">
        <v>3143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2329</v>
      </c>
      <c r="B607" t="s">
        <v>3146</v>
      </c>
      <c r="C607" t="s">
        <v>3143</v>
      </c>
      <c r="D607">
        <v>1000</v>
      </c>
      <c r="E607">
        <v>2</v>
      </c>
    </row>
    <row r="608" spans="1:7" x14ac:dyDescent="0.25">
      <c r="A608" t="s">
        <v>2378</v>
      </c>
      <c r="B608" t="s">
        <v>2379</v>
      </c>
      <c r="C608" t="s">
        <v>3143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2360</v>
      </c>
      <c r="B609" t="s">
        <v>2361</v>
      </c>
      <c r="C609" t="s">
        <v>3143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2358</v>
      </c>
      <c r="B610" t="s">
        <v>2359</v>
      </c>
      <c r="C610" t="s">
        <v>3143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3147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3147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3147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2394</v>
      </c>
      <c r="B614" t="s">
        <v>2395</v>
      </c>
      <c r="C614" t="s">
        <v>3147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3147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3147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3147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3148</v>
      </c>
      <c r="C618" t="s">
        <v>3147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3148</v>
      </c>
      <c r="C619" t="s">
        <v>3147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3147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3147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3147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3147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3147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3147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3147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3147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2426</v>
      </c>
      <c r="B628" t="s">
        <v>2427</v>
      </c>
      <c r="C628" t="s">
        <v>3147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3147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3147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3147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3147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3147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2424</v>
      </c>
      <c r="B634" t="s">
        <v>2425</v>
      </c>
      <c r="C634" t="s">
        <v>3147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3147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3147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2432</v>
      </c>
      <c r="B637" t="s">
        <v>2433</v>
      </c>
      <c r="C637" t="s">
        <v>3147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2429</v>
      </c>
      <c r="B638" t="s">
        <v>2430</v>
      </c>
      <c r="C638" t="s">
        <v>3147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2437</v>
      </c>
      <c r="B639" t="s">
        <v>2438</v>
      </c>
      <c r="C639" t="s">
        <v>3147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3149</v>
      </c>
      <c r="C640" t="s">
        <v>3147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3147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3147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3147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2435</v>
      </c>
      <c r="B644" t="s">
        <v>2436</v>
      </c>
      <c r="C644" t="s">
        <v>3147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2418</v>
      </c>
      <c r="B645" t="s">
        <v>2419</v>
      </c>
      <c r="C645" t="s">
        <v>3147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2415</v>
      </c>
      <c r="B646" t="s">
        <v>2416</v>
      </c>
      <c r="C646" t="s">
        <v>3147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2391</v>
      </c>
      <c r="B647" t="s">
        <v>2392</v>
      </c>
      <c r="C647" t="s">
        <v>3147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3147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2421</v>
      </c>
      <c r="B649" t="s">
        <v>2422</v>
      </c>
      <c r="C649" t="s">
        <v>3147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2381</v>
      </c>
      <c r="B650" t="s">
        <v>2382</v>
      </c>
      <c r="C650" t="s">
        <v>3147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3147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2389</v>
      </c>
      <c r="B652" t="s">
        <v>2390</v>
      </c>
      <c r="C652" t="s">
        <v>3147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2386</v>
      </c>
      <c r="B653" t="s">
        <v>2387</v>
      </c>
      <c r="C653" t="s">
        <v>3147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3147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3147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3150</v>
      </c>
      <c r="C656" t="s">
        <v>3147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2399</v>
      </c>
      <c r="B657" t="s">
        <v>2400</v>
      </c>
      <c r="C657" t="s">
        <v>3147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2397</v>
      </c>
      <c r="B658" t="s">
        <v>2398</v>
      </c>
      <c r="C658" t="s">
        <v>3147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3147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2135</v>
      </c>
      <c r="B660" t="s">
        <v>2136</v>
      </c>
      <c r="C660" t="s">
        <v>3151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2119</v>
      </c>
      <c r="B661" t="s">
        <v>2120</v>
      </c>
      <c r="C661" t="s">
        <v>3151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2122</v>
      </c>
      <c r="B662" t="s">
        <v>2123</v>
      </c>
      <c r="C662" t="s">
        <v>3151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2116</v>
      </c>
      <c r="B663" t="s">
        <v>2117</v>
      </c>
      <c r="C663" t="s">
        <v>3151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2125</v>
      </c>
      <c r="B664" t="s">
        <v>2126</v>
      </c>
      <c r="C664" t="s">
        <v>3151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2130</v>
      </c>
      <c r="B665" t="s">
        <v>2131</v>
      </c>
      <c r="C665" t="s">
        <v>3151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2132</v>
      </c>
      <c r="B666" t="s">
        <v>2133</v>
      </c>
      <c r="C666" t="s">
        <v>3151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2112</v>
      </c>
      <c r="B667" t="s">
        <v>2113</v>
      </c>
      <c r="C667" t="s">
        <v>3151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2128</v>
      </c>
      <c r="B668" t="s">
        <v>2129</v>
      </c>
      <c r="C668" t="s">
        <v>3151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330</v>
      </c>
      <c r="B669" t="s">
        <v>331</v>
      </c>
      <c r="C669" t="s">
        <v>3152</v>
      </c>
      <c r="D669">
        <v>10.050000000000001</v>
      </c>
      <c r="E669" t="s">
        <v>3153</v>
      </c>
    </row>
    <row r="670" spans="1:7" x14ac:dyDescent="0.25">
      <c r="A670" t="s">
        <v>387</v>
      </c>
      <c r="B670" t="s">
        <v>388</v>
      </c>
      <c r="C670" t="s">
        <v>3152</v>
      </c>
      <c r="D670">
        <v>6.25</v>
      </c>
      <c r="E670" t="s">
        <v>3153</v>
      </c>
    </row>
    <row r="671" spans="1:7" x14ac:dyDescent="0.25">
      <c r="A671" t="s">
        <v>390</v>
      </c>
      <c r="B671" t="s">
        <v>391</v>
      </c>
      <c r="C671" t="s">
        <v>3152</v>
      </c>
      <c r="D671">
        <v>6.25</v>
      </c>
      <c r="E671" t="s">
        <v>3153</v>
      </c>
    </row>
    <row r="672" spans="1:7" x14ac:dyDescent="0.25">
      <c r="A672" t="s">
        <v>393</v>
      </c>
      <c r="B672" t="s">
        <v>394</v>
      </c>
      <c r="C672" t="s">
        <v>3152</v>
      </c>
      <c r="D672">
        <v>6.25</v>
      </c>
      <c r="E672" t="s">
        <v>3153</v>
      </c>
    </row>
    <row r="673" spans="1:5" x14ac:dyDescent="0.25">
      <c r="A673" t="s">
        <v>364</v>
      </c>
      <c r="B673" t="s">
        <v>365</v>
      </c>
      <c r="C673" t="s">
        <v>3152</v>
      </c>
      <c r="D673">
        <v>6.25</v>
      </c>
      <c r="E673" t="s">
        <v>3153</v>
      </c>
    </row>
    <row r="674" spans="1:5" x14ac:dyDescent="0.25">
      <c r="A674" t="s">
        <v>396</v>
      </c>
      <c r="B674" t="s">
        <v>397</v>
      </c>
      <c r="C674" t="s">
        <v>3152</v>
      </c>
      <c r="D674">
        <v>2.85</v>
      </c>
      <c r="E674" t="s">
        <v>3153</v>
      </c>
    </row>
    <row r="675" spans="1:5" x14ac:dyDescent="0.25">
      <c r="A675" t="s">
        <v>399</v>
      </c>
      <c r="B675" t="s">
        <v>400</v>
      </c>
      <c r="C675" t="s">
        <v>3152</v>
      </c>
      <c r="D675">
        <v>2.85</v>
      </c>
      <c r="E675" t="s">
        <v>3153</v>
      </c>
    </row>
    <row r="676" spans="1:5" x14ac:dyDescent="0.25">
      <c r="A676" t="s">
        <v>402</v>
      </c>
      <c r="B676" t="s">
        <v>403</v>
      </c>
      <c r="C676" t="s">
        <v>3152</v>
      </c>
      <c r="D676">
        <v>2.85</v>
      </c>
      <c r="E676" t="s">
        <v>3153</v>
      </c>
    </row>
    <row r="677" spans="1:5" x14ac:dyDescent="0.25">
      <c r="A677" t="s">
        <v>405</v>
      </c>
      <c r="B677" t="s">
        <v>406</v>
      </c>
      <c r="C677" t="s">
        <v>3152</v>
      </c>
      <c r="D677">
        <v>2.85</v>
      </c>
      <c r="E677" t="s">
        <v>3153</v>
      </c>
    </row>
    <row r="678" spans="1:5" x14ac:dyDescent="0.25">
      <c r="A678" t="s">
        <v>385</v>
      </c>
      <c r="B678" t="s">
        <v>386</v>
      </c>
      <c r="C678" t="s">
        <v>3152</v>
      </c>
      <c r="D678">
        <v>1.25</v>
      </c>
      <c r="E678" t="s">
        <v>3153</v>
      </c>
    </row>
    <row r="679" spans="1:5" x14ac:dyDescent="0.25">
      <c r="A679" t="s">
        <v>333</v>
      </c>
      <c r="B679" t="s">
        <v>334</v>
      </c>
      <c r="C679" t="s">
        <v>3152</v>
      </c>
      <c r="D679">
        <v>6.25</v>
      </c>
      <c r="E679" t="s">
        <v>3153</v>
      </c>
    </row>
    <row r="680" spans="1:5" x14ac:dyDescent="0.25">
      <c r="A680" t="s">
        <v>367</v>
      </c>
      <c r="B680" t="s">
        <v>368</v>
      </c>
      <c r="C680" t="s">
        <v>3152</v>
      </c>
      <c r="D680">
        <v>2.7</v>
      </c>
      <c r="E680" t="s">
        <v>3153</v>
      </c>
    </row>
    <row r="681" spans="1:5" x14ac:dyDescent="0.25">
      <c r="A681" t="s">
        <v>369</v>
      </c>
      <c r="B681" t="s">
        <v>370</v>
      </c>
      <c r="C681" t="s">
        <v>3152</v>
      </c>
      <c r="D681">
        <v>5.9</v>
      </c>
      <c r="E681" t="s">
        <v>3154</v>
      </c>
    </row>
    <row r="682" spans="1:5" x14ac:dyDescent="0.25">
      <c r="A682" t="s">
        <v>371</v>
      </c>
      <c r="B682" t="s">
        <v>372</v>
      </c>
      <c r="C682" t="s">
        <v>3152</v>
      </c>
      <c r="D682">
        <v>1.85</v>
      </c>
      <c r="E682" t="s">
        <v>3154</v>
      </c>
    </row>
    <row r="683" spans="1:5" x14ac:dyDescent="0.25">
      <c r="A683" t="s">
        <v>373</v>
      </c>
      <c r="B683" t="s">
        <v>374</v>
      </c>
      <c r="C683" t="s">
        <v>3152</v>
      </c>
      <c r="D683">
        <v>2.2000000000000002</v>
      </c>
      <c r="E683" t="s">
        <v>3154</v>
      </c>
    </row>
    <row r="684" spans="1:5" x14ac:dyDescent="0.25">
      <c r="A684" t="s">
        <v>375</v>
      </c>
      <c r="B684" t="s">
        <v>376</v>
      </c>
      <c r="C684" t="s">
        <v>3152</v>
      </c>
      <c r="D684">
        <v>2.85</v>
      </c>
      <c r="E684" t="s">
        <v>3154</v>
      </c>
    </row>
    <row r="685" spans="1:5" x14ac:dyDescent="0.25">
      <c r="A685" t="s">
        <v>377</v>
      </c>
      <c r="B685" t="s">
        <v>378</v>
      </c>
      <c r="C685" t="s">
        <v>3152</v>
      </c>
      <c r="D685">
        <v>3.1</v>
      </c>
      <c r="E685" t="s">
        <v>3154</v>
      </c>
    </row>
    <row r="686" spans="1:5" x14ac:dyDescent="0.25">
      <c r="A686" t="s">
        <v>379</v>
      </c>
      <c r="B686" t="s">
        <v>380</v>
      </c>
      <c r="C686" t="s">
        <v>3152</v>
      </c>
      <c r="D686">
        <v>3.45</v>
      </c>
      <c r="E686" t="s">
        <v>3154</v>
      </c>
    </row>
    <row r="687" spans="1:5" x14ac:dyDescent="0.25">
      <c r="A687" t="s">
        <v>381</v>
      </c>
      <c r="B687" t="s">
        <v>382</v>
      </c>
      <c r="C687" t="s">
        <v>3152</v>
      </c>
      <c r="D687">
        <v>3.75</v>
      </c>
      <c r="E687" t="s">
        <v>3154</v>
      </c>
    </row>
    <row r="688" spans="1:5" x14ac:dyDescent="0.25">
      <c r="A688" t="s">
        <v>383</v>
      </c>
      <c r="B688" t="s">
        <v>384</v>
      </c>
      <c r="C688" t="s">
        <v>3152</v>
      </c>
      <c r="D688">
        <v>4.45</v>
      </c>
      <c r="E688" t="s">
        <v>3154</v>
      </c>
    </row>
    <row r="689" spans="1:5" x14ac:dyDescent="0.25">
      <c r="A689" t="s">
        <v>434</v>
      </c>
      <c r="B689" t="s">
        <v>435</v>
      </c>
      <c r="C689" t="s">
        <v>3152</v>
      </c>
      <c r="D689">
        <v>13.75</v>
      </c>
      <c r="E689" t="s">
        <v>3155</v>
      </c>
    </row>
    <row r="690" spans="1:5" x14ac:dyDescent="0.25">
      <c r="A690" t="s">
        <v>448</v>
      </c>
      <c r="B690" t="s">
        <v>449</v>
      </c>
      <c r="C690" t="s">
        <v>3152</v>
      </c>
      <c r="D690">
        <v>24</v>
      </c>
      <c r="E690" t="s">
        <v>3155</v>
      </c>
    </row>
    <row r="691" spans="1:5" x14ac:dyDescent="0.25">
      <c r="A691" t="s">
        <v>436</v>
      </c>
      <c r="B691" t="s">
        <v>437</v>
      </c>
      <c r="C691" t="s">
        <v>3152</v>
      </c>
      <c r="D691">
        <v>17.149999999999999</v>
      </c>
      <c r="E691" t="s">
        <v>3155</v>
      </c>
    </row>
    <row r="692" spans="1:5" x14ac:dyDescent="0.25">
      <c r="A692" t="s">
        <v>438</v>
      </c>
      <c r="B692" t="s">
        <v>439</v>
      </c>
      <c r="C692" t="s">
        <v>3152</v>
      </c>
      <c r="D692">
        <v>20.25</v>
      </c>
      <c r="E692" t="s">
        <v>3155</v>
      </c>
    </row>
    <row r="693" spans="1:5" x14ac:dyDescent="0.25">
      <c r="A693" t="s">
        <v>450</v>
      </c>
      <c r="B693" t="s">
        <v>451</v>
      </c>
      <c r="C693" t="s">
        <v>3152</v>
      </c>
      <c r="D693">
        <v>29.85</v>
      </c>
      <c r="E693" t="s">
        <v>3155</v>
      </c>
    </row>
    <row r="694" spans="1:5" x14ac:dyDescent="0.25">
      <c r="A694" t="s">
        <v>452</v>
      </c>
      <c r="B694" t="s">
        <v>453</v>
      </c>
      <c r="C694" t="s">
        <v>3152</v>
      </c>
      <c r="D694">
        <v>36.1</v>
      </c>
      <c r="E694" t="s">
        <v>3155</v>
      </c>
    </row>
    <row r="695" spans="1:5" x14ac:dyDescent="0.25">
      <c r="A695" t="s">
        <v>440</v>
      </c>
      <c r="B695" t="s">
        <v>441</v>
      </c>
      <c r="C695" t="s">
        <v>3152</v>
      </c>
      <c r="D695">
        <v>23.65</v>
      </c>
      <c r="E695" t="s">
        <v>3155</v>
      </c>
    </row>
    <row r="696" spans="1:5" x14ac:dyDescent="0.25">
      <c r="A696" t="s">
        <v>454</v>
      </c>
      <c r="B696" t="s">
        <v>455</v>
      </c>
      <c r="C696" t="s">
        <v>3152</v>
      </c>
      <c r="D696">
        <v>42</v>
      </c>
      <c r="E696" t="s">
        <v>3155</v>
      </c>
    </row>
    <row r="697" spans="1:5" x14ac:dyDescent="0.25">
      <c r="A697" t="s">
        <v>442</v>
      </c>
      <c r="B697" t="s">
        <v>443</v>
      </c>
      <c r="C697" t="s">
        <v>3152</v>
      </c>
      <c r="D697">
        <v>27.15</v>
      </c>
      <c r="E697" t="s">
        <v>3155</v>
      </c>
    </row>
    <row r="698" spans="1:5" x14ac:dyDescent="0.25">
      <c r="A698" t="s">
        <v>456</v>
      </c>
      <c r="B698" t="s">
        <v>457</v>
      </c>
      <c r="C698" t="s">
        <v>3152</v>
      </c>
      <c r="D698">
        <v>47.95</v>
      </c>
      <c r="E698" t="s">
        <v>3155</v>
      </c>
    </row>
    <row r="699" spans="1:5" x14ac:dyDescent="0.25">
      <c r="A699" t="s">
        <v>444</v>
      </c>
      <c r="B699" t="s">
        <v>445</v>
      </c>
      <c r="C699" t="s">
        <v>3152</v>
      </c>
      <c r="D699">
        <v>30.55</v>
      </c>
      <c r="E699" t="s">
        <v>3155</v>
      </c>
    </row>
    <row r="700" spans="1:5" x14ac:dyDescent="0.25">
      <c r="A700" t="s">
        <v>458</v>
      </c>
      <c r="B700" t="s">
        <v>459</v>
      </c>
      <c r="C700" t="s">
        <v>3152</v>
      </c>
      <c r="D700">
        <v>53.8</v>
      </c>
      <c r="E700" t="s">
        <v>3155</v>
      </c>
    </row>
    <row r="701" spans="1:5" x14ac:dyDescent="0.25">
      <c r="A701" t="s">
        <v>446</v>
      </c>
      <c r="B701" t="s">
        <v>447</v>
      </c>
      <c r="C701" t="s">
        <v>3152</v>
      </c>
      <c r="D701">
        <v>33.950000000000003</v>
      </c>
      <c r="E701" t="s">
        <v>3155</v>
      </c>
    </row>
    <row r="702" spans="1:5" x14ac:dyDescent="0.25">
      <c r="A702" t="s">
        <v>460</v>
      </c>
      <c r="B702" t="s">
        <v>461</v>
      </c>
      <c r="C702" t="s">
        <v>3152</v>
      </c>
      <c r="D702">
        <v>60.05</v>
      </c>
      <c r="E702" t="s">
        <v>3155</v>
      </c>
    </row>
    <row r="703" spans="1:5" x14ac:dyDescent="0.25">
      <c r="A703" t="s">
        <v>474</v>
      </c>
      <c r="B703" t="s">
        <v>475</v>
      </c>
      <c r="C703" t="s">
        <v>3152</v>
      </c>
      <c r="D703">
        <v>9.15</v>
      </c>
      <c r="E703" t="s">
        <v>3156</v>
      </c>
    </row>
    <row r="704" spans="1:5" x14ac:dyDescent="0.25">
      <c r="A704" t="s">
        <v>477</v>
      </c>
      <c r="B704" t="s">
        <v>478</v>
      </c>
      <c r="C704" t="s">
        <v>3152</v>
      </c>
      <c r="D704">
        <v>14.45</v>
      </c>
      <c r="E704" t="s">
        <v>3156</v>
      </c>
    </row>
    <row r="705" spans="1:5" x14ac:dyDescent="0.25">
      <c r="A705" t="s">
        <v>2439</v>
      </c>
      <c r="B705" t="s">
        <v>2440</v>
      </c>
      <c r="C705" t="s">
        <v>3152</v>
      </c>
      <c r="D705">
        <v>5.35</v>
      </c>
      <c r="E705" t="s">
        <v>3156</v>
      </c>
    </row>
    <row r="706" spans="1:5" x14ac:dyDescent="0.25">
      <c r="A706" t="s">
        <v>2441</v>
      </c>
      <c r="B706" t="s">
        <v>2442</v>
      </c>
      <c r="C706" t="s">
        <v>3152</v>
      </c>
      <c r="D706">
        <v>5.35</v>
      </c>
      <c r="E706" t="s">
        <v>3156</v>
      </c>
    </row>
    <row r="707" spans="1:5" x14ac:dyDescent="0.25">
      <c r="A707" t="s">
        <v>575</v>
      </c>
      <c r="B707" t="s">
        <v>576</v>
      </c>
      <c r="C707" t="s">
        <v>3152</v>
      </c>
      <c r="D707">
        <v>25.7</v>
      </c>
      <c r="E707" t="s">
        <v>3157</v>
      </c>
    </row>
    <row r="708" spans="1:5" x14ac:dyDescent="0.25">
      <c r="A708" t="s">
        <v>2443</v>
      </c>
      <c r="B708" t="s">
        <v>2444</v>
      </c>
      <c r="C708" t="s">
        <v>3152</v>
      </c>
      <c r="D708">
        <v>3.55</v>
      </c>
      <c r="E708" t="s">
        <v>3157</v>
      </c>
    </row>
    <row r="709" spans="1:5" x14ac:dyDescent="0.25">
      <c r="A709" t="s">
        <v>656</v>
      </c>
      <c r="B709" t="s">
        <v>657</v>
      </c>
      <c r="C709" t="s">
        <v>3152</v>
      </c>
      <c r="D709">
        <v>16.55</v>
      </c>
      <c r="E709" t="s">
        <v>3157</v>
      </c>
    </row>
    <row r="710" spans="1:5" x14ac:dyDescent="0.25">
      <c r="A710" t="s">
        <v>532</v>
      </c>
      <c r="B710" t="s">
        <v>533</v>
      </c>
      <c r="C710" t="s">
        <v>3152</v>
      </c>
      <c r="D710">
        <v>10.6</v>
      </c>
      <c r="E710" t="s">
        <v>3157</v>
      </c>
    </row>
    <row r="711" spans="1:5" x14ac:dyDescent="0.25">
      <c r="A711" t="s">
        <v>2445</v>
      </c>
      <c r="B711" t="s">
        <v>2446</v>
      </c>
      <c r="C711" t="s">
        <v>3152</v>
      </c>
      <c r="D711">
        <v>2.7</v>
      </c>
      <c r="E711" t="s">
        <v>3157</v>
      </c>
    </row>
    <row r="712" spans="1:5" x14ac:dyDescent="0.25">
      <c r="A712" t="s">
        <v>2447</v>
      </c>
      <c r="B712" t="s">
        <v>2448</v>
      </c>
      <c r="C712" t="s">
        <v>3152</v>
      </c>
      <c r="D712">
        <v>4.1500000000000004</v>
      </c>
      <c r="E712" t="s">
        <v>3157</v>
      </c>
    </row>
    <row r="713" spans="1:5" x14ac:dyDescent="0.25">
      <c r="A713" t="s">
        <v>2449</v>
      </c>
      <c r="B713" t="s">
        <v>2450</v>
      </c>
      <c r="C713" t="s">
        <v>3152</v>
      </c>
      <c r="D713">
        <v>3.85</v>
      </c>
      <c r="E713" t="s">
        <v>3157</v>
      </c>
    </row>
    <row r="714" spans="1:5" x14ac:dyDescent="0.25">
      <c r="A714" t="s">
        <v>2451</v>
      </c>
      <c r="B714" t="s">
        <v>2452</v>
      </c>
      <c r="C714" t="s">
        <v>3152</v>
      </c>
      <c r="D714">
        <v>3.85</v>
      </c>
      <c r="E714" t="s">
        <v>3157</v>
      </c>
    </row>
    <row r="715" spans="1:5" x14ac:dyDescent="0.25">
      <c r="A715" t="s">
        <v>2453</v>
      </c>
      <c r="B715" t="s">
        <v>2454</v>
      </c>
      <c r="C715" t="s">
        <v>3152</v>
      </c>
      <c r="D715">
        <v>3.85</v>
      </c>
      <c r="E715" t="s">
        <v>3157</v>
      </c>
    </row>
    <row r="716" spans="1:5" x14ac:dyDescent="0.25">
      <c r="A716" t="s">
        <v>2455</v>
      </c>
      <c r="B716" t="s">
        <v>2456</v>
      </c>
      <c r="C716" t="s">
        <v>3152</v>
      </c>
      <c r="D716">
        <v>11.8</v>
      </c>
      <c r="E716" t="s">
        <v>3157</v>
      </c>
    </row>
    <row r="717" spans="1:5" x14ac:dyDescent="0.25">
      <c r="A717" t="s">
        <v>2457</v>
      </c>
      <c r="B717" t="s">
        <v>2458</v>
      </c>
      <c r="C717" t="s">
        <v>3152</v>
      </c>
      <c r="D717">
        <v>11.8</v>
      </c>
      <c r="E717" t="s">
        <v>3157</v>
      </c>
    </row>
    <row r="718" spans="1:5" x14ac:dyDescent="0.25">
      <c r="A718" t="s">
        <v>2459</v>
      </c>
      <c r="B718" t="s">
        <v>2460</v>
      </c>
      <c r="C718" t="s">
        <v>3152</v>
      </c>
      <c r="D718">
        <v>31.55</v>
      </c>
      <c r="E718" t="s">
        <v>3157</v>
      </c>
    </row>
    <row r="719" spans="1:5" x14ac:dyDescent="0.25">
      <c r="A719" t="s">
        <v>2461</v>
      </c>
      <c r="B719" t="s">
        <v>2462</v>
      </c>
      <c r="C719" t="s">
        <v>3152</v>
      </c>
      <c r="D719">
        <v>18.899999999999999</v>
      </c>
      <c r="E719" t="s">
        <v>3157</v>
      </c>
    </row>
    <row r="720" spans="1:5" x14ac:dyDescent="0.25">
      <c r="A720" t="s">
        <v>2463</v>
      </c>
      <c r="B720" t="s">
        <v>2464</v>
      </c>
      <c r="C720" t="s">
        <v>3152</v>
      </c>
      <c r="D720">
        <v>9.85</v>
      </c>
      <c r="E720" t="s">
        <v>717</v>
      </c>
    </row>
    <row r="721" spans="1:5" x14ac:dyDescent="0.25">
      <c r="A721" t="s">
        <v>2465</v>
      </c>
      <c r="B721" t="s">
        <v>2466</v>
      </c>
      <c r="C721" t="s">
        <v>3152</v>
      </c>
      <c r="D721">
        <v>9.85</v>
      </c>
      <c r="E721" t="s">
        <v>717</v>
      </c>
    </row>
    <row r="722" spans="1:5" x14ac:dyDescent="0.25">
      <c r="A722" t="s">
        <v>620</v>
      </c>
      <c r="B722" t="s">
        <v>3158</v>
      </c>
      <c r="C722" t="s">
        <v>3152</v>
      </c>
      <c r="D722">
        <v>9.85</v>
      </c>
      <c r="E722" t="s">
        <v>717</v>
      </c>
    </row>
    <row r="723" spans="1:5" x14ac:dyDescent="0.25">
      <c r="A723" t="s">
        <v>631</v>
      </c>
      <c r="B723" t="s">
        <v>3159</v>
      </c>
      <c r="C723" t="s">
        <v>3152</v>
      </c>
      <c r="D723">
        <v>14.8</v>
      </c>
      <c r="E723" t="s">
        <v>717</v>
      </c>
    </row>
    <row r="724" spans="1:5" x14ac:dyDescent="0.25">
      <c r="A724" t="s">
        <v>2467</v>
      </c>
      <c r="B724" t="s">
        <v>2468</v>
      </c>
      <c r="C724" t="s">
        <v>3152</v>
      </c>
      <c r="D724">
        <v>14.8</v>
      </c>
      <c r="E724" t="s">
        <v>717</v>
      </c>
    </row>
    <row r="725" spans="1:5" x14ac:dyDescent="0.25">
      <c r="A725" t="s">
        <v>2469</v>
      </c>
      <c r="B725" t="s">
        <v>2470</v>
      </c>
      <c r="C725" t="s">
        <v>3152</v>
      </c>
      <c r="D725">
        <v>9.85</v>
      </c>
      <c r="E725" t="s">
        <v>717</v>
      </c>
    </row>
    <row r="726" spans="1:5" x14ac:dyDescent="0.25">
      <c r="A726" t="s">
        <v>642</v>
      </c>
      <c r="B726" t="s">
        <v>643</v>
      </c>
      <c r="C726" t="s">
        <v>3152</v>
      </c>
      <c r="D726">
        <v>14.8</v>
      </c>
      <c r="E726" t="s">
        <v>717</v>
      </c>
    </row>
    <row r="727" spans="1:5" x14ac:dyDescent="0.25">
      <c r="A727" t="s">
        <v>2471</v>
      </c>
      <c r="B727" t="s">
        <v>2472</v>
      </c>
      <c r="C727" t="s">
        <v>3152</v>
      </c>
      <c r="D727">
        <v>21.85</v>
      </c>
      <c r="E727" t="s">
        <v>717</v>
      </c>
    </row>
    <row r="728" spans="1:5" x14ac:dyDescent="0.25">
      <c r="A728" t="s">
        <v>2473</v>
      </c>
      <c r="B728" t="s">
        <v>2474</v>
      </c>
      <c r="C728" t="s">
        <v>3152</v>
      </c>
      <c r="D728">
        <v>9.85</v>
      </c>
      <c r="E728" t="s">
        <v>717</v>
      </c>
    </row>
    <row r="729" spans="1:5" x14ac:dyDescent="0.25">
      <c r="A729" t="s">
        <v>2475</v>
      </c>
      <c r="B729" t="s">
        <v>2476</v>
      </c>
      <c r="C729" t="s">
        <v>3152</v>
      </c>
      <c r="D729">
        <v>21.85</v>
      </c>
      <c r="E729" t="s">
        <v>717</v>
      </c>
    </row>
    <row r="730" spans="1:5" x14ac:dyDescent="0.25">
      <c r="A730" t="s">
        <v>2477</v>
      </c>
      <c r="B730" t="s">
        <v>2478</v>
      </c>
      <c r="C730" t="s">
        <v>3152</v>
      </c>
      <c r="D730">
        <v>21.85</v>
      </c>
      <c r="E730" t="s">
        <v>717</v>
      </c>
    </row>
    <row r="731" spans="1:5" x14ac:dyDescent="0.25">
      <c r="A731" t="s">
        <v>3160</v>
      </c>
      <c r="B731" t="s">
        <v>3161</v>
      </c>
      <c r="C731" t="s">
        <v>3152</v>
      </c>
      <c r="D731">
        <v>14.35</v>
      </c>
      <c r="E731" t="s">
        <v>717</v>
      </c>
    </row>
    <row r="732" spans="1:5" x14ac:dyDescent="0.25">
      <c r="A732" t="s">
        <v>1210</v>
      </c>
      <c r="B732" t="s">
        <v>1211</v>
      </c>
      <c r="C732" t="s">
        <v>3152</v>
      </c>
      <c r="D732">
        <v>9.85</v>
      </c>
      <c r="E732" t="s">
        <v>717</v>
      </c>
    </row>
    <row r="733" spans="1:5" x14ac:dyDescent="0.25">
      <c r="A733" t="s">
        <v>2745</v>
      </c>
      <c r="B733" t="s">
        <v>2746</v>
      </c>
      <c r="C733" t="s">
        <v>3152</v>
      </c>
      <c r="D733">
        <v>9.85</v>
      </c>
      <c r="E733" t="s">
        <v>717</v>
      </c>
    </row>
    <row r="734" spans="1:5" x14ac:dyDescent="0.25">
      <c r="A734" t="s">
        <v>2747</v>
      </c>
      <c r="B734" t="s">
        <v>2748</v>
      </c>
      <c r="C734" t="s">
        <v>3152</v>
      </c>
      <c r="D734">
        <v>9.85</v>
      </c>
      <c r="E734" t="s">
        <v>717</v>
      </c>
    </row>
    <row r="735" spans="1:5" x14ac:dyDescent="0.25">
      <c r="A735" t="s">
        <v>2749</v>
      </c>
      <c r="B735" t="s">
        <v>2750</v>
      </c>
      <c r="C735" t="s">
        <v>3152</v>
      </c>
      <c r="D735">
        <v>21.85</v>
      </c>
      <c r="E735" t="s">
        <v>717</v>
      </c>
    </row>
    <row r="736" spans="1:5" x14ac:dyDescent="0.25">
      <c r="A736" t="s">
        <v>2753</v>
      </c>
      <c r="B736" t="s">
        <v>2754</v>
      </c>
      <c r="C736" t="s">
        <v>3152</v>
      </c>
      <c r="D736">
        <v>9.85</v>
      </c>
      <c r="E736" t="s">
        <v>717</v>
      </c>
    </row>
    <row r="737" spans="1:5" x14ac:dyDescent="0.25">
      <c r="A737" t="s">
        <v>2755</v>
      </c>
      <c r="B737" t="s">
        <v>2756</v>
      </c>
      <c r="C737" t="s">
        <v>3152</v>
      </c>
      <c r="D737">
        <v>9.85</v>
      </c>
      <c r="E737" t="s">
        <v>717</v>
      </c>
    </row>
    <row r="738" spans="1:5" x14ac:dyDescent="0.25">
      <c r="A738" t="s">
        <v>3162</v>
      </c>
      <c r="B738" t="s">
        <v>3163</v>
      </c>
      <c r="C738" t="s">
        <v>3152</v>
      </c>
      <c r="D738">
        <v>9.85</v>
      </c>
      <c r="E738" t="s">
        <v>717</v>
      </c>
    </row>
    <row r="739" spans="1:5" x14ac:dyDescent="0.25">
      <c r="A739" t="s">
        <v>2757</v>
      </c>
      <c r="B739" t="s">
        <v>2758</v>
      </c>
      <c r="C739" t="s">
        <v>3152</v>
      </c>
      <c r="D739">
        <v>9.85</v>
      </c>
      <c r="E739" t="s">
        <v>717</v>
      </c>
    </row>
    <row r="740" spans="1:5" x14ac:dyDescent="0.25">
      <c r="A740" t="s">
        <v>2759</v>
      </c>
      <c r="B740" t="s">
        <v>2760</v>
      </c>
      <c r="C740" t="s">
        <v>3152</v>
      </c>
      <c r="D740">
        <v>9.85</v>
      </c>
      <c r="E740" t="s">
        <v>717</v>
      </c>
    </row>
    <row r="741" spans="1:5" x14ac:dyDescent="0.25">
      <c r="A741" t="s">
        <v>2479</v>
      </c>
      <c r="B741" t="s">
        <v>2480</v>
      </c>
      <c r="C741" t="s">
        <v>3152</v>
      </c>
      <c r="D741">
        <v>3.55</v>
      </c>
      <c r="E741" t="s">
        <v>3164</v>
      </c>
    </row>
    <row r="742" spans="1:5" x14ac:dyDescent="0.25">
      <c r="A742" t="s">
        <v>2481</v>
      </c>
      <c r="B742" t="s">
        <v>2482</v>
      </c>
      <c r="C742" t="s">
        <v>3152</v>
      </c>
      <c r="D742">
        <v>3.55</v>
      </c>
      <c r="E742" t="s">
        <v>3164</v>
      </c>
    </row>
    <row r="743" spans="1:5" x14ac:dyDescent="0.25">
      <c r="A743" t="s">
        <v>2483</v>
      </c>
      <c r="B743" t="s">
        <v>2484</v>
      </c>
      <c r="C743" t="s">
        <v>3152</v>
      </c>
      <c r="D743">
        <v>3.55</v>
      </c>
      <c r="E743" t="s">
        <v>3164</v>
      </c>
    </row>
    <row r="744" spans="1:5" x14ac:dyDescent="0.25">
      <c r="A744" t="s">
        <v>2485</v>
      </c>
      <c r="B744" t="s">
        <v>2486</v>
      </c>
      <c r="C744" t="s">
        <v>3152</v>
      </c>
      <c r="D744">
        <v>3.55</v>
      </c>
      <c r="E744" t="s">
        <v>3164</v>
      </c>
    </row>
    <row r="745" spans="1:5" x14ac:dyDescent="0.25">
      <c r="A745" t="s">
        <v>2487</v>
      </c>
      <c r="B745" t="s">
        <v>2488</v>
      </c>
      <c r="C745" t="s">
        <v>3152</v>
      </c>
      <c r="D745">
        <v>3.55</v>
      </c>
      <c r="E745" t="s">
        <v>3164</v>
      </c>
    </row>
    <row r="746" spans="1:5" x14ac:dyDescent="0.25">
      <c r="A746" t="s">
        <v>2489</v>
      </c>
      <c r="B746" t="s">
        <v>2490</v>
      </c>
      <c r="C746" t="s">
        <v>3152</v>
      </c>
      <c r="D746">
        <v>3.55</v>
      </c>
      <c r="E746" t="s">
        <v>3164</v>
      </c>
    </row>
    <row r="747" spans="1:5" x14ac:dyDescent="0.25">
      <c r="A747" t="s">
        <v>2491</v>
      </c>
      <c r="B747" t="s">
        <v>2492</v>
      </c>
      <c r="C747" t="s">
        <v>3152</v>
      </c>
      <c r="D747">
        <v>3.55</v>
      </c>
      <c r="E747" t="s">
        <v>3164</v>
      </c>
    </row>
    <row r="748" spans="1:5" x14ac:dyDescent="0.25">
      <c r="A748" t="s">
        <v>2493</v>
      </c>
      <c r="B748" t="s">
        <v>2494</v>
      </c>
      <c r="C748" t="s">
        <v>3152</v>
      </c>
      <c r="D748">
        <v>3.55</v>
      </c>
      <c r="E748" t="s">
        <v>3164</v>
      </c>
    </row>
    <row r="749" spans="1:5" x14ac:dyDescent="0.25">
      <c r="A749" t="s">
        <v>2495</v>
      </c>
      <c r="B749" t="s">
        <v>2496</v>
      </c>
      <c r="C749" t="s">
        <v>3152</v>
      </c>
      <c r="D749">
        <v>3.55</v>
      </c>
      <c r="E749" t="s">
        <v>3164</v>
      </c>
    </row>
    <row r="750" spans="1:5" x14ac:dyDescent="0.25">
      <c r="A750" t="s">
        <v>2497</v>
      </c>
      <c r="B750" t="s">
        <v>2498</v>
      </c>
      <c r="C750" t="s">
        <v>3152</v>
      </c>
      <c r="D750">
        <v>3.55</v>
      </c>
      <c r="E750" t="s">
        <v>3164</v>
      </c>
    </row>
    <row r="751" spans="1:5" x14ac:dyDescent="0.25">
      <c r="A751" t="s">
        <v>2499</v>
      </c>
      <c r="B751" t="s">
        <v>2500</v>
      </c>
      <c r="C751" t="s">
        <v>3152</v>
      </c>
      <c r="D751">
        <v>3.55</v>
      </c>
      <c r="E751" t="s">
        <v>3164</v>
      </c>
    </row>
    <row r="752" spans="1:5" x14ac:dyDescent="0.25">
      <c r="A752" t="s">
        <v>2501</v>
      </c>
      <c r="B752" t="s">
        <v>2502</v>
      </c>
      <c r="C752" t="s">
        <v>3152</v>
      </c>
      <c r="D752">
        <v>3.55</v>
      </c>
      <c r="E752" t="s">
        <v>3164</v>
      </c>
    </row>
    <row r="753" spans="1:5" x14ac:dyDescent="0.25">
      <c r="A753" t="s">
        <v>2503</v>
      </c>
      <c r="B753" t="s">
        <v>2504</v>
      </c>
      <c r="C753" t="s">
        <v>3152</v>
      </c>
      <c r="D753">
        <v>3.55</v>
      </c>
      <c r="E753" t="s">
        <v>3164</v>
      </c>
    </row>
    <row r="754" spans="1:5" x14ac:dyDescent="0.25">
      <c r="A754" t="s">
        <v>2505</v>
      </c>
      <c r="B754" t="s">
        <v>2506</v>
      </c>
      <c r="C754" t="s">
        <v>3152</v>
      </c>
      <c r="D754">
        <v>3.55</v>
      </c>
      <c r="E754" t="s">
        <v>3164</v>
      </c>
    </row>
    <row r="755" spans="1:5" x14ac:dyDescent="0.25">
      <c r="A755" t="s">
        <v>2507</v>
      </c>
      <c r="B755" t="s">
        <v>2508</v>
      </c>
      <c r="C755" t="s">
        <v>3152</v>
      </c>
      <c r="D755">
        <v>3.55</v>
      </c>
      <c r="E755" t="s">
        <v>3164</v>
      </c>
    </row>
    <row r="756" spans="1:5" x14ac:dyDescent="0.25">
      <c r="A756" t="s">
        <v>2509</v>
      </c>
      <c r="B756" t="s">
        <v>2510</v>
      </c>
      <c r="C756" t="s">
        <v>3152</v>
      </c>
      <c r="D756">
        <v>3.85</v>
      </c>
      <c r="E756" t="s">
        <v>3165</v>
      </c>
    </row>
    <row r="757" spans="1:5" x14ac:dyDescent="0.25">
      <c r="A757" t="s">
        <v>2511</v>
      </c>
      <c r="B757" t="s">
        <v>2512</v>
      </c>
      <c r="C757" t="s">
        <v>3152</v>
      </c>
      <c r="D757">
        <v>4.75</v>
      </c>
      <c r="E757" t="s">
        <v>3165</v>
      </c>
    </row>
    <row r="758" spans="1:5" x14ac:dyDescent="0.25">
      <c r="A758" t="s">
        <v>2513</v>
      </c>
      <c r="B758" t="s">
        <v>2514</v>
      </c>
      <c r="C758" t="s">
        <v>3152</v>
      </c>
      <c r="D758">
        <v>4.75</v>
      </c>
      <c r="E758" t="s">
        <v>3165</v>
      </c>
    </row>
    <row r="759" spans="1:5" x14ac:dyDescent="0.25">
      <c r="A759" t="s">
        <v>2515</v>
      </c>
      <c r="B759" t="s">
        <v>2516</v>
      </c>
      <c r="C759" t="s">
        <v>3152</v>
      </c>
      <c r="D759">
        <v>2.1</v>
      </c>
      <c r="E759" t="s">
        <v>3165</v>
      </c>
    </row>
    <row r="760" spans="1:5" x14ac:dyDescent="0.25">
      <c r="A760" t="s">
        <v>2517</v>
      </c>
      <c r="B760" t="s">
        <v>2518</v>
      </c>
      <c r="C760" t="s">
        <v>3152</v>
      </c>
      <c r="D760">
        <v>2.1</v>
      </c>
      <c r="E760" t="s">
        <v>3165</v>
      </c>
    </row>
    <row r="761" spans="1:5" x14ac:dyDescent="0.25">
      <c r="A761" t="s">
        <v>2519</v>
      </c>
      <c r="B761" t="s">
        <v>2520</v>
      </c>
      <c r="C761" t="s">
        <v>3152</v>
      </c>
      <c r="D761">
        <v>2.1</v>
      </c>
      <c r="E761" t="s">
        <v>3165</v>
      </c>
    </row>
    <row r="762" spans="1:5" x14ac:dyDescent="0.25">
      <c r="A762" t="s">
        <v>2521</v>
      </c>
      <c r="B762" t="s">
        <v>2522</v>
      </c>
      <c r="C762" t="s">
        <v>3152</v>
      </c>
      <c r="D762">
        <v>4.75</v>
      </c>
      <c r="E762" t="s">
        <v>3165</v>
      </c>
    </row>
    <row r="763" spans="1:5" x14ac:dyDescent="0.25">
      <c r="A763" t="s">
        <v>2523</v>
      </c>
      <c r="B763" t="s">
        <v>2524</v>
      </c>
      <c r="C763" t="s">
        <v>3152</v>
      </c>
      <c r="D763">
        <v>8.5500000000000007</v>
      </c>
      <c r="E763" t="s">
        <v>3165</v>
      </c>
    </row>
    <row r="764" spans="1:5" x14ac:dyDescent="0.25">
      <c r="A764" t="s">
        <v>2525</v>
      </c>
      <c r="B764" t="s">
        <v>2526</v>
      </c>
      <c r="C764" t="s">
        <v>3152</v>
      </c>
      <c r="D764">
        <v>2.1</v>
      </c>
      <c r="E764" t="s">
        <v>3165</v>
      </c>
    </row>
    <row r="765" spans="1:5" x14ac:dyDescent="0.25">
      <c r="A765" t="s">
        <v>2527</v>
      </c>
      <c r="B765" t="s">
        <v>2528</v>
      </c>
      <c r="C765" t="s">
        <v>3152</v>
      </c>
      <c r="D765">
        <v>2.1</v>
      </c>
      <c r="E765" t="s">
        <v>3165</v>
      </c>
    </row>
    <row r="766" spans="1:5" x14ac:dyDescent="0.25">
      <c r="A766" t="s">
        <v>2529</v>
      </c>
      <c r="B766" t="s">
        <v>2530</v>
      </c>
      <c r="C766" t="s">
        <v>3152</v>
      </c>
      <c r="D766">
        <v>2.1</v>
      </c>
      <c r="E766" t="s">
        <v>3165</v>
      </c>
    </row>
    <row r="767" spans="1:5" x14ac:dyDescent="0.25">
      <c r="A767" t="s">
        <v>2531</v>
      </c>
      <c r="B767" t="s">
        <v>2532</v>
      </c>
      <c r="C767" t="s">
        <v>3152</v>
      </c>
      <c r="D767">
        <v>4.75</v>
      </c>
      <c r="E767" t="s">
        <v>3165</v>
      </c>
    </row>
    <row r="768" spans="1:5" x14ac:dyDescent="0.25">
      <c r="A768" t="s">
        <v>2533</v>
      </c>
      <c r="B768" t="s">
        <v>2534</v>
      </c>
      <c r="C768" t="s">
        <v>3152</v>
      </c>
      <c r="D768">
        <v>4.75</v>
      </c>
      <c r="E768" t="s">
        <v>3165</v>
      </c>
    </row>
    <row r="769" spans="1:5" x14ac:dyDescent="0.25">
      <c r="A769" t="s">
        <v>2535</v>
      </c>
      <c r="B769" t="s">
        <v>2536</v>
      </c>
      <c r="C769" t="s">
        <v>3152</v>
      </c>
      <c r="D769">
        <v>9.15</v>
      </c>
      <c r="E769" t="s">
        <v>3165</v>
      </c>
    </row>
    <row r="770" spans="1:5" x14ac:dyDescent="0.25">
      <c r="A770" t="s">
        <v>2537</v>
      </c>
      <c r="B770" t="s">
        <v>2538</v>
      </c>
      <c r="C770" t="s">
        <v>3152</v>
      </c>
      <c r="D770">
        <v>2.1</v>
      </c>
      <c r="E770" t="s">
        <v>3165</v>
      </c>
    </row>
    <row r="771" spans="1:5" x14ac:dyDescent="0.25">
      <c r="A771" t="s">
        <v>2539</v>
      </c>
      <c r="B771" t="s">
        <v>2540</v>
      </c>
      <c r="C771" t="s">
        <v>3152</v>
      </c>
      <c r="D771">
        <v>4.75</v>
      </c>
      <c r="E771" t="s">
        <v>3165</v>
      </c>
    </row>
    <row r="772" spans="1:5" x14ac:dyDescent="0.25">
      <c r="A772" t="s">
        <v>2541</v>
      </c>
      <c r="B772" t="s">
        <v>2542</v>
      </c>
      <c r="C772" t="s">
        <v>3152</v>
      </c>
      <c r="D772">
        <v>4.75</v>
      </c>
      <c r="E772" t="s">
        <v>3165</v>
      </c>
    </row>
    <row r="773" spans="1:5" x14ac:dyDescent="0.25">
      <c r="A773" t="s">
        <v>2543</v>
      </c>
      <c r="B773" t="s">
        <v>2544</v>
      </c>
      <c r="C773" t="s">
        <v>3152</v>
      </c>
      <c r="D773">
        <v>4.75</v>
      </c>
      <c r="E773" t="s">
        <v>3165</v>
      </c>
    </row>
    <row r="774" spans="1:5" x14ac:dyDescent="0.25">
      <c r="A774" t="s">
        <v>2545</v>
      </c>
      <c r="B774" t="s">
        <v>2546</v>
      </c>
      <c r="C774" t="s">
        <v>3152</v>
      </c>
      <c r="D774">
        <v>10.050000000000001</v>
      </c>
      <c r="E774" t="s">
        <v>3165</v>
      </c>
    </row>
    <row r="775" spans="1:5" x14ac:dyDescent="0.25">
      <c r="A775" t="s">
        <v>2547</v>
      </c>
      <c r="B775" t="s">
        <v>2548</v>
      </c>
      <c r="C775" t="s">
        <v>3152</v>
      </c>
      <c r="D775">
        <v>4.75</v>
      </c>
      <c r="E775" t="s">
        <v>3165</v>
      </c>
    </row>
    <row r="776" spans="1:5" x14ac:dyDescent="0.25">
      <c r="A776" t="s">
        <v>2549</v>
      </c>
      <c r="B776" t="s">
        <v>2550</v>
      </c>
      <c r="C776" t="s">
        <v>3152</v>
      </c>
      <c r="D776">
        <v>3.55</v>
      </c>
      <c r="E776" t="s">
        <v>3166</v>
      </c>
    </row>
    <row r="777" spans="1:5" x14ac:dyDescent="0.25">
      <c r="A777" t="s">
        <v>2551</v>
      </c>
      <c r="B777" t="s">
        <v>2552</v>
      </c>
      <c r="C777" t="s">
        <v>3152</v>
      </c>
      <c r="D777">
        <v>3.55</v>
      </c>
      <c r="E777" t="s">
        <v>3166</v>
      </c>
    </row>
    <row r="778" spans="1:5" x14ac:dyDescent="0.25">
      <c r="A778" t="s">
        <v>2553</v>
      </c>
      <c r="B778" t="s">
        <v>2554</v>
      </c>
      <c r="C778" t="s">
        <v>3152</v>
      </c>
      <c r="D778">
        <v>3.55</v>
      </c>
      <c r="E778" t="s">
        <v>3166</v>
      </c>
    </row>
    <row r="779" spans="1:5" x14ac:dyDescent="0.25">
      <c r="A779" t="s">
        <v>2555</v>
      </c>
      <c r="B779" t="s">
        <v>2556</v>
      </c>
      <c r="C779" t="s">
        <v>3152</v>
      </c>
      <c r="D779">
        <v>3.55</v>
      </c>
      <c r="E779" t="s">
        <v>3166</v>
      </c>
    </row>
    <row r="780" spans="1:5" x14ac:dyDescent="0.25">
      <c r="A780" t="s">
        <v>2557</v>
      </c>
      <c r="B780" t="s">
        <v>2558</v>
      </c>
      <c r="C780" t="s">
        <v>3152</v>
      </c>
      <c r="D780">
        <v>3.55</v>
      </c>
      <c r="E780" t="s">
        <v>3166</v>
      </c>
    </row>
    <row r="781" spans="1:5" x14ac:dyDescent="0.25">
      <c r="A781" t="s">
        <v>2559</v>
      </c>
      <c r="B781" t="s">
        <v>2560</v>
      </c>
      <c r="C781" t="s">
        <v>3152</v>
      </c>
      <c r="D781">
        <v>3.55</v>
      </c>
      <c r="E781" t="s">
        <v>3166</v>
      </c>
    </row>
    <row r="782" spans="1:5" x14ac:dyDescent="0.25">
      <c r="A782" t="s">
        <v>2561</v>
      </c>
      <c r="B782" t="s">
        <v>2562</v>
      </c>
      <c r="C782" t="s">
        <v>3152</v>
      </c>
      <c r="D782">
        <v>3.55</v>
      </c>
      <c r="E782" t="s">
        <v>3166</v>
      </c>
    </row>
    <row r="783" spans="1:5" x14ac:dyDescent="0.25">
      <c r="A783" t="s">
        <v>2563</v>
      </c>
      <c r="B783" t="s">
        <v>2564</v>
      </c>
      <c r="C783" t="s">
        <v>3152</v>
      </c>
      <c r="D783">
        <v>3.55</v>
      </c>
      <c r="E783" t="s">
        <v>3166</v>
      </c>
    </row>
    <row r="784" spans="1:5" x14ac:dyDescent="0.25">
      <c r="A784" t="s">
        <v>2565</v>
      </c>
      <c r="B784" t="s">
        <v>2566</v>
      </c>
      <c r="C784" t="s">
        <v>3152</v>
      </c>
      <c r="D784">
        <v>3.55</v>
      </c>
      <c r="E784" t="s">
        <v>3166</v>
      </c>
    </row>
    <row r="785" spans="1:5" x14ac:dyDescent="0.25">
      <c r="A785" t="s">
        <v>2567</v>
      </c>
      <c r="B785" t="s">
        <v>2568</v>
      </c>
      <c r="C785" t="s">
        <v>3152</v>
      </c>
      <c r="D785">
        <v>3.55</v>
      </c>
      <c r="E785" t="s">
        <v>3166</v>
      </c>
    </row>
    <row r="786" spans="1:5" x14ac:dyDescent="0.25">
      <c r="A786" t="s">
        <v>2569</v>
      </c>
      <c r="B786" t="s">
        <v>2570</v>
      </c>
      <c r="C786" t="s">
        <v>3152</v>
      </c>
      <c r="D786">
        <v>3.55</v>
      </c>
      <c r="E786" t="s">
        <v>3166</v>
      </c>
    </row>
    <row r="787" spans="1:5" x14ac:dyDescent="0.25">
      <c r="A787" t="s">
        <v>2571</v>
      </c>
      <c r="B787" t="s">
        <v>2572</v>
      </c>
      <c r="C787" t="s">
        <v>3152</v>
      </c>
      <c r="D787">
        <v>3.55</v>
      </c>
      <c r="E787" t="s">
        <v>3166</v>
      </c>
    </row>
    <row r="788" spans="1:5" x14ac:dyDescent="0.25">
      <c r="A788" t="s">
        <v>2573</v>
      </c>
      <c r="B788" t="s">
        <v>2574</v>
      </c>
      <c r="C788" t="s">
        <v>3152</v>
      </c>
      <c r="D788">
        <v>3.55</v>
      </c>
      <c r="E788" t="s">
        <v>3166</v>
      </c>
    </row>
    <row r="789" spans="1:5" x14ac:dyDescent="0.25">
      <c r="A789" t="s">
        <v>2575</v>
      </c>
      <c r="B789" t="s">
        <v>2576</v>
      </c>
      <c r="C789" t="s">
        <v>3152</v>
      </c>
      <c r="D789">
        <v>3.55</v>
      </c>
      <c r="E789" t="s">
        <v>3166</v>
      </c>
    </row>
    <row r="790" spans="1:5" x14ac:dyDescent="0.25">
      <c r="A790" t="s">
        <v>2577</v>
      </c>
      <c r="B790" t="s">
        <v>2578</v>
      </c>
      <c r="C790" t="s">
        <v>3152</v>
      </c>
      <c r="D790">
        <v>3.55</v>
      </c>
      <c r="E790" t="s">
        <v>3166</v>
      </c>
    </row>
    <row r="791" spans="1:5" x14ac:dyDescent="0.25">
      <c r="A791" t="s">
        <v>2579</v>
      </c>
      <c r="B791" t="s">
        <v>2580</v>
      </c>
      <c r="C791" t="s">
        <v>3152</v>
      </c>
      <c r="D791">
        <v>3.55</v>
      </c>
      <c r="E791" t="s">
        <v>3166</v>
      </c>
    </row>
    <row r="792" spans="1:5" x14ac:dyDescent="0.25">
      <c r="A792" t="s">
        <v>2581</v>
      </c>
      <c r="B792" t="s">
        <v>2582</v>
      </c>
      <c r="C792" t="s">
        <v>3152</v>
      </c>
      <c r="D792">
        <v>3.55</v>
      </c>
      <c r="E792" t="s">
        <v>3166</v>
      </c>
    </row>
    <row r="793" spans="1:5" x14ac:dyDescent="0.25">
      <c r="A793" t="s">
        <v>2583</v>
      </c>
      <c r="B793" t="s">
        <v>2584</v>
      </c>
      <c r="C793" t="s">
        <v>3152</v>
      </c>
      <c r="D793">
        <v>3.55</v>
      </c>
      <c r="E793" t="s">
        <v>3166</v>
      </c>
    </row>
    <row r="794" spans="1:5" x14ac:dyDescent="0.25">
      <c r="A794" t="s">
        <v>2585</v>
      </c>
      <c r="B794" t="s">
        <v>2586</v>
      </c>
      <c r="C794" t="s">
        <v>3152</v>
      </c>
      <c r="D794">
        <v>3.55</v>
      </c>
      <c r="E794" t="s">
        <v>3166</v>
      </c>
    </row>
    <row r="795" spans="1:5" x14ac:dyDescent="0.25">
      <c r="A795" t="s">
        <v>2587</v>
      </c>
      <c r="B795" t="s">
        <v>2588</v>
      </c>
      <c r="C795" t="s">
        <v>3152</v>
      </c>
      <c r="D795">
        <v>3.55</v>
      </c>
      <c r="E795" t="s">
        <v>3166</v>
      </c>
    </row>
    <row r="796" spans="1:5" x14ac:dyDescent="0.25">
      <c r="A796" t="s">
        <v>2589</v>
      </c>
      <c r="B796" t="s">
        <v>2590</v>
      </c>
      <c r="C796" t="s">
        <v>3152</v>
      </c>
      <c r="D796">
        <v>3.55</v>
      </c>
      <c r="E796" t="s">
        <v>3166</v>
      </c>
    </row>
    <row r="797" spans="1:5" x14ac:dyDescent="0.25">
      <c r="A797" t="s">
        <v>2591</v>
      </c>
      <c r="B797" t="s">
        <v>2592</v>
      </c>
      <c r="C797" t="s">
        <v>3152</v>
      </c>
      <c r="D797">
        <v>3.55</v>
      </c>
      <c r="E797" t="s">
        <v>3166</v>
      </c>
    </row>
    <row r="798" spans="1:5" x14ac:dyDescent="0.25">
      <c r="A798" t="s">
        <v>2593</v>
      </c>
      <c r="B798" t="s">
        <v>2594</v>
      </c>
      <c r="C798" t="s">
        <v>3152</v>
      </c>
      <c r="D798">
        <v>3.55</v>
      </c>
      <c r="E798" t="s">
        <v>3166</v>
      </c>
    </row>
    <row r="799" spans="1:5" x14ac:dyDescent="0.25">
      <c r="A799" t="s">
        <v>2595</v>
      </c>
      <c r="B799" t="s">
        <v>2596</v>
      </c>
      <c r="C799" t="s">
        <v>3152</v>
      </c>
      <c r="D799">
        <v>3.55</v>
      </c>
      <c r="E799" t="s">
        <v>3166</v>
      </c>
    </row>
    <row r="800" spans="1:5" x14ac:dyDescent="0.25">
      <c r="A800" t="s">
        <v>2597</v>
      </c>
      <c r="B800" t="s">
        <v>2598</v>
      </c>
      <c r="C800" t="s">
        <v>3152</v>
      </c>
      <c r="D800">
        <v>3.55</v>
      </c>
      <c r="E800" t="s">
        <v>3166</v>
      </c>
    </row>
    <row r="801" spans="1:5" x14ac:dyDescent="0.25">
      <c r="A801" t="s">
        <v>2599</v>
      </c>
      <c r="B801" t="s">
        <v>2600</v>
      </c>
      <c r="C801" t="s">
        <v>3152</v>
      </c>
      <c r="D801">
        <v>3.55</v>
      </c>
      <c r="E801" t="s">
        <v>3166</v>
      </c>
    </row>
    <row r="802" spans="1:5" x14ac:dyDescent="0.25">
      <c r="A802" t="s">
        <v>2601</v>
      </c>
      <c r="B802" t="s">
        <v>2602</v>
      </c>
      <c r="C802" t="s">
        <v>3152</v>
      </c>
      <c r="D802">
        <v>3.55</v>
      </c>
      <c r="E802" t="s">
        <v>3166</v>
      </c>
    </row>
    <row r="803" spans="1:5" x14ac:dyDescent="0.25">
      <c r="A803" t="s">
        <v>2603</v>
      </c>
      <c r="B803" t="s">
        <v>2604</v>
      </c>
      <c r="C803" t="s">
        <v>3152</v>
      </c>
      <c r="D803">
        <v>3.55</v>
      </c>
      <c r="E803" t="s">
        <v>3166</v>
      </c>
    </row>
    <row r="804" spans="1:5" x14ac:dyDescent="0.25">
      <c r="A804" t="s">
        <v>2605</v>
      </c>
      <c r="B804" t="s">
        <v>2606</v>
      </c>
      <c r="C804" t="s">
        <v>3152</v>
      </c>
      <c r="D804">
        <v>3.55</v>
      </c>
      <c r="E804" t="s">
        <v>3166</v>
      </c>
    </row>
    <row r="805" spans="1:5" x14ac:dyDescent="0.25">
      <c r="A805" t="s">
        <v>2607</v>
      </c>
      <c r="B805" t="s">
        <v>2608</v>
      </c>
      <c r="C805" t="s">
        <v>3152</v>
      </c>
      <c r="D805">
        <v>3.55</v>
      </c>
      <c r="E805" t="s">
        <v>3166</v>
      </c>
    </row>
    <row r="806" spans="1:5" x14ac:dyDescent="0.25">
      <c r="A806" t="s">
        <v>2609</v>
      </c>
      <c r="B806" t="s">
        <v>2610</v>
      </c>
      <c r="C806" t="s">
        <v>3152</v>
      </c>
      <c r="D806">
        <v>3.55</v>
      </c>
      <c r="E806" t="s">
        <v>3166</v>
      </c>
    </row>
    <row r="807" spans="1:5" x14ac:dyDescent="0.25">
      <c r="A807" t="s">
        <v>2611</v>
      </c>
      <c r="B807" t="s">
        <v>2612</v>
      </c>
      <c r="C807" t="s">
        <v>3152</v>
      </c>
      <c r="D807">
        <v>3.55</v>
      </c>
      <c r="E807" t="s">
        <v>3166</v>
      </c>
    </row>
    <row r="808" spans="1:5" x14ac:dyDescent="0.25">
      <c r="A808" t="s">
        <v>2613</v>
      </c>
      <c r="B808" t="s">
        <v>2614</v>
      </c>
      <c r="C808" t="s">
        <v>3152</v>
      </c>
      <c r="D808">
        <v>3.55</v>
      </c>
      <c r="E808" t="s">
        <v>3166</v>
      </c>
    </row>
    <row r="809" spans="1:5" x14ac:dyDescent="0.25">
      <c r="A809" t="s">
        <v>2615</v>
      </c>
      <c r="B809" t="s">
        <v>2616</v>
      </c>
      <c r="C809" t="s">
        <v>3152</v>
      </c>
      <c r="D809">
        <v>3.55</v>
      </c>
      <c r="E809" t="s">
        <v>3166</v>
      </c>
    </row>
    <row r="810" spans="1:5" x14ac:dyDescent="0.25">
      <c r="A810" t="s">
        <v>2617</v>
      </c>
      <c r="B810" t="s">
        <v>2618</v>
      </c>
      <c r="C810" t="s">
        <v>3152</v>
      </c>
      <c r="D810">
        <v>3.55</v>
      </c>
      <c r="E810" t="s">
        <v>3166</v>
      </c>
    </row>
    <row r="811" spans="1:5" x14ac:dyDescent="0.25">
      <c r="A811" t="s">
        <v>2619</v>
      </c>
      <c r="B811" t="s">
        <v>2620</v>
      </c>
      <c r="C811" t="s">
        <v>3152</v>
      </c>
      <c r="D811">
        <v>3.55</v>
      </c>
      <c r="E811" t="s">
        <v>3166</v>
      </c>
    </row>
    <row r="812" spans="1:5" x14ac:dyDescent="0.25">
      <c r="A812" t="s">
        <v>2621</v>
      </c>
      <c r="B812" t="s">
        <v>2622</v>
      </c>
      <c r="C812" t="s">
        <v>3152</v>
      </c>
      <c r="D812">
        <v>3.55</v>
      </c>
      <c r="E812" t="s">
        <v>3166</v>
      </c>
    </row>
    <row r="813" spans="1:5" x14ac:dyDescent="0.25">
      <c r="A813" t="s">
        <v>2623</v>
      </c>
      <c r="B813" t="s">
        <v>2624</v>
      </c>
      <c r="C813" t="s">
        <v>3152</v>
      </c>
      <c r="D813">
        <v>3.55</v>
      </c>
      <c r="E813" t="s">
        <v>3166</v>
      </c>
    </row>
    <row r="814" spans="1:5" x14ac:dyDescent="0.25">
      <c r="A814" t="s">
        <v>2625</v>
      </c>
      <c r="B814" t="s">
        <v>2626</v>
      </c>
      <c r="C814" t="s">
        <v>3152</v>
      </c>
      <c r="D814">
        <v>3.55</v>
      </c>
      <c r="E814" t="s">
        <v>3166</v>
      </c>
    </row>
    <row r="815" spans="1:5" x14ac:dyDescent="0.25">
      <c r="A815" t="s">
        <v>2627</v>
      </c>
      <c r="B815" t="s">
        <v>2628</v>
      </c>
      <c r="C815" t="s">
        <v>3152</v>
      </c>
      <c r="D815">
        <v>3.55</v>
      </c>
      <c r="E815" t="s">
        <v>3166</v>
      </c>
    </row>
    <row r="816" spans="1:5" x14ac:dyDescent="0.25">
      <c r="A816" t="s">
        <v>2629</v>
      </c>
      <c r="B816" t="s">
        <v>2630</v>
      </c>
      <c r="C816" t="s">
        <v>3152</v>
      </c>
      <c r="D816">
        <v>3.55</v>
      </c>
      <c r="E816" t="s">
        <v>3166</v>
      </c>
    </row>
    <row r="817" spans="1:5" x14ac:dyDescent="0.25">
      <c r="A817" t="s">
        <v>2631</v>
      </c>
      <c r="B817" t="s">
        <v>2632</v>
      </c>
      <c r="C817" t="s">
        <v>3152</v>
      </c>
      <c r="D817">
        <v>6.5</v>
      </c>
      <c r="E817" t="s">
        <v>3166</v>
      </c>
    </row>
    <row r="818" spans="1:5" x14ac:dyDescent="0.25">
      <c r="A818" t="s">
        <v>2633</v>
      </c>
      <c r="B818" t="s">
        <v>2634</v>
      </c>
      <c r="C818" t="s">
        <v>3152</v>
      </c>
      <c r="D818">
        <v>6.5</v>
      </c>
      <c r="E818" t="s">
        <v>3166</v>
      </c>
    </row>
    <row r="819" spans="1:5" x14ac:dyDescent="0.25">
      <c r="A819" t="s">
        <v>2635</v>
      </c>
      <c r="B819" t="s">
        <v>2636</v>
      </c>
      <c r="C819" t="s">
        <v>3152</v>
      </c>
      <c r="D819">
        <v>6.5</v>
      </c>
      <c r="E819" t="s">
        <v>3166</v>
      </c>
    </row>
    <row r="820" spans="1:5" x14ac:dyDescent="0.25">
      <c r="A820" t="s">
        <v>2637</v>
      </c>
      <c r="B820" t="s">
        <v>2638</v>
      </c>
      <c r="C820" t="s">
        <v>3152</v>
      </c>
      <c r="D820">
        <v>6.5</v>
      </c>
      <c r="E820" t="s">
        <v>3166</v>
      </c>
    </row>
    <row r="821" spans="1:5" x14ac:dyDescent="0.25">
      <c r="A821" t="s">
        <v>768</v>
      </c>
      <c r="B821" t="s">
        <v>769</v>
      </c>
      <c r="C821" t="s">
        <v>3152</v>
      </c>
      <c r="D821">
        <v>15.95</v>
      </c>
      <c r="E821" t="s">
        <v>3167</v>
      </c>
    </row>
    <row r="822" spans="1:5" x14ac:dyDescent="0.25">
      <c r="A822" t="s">
        <v>2639</v>
      </c>
      <c r="B822" t="s">
        <v>2640</v>
      </c>
      <c r="C822" t="s">
        <v>3152</v>
      </c>
      <c r="D822">
        <v>14.45</v>
      </c>
      <c r="E822" t="s">
        <v>3167</v>
      </c>
    </row>
    <row r="823" spans="1:5" x14ac:dyDescent="0.25">
      <c r="A823" t="s">
        <v>799</v>
      </c>
      <c r="B823" t="s">
        <v>800</v>
      </c>
      <c r="C823" t="s">
        <v>3152</v>
      </c>
      <c r="D823">
        <v>12.1</v>
      </c>
      <c r="E823" t="s">
        <v>3167</v>
      </c>
    </row>
    <row r="824" spans="1:5" x14ac:dyDescent="0.25">
      <c r="A824" t="s">
        <v>2641</v>
      </c>
      <c r="B824" t="s">
        <v>2642</v>
      </c>
      <c r="C824" t="s">
        <v>3152</v>
      </c>
      <c r="D824">
        <v>23.35</v>
      </c>
      <c r="E824" t="s">
        <v>3167</v>
      </c>
    </row>
    <row r="825" spans="1:5" x14ac:dyDescent="0.25">
      <c r="A825" t="s">
        <v>2643</v>
      </c>
      <c r="B825" t="s">
        <v>2644</v>
      </c>
      <c r="C825" t="s">
        <v>3152</v>
      </c>
      <c r="D825">
        <v>14.75</v>
      </c>
      <c r="E825" t="s">
        <v>3167</v>
      </c>
    </row>
    <row r="826" spans="1:5" x14ac:dyDescent="0.25">
      <c r="A826" t="s">
        <v>2645</v>
      </c>
      <c r="B826" t="s">
        <v>2646</v>
      </c>
      <c r="C826" t="s">
        <v>3152</v>
      </c>
      <c r="D826">
        <v>11.8</v>
      </c>
      <c r="E826" t="s">
        <v>3167</v>
      </c>
    </row>
    <row r="827" spans="1:5" x14ac:dyDescent="0.25">
      <c r="A827" t="s">
        <v>2647</v>
      </c>
      <c r="B827" t="s">
        <v>2648</v>
      </c>
      <c r="C827" t="s">
        <v>3152</v>
      </c>
      <c r="D827">
        <v>62.5</v>
      </c>
      <c r="E827" t="s">
        <v>3167</v>
      </c>
    </row>
    <row r="828" spans="1:5" x14ac:dyDescent="0.25">
      <c r="A828" t="s">
        <v>2675</v>
      </c>
      <c r="B828" t="s">
        <v>2676</v>
      </c>
      <c r="C828" t="s">
        <v>3152</v>
      </c>
      <c r="D828">
        <v>17.5</v>
      </c>
      <c r="E828" t="s">
        <v>3167</v>
      </c>
    </row>
    <row r="829" spans="1:5" x14ac:dyDescent="0.25">
      <c r="A829" t="s">
        <v>2677</v>
      </c>
      <c r="B829" t="s">
        <v>2678</v>
      </c>
      <c r="C829" t="s">
        <v>3152</v>
      </c>
      <c r="D829">
        <v>9.25</v>
      </c>
      <c r="E829" t="s">
        <v>3167</v>
      </c>
    </row>
    <row r="830" spans="1:5" x14ac:dyDescent="0.25">
      <c r="A830" t="s">
        <v>2679</v>
      </c>
      <c r="B830" t="s">
        <v>2680</v>
      </c>
      <c r="C830" t="s">
        <v>3152</v>
      </c>
      <c r="D830">
        <v>15.95</v>
      </c>
      <c r="E830" t="s">
        <v>3167</v>
      </c>
    </row>
    <row r="831" spans="1:5" x14ac:dyDescent="0.25">
      <c r="A831" t="s">
        <v>2649</v>
      </c>
      <c r="B831" t="s">
        <v>2650</v>
      </c>
      <c r="C831" t="s">
        <v>3152</v>
      </c>
      <c r="D831">
        <v>15.95</v>
      </c>
      <c r="E831" t="s">
        <v>3168</v>
      </c>
    </row>
    <row r="832" spans="1:5" x14ac:dyDescent="0.25">
      <c r="A832" t="s">
        <v>2651</v>
      </c>
      <c r="B832" t="s">
        <v>2652</v>
      </c>
      <c r="C832" t="s">
        <v>3152</v>
      </c>
      <c r="D832">
        <v>4.75</v>
      </c>
      <c r="E832" t="s">
        <v>3168</v>
      </c>
    </row>
    <row r="833" spans="1:5" x14ac:dyDescent="0.25">
      <c r="A833" t="s">
        <v>2799</v>
      </c>
      <c r="B833" t="s">
        <v>2800</v>
      </c>
      <c r="C833" t="s">
        <v>3152</v>
      </c>
      <c r="D833">
        <v>10.6</v>
      </c>
      <c r="E833" t="s">
        <v>3168</v>
      </c>
    </row>
    <row r="834" spans="1:5" x14ac:dyDescent="0.25">
      <c r="A834" t="s">
        <v>2801</v>
      </c>
      <c r="B834" t="s">
        <v>2802</v>
      </c>
      <c r="C834" t="s">
        <v>3152</v>
      </c>
      <c r="D834">
        <v>10.6</v>
      </c>
      <c r="E834" t="s">
        <v>3168</v>
      </c>
    </row>
    <row r="835" spans="1:5" x14ac:dyDescent="0.25">
      <c r="A835" t="s">
        <v>2803</v>
      </c>
      <c r="B835" t="s">
        <v>2804</v>
      </c>
      <c r="C835" t="s">
        <v>3152</v>
      </c>
      <c r="D835">
        <v>10.6</v>
      </c>
      <c r="E835" t="s">
        <v>3168</v>
      </c>
    </row>
    <row r="836" spans="1:5" x14ac:dyDescent="0.25">
      <c r="A836" t="s">
        <v>2805</v>
      </c>
      <c r="B836" t="s">
        <v>2806</v>
      </c>
      <c r="C836" t="s">
        <v>3152</v>
      </c>
      <c r="D836">
        <v>10.6</v>
      </c>
      <c r="E836" t="s">
        <v>3168</v>
      </c>
    </row>
    <row r="837" spans="1:5" x14ac:dyDescent="0.25">
      <c r="A837" t="s">
        <v>2807</v>
      </c>
      <c r="B837" t="s">
        <v>2808</v>
      </c>
      <c r="C837" t="s">
        <v>3152</v>
      </c>
      <c r="D837">
        <v>29.45</v>
      </c>
      <c r="E837" t="s">
        <v>3168</v>
      </c>
    </row>
    <row r="838" spans="1:5" x14ac:dyDescent="0.25">
      <c r="A838" t="s">
        <v>2653</v>
      </c>
      <c r="B838" t="s">
        <v>2654</v>
      </c>
      <c r="C838" t="s">
        <v>3152</v>
      </c>
      <c r="D838">
        <v>1.8</v>
      </c>
      <c r="E838" t="s">
        <v>3169</v>
      </c>
    </row>
    <row r="839" spans="1:5" x14ac:dyDescent="0.25">
      <c r="A839" t="s">
        <v>2655</v>
      </c>
      <c r="B839" t="s">
        <v>2656</v>
      </c>
      <c r="C839" t="s">
        <v>3152</v>
      </c>
      <c r="D839">
        <v>1.8</v>
      </c>
      <c r="E839" t="s">
        <v>3169</v>
      </c>
    </row>
    <row r="840" spans="1:5" x14ac:dyDescent="0.25">
      <c r="A840" t="s">
        <v>2657</v>
      </c>
      <c r="B840" t="s">
        <v>2658</v>
      </c>
      <c r="C840" t="s">
        <v>3152</v>
      </c>
      <c r="D840">
        <v>1.8</v>
      </c>
      <c r="E840" t="s">
        <v>3169</v>
      </c>
    </row>
    <row r="841" spans="1:5" x14ac:dyDescent="0.25">
      <c r="A841" t="s">
        <v>2659</v>
      </c>
      <c r="B841" t="s">
        <v>2660</v>
      </c>
      <c r="C841" t="s">
        <v>3152</v>
      </c>
      <c r="D841">
        <v>1.8</v>
      </c>
      <c r="E841" t="s">
        <v>3169</v>
      </c>
    </row>
    <row r="842" spans="1:5" x14ac:dyDescent="0.25">
      <c r="A842" t="s">
        <v>2661</v>
      </c>
      <c r="B842" t="s">
        <v>2662</v>
      </c>
      <c r="C842" t="s">
        <v>3152</v>
      </c>
      <c r="D842">
        <v>1.8</v>
      </c>
      <c r="E842" t="s">
        <v>3169</v>
      </c>
    </row>
    <row r="843" spans="1:5" x14ac:dyDescent="0.25">
      <c r="A843" t="s">
        <v>2663</v>
      </c>
      <c r="B843" t="s">
        <v>2664</v>
      </c>
      <c r="C843" t="s">
        <v>3152</v>
      </c>
      <c r="D843">
        <v>1.8</v>
      </c>
      <c r="E843" t="s">
        <v>3169</v>
      </c>
    </row>
    <row r="844" spans="1:5" x14ac:dyDescent="0.25">
      <c r="A844" t="s">
        <v>2665</v>
      </c>
      <c r="B844" t="s">
        <v>2666</v>
      </c>
      <c r="C844" t="s">
        <v>3152</v>
      </c>
      <c r="D844">
        <v>1.8</v>
      </c>
      <c r="E844" t="s">
        <v>3169</v>
      </c>
    </row>
    <row r="845" spans="1:5" x14ac:dyDescent="0.25">
      <c r="A845" t="s">
        <v>2667</v>
      </c>
      <c r="B845" t="s">
        <v>2668</v>
      </c>
      <c r="C845" t="s">
        <v>3152</v>
      </c>
      <c r="D845">
        <v>1.8</v>
      </c>
      <c r="E845" t="s">
        <v>3169</v>
      </c>
    </row>
    <row r="846" spans="1:5" x14ac:dyDescent="0.25">
      <c r="A846" t="s">
        <v>2669</v>
      </c>
      <c r="B846" t="s">
        <v>2670</v>
      </c>
      <c r="C846" t="s">
        <v>3152</v>
      </c>
      <c r="D846">
        <v>1.8</v>
      </c>
      <c r="E846" t="s">
        <v>3169</v>
      </c>
    </row>
    <row r="847" spans="1:5" x14ac:dyDescent="0.25">
      <c r="A847" t="s">
        <v>2671</v>
      </c>
      <c r="B847" t="s">
        <v>2672</v>
      </c>
      <c r="C847" t="s">
        <v>3152</v>
      </c>
      <c r="D847">
        <v>1.8</v>
      </c>
      <c r="E847" t="s">
        <v>3169</v>
      </c>
    </row>
    <row r="848" spans="1:5" x14ac:dyDescent="0.25">
      <c r="A848" t="s">
        <v>2673</v>
      </c>
      <c r="B848" t="s">
        <v>2674</v>
      </c>
      <c r="C848" t="s">
        <v>3152</v>
      </c>
      <c r="D848">
        <v>1.8</v>
      </c>
      <c r="E848" t="s">
        <v>3169</v>
      </c>
    </row>
    <row r="849" spans="1:5" x14ac:dyDescent="0.25">
      <c r="A849" t="s">
        <v>901</v>
      </c>
      <c r="B849" t="s">
        <v>902</v>
      </c>
      <c r="C849" t="s">
        <v>3152</v>
      </c>
      <c r="D849">
        <v>15.95</v>
      </c>
      <c r="E849" t="s">
        <v>3170</v>
      </c>
    </row>
    <row r="850" spans="1:5" x14ac:dyDescent="0.25">
      <c r="A850" t="s">
        <v>911</v>
      </c>
      <c r="B850" t="s">
        <v>912</v>
      </c>
      <c r="C850" t="s">
        <v>3152</v>
      </c>
      <c r="D850">
        <v>13.3</v>
      </c>
      <c r="E850" t="s">
        <v>3170</v>
      </c>
    </row>
    <row r="851" spans="1:5" x14ac:dyDescent="0.25">
      <c r="A851" t="s">
        <v>2681</v>
      </c>
      <c r="B851" t="s">
        <v>2682</v>
      </c>
      <c r="C851" t="s">
        <v>3152</v>
      </c>
      <c r="D851">
        <v>13.3</v>
      </c>
      <c r="E851" t="s">
        <v>3170</v>
      </c>
    </row>
    <row r="852" spans="1:5" x14ac:dyDescent="0.25">
      <c r="A852" t="s">
        <v>914</v>
      </c>
      <c r="B852" t="s">
        <v>915</v>
      </c>
      <c r="C852" t="s">
        <v>3152</v>
      </c>
      <c r="D852">
        <v>11.55</v>
      </c>
      <c r="E852" t="s">
        <v>3170</v>
      </c>
    </row>
    <row r="853" spans="1:5" x14ac:dyDescent="0.25">
      <c r="A853" t="s">
        <v>927</v>
      </c>
      <c r="B853" t="s">
        <v>928</v>
      </c>
      <c r="C853" t="s">
        <v>3152</v>
      </c>
      <c r="D853">
        <v>18.600000000000001</v>
      </c>
      <c r="E853" t="s">
        <v>3170</v>
      </c>
    </row>
    <row r="854" spans="1:5" x14ac:dyDescent="0.25">
      <c r="A854" t="s">
        <v>919</v>
      </c>
      <c r="B854" t="s">
        <v>920</v>
      </c>
      <c r="C854" t="s">
        <v>3152</v>
      </c>
      <c r="D854">
        <v>53.05</v>
      </c>
      <c r="E854" t="s">
        <v>3170</v>
      </c>
    </row>
    <row r="855" spans="1:5" x14ac:dyDescent="0.25">
      <c r="A855" t="s">
        <v>1055</v>
      </c>
      <c r="B855" t="s">
        <v>1056</v>
      </c>
      <c r="C855" t="s">
        <v>3152</v>
      </c>
      <c r="D855">
        <v>9.5</v>
      </c>
      <c r="E855" t="s">
        <v>3170</v>
      </c>
    </row>
    <row r="856" spans="1:5" x14ac:dyDescent="0.25">
      <c r="A856" t="s">
        <v>2683</v>
      </c>
      <c r="B856" t="s">
        <v>2684</v>
      </c>
      <c r="C856" t="s">
        <v>3152</v>
      </c>
      <c r="D856">
        <v>15.1</v>
      </c>
      <c r="E856" t="s">
        <v>3170</v>
      </c>
    </row>
    <row r="857" spans="1:5" x14ac:dyDescent="0.25">
      <c r="A857" t="s">
        <v>2685</v>
      </c>
      <c r="B857" t="s">
        <v>2686</v>
      </c>
      <c r="C857" t="s">
        <v>3152</v>
      </c>
      <c r="D857">
        <v>20.100000000000001</v>
      </c>
      <c r="E857" t="s">
        <v>3170</v>
      </c>
    </row>
    <row r="858" spans="1:5" x14ac:dyDescent="0.25">
      <c r="A858" t="s">
        <v>2687</v>
      </c>
      <c r="B858" t="s">
        <v>2688</v>
      </c>
      <c r="C858" t="s">
        <v>3152</v>
      </c>
      <c r="D858">
        <v>25.35</v>
      </c>
      <c r="E858" t="s">
        <v>3170</v>
      </c>
    </row>
    <row r="859" spans="1:5" x14ac:dyDescent="0.25">
      <c r="A859" t="s">
        <v>2689</v>
      </c>
      <c r="B859" t="s">
        <v>2690</v>
      </c>
      <c r="C859" t="s">
        <v>3152</v>
      </c>
      <c r="D859">
        <v>30.4</v>
      </c>
      <c r="E859" t="s">
        <v>3170</v>
      </c>
    </row>
    <row r="860" spans="1:5" x14ac:dyDescent="0.25">
      <c r="A860" t="s">
        <v>2691</v>
      </c>
      <c r="B860" t="s">
        <v>2692</v>
      </c>
      <c r="C860" t="s">
        <v>3152</v>
      </c>
      <c r="D860">
        <v>35.4</v>
      </c>
      <c r="E860" t="s">
        <v>3170</v>
      </c>
    </row>
    <row r="861" spans="1:5" x14ac:dyDescent="0.25">
      <c r="A861" t="s">
        <v>2693</v>
      </c>
      <c r="B861" t="s">
        <v>2694</v>
      </c>
      <c r="C861" t="s">
        <v>3152</v>
      </c>
      <c r="D861">
        <v>17.649999999999999</v>
      </c>
      <c r="E861" t="s">
        <v>3170</v>
      </c>
    </row>
    <row r="862" spans="1:5" x14ac:dyDescent="0.25">
      <c r="A862" t="s">
        <v>2695</v>
      </c>
      <c r="B862" t="s">
        <v>2696</v>
      </c>
      <c r="C862" t="s">
        <v>3152</v>
      </c>
      <c r="D862">
        <v>17.649999999999999</v>
      </c>
      <c r="E862" t="s">
        <v>3170</v>
      </c>
    </row>
    <row r="863" spans="1:5" x14ac:dyDescent="0.25">
      <c r="A863" t="s">
        <v>3171</v>
      </c>
      <c r="B863" t="s">
        <v>3172</v>
      </c>
      <c r="C863" t="s">
        <v>3152</v>
      </c>
      <c r="D863">
        <v>15.95</v>
      </c>
      <c r="E863" t="s">
        <v>3170</v>
      </c>
    </row>
    <row r="864" spans="1:5" x14ac:dyDescent="0.25">
      <c r="A864" t="s">
        <v>2697</v>
      </c>
      <c r="B864" t="s">
        <v>2698</v>
      </c>
      <c r="C864" t="s">
        <v>3152</v>
      </c>
      <c r="D864">
        <v>1.65</v>
      </c>
      <c r="E864" t="s">
        <v>3170</v>
      </c>
    </row>
    <row r="865" spans="1:5" x14ac:dyDescent="0.25">
      <c r="A865" t="s">
        <v>2699</v>
      </c>
      <c r="B865" t="s">
        <v>2700</v>
      </c>
      <c r="C865" t="s">
        <v>3152</v>
      </c>
      <c r="D865">
        <v>2.2000000000000002</v>
      </c>
      <c r="E865" t="s">
        <v>3170</v>
      </c>
    </row>
    <row r="866" spans="1:5" x14ac:dyDescent="0.25">
      <c r="A866" t="s">
        <v>2701</v>
      </c>
      <c r="B866" t="s">
        <v>2702</v>
      </c>
      <c r="C866" t="s">
        <v>3152</v>
      </c>
      <c r="D866">
        <v>3.55</v>
      </c>
      <c r="E866" t="s">
        <v>3018</v>
      </c>
    </row>
    <row r="867" spans="1:5" x14ac:dyDescent="0.25">
      <c r="A867" t="s">
        <v>2703</v>
      </c>
      <c r="B867" t="s">
        <v>2704</v>
      </c>
      <c r="C867" t="s">
        <v>3152</v>
      </c>
      <c r="D867">
        <v>3.55</v>
      </c>
      <c r="E867" t="s">
        <v>3018</v>
      </c>
    </row>
    <row r="868" spans="1:5" x14ac:dyDescent="0.25">
      <c r="A868" t="s">
        <v>2705</v>
      </c>
      <c r="B868" t="s">
        <v>2706</v>
      </c>
      <c r="C868" t="s">
        <v>3152</v>
      </c>
      <c r="D868">
        <v>3.55</v>
      </c>
      <c r="E868" t="s">
        <v>3018</v>
      </c>
    </row>
    <row r="869" spans="1:5" x14ac:dyDescent="0.25">
      <c r="A869" t="s">
        <v>2707</v>
      </c>
      <c r="B869" t="s">
        <v>2708</v>
      </c>
      <c r="C869" t="s">
        <v>3152</v>
      </c>
      <c r="D869">
        <v>3.55</v>
      </c>
      <c r="E869" t="s">
        <v>3018</v>
      </c>
    </row>
    <row r="870" spans="1:5" x14ac:dyDescent="0.25">
      <c r="A870" t="s">
        <v>2709</v>
      </c>
      <c r="B870" t="s">
        <v>2710</v>
      </c>
      <c r="C870" t="s">
        <v>3152</v>
      </c>
      <c r="D870">
        <v>3.55</v>
      </c>
      <c r="E870" t="s">
        <v>3018</v>
      </c>
    </row>
    <row r="871" spans="1:5" x14ac:dyDescent="0.25">
      <c r="A871" t="s">
        <v>2711</v>
      </c>
      <c r="B871" t="s">
        <v>2712</v>
      </c>
      <c r="C871" t="s">
        <v>3152</v>
      </c>
      <c r="D871">
        <v>3.55</v>
      </c>
      <c r="E871" t="s">
        <v>3018</v>
      </c>
    </row>
    <row r="872" spans="1:5" x14ac:dyDescent="0.25">
      <c r="A872" t="s">
        <v>2713</v>
      </c>
      <c r="B872" t="s">
        <v>2714</v>
      </c>
      <c r="C872" t="s">
        <v>3152</v>
      </c>
      <c r="D872">
        <v>3.55</v>
      </c>
      <c r="E872" t="s">
        <v>3018</v>
      </c>
    </row>
    <row r="873" spans="1:5" x14ac:dyDescent="0.25">
      <c r="A873" t="s">
        <v>2715</v>
      </c>
      <c r="B873" t="s">
        <v>2716</v>
      </c>
      <c r="C873" t="s">
        <v>3152</v>
      </c>
      <c r="D873">
        <v>3.55</v>
      </c>
      <c r="E873" t="s">
        <v>3018</v>
      </c>
    </row>
    <row r="874" spans="1:5" x14ac:dyDescent="0.25">
      <c r="A874" t="s">
        <v>2717</v>
      </c>
      <c r="B874" t="s">
        <v>2718</v>
      </c>
      <c r="C874" t="s">
        <v>3152</v>
      </c>
      <c r="D874">
        <v>3.55</v>
      </c>
      <c r="E874" t="s">
        <v>3018</v>
      </c>
    </row>
    <row r="875" spans="1:5" x14ac:dyDescent="0.25">
      <c r="A875" t="s">
        <v>2719</v>
      </c>
      <c r="B875" t="s">
        <v>2720</v>
      </c>
      <c r="C875" t="s">
        <v>3152</v>
      </c>
      <c r="D875">
        <v>3.55</v>
      </c>
      <c r="E875" t="s">
        <v>3018</v>
      </c>
    </row>
    <row r="876" spans="1:5" x14ac:dyDescent="0.25">
      <c r="A876" t="s">
        <v>2721</v>
      </c>
      <c r="B876" t="s">
        <v>2722</v>
      </c>
      <c r="C876" t="s">
        <v>3152</v>
      </c>
      <c r="D876">
        <v>3.55</v>
      </c>
      <c r="E876" t="s">
        <v>3018</v>
      </c>
    </row>
    <row r="877" spans="1:5" x14ac:dyDescent="0.25">
      <c r="A877" t="s">
        <v>2723</v>
      </c>
      <c r="B877" t="s">
        <v>2724</v>
      </c>
      <c r="C877" t="s">
        <v>3152</v>
      </c>
      <c r="D877">
        <v>3.55</v>
      </c>
      <c r="E877" t="s">
        <v>3018</v>
      </c>
    </row>
    <row r="878" spans="1:5" x14ac:dyDescent="0.25">
      <c r="A878" t="s">
        <v>2725</v>
      </c>
      <c r="B878" t="s">
        <v>2726</v>
      </c>
      <c r="C878" t="s">
        <v>3152</v>
      </c>
      <c r="D878">
        <v>3.55</v>
      </c>
      <c r="E878" t="s">
        <v>3018</v>
      </c>
    </row>
    <row r="879" spans="1:5" x14ac:dyDescent="0.25">
      <c r="A879" t="s">
        <v>2727</v>
      </c>
      <c r="B879" t="s">
        <v>2728</v>
      </c>
      <c r="C879" t="s">
        <v>3152</v>
      </c>
      <c r="D879">
        <v>3.55</v>
      </c>
      <c r="E879" t="s">
        <v>3018</v>
      </c>
    </row>
    <row r="880" spans="1:5" x14ac:dyDescent="0.25">
      <c r="A880" t="s">
        <v>2729</v>
      </c>
      <c r="B880" t="s">
        <v>2730</v>
      </c>
      <c r="C880" t="s">
        <v>3152</v>
      </c>
      <c r="D880">
        <v>3.55</v>
      </c>
      <c r="E880" t="s">
        <v>3018</v>
      </c>
    </row>
    <row r="881" spans="1:5" x14ac:dyDescent="0.25">
      <c r="A881" t="s">
        <v>2731</v>
      </c>
      <c r="B881" t="s">
        <v>2732</v>
      </c>
      <c r="C881" t="s">
        <v>3152</v>
      </c>
      <c r="D881">
        <v>3.55</v>
      </c>
      <c r="E881" t="s">
        <v>3018</v>
      </c>
    </row>
    <row r="882" spans="1:5" x14ac:dyDescent="0.25">
      <c r="A882" t="s">
        <v>2733</v>
      </c>
      <c r="B882" t="s">
        <v>2734</v>
      </c>
      <c r="C882" t="s">
        <v>3152</v>
      </c>
      <c r="D882">
        <v>3.55</v>
      </c>
      <c r="E882" t="s">
        <v>3018</v>
      </c>
    </row>
    <row r="883" spans="1:5" x14ac:dyDescent="0.25">
      <c r="A883" t="s">
        <v>2735</v>
      </c>
      <c r="B883" t="s">
        <v>2736</v>
      </c>
      <c r="C883" t="s">
        <v>3152</v>
      </c>
      <c r="D883">
        <v>3.55</v>
      </c>
      <c r="E883" t="s">
        <v>3018</v>
      </c>
    </row>
    <row r="884" spans="1:5" x14ac:dyDescent="0.25">
      <c r="A884" t="s">
        <v>2737</v>
      </c>
      <c r="B884" t="s">
        <v>2738</v>
      </c>
      <c r="C884" t="s">
        <v>3152</v>
      </c>
      <c r="D884">
        <v>3.55</v>
      </c>
      <c r="E884" t="s">
        <v>3018</v>
      </c>
    </row>
    <row r="885" spans="1:5" x14ac:dyDescent="0.25">
      <c r="A885" t="s">
        <v>2739</v>
      </c>
      <c r="B885" t="s">
        <v>2740</v>
      </c>
      <c r="C885" t="s">
        <v>3152</v>
      </c>
      <c r="D885">
        <v>3.55</v>
      </c>
      <c r="E885" t="s">
        <v>3018</v>
      </c>
    </row>
    <row r="886" spans="1:5" x14ac:dyDescent="0.25">
      <c r="A886" t="s">
        <v>2741</v>
      </c>
      <c r="B886" t="s">
        <v>2742</v>
      </c>
      <c r="C886" t="s">
        <v>3152</v>
      </c>
      <c r="D886">
        <v>3.55</v>
      </c>
      <c r="E886" t="s">
        <v>3018</v>
      </c>
    </row>
    <row r="887" spans="1:5" x14ac:dyDescent="0.25">
      <c r="A887" t="s">
        <v>2743</v>
      </c>
      <c r="B887" t="s">
        <v>2744</v>
      </c>
      <c r="C887" t="s">
        <v>3152</v>
      </c>
      <c r="D887">
        <v>3.55</v>
      </c>
      <c r="E887" t="s">
        <v>3018</v>
      </c>
    </row>
    <row r="888" spans="1:5" x14ac:dyDescent="0.25">
      <c r="A888" t="s">
        <v>1728</v>
      </c>
      <c r="B888" t="s">
        <v>1729</v>
      </c>
      <c r="C888" t="s">
        <v>3152</v>
      </c>
      <c r="D888">
        <v>19.8</v>
      </c>
      <c r="E888" t="s">
        <v>3173</v>
      </c>
    </row>
    <row r="889" spans="1:5" x14ac:dyDescent="0.25">
      <c r="A889" t="s">
        <v>1737</v>
      </c>
      <c r="B889" t="s">
        <v>1738</v>
      </c>
      <c r="C889" t="s">
        <v>3152</v>
      </c>
      <c r="D889">
        <v>10.050000000000001</v>
      </c>
      <c r="E889" t="s">
        <v>3173</v>
      </c>
    </row>
    <row r="890" spans="1:5" x14ac:dyDescent="0.25">
      <c r="A890" t="s">
        <v>1731</v>
      </c>
      <c r="B890" t="s">
        <v>1732</v>
      </c>
      <c r="C890" t="s">
        <v>3152</v>
      </c>
      <c r="D890">
        <v>3.55</v>
      </c>
      <c r="E890" t="s">
        <v>3173</v>
      </c>
    </row>
    <row r="891" spans="1:5" x14ac:dyDescent="0.25">
      <c r="A891" t="s">
        <v>1199</v>
      </c>
      <c r="B891" t="s">
        <v>1200</v>
      </c>
      <c r="C891" t="s">
        <v>3152</v>
      </c>
      <c r="D891">
        <v>20.65</v>
      </c>
      <c r="E891" t="s">
        <v>3174</v>
      </c>
    </row>
    <row r="892" spans="1:5" x14ac:dyDescent="0.25">
      <c r="A892" t="s">
        <v>2751</v>
      </c>
      <c r="B892" t="s">
        <v>2752</v>
      </c>
      <c r="C892" t="s">
        <v>3152</v>
      </c>
      <c r="D892">
        <v>14.75</v>
      </c>
      <c r="E892" t="s">
        <v>3174</v>
      </c>
    </row>
    <row r="893" spans="1:5" x14ac:dyDescent="0.25">
      <c r="A893" t="s">
        <v>1366</v>
      </c>
      <c r="B893" t="s">
        <v>1367</v>
      </c>
      <c r="C893" t="s">
        <v>3152</v>
      </c>
      <c r="D893">
        <v>10.050000000000001</v>
      </c>
      <c r="E893" t="s">
        <v>3020</v>
      </c>
    </row>
    <row r="894" spans="1:5" x14ac:dyDescent="0.25">
      <c r="A894" t="s">
        <v>1362</v>
      </c>
      <c r="B894" t="s">
        <v>1363</v>
      </c>
      <c r="C894" t="s">
        <v>3152</v>
      </c>
      <c r="D894">
        <v>8.5500000000000007</v>
      </c>
      <c r="E894" t="s">
        <v>3020</v>
      </c>
    </row>
    <row r="895" spans="1:5" x14ac:dyDescent="0.25">
      <c r="A895" t="s">
        <v>2761</v>
      </c>
      <c r="B895" t="s">
        <v>2762</v>
      </c>
      <c r="C895" t="s">
        <v>3152</v>
      </c>
      <c r="D895">
        <v>8.5500000000000007</v>
      </c>
      <c r="E895" t="s">
        <v>3020</v>
      </c>
    </row>
    <row r="896" spans="1:5" x14ac:dyDescent="0.25">
      <c r="A896" t="s">
        <v>2763</v>
      </c>
      <c r="B896" t="s">
        <v>2764</v>
      </c>
      <c r="C896" t="s">
        <v>3152</v>
      </c>
      <c r="D896">
        <v>8.5500000000000007</v>
      </c>
      <c r="E896" t="s">
        <v>3020</v>
      </c>
    </row>
    <row r="897" spans="1:5" x14ac:dyDescent="0.25">
      <c r="A897" t="s">
        <v>2765</v>
      </c>
      <c r="B897" t="s">
        <v>2766</v>
      </c>
      <c r="C897" t="s">
        <v>3152</v>
      </c>
      <c r="D897">
        <v>8.5500000000000007</v>
      </c>
      <c r="E897" t="s">
        <v>3020</v>
      </c>
    </row>
    <row r="898" spans="1:5" x14ac:dyDescent="0.25">
      <c r="A898" t="s">
        <v>2767</v>
      </c>
      <c r="B898" t="s">
        <v>2768</v>
      </c>
      <c r="C898" t="s">
        <v>3152</v>
      </c>
      <c r="D898">
        <v>8.5500000000000007</v>
      </c>
      <c r="E898" t="s">
        <v>3020</v>
      </c>
    </row>
    <row r="899" spans="1:5" x14ac:dyDescent="0.25">
      <c r="A899" t="s">
        <v>2769</v>
      </c>
      <c r="B899" t="s">
        <v>2770</v>
      </c>
      <c r="C899" t="s">
        <v>3152</v>
      </c>
      <c r="D899">
        <v>8.5500000000000007</v>
      </c>
      <c r="E899" t="s">
        <v>3020</v>
      </c>
    </row>
    <row r="900" spans="1:5" x14ac:dyDescent="0.25">
      <c r="A900" t="s">
        <v>2771</v>
      </c>
      <c r="B900" t="s">
        <v>2772</v>
      </c>
      <c r="C900" t="s">
        <v>3152</v>
      </c>
      <c r="D900">
        <v>8.5500000000000007</v>
      </c>
      <c r="E900" t="s">
        <v>3020</v>
      </c>
    </row>
    <row r="901" spans="1:5" x14ac:dyDescent="0.25">
      <c r="A901" t="s">
        <v>1372</v>
      </c>
      <c r="B901" t="s">
        <v>1373</v>
      </c>
      <c r="C901" t="s">
        <v>3152</v>
      </c>
      <c r="D901">
        <v>14.45</v>
      </c>
      <c r="E901" t="s">
        <v>3020</v>
      </c>
    </row>
    <row r="902" spans="1:5" x14ac:dyDescent="0.25">
      <c r="A902" t="s">
        <v>2773</v>
      </c>
      <c r="B902" t="s">
        <v>2774</v>
      </c>
      <c r="C902" t="s">
        <v>3152</v>
      </c>
      <c r="D902">
        <v>9.5</v>
      </c>
      <c r="E902" t="s">
        <v>3020</v>
      </c>
    </row>
    <row r="903" spans="1:5" x14ac:dyDescent="0.25">
      <c r="A903" t="s">
        <v>3175</v>
      </c>
      <c r="B903" t="s">
        <v>3176</v>
      </c>
      <c r="C903" t="s">
        <v>3152</v>
      </c>
      <c r="D903">
        <v>9.5</v>
      </c>
      <c r="E903" t="s">
        <v>3020</v>
      </c>
    </row>
    <row r="904" spans="1:5" x14ac:dyDescent="0.25">
      <c r="A904" t="s">
        <v>2775</v>
      </c>
      <c r="B904" t="s">
        <v>2776</v>
      </c>
      <c r="C904" t="s">
        <v>3152</v>
      </c>
      <c r="D904">
        <v>9.5</v>
      </c>
      <c r="E904" t="s">
        <v>3020</v>
      </c>
    </row>
    <row r="905" spans="1:5" x14ac:dyDescent="0.25">
      <c r="A905" t="s">
        <v>2777</v>
      </c>
      <c r="B905" t="s">
        <v>2778</v>
      </c>
      <c r="C905" t="s">
        <v>3152</v>
      </c>
      <c r="D905">
        <v>9.5</v>
      </c>
      <c r="E905" t="s">
        <v>3020</v>
      </c>
    </row>
    <row r="906" spans="1:5" x14ac:dyDescent="0.25">
      <c r="A906" t="s">
        <v>2779</v>
      </c>
      <c r="B906" t="s">
        <v>2780</v>
      </c>
      <c r="C906" t="s">
        <v>3152</v>
      </c>
      <c r="D906">
        <v>14.45</v>
      </c>
      <c r="E906" t="s">
        <v>3020</v>
      </c>
    </row>
    <row r="907" spans="1:5" x14ac:dyDescent="0.25">
      <c r="A907" t="s">
        <v>2781</v>
      </c>
      <c r="B907" t="s">
        <v>2782</v>
      </c>
      <c r="C907" t="s">
        <v>3152</v>
      </c>
      <c r="D907">
        <v>10.050000000000001</v>
      </c>
      <c r="E907" t="s">
        <v>3020</v>
      </c>
    </row>
    <row r="908" spans="1:5" x14ac:dyDescent="0.25">
      <c r="A908" t="s">
        <v>2783</v>
      </c>
      <c r="B908" t="s">
        <v>2784</v>
      </c>
      <c r="C908" t="s">
        <v>3152</v>
      </c>
      <c r="D908">
        <v>9.5</v>
      </c>
      <c r="E908" t="s">
        <v>3020</v>
      </c>
    </row>
    <row r="909" spans="1:5" x14ac:dyDescent="0.25">
      <c r="A909" t="s">
        <v>2785</v>
      </c>
      <c r="B909" t="s">
        <v>2786</v>
      </c>
      <c r="C909" t="s">
        <v>3152</v>
      </c>
      <c r="D909">
        <v>9.5</v>
      </c>
      <c r="E909" t="s">
        <v>3020</v>
      </c>
    </row>
    <row r="910" spans="1:5" x14ac:dyDescent="0.25">
      <c r="A910" t="s">
        <v>2787</v>
      </c>
      <c r="B910" t="s">
        <v>2788</v>
      </c>
      <c r="C910" t="s">
        <v>3152</v>
      </c>
      <c r="D910">
        <v>9.5</v>
      </c>
      <c r="E910" t="s">
        <v>3020</v>
      </c>
    </row>
    <row r="911" spans="1:5" x14ac:dyDescent="0.25">
      <c r="A911" t="s">
        <v>2789</v>
      </c>
      <c r="B911" t="s">
        <v>2790</v>
      </c>
      <c r="C911" t="s">
        <v>3152</v>
      </c>
      <c r="D911">
        <v>10.3</v>
      </c>
      <c r="E911" t="s">
        <v>3020</v>
      </c>
    </row>
    <row r="912" spans="1:5" x14ac:dyDescent="0.25">
      <c r="A912" t="s">
        <v>2791</v>
      </c>
      <c r="B912" t="s">
        <v>2792</v>
      </c>
      <c r="C912" t="s">
        <v>3152</v>
      </c>
      <c r="D912">
        <v>20.6</v>
      </c>
      <c r="E912" t="s">
        <v>3020</v>
      </c>
    </row>
    <row r="913" spans="1:5" x14ac:dyDescent="0.25">
      <c r="A913" t="s">
        <v>2793</v>
      </c>
      <c r="B913" t="s">
        <v>2794</v>
      </c>
      <c r="C913" t="s">
        <v>3152</v>
      </c>
      <c r="D913">
        <v>20.6</v>
      </c>
      <c r="E913" t="s">
        <v>3020</v>
      </c>
    </row>
    <row r="914" spans="1:5" x14ac:dyDescent="0.25">
      <c r="A914" t="s">
        <v>1999</v>
      </c>
      <c r="B914" t="s">
        <v>2000</v>
      </c>
      <c r="C914" t="s">
        <v>3152</v>
      </c>
      <c r="D914">
        <v>17.399999999999999</v>
      </c>
      <c r="E914" t="s">
        <v>3177</v>
      </c>
    </row>
    <row r="915" spans="1:5" x14ac:dyDescent="0.25">
      <c r="A915" t="s">
        <v>2795</v>
      </c>
      <c r="B915" t="s">
        <v>2796</v>
      </c>
      <c r="C915" t="s">
        <v>3152</v>
      </c>
      <c r="D915">
        <v>17.399999999999999</v>
      </c>
      <c r="E915" t="s">
        <v>3177</v>
      </c>
    </row>
    <row r="916" spans="1:5" x14ac:dyDescent="0.25">
      <c r="A916" t="s">
        <v>2797</v>
      </c>
      <c r="B916" t="s">
        <v>2798</v>
      </c>
      <c r="C916" t="s">
        <v>3152</v>
      </c>
      <c r="D916">
        <v>17.399999999999999</v>
      </c>
      <c r="E916" t="s">
        <v>3177</v>
      </c>
    </row>
    <row r="917" spans="1:5" x14ac:dyDescent="0.25">
      <c r="A917" t="s">
        <v>1948</v>
      </c>
      <c r="B917" t="s">
        <v>1949</v>
      </c>
      <c r="C917" t="s">
        <v>3152</v>
      </c>
      <c r="D917">
        <v>5.35</v>
      </c>
      <c r="E917" t="s">
        <v>3022</v>
      </c>
    </row>
    <row r="918" spans="1:5" x14ac:dyDescent="0.25">
      <c r="A918" t="s">
        <v>1942</v>
      </c>
      <c r="B918" t="s">
        <v>1943</v>
      </c>
      <c r="C918" t="s">
        <v>3152</v>
      </c>
      <c r="D918">
        <v>5.6</v>
      </c>
      <c r="E918" t="s">
        <v>3022</v>
      </c>
    </row>
    <row r="919" spans="1:5" x14ac:dyDescent="0.25">
      <c r="A919" t="s">
        <v>2809</v>
      </c>
      <c r="B919" t="s">
        <v>2810</v>
      </c>
      <c r="C919" t="s">
        <v>3152</v>
      </c>
      <c r="D919">
        <v>5.35</v>
      </c>
      <c r="E919" t="s">
        <v>3022</v>
      </c>
    </row>
    <row r="920" spans="1:5" x14ac:dyDescent="0.25">
      <c r="A920" t="s">
        <v>1945</v>
      </c>
      <c r="B920" t="s">
        <v>1946</v>
      </c>
      <c r="C920" t="s">
        <v>3152</v>
      </c>
      <c r="D920">
        <v>14</v>
      </c>
      <c r="E920" t="s">
        <v>3022</v>
      </c>
    </row>
    <row r="921" spans="1:5" x14ac:dyDescent="0.25">
      <c r="A921" t="s">
        <v>2811</v>
      </c>
      <c r="B921" t="s">
        <v>2812</v>
      </c>
      <c r="C921" t="s">
        <v>3152</v>
      </c>
      <c r="D921">
        <v>14</v>
      </c>
      <c r="E921" t="s">
        <v>3022</v>
      </c>
    </row>
    <row r="922" spans="1:5" x14ac:dyDescent="0.25">
      <c r="A922" t="s">
        <v>2813</v>
      </c>
      <c r="B922" t="s">
        <v>2814</v>
      </c>
      <c r="C922" t="s">
        <v>3152</v>
      </c>
      <c r="D922">
        <v>4.1500000000000004</v>
      </c>
      <c r="E922" t="s">
        <v>3022</v>
      </c>
    </row>
    <row r="923" spans="1:5" x14ac:dyDescent="0.25">
      <c r="A923" t="s">
        <v>2815</v>
      </c>
      <c r="B923" t="s">
        <v>2816</v>
      </c>
      <c r="C923" t="s">
        <v>3152</v>
      </c>
      <c r="D923">
        <v>9.0500000000000007</v>
      </c>
      <c r="E923" t="s">
        <v>3022</v>
      </c>
    </row>
    <row r="924" spans="1:5" x14ac:dyDescent="0.25">
      <c r="A924" t="s">
        <v>1950</v>
      </c>
      <c r="B924" t="s">
        <v>1951</v>
      </c>
      <c r="C924" t="s">
        <v>3152</v>
      </c>
      <c r="D924">
        <v>23.9</v>
      </c>
      <c r="E924" t="s">
        <v>3022</v>
      </c>
    </row>
    <row r="925" spans="1:5" x14ac:dyDescent="0.25">
      <c r="A925" t="s">
        <v>2817</v>
      </c>
      <c r="B925" t="s">
        <v>2818</v>
      </c>
      <c r="C925" t="s">
        <v>3152</v>
      </c>
      <c r="D925">
        <v>3.55</v>
      </c>
      <c r="E925" t="s">
        <v>3178</v>
      </c>
    </row>
    <row r="926" spans="1:5" x14ac:dyDescent="0.25">
      <c r="A926" t="s">
        <v>2819</v>
      </c>
      <c r="B926" t="s">
        <v>2820</v>
      </c>
      <c r="C926" t="s">
        <v>3152</v>
      </c>
      <c r="D926">
        <v>47.8</v>
      </c>
      <c r="E926" t="s">
        <v>3178</v>
      </c>
    </row>
    <row r="927" spans="1:5" x14ac:dyDescent="0.25">
      <c r="A927" t="s">
        <v>2821</v>
      </c>
      <c r="B927" t="s">
        <v>2822</v>
      </c>
      <c r="C927" t="s">
        <v>3152</v>
      </c>
      <c r="D927">
        <v>153.25</v>
      </c>
      <c r="E927" t="s">
        <v>3178</v>
      </c>
    </row>
    <row r="928" spans="1:5" x14ac:dyDescent="0.25">
      <c r="A928" t="s">
        <v>2823</v>
      </c>
      <c r="B928" t="s">
        <v>2824</v>
      </c>
      <c r="C928" t="s">
        <v>3152</v>
      </c>
      <c r="D928">
        <v>19.8</v>
      </c>
      <c r="E928" t="s">
        <v>3178</v>
      </c>
    </row>
    <row r="929" spans="1:5" x14ac:dyDescent="0.25">
      <c r="A929" t="s">
        <v>2825</v>
      </c>
      <c r="B929" t="s">
        <v>2826</v>
      </c>
      <c r="C929" t="s">
        <v>3152</v>
      </c>
      <c r="D929">
        <v>47.8</v>
      </c>
      <c r="E929" t="s">
        <v>3178</v>
      </c>
    </row>
    <row r="930" spans="1:5" x14ac:dyDescent="0.25">
      <c r="A930" t="s">
        <v>2827</v>
      </c>
      <c r="B930" t="s">
        <v>2828</v>
      </c>
      <c r="C930" t="s">
        <v>3152</v>
      </c>
      <c r="D930">
        <v>67.849999999999994</v>
      </c>
      <c r="E930" t="s">
        <v>3178</v>
      </c>
    </row>
    <row r="931" spans="1:5" x14ac:dyDescent="0.25">
      <c r="A931" t="s">
        <v>2829</v>
      </c>
      <c r="B931" t="s">
        <v>2830</v>
      </c>
      <c r="C931" t="s">
        <v>3152</v>
      </c>
      <c r="D931">
        <v>73.7</v>
      </c>
      <c r="E931" t="s">
        <v>3178</v>
      </c>
    </row>
    <row r="932" spans="1:5" x14ac:dyDescent="0.25">
      <c r="A932" t="s">
        <v>2831</v>
      </c>
      <c r="B932" t="s">
        <v>2832</v>
      </c>
      <c r="C932" t="s">
        <v>3152</v>
      </c>
      <c r="D932">
        <v>33.049999999999997</v>
      </c>
      <c r="E932" t="s">
        <v>3178</v>
      </c>
    </row>
    <row r="933" spans="1:5" x14ac:dyDescent="0.25">
      <c r="A933" t="s">
        <v>2298</v>
      </c>
      <c r="B933" t="s">
        <v>2299</v>
      </c>
      <c r="C933" t="s">
        <v>3152</v>
      </c>
      <c r="D933">
        <v>11.55</v>
      </c>
      <c r="E933" t="s">
        <v>3178</v>
      </c>
    </row>
    <row r="934" spans="1:5" x14ac:dyDescent="0.25">
      <c r="A934" t="s">
        <v>2833</v>
      </c>
      <c r="B934" t="s">
        <v>2834</v>
      </c>
      <c r="C934" t="s">
        <v>3152</v>
      </c>
      <c r="D934">
        <v>6.25</v>
      </c>
      <c r="E934" t="s">
        <v>3178</v>
      </c>
    </row>
    <row r="935" spans="1:5" x14ac:dyDescent="0.25">
      <c r="A935" t="s">
        <v>2835</v>
      </c>
      <c r="B935" t="s">
        <v>2836</v>
      </c>
      <c r="C935" t="s">
        <v>3152</v>
      </c>
      <c r="D935">
        <v>6.25</v>
      </c>
      <c r="E935" t="s">
        <v>3178</v>
      </c>
    </row>
    <row r="936" spans="1:5" x14ac:dyDescent="0.25">
      <c r="A936" t="s">
        <v>2837</v>
      </c>
      <c r="B936" t="s">
        <v>2838</v>
      </c>
      <c r="C936" t="s">
        <v>3152</v>
      </c>
      <c r="D936">
        <v>6.25</v>
      </c>
      <c r="E936" t="s">
        <v>3178</v>
      </c>
    </row>
    <row r="937" spans="1:5" x14ac:dyDescent="0.25">
      <c r="A937" t="s">
        <v>2839</v>
      </c>
      <c r="B937" t="s">
        <v>2840</v>
      </c>
      <c r="C937" t="s">
        <v>3152</v>
      </c>
      <c r="D937">
        <v>33.049999999999997</v>
      </c>
      <c r="E937" t="s">
        <v>3178</v>
      </c>
    </row>
    <row r="938" spans="1:5" x14ac:dyDescent="0.25">
      <c r="A938" t="s">
        <v>2841</v>
      </c>
      <c r="B938" t="s">
        <v>2842</v>
      </c>
      <c r="C938" t="s">
        <v>3152</v>
      </c>
      <c r="D938">
        <v>41</v>
      </c>
      <c r="E938" t="s">
        <v>3179</v>
      </c>
    </row>
    <row r="939" spans="1:5" x14ac:dyDescent="0.25">
      <c r="A939" t="s">
        <v>2401</v>
      </c>
      <c r="B939" t="s">
        <v>2402</v>
      </c>
      <c r="C939" t="s">
        <v>3152</v>
      </c>
      <c r="D939">
        <v>18.600000000000001</v>
      </c>
      <c r="E939" t="s">
        <v>3179</v>
      </c>
    </row>
    <row r="940" spans="1:5" x14ac:dyDescent="0.25">
      <c r="A940" t="s">
        <v>2844</v>
      </c>
      <c r="B940" t="s">
        <v>2845</v>
      </c>
      <c r="C940" t="s">
        <v>3152</v>
      </c>
      <c r="D940">
        <v>6.5</v>
      </c>
      <c r="E940" t="s">
        <v>3179</v>
      </c>
    </row>
    <row r="941" spans="1:5" x14ac:dyDescent="0.25">
      <c r="A941" t="s">
        <v>2846</v>
      </c>
      <c r="B941" t="s">
        <v>2847</v>
      </c>
      <c r="C941" t="s">
        <v>3152</v>
      </c>
      <c r="D941">
        <v>10.050000000000001</v>
      </c>
      <c r="E941" t="s">
        <v>3179</v>
      </c>
    </row>
    <row r="942" spans="1:5" x14ac:dyDescent="0.25">
      <c r="A942" t="s">
        <v>2848</v>
      </c>
      <c r="B942" t="s">
        <v>2849</v>
      </c>
      <c r="C942" t="s">
        <v>3152</v>
      </c>
      <c r="D942">
        <v>22.75</v>
      </c>
      <c r="E942" t="s">
        <v>3179</v>
      </c>
    </row>
    <row r="943" spans="1:5" x14ac:dyDescent="0.25">
      <c r="A943" t="s">
        <v>2850</v>
      </c>
      <c r="B943" t="s">
        <v>2851</v>
      </c>
      <c r="C943" t="s">
        <v>3152</v>
      </c>
      <c r="D943">
        <v>23</v>
      </c>
      <c r="E943" t="s">
        <v>3179</v>
      </c>
    </row>
    <row r="944" spans="1:5" x14ac:dyDescent="0.25">
      <c r="A944" t="s">
        <v>2405</v>
      </c>
      <c r="B944" t="s">
        <v>2406</v>
      </c>
      <c r="C944" t="s">
        <v>3152</v>
      </c>
      <c r="D944">
        <v>15.95</v>
      </c>
      <c r="E944" t="s">
        <v>3180</v>
      </c>
    </row>
    <row r="945" spans="1:5" x14ac:dyDescent="0.25">
      <c r="A945" t="s">
        <v>2407</v>
      </c>
      <c r="B945" t="s">
        <v>2408</v>
      </c>
      <c r="C945" t="s">
        <v>3152</v>
      </c>
      <c r="D945">
        <v>7.4</v>
      </c>
      <c r="E945" t="s">
        <v>3180</v>
      </c>
    </row>
    <row r="946" spans="1:5" x14ac:dyDescent="0.25">
      <c r="A946" t="s">
        <v>2852</v>
      </c>
      <c r="B946" t="s">
        <v>2853</v>
      </c>
      <c r="C946" t="s">
        <v>3152</v>
      </c>
      <c r="D946">
        <v>7.4</v>
      </c>
      <c r="E946" t="s">
        <v>3180</v>
      </c>
    </row>
    <row r="947" spans="1:5" x14ac:dyDescent="0.25">
      <c r="A947" t="s">
        <v>2854</v>
      </c>
      <c r="B947" t="s">
        <v>2855</v>
      </c>
      <c r="C947" t="s">
        <v>3152</v>
      </c>
      <c r="D947">
        <v>7.4</v>
      </c>
      <c r="E947" t="s">
        <v>3180</v>
      </c>
    </row>
    <row r="948" spans="1:5" x14ac:dyDescent="0.25">
      <c r="A948" t="s">
        <v>2856</v>
      </c>
      <c r="B948" t="s">
        <v>2857</v>
      </c>
      <c r="C948" t="s">
        <v>3152</v>
      </c>
      <c r="D948">
        <v>7.4</v>
      </c>
      <c r="E948" t="s">
        <v>3180</v>
      </c>
    </row>
    <row r="949" spans="1:5" x14ac:dyDescent="0.25">
      <c r="A949" t="s">
        <v>2858</v>
      </c>
      <c r="B949" t="s">
        <v>2859</v>
      </c>
      <c r="C949" t="s">
        <v>3152</v>
      </c>
      <c r="D949">
        <v>7.4</v>
      </c>
      <c r="E949" t="s">
        <v>3180</v>
      </c>
    </row>
    <row r="950" spans="1:5" x14ac:dyDescent="0.25">
      <c r="A950" t="s">
        <v>2410</v>
      </c>
      <c r="B950" t="s">
        <v>2411</v>
      </c>
      <c r="C950" t="s">
        <v>3152</v>
      </c>
      <c r="D950">
        <v>12.65</v>
      </c>
      <c r="E950" t="s">
        <v>3180</v>
      </c>
    </row>
    <row r="951" spans="1:5" x14ac:dyDescent="0.25">
      <c r="A951" t="s">
        <v>2860</v>
      </c>
      <c r="B951" t="s">
        <v>2861</v>
      </c>
      <c r="C951" t="s">
        <v>3152</v>
      </c>
      <c r="D951">
        <v>12.65</v>
      </c>
      <c r="E951" t="s">
        <v>3180</v>
      </c>
    </row>
    <row r="952" spans="1:5" x14ac:dyDescent="0.25">
      <c r="A952" t="s">
        <v>2862</v>
      </c>
      <c r="B952" t="s">
        <v>2863</v>
      </c>
      <c r="C952" t="s">
        <v>3152</v>
      </c>
      <c r="D952">
        <v>12.65</v>
      </c>
      <c r="E952" t="s">
        <v>3180</v>
      </c>
    </row>
    <row r="953" spans="1:5" x14ac:dyDescent="0.25">
      <c r="A953" t="s">
        <v>2864</v>
      </c>
      <c r="B953" t="s">
        <v>2865</v>
      </c>
      <c r="C953" t="s">
        <v>3152</v>
      </c>
      <c r="D953">
        <v>12.65</v>
      </c>
      <c r="E953" t="s">
        <v>3180</v>
      </c>
    </row>
    <row r="954" spans="1:5" x14ac:dyDescent="0.25">
      <c r="A954" t="s">
        <v>2866</v>
      </c>
      <c r="B954" t="s">
        <v>2867</v>
      </c>
      <c r="C954" t="s">
        <v>3152</v>
      </c>
      <c r="D954">
        <v>12.65</v>
      </c>
      <c r="E954" t="s">
        <v>3180</v>
      </c>
    </row>
    <row r="955" spans="1:5" x14ac:dyDescent="0.25">
      <c r="A955" t="s">
        <v>2413</v>
      </c>
      <c r="B955" t="s">
        <v>2414</v>
      </c>
      <c r="C955" t="s">
        <v>3152</v>
      </c>
      <c r="D955">
        <v>2.7</v>
      </c>
      <c r="E955" t="s">
        <v>3180</v>
      </c>
    </row>
    <row r="956" spans="1:5" x14ac:dyDescent="0.25">
      <c r="A956" t="s">
        <v>1847</v>
      </c>
      <c r="B956" t="s">
        <v>1848</v>
      </c>
      <c r="C956" t="s">
        <v>3152</v>
      </c>
      <c r="D956">
        <v>12.65</v>
      </c>
      <c r="E956" t="s">
        <v>3181</v>
      </c>
    </row>
    <row r="957" spans="1:5" x14ac:dyDescent="0.25">
      <c r="A957" t="s">
        <v>1844</v>
      </c>
      <c r="B957" t="s">
        <v>1845</v>
      </c>
      <c r="C957" t="s">
        <v>3152</v>
      </c>
      <c r="D957">
        <v>12.65</v>
      </c>
      <c r="E957" t="s">
        <v>3181</v>
      </c>
    </row>
    <row r="958" spans="1:5" x14ac:dyDescent="0.25">
      <c r="A958" t="s">
        <v>2868</v>
      </c>
      <c r="B958" t="s">
        <v>2869</v>
      </c>
      <c r="C958" t="s">
        <v>3152</v>
      </c>
      <c r="D958">
        <v>12.65</v>
      </c>
      <c r="E958" t="s">
        <v>3181</v>
      </c>
    </row>
    <row r="959" spans="1:5" x14ac:dyDescent="0.25">
      <c r="A959" t="s">
        <v>2870</v>
      </c>
      <c r="B959" t="s">
        <v>2871</v>
      </c>
      <c r="C959" t="s">
        <v>3152</v>
      </c>
      <c r="D959">
        <v>12.65</v>
      </c>
      <c r="E959" t="s">
        <v>3181</v>
      </c>
    </row>
    <row r="960" spans="1:5" x14ac:dyDescent="0.25">
      <c r="A960" t="s">
        <v>1849</v>
      </c>
      <c r="B960" t="s">
        <v>1850</v>
      </c>
      <c r="C960" t="s">
        <v>3152</v>
      </c>
      <c r="D960">
        <v>6.5</v>
      </c>
      <c r="E960" t="s">
        <v>3181</v>
      </c>
    </row>
    <row r="961" spans="1:5" x14ac:dyDescent="0.25">
      <c r="A961" t="s">
        <v>2872</v>
      </c>
      <c r="B961" t="s">
        <v>2873</v>
      </c>
      <c r="C961" t="s">
        <v>3152</v>
      </c>
      <c r="D961">
        <v>6.5</v>
      </c>
      <c r="E961" t="s">
        <v>3181</v>
      </c>
    </row>
    <row r="962" spans="1:5" x14ac:dyDescent="0.25">
      <c r="A962" t="s">
        <v>1851</v>
      </c>
      <c r="B962" t="s">
        <v>1852</v>
      </c>
      <c r="C962" t="s">
        <v>3152</v>
      </c>
      <c r="D962">
        <v>4.1500000000000004</v>
      </c>
      <c r="E962" t="s">
        <v>3181</v>
      </c>
    </row>
    <row r="963" spans="1:5" x14ac:dyDescent="0.25">
      <c r="A963" t="s">
        <v>2874</v>
      </c>
      <c r="B963" t="s">
        <v>2875</v>
      </c>
      <c r="C963" t="s">
        <v>3152</v>
      </c>
      <c r="D963">
        <v>4.1500000000000004</v>
      </c>
      <c r="E963" t="s">
        <v>3181</v>
      </c>
    </row>
    <row r="964" spans="1:5" x14ac:dyDescent="0.25">
      <c r="A964" t="s">
        <v>2876</v>
      </c>
      <c r="B964" t="s">
        <v>2877</v>
      </c>
      <c r="C964" t="s">
        <v>3152</v>
      </c>
      <c r="D964">
        <v>4.1500000000000004</v>
      </c>
      <c r="E964" t="s">
        <v>3181</v>
      </c>
    </row>
    <row r="965" spans="1:5" x14ac:dyDescent="0.25">
      <c r="A965" t="s">
        <v>2878</v>
      </c>
      <c r="B965" t="s">
        <v>2879</v>
      </c>
      <c r="C965" t="s">
        <v>3152</v>
      </c>
      <c r="D965">
        <v>4.1500000000000004</v>
      </c>
      <c r="E965" t="s">
        <v>3181</v>
      </c>
    </row>
    <row r="966" spans="1:5" x14ac:dyDescent="0.25">
      <c r="A966" t="s">
        <v>1839</v>
      </c>
      <c r="B966" t="s">
        <v>1840</v>
      </c>
      <c r="C966" t="s">
        <v>3152</v>
      </c>
      <c r="D966">
        <v>14.45</v>
      </c>
      <c r="E966" t="s">
        <v>3181</v>
      </c>
    </row>
    <row r="967" spans="1:5" x14ac:dyDescent="0.25">
      <c r="A967" t="s">
        <v>1854</v>
      </c>
      <c r="B967" t="s">
        <v>1855</v>
      </c>
      <c r="C967" t="s">
        <v>3152</v>
      </c>
      <c r="D967">
        <v>13.9</v>
      </c>
      <c r="E967" t="s">
        <v>3181</v>
      </c>
    </row>
    <row r="968" spans="1:5" x14ac:dyDescent="0.25">
      <c r="A968" t="s">
        <v>2880</v>
      </c>
      <c r="B968" t="s">
        <v>2881</v>
      </c>
      <c r="C968" t="s">
        <v>3152</v>
      </c>
      <c r="D968">
        <v>13.9</v>
      </c>
      <c r="E968" t="s">
        <v>3181</v>
      </c>
    </row>
    <row r="969" spans="1:5" x14ac:dyDescent="0.25">
      <c r="A969" t="s">
        <v>1857</v>
      </c>
      <c r="B969" t="s">
        <v>1858</v>
      </c>
      <c r="C969" t="s">
        <v>3152</v>
      </c>
      <c r="D969">
        <v>18.600000000000001</v>
      </c>
      <c r="E969" t="s">
        <v>3181</v>
      </c>
    </row>
    <row r="970" spans="1:5" x14ac:dyDescent="0.25">
      <c r="A970" t="s">
        <v>1842</v>
      </c>
      <c r="B970" t="s">
        <v>1843</v>
      </c>
      <c r="C970" t="s">
        <v>3152</v>
      </c>
      <c r="D970">
        <v>13.9</v>
      </c>
      <c r="E970" t="s">
        <v>3181</v>
      </c>
    </row>
    <row r="971" spans="1:5" x14ac:dyDescent="0.25">
      <c r="A971" t="s">
        <v>1786</v>
      </c>
      <c r="B971" t="s">
        <v>1787</v>
      </c>
      <c r="C971" t="s">
        <v>3152</v>
      </c>
      <c r="D971">
        <v>31.9</v>
      </c>
      <c r="E971" t="s">
        <v>3182</v>
      </c>
    </row>
    <row r="972" spans="1:5" x14ac:dyDescent="0.25">
      <c r="A972" t="s">
        <v>2882</v>
      </c>
      <c r="B972" t="s">
        <v>2883</v>
      </c>
      <c r="C972" t="s">
        <v>3152</v>
      </c>
      <c r="D972">
        <v>49.3</v>
      </c>
      <c r="E972" t="s">
        <v>3182</v>
      </c>
    </row>
    <row r="973" spans="1:5" x14ac:dyDescent="0.25">
      <c r="A973" t="s">
        <v>2884</v>
      </c>
      <c r="B973" t="s">
        <v>2885</v>
      </c>
      <c r="C973" t="s">
        <v>3152</v>
      </c>
      <c r="D973">
        <v>10.050000000000001</v>
      </c>
      <c r="E973" t="s">
        <v>3182</v>
      </c>
    </row>
    <row r="974" spans="1:5" x14ac:dyDescent="0.25">
      <c r="A974" t="s">
        <v>2886</v>
      </c>
      <c r="B974" t="s">
        <v>2887</v>
      </c>
      <c r="C974" t="s">
        <v>3152</v>
      </c>
      <c r="D974">
        <v>10.050000000000001</v>
      </c>
      <c r="E974" t="s">
        <v>3182</v>
      </c>
    </row>
    <row r="975" spans="1:5" x14ac:dyDescent="0.25">
      <c r="A975" t="s">
        <v>2888</v>
      </c>
      <c r="B975" t="s">
        <v>2889</v>
      </c>
      <c r="C975" t="s">
        <v>3152</v>
      </c>
      <c r="D975">
        <v>10.050000000000001</v>
      </c>
      <c r="E975" t="s">
        <v>3182</v>
      </c>
    </row>
    <row r="976" spans="1:5" x14ac:dyDescent="0.25">
      <c r="A976" t="s">
        <v>2890</v>
      </c>
      <c r="B976" t="s">
        <v>2891</v>
      </c>
      <c r="C976" t="s">
        <v>3152</v>
      </c>
      <c r="D976">
        <v>10.050000000000001</v>
      </c>
      <c r="E976" t="s">
        <v>3182</v>
      </c>
    </row>
    <row r="977" spans="1:5" x14ac:dyDescent="0.25">
      <c r="A977" t="s">
        <v>2892</v>
      </c>
      <c r="B977" t="s">
        <v>2893</v>
      </c>
      <c r="C977" t="s">
        <v>3152</v>
      </c>
      <c r="D977">
        <v>15.1</v>
      </c>
      <c r="E977" t="s">
        <v>3182</v>
      </c>
    </row>
    <row r="978" spans="1:5" x14ac:dyDescent="0.25">
      <c r="A978" t="s">
        <v>2894</v>
      </c>
      <c r="B978" t="s">
        <v>2895</v>
      </c>
      <c r="C978" t="s">
        <v>3152</v>
      </c>
      <c r="D978">
        <v>7.65</v>
      </c>
      <c r="E978" t="s">
        <v>3182</v>
      </c>
    </row>
    <row r="979" spans="1:5" x14ac:dyDescent="0.25">
      <c r="A979" t="s">
        <v>2896</v>
      </c>
      <c r="B979" t="s">
        <v>2897</v>
      </c>
      <c r="C979" t="s">
        <v>3152</v>
      </c>
      <c r="D979">
        <v>7.65</v>
      </c>
      <c r="E979" t="s">
        <v>3182</v>
      </c>
    </row>
    <row r="980" spans="1:5" x14ac:dyDescent="0.25">
      <c r="A980" t="s">
        <v>2898</v>
      </c>
      <c r="B980" t="s">
        <v>2899</v>
      </c>
      <c r="C980" t="s">
        <v>3152</v>
      </c>
      <c r="D980">
        <v>7.65</v>
      </c>
      <c r="E980" t="s">
        <v>3182</v>
      </c>
    </row>
    <row r="981" spans="1:5" x14ac:dyDescent="0.25">
      <c r="A981" t="s">
        <v>2900</v>
      </c>
      <c r="B981" t="s">
        <v>2901</v>
      </c>
      <c r="C981" t="s">
        <v>3152</v>
      </c>
      <c r="D981">
        <v>7.65</v>
      </c>
      <c r="E981" t="s">
        <v>3182</v>
      </c>
    </row>
    <row r="982" spans="1:5" x14ac:dyDescent="0.25">
      <c r="A982" t="s">
        <v>2902</v>
      </c>
      <c r="B982" t="s">
        <v>2903</v>
      </c>
      <c r="C982" t="s">
        <v>3152</v>
      </c>
      <c r="D982">
        <v>7.65</v>
      </c>
      <c r="E982" t="s">
        <v>3182</v>
      </c>
    </row>
    <row r="983" spans="1:5" x14ac:dyDescent="0.25">
      <c r="A983" t="s">
        <v>2904</v>
      </c>
      <c r="B983" t="s">
        <v>2905</v>
      </c>
      <c r="C983" t="s">
        <v>3152</v>
      </c>
      <c r="D983">
        <v>7.65</v>
      </c>
      <c r="E983" t="s">
        <v>3182</v>
      </c>
    </row>
    <row r="984" spans="1:5" x14ac:dyDescent="0.25">
      <c r="A984" t="s">
        <v>2906</v>
      </c>
      <c r="B984" t="s">
        <v>2907</v>
      </c>
      <c r="C984" t="s">
        <v>3152</v>
      </c>
      <c r="D984">
        <v>7.65</v>
      </c>
      <c r="E984" t="s">
        <v>3182</v>
      </c>
    </row>
    <row r="985" spans="1:5" x14ac:dyDescent="0.25">
      <c r="A985" t="s">
        <v>2908</v>
      </c>
      <c r="B985" t="s">
        <v>2909</v>
      </c>
      <c r="C985" t="s">
        <v>3152</v>
      </c>
      <c r="D985">
        <v>7.65</v>
      </c>
      <c r="E985" t="s">
        <v>3182</v>
      </c>
    </row>
    <row r="986" spans="1:5" x14ac:dyDescent="0.25">
      <c r="A986" t="s">
        <v>2910</v>
      </c>
      <c r="B986" t="s">
        <v>2911</v>
      </c>
      <c r="C986" t="s">
        <v>3152</v>
      </c>
      <c r="D986">
        <v>7.65</v>
      </c>
      <c r="E986" t="s">
        <v>3182</v>
      </c>
    </row>
    <row r="987" spans="1:5" x14ac:dyDescent="0.25">
      <c r="A987" t="s">
        <v>2912</v>
      </c>
      <c r="B987" t="s">
        <v>2913</v>
      </c>
      <c r="C987" t="s">
        <v>3152</v>
      </c>
      <c r="D987">
        <v>7.65</v>
      </c>
      <c r="E987" t="s">
        <v>3182</v>
      </c>
    </row>
    <row r="988" spans="1:5" x14ac:dyDescent="0.25">
      <c r="A988" t="s">
        <v>2914</v>
      </c>
      <c r="B988" t="s">
        <v>2915</v>
      </c>
      <c r="C988" t="s">
        <v>3152</v>
      </c>
      <c r="D988">
        <v>7.65</v>
      </c>
      <c r="E988" t="s">
        <v>3182</v>
      </c>
    </row>
    <row r="989" spans="1:5" x14ac:dyDescent="0.25">
      <c r="A989" t="s">
        <v>2916</v>
      </c>
      <c r="B989" t="s">
        <v>2917</v>
      </c>
      <c r="C989" t="s">
        <v>3152</v>
      </c>
      <c r="D989">
        <v>7.65</v>
      </c>
      <c r="E989" t="s">
        <v>3182</v>
      </c>
    </row>
    <row r="990" spans="1:5" x14ac:dyDescent="0.25">
      <c r="A990" t="s">
        <v>2918</v>
      </c>
      <c r="B990" t="s">
        <v>2919</v>
      </c>
      <c r="C990" t="s">
        <v>3152</v>
      </c>
      <c r="D990">
        <v>7.65</v>
      </c>
      <c r="E990" t="s">
        <v>3182</v>
      </c>
    </row>
    <row r="991" spans="1:5" x14ac:dyDescent="0.25">
      <c r="A991" t="s">
        <v>1925</v>
      </c>
      <c r="B991" t="s">
        <v>1926</v>
      </c>
      <c r="C991" t="s">
        <v>3152</v>
      </c>
      <c r="D991">
        <v>43.95</v>
      </c>
      <c r="E991" t="s">
        <v>3183</v>
      </c>
    </row>
    <row r="992" spans="1:5" x14ac:dyDescent="0.25">
      <c r="A992" t="s">
        <v>1922</v>
      </c>
      <c r="B992" t="s">
        <v>1923</v>
      </c>
      <c r="C992" t="s">
        <v>3152</v>
      </c>
      <c r="D992">
        <v>31.55</v>
      </c>
      <c r="E992" t="s">
        <v>3183</v>
      </c>
    </row>
    <row r="993" spans="1:5" x14ac:dyDescent="0.25">
      <c r="A993" t="s">
        <v>2920</v>
      </c>
      <c r="B993" t="s">
        <v>2921</v>
      </c>
      <c r="C993" t="s">
        <v>3152</v>
      </c>
      <c r="D993">
        <v>47.8</v>
      </c>
      <c r="E993" t="s">
        <v>3184</v>
      </c>
    </row>
    <row r="994" spans="1:5" x14ac:dyDescent="0.25">
      <c r="A994" t="s">
        <v>1817</v>
      </c>
      <c r="B994" t="s">
        <v>1818</v>
      </c>
      <c r="C994" t="s">
        <v>3152</v>
      </c>
      <c r="D994">
        <v>22.4</v>
      </c>
      <c r="E994" t="s">
        <v>3184</v>
      </c>
    </row>
    <row r="995" spans="1:5" x14ac:dyDescent="0.25">
      <c r="A995" t="s">
        <v>1819</v>
      </c>
      <c r="B995" t="s">
        <v>1820</v>
      </c>
      <c r="C995" t="s">
        <v>3152</v>
      </c>
      <c r="D995">
        <v>27.15</v>
      </c>
      <c r="E995" t="s">
        <v>3184</v>
      </c>
    </row>
    <row r="996" spans="1:5" x14ac:dyDescent="0.25">
      <c r="A996" t="s">
        <v>1821</v>
      </c>
      <c r="B996" t="s">
        <v>1822</v>
      </c>
      <c r="C996" t="s">
        <v>3152</v>
      </c>
      <c r="D996">
        <v>35.700000000000003</v>
      </c>
      <c r="E996" t="s">
        <v>3184</v>
      </c>
    </row>
    <row r="997" spans="1:5" x14ac:dyDescent="0.25">
      <c r="A997" t="s">
        <v>2053</v>
      </c>
      <c r="B997" t="s">
        <v>2054</v>
      </c>
      <c r="C997" t="s">
        <v>3152</v>
      </c>
      <c r="D997">
        <v>10.050000000000001</v>
      </c>
      <c r="E997" t="s">
        <v>3185</v>
      </c>
    </row>
    <row r="998" spans="1:5" x14ac:dyDescent="0.25">
      <c r="A998" t="s">
        <v>2922</v>
      </c>
      <c r="B998" t="s">
        <v>2923</v>
      </c>
      <c r="C998" t="s">
        <v>3152</v>
      </c>
      <c r="D998">
        <v>10.050000000000001</v>
      </c>
      <c r="E998" t="s">
        <v>3185</v>
      </c>
    </row>
    <row r="999" spans="1:5" x14ac:dyDescent="0.25">
      <c r="A999" t="s">
        <v>2924</v>
      </c>
      <c r="B999" t="s">
        <v>2925</v>
      </c>
      <c r="C999" t="s">
        <v>3152</v>
      </c>
      <c r="D999">
        <v>10.050000000000001</v>
      </c>
      <c r="E999" t="s">
        <v>3185</v>
      </c>
    </row>
    <row r="1000" spans="1:5" x14ac:dyDescent="0.25">
      <c r="A1000" t="s">
        <v>2926</v>
      </c>
      <c r="B1000" t="s">
        <v>2927</v>
      </c>
      <c r="C1000" t="s">
        <v>3152</v>
      </c>
      <c r="D1000">
        <v>10.050000000000001</v>
      </c>
      <c r="E1000" t="s">
        <v>3185</v>
      </c>
    </row>
    <row r="1001" spans="1:5" x14ac:dyDescent="0.25">
      <c r="A1001" t="s">
        <v>2928</v>
      </c>
      <c r="B1001" t="s">
        <v>2929</v>
      </c>
      <c r="C1001" t="s">
        <v>3152</v>
      </c>
      <c r="D1001">
        <v>10.050000000000001</v>
      </c>
      <c r="E1001" t="s">
        <v>3185</v>
      </c>
    </row>
    <row r="1002" spans="1:5" x14ac:dyDescent="0.25">
      <c r="A1002" t="s">
        <v>2930</v>
      </c>
      <c r="B1002" t="s">
        <v>2931</v>
      </c>
      <c r="C1002" t="s">
        <v>3152</v>
      </c>
      <c r="D1002">
        <v>10.050000000000001</v>
      </c>
      <c r="E1002" t="s">
        <v>3185</v>
      </c>
    </row>
    <row r="1003" spans="1:5" x14ac:dyDescent="0.25">
      <c r="A1003" t="s">
        <v>2932</v>
      </c>
      <c r="B1003" t="s">
        <v>2933</v>
      </c>
      <c r="C1003" t="s">
        <v>3152</v>
      </c>
      <c r="D1003">
        <v>10.050000000000001</v>
      </c>
      <c r="E1003" t="s">
        <v>3185</v>
      </c>
    </row>
    <row r="1004" spans="1:5" x14ac:dyDescent="0.25">
      <c r="A1004" t="s">
        <v>2934</v>
      </c>
      <c r="B1004" t="s">
        <v>2935</v>
      </c>
      <c r="C1004" t="s">
        <v>3152</v>
      </c>
      <c r="D1004">
        <v>48.95</v>
      </c>
      <c r="E1004" t="s">
        <v>3185</v>
      </c>
    </row>
    <row r="1005" spans="1:5" x14ac:dyDescent="0.25">
      <c r="A1005" t="s">
        <v>2936</v>
      </c>
      <c r="B1005" t="s">
        <v>2937</v>
      </c>
      <c r="C1005" t="s">
        <v>3152</v>
      </c>
      <c r="D1005">
        <v>55.45</v>
      </c>
      <c r="E1005" t="s">
        <v>3185</v>
      </c>
    </row>
    <row r="1006" spans="1:5" x14ac:dyDescent="0.25">
      <c r="A1006" t="s">
        <v>2049</v>
      </c>
      <c r="B1006" t="s">
        <v>2050</v>
      </c>
      <c r="C1006" t="s">
        <v>3152</v>
      </c>
      <c r="D1006">
        <v>12.1</v>
      </c>
      <c r="E1006" t="s">
        <v>3185</v>
      </c>
    </row>
    <row r="1007" spans="1:5" x14ac:dyDescent="0.25">
      <c r="A1007" t="s">
        <v>2938</v>
      </c>
      <c r="B1007" t="s">
        <v>2939</v>
      </c>
      <c r="C1007" t="s">
        <v>3152</v>
      </c>
      <c r="D1007">
        <v>12.1</v>
      </c>
      <c r="E1007" t="s">
        <v>3185</v>
      </c>
    </row>
    <row r="1008" spans="1:5" x14ac:dyDescent="0.25">
      <c r="A1008" t="s">
        <v>2167</v>
      </c>
      <c r="B1008" t="s">
        <v>2168</v>
      </c>
      <c r="C1008" t="s">
        <v>3152</v>
      </c>
      <c r="D1008">
        <v>10.050000000000001</v>
      </c>
      <c r="E1008" t="s">
        <v>3185</v>
      </c>
    </row>
    <row r="1009" spans="1:5" x14ac:dyDescent="0.25">
      <c r="A1009" t="s">
        <v>2002</v>
      </c>
      <c r="B1009" t="s">
        <v>2003</v>
      </c>
      <c r="C1009" t="s">
        <v>3152</v>
      </c>
      <c r="D1009">
        <v>8.0500000000000007</v>
      </c>
      <c r="E1009" t="s">
        <v>3024</v>
      </c>
    </row>
    <row r="1010" spans="1:5" x14ac:dyDescent="0.25">
      <c r="A1010" t="s">
        <v>2940</v>
      </c>
      <c r="B1010" t="s">
        <v>2941</v>
      </c>
      <c r="C1010" t="s">
        <v>3152</v>
      </c>
      <c r="D1010">
        <v>8.0500000000000007</v>
      </c>
      <c r="E1010" t="s">
        <v>3024</v>
      </c>
    </row>
    <row r="1011" spans="1:5" x14ac:dyDescent="0.25">
      <c r="A1011" t="s">
        <v>2006</v>
      </c>
      <c r="B1011" t="s">
        <v>2007</v>
      </c>
      <c r="C1011" t="s">
        <v>3152</v>
      </c>
      <c r="D1011">
        <v>3.55</v>
      </c>
      <c r="E1011" t="s">
        <v>3024</v>
      </c>
    </row>
    <row r="1012" spans="1:5" x14ac:dyDescent="0.25">
      <c r="A1012" t="s">
        <v>2008</v>
      </c>
      <c r="B1012" t="s">
        <v>2009</v>
      </c>
      <c r="C1012" t="s">
        <v>3152</v>
      </c>
      <c r="D1012">
        <v>4.1500000000000004</v>
      </c>
      <c r="E1012" t="s">
        <v>3024</v>
      </c>
    </row>
    <row r="1013" spans="1:5" x14ac:dyDescent="0.25">
      <c r="A1013" t="s">
        <v>2014</v>
      </c>
      <c r="B1013" t="s">
        <v>2015</v>
      </c>
      <c r="C1013" t="s">
        <v>3152</v>
      </c>
      <c r="D1013">
        <v>2.7</v>
      </c>
      <c r="E1013" t="s">
        <v>3024</v>
      </c>
    </row>
    <row r="1014" spans="1:5" x14ac:dyDescent="0.25">
      <c r="A1014" t="s">
        <v>2012</v>
      </c>
      <c r="B1014" t="s">
        <v>2013</v>
      </c>
      <c r="C1014" t="s">
        <v>3152</v>
      </c>
      <c r="D1014">
        <v>8.0500000000000007</v>
      </c>
      <c r="E1014" t="s">
        <v>3024</v>
      </c>
    </row>
    <row r="1015" spans="1:5" x14ac:dyDescent="0.25">
      <c r="A1015" t="s">
        <v>2010</v>
      </c>
      <c r="B1015" t="s">
        <v>2011</v>
      </c>
      <c r="C1015" t="s">
        <v>3152</v>
      </c>
      <c r="D1015">
        <v>4.1500000000000004</v>
      </c>
      <c r="E1015" t="s">
        <v>3024</v>
      </c>
    </row>
    <row r="1016" spans="1:5" x14ac:dyDescent="0.25">
      <c r="A1016" t="s">
        <v>2016</v>
      </c>
      <c r="B1016" t="s">
        <v>2017</v>
      </c>
      <c r="C1016" t="s">
        <v>3152</v>
      </c>
      <c r="D1016">
        <v>5.35</v>
      </c>
      <c r="E1016" t="s">
        <v>3024</v>
      </c>
    </row>
    <row r="1017" spans="1:5" x14ac:dyDescent="0.25">
      <c r="A1017" t="s">
        <v>2019</v>
      </c>
      <c r="B1017" t="s">
        <v>2020</v>
      </c>
      <c r="C1017" t="s">
        <v>3152</v>
      </c>
      <c r="D1017">
        <v>6.5</v>
      </c>
      <c r="E1017" t="s">
        <v>3024</v>
      </c>
    </row>
    <row r="1018" spans="1:5" x14ac:dyDescent="0.25">
      <c r="A1018" t="s">
        <v>2022</v>
      </c>
      <c r="B1018" t="s">
        <v>2023</v>
      </c>
      <c r="C1018" t="s">
        <v>3152</v>
      </c>
      <c r="D1018">
        <v>8.0500000000000007</v>
      </c>
      <c r="E1018" t="s">
        <v>3024</v>
      </c>
    </row>
    <row r="1019" spans="1:5" x14ac:dyDescent="0.25">
      <c r="A1019" t="s">
        <v>2025</v>
      </c>
      <c r="B1019" t="s">
        <v>2026</v>
      </c>
      <c r="C1019" t="s">
        <v>3152</v>
      </c>
      <c r="D1019">
        <v>13.3</v>
      </c>
      <c r="E1019" t="s">
        <v>3024</v>
      </c>
    </row>
    <row r="1020" spans="1:5" x14ac:dyDescent="0.25">
      <c r="A1020" t="s">
        <v>2028</v>
      </c>
      <c r="B1020" t="s">
        <v>2029</v>
      </c>
      <c r="C1020" t="s">
        <v>3152</v>
      </c>
      <c r="D1020">
        <v>13.3</v>
      </c>
      <c r="E1020" t="s">
        <v>3024</v>
      </c>
    </row>
    <row r="1021" spans="1:5" x14ac:dyDescent="0.25">
      <c r="A1021" t="s">
        <v>2942</v>
      </c>
      <c r="B1021" t="s">
        <v>2943</v>
      </c>
      <c r="C1021" t="s">
        <v>3152</v>
      </c>
      <c r="D1021">
        <v>13.3</v>
      </c>
      <c r="E1021" t="s">
        <v>3024</v>
      </c>
    </row>
    <row r="1022" spans="1:5" x14ac:dyDescent="0.25">
      <c r="A1022" t="s">
        <v>2031</v>
      </c>
      <c r="B1022" t="s">
        <v>2032</v>
      </c>
      <c r="C1022" t="s">
        <v>3152</v>
      </c>
      <c r="D1022">
        <v>13.3</v>
      </c>
      <c r="E1022" t="s">
        <v>3024</v>
      </c>
    </row>
    <row r="1023" spans="1:5" x14ac:dyDescent="0.25">
      <c r="A1023" t="s">
        <v>2944</v>
      </c>
      <c r="B1023" t="s">
        <v>2945</v>
      </c>
      <c r="C1023" t="s">
        <v>3152</v>
      </c>
      <c r="D1023">
        <v>10.050000000000001</v>
      </c>
      <c r="E1023" t="s">
        <v>3024</v>
      </c>
    </row>
    <row r="1024" spans="1:5" x14ac:dyDescent="0.25">
      <c r="A1024" t="s">
        <v>3186</v>
      </c>
      <c r="B1024" t="s">
        <v>3187</v>
      </c>
      <c r="C1024" t="s">
        <v>3152</v>
      </c>
      <c r="D1024">
        <v>10.050000000000001</v>
      </c>
      <c r="E1024" t="s">
        <v>3024</v>
      </c>
    </row>
    <row r="1025" spans="1:5" x14ac:dyDescent="0.25">
      <c r="A1025" t="s">
        <v>3188</v>
      </c>
      <c r="B1025" t="s">
        <v>3189</v>
      </c>
      <c r="C1025" t="s">
        <v>3152</v>
      </c>
      <c r="D1025">
        <v>15</v>
      </c>
      <c r="E1025" t="s">
        <v>3024</v>
      </c>
    </row>
    <row r="1026" spans="1:5" x14ac:dyDescent="0.25">
      <c r="A1026" t="s">
        <v>2946</v>
      </c>
      <c r="B1026" t="s">
        <v>2947</v>
      </c>
      <c r="C1026" t="s">
        <v>3152</v>
      </c>
      <c r="D1026">
        <v>7.5</v>
      </c>
      <c r="E1026" t="s">
        <v>3024</v>
      </c>
    </row>
    <row r="1027" spans="1:5" x14ac:dyDescent="0.25">
      <c r="A1027" t="s">
        <v>2036</v>
      </c>
      <c r="B1027" t="s">
        <v>2037</v>
      </c>
      <c r="C1027" t="s">
        <v>3152</v>
      </c>
      <c r="D1027">
        <v>10.050000000000001</v>
      </c>
      <c r="E1027" t="s">
        <v>3024</v>
      </c>
    </row>
    <row r="1028" spans="1:5" x14ac:dyDescent="0.25">
      <c r="A1028" t="s">
        <v>2041</v>
      </c>
      <c r="B1028" t="s">
        <v>2042</v>
      </c>
      <c r="C1028" t="s">
        <v>3152</v>
      </c>
      <c r="D1028">
        <v>2.7</v>
      </c>
      <c r="E1028" t="s">
        <v>3024</v>
      </c>
    </row>
    <row r="1029" spans="1:5" x14ac:dyDescent="0.25">
      <c r="A1029" t="s">
        <v>2039</v>
      </c>
      <c r="B1029" t="s">
        <v>2040</v>
      </c>
      <c r="C1029" t="s">
        <v>3152</v>
      </c>
      <c r="D1029">
        <v>2.7</v>
      </c>
      <c r="E1029" t="s">
        <v>3024</v>
      </c>
    </row>
    <row r="1030" spans="1:5" x14ac:dyDescent="0.25">
      <c r="A1030" t="s">
        <v>2169</v>
      </c>
      <c r="B1030" t="s">
        <v>2170</v>
      </c>
      <c r="C1030" t="s">
        <v>3152</v>
      </c>
      <c r="D1030">
        <v>1.5</v>
      </c>
      <c r="E1030" t="s">
        <v>3024</v>
      </c>
    </row>
    <row r="1031" spans="1:5" x14ac:dyDescent="0.25">
      <c r="A1031" t="s">
        <v>2043</v>
      </c>
      <c r="B1031" t="s">
        <v>2044</v>
      </c>
      <c r="C1031" t="s">
        <v>3152</v>
      </c>
      <c r="D1031">
        <v>14.45</v>
      </c>
      <c r="E1031" t="s">
        <v>3024</v>
      </c>
    </row>
    <row r="1032" spans="1:5" x14ac:dyDescent="0.25">
      <c r="A1032" t="s">
        <v>2046</v>
      </c>
      <c r="B1032" t="s">
        <v>2047</v>
      </c>
      <c r="C1032" t="s">
        <v>3152</v>
      </c>
      <c r="D1032">
        <v>14.45</v>
      </c>
      <c r="E1032" t="s">
        <v>3024</v>
      </c>
    </row>
    <row r="1033" spans="1:5" x14ac:dyDescent="0.25">
      <c r="A1033" t="s">
        <v>2056</v>
      </c>
      <c r="B1033" t="s">
        <v>2057</v>
      </c>
      <c r="C1033" t="s">
        <v>3152</v>
      </c>
      <c r="D1033">
        <v>20.65</v>
      </c>
      <c r="E1033" t="s">
        <v>3024</v>
      </c>
    </row>
    <row r="1034" spans="1:5" x14ac:dyDescent="0.25">
      <c r="A1034" t="s">
        <v>2948</v>
      </c>
      <c r="B1034" t="s">
        <v>2949</v>
      </c>
      <c r="C1034" t="s">
        <v>3152</v>
      </c>
      <c r="D1034">
        <v>13.3</v>
      </c>
      <c r="E1034" t="s">
        <v>3024</v>
      </c>
    </row>
    <row r="1035" spans="1:5" x14ac:dyDescent="0.25">
      <c r="A1035" t="s">
        <v>2034</v>
      </c>
      <c r="B1035" t="s">
        <v>2035</v>
      </c>
      <c r="C1035" t="s">
        <v>3152</v>
      </c>
      <c r="D1035">
        <v>28.35</v>
      </c>
      <c r="E1035" t="s">
        <v>3024</v>
      </c>
    </row>
    <row r="1036" spans="1:5" x14ac:dyDescent="0.25">
      <c r="A1036" t="s">
        <v>2950</v>
      </c>
      <c r="B1036" t="s">
        <v>2951</v>
      </c>
      <c r="C1036" t="s">
        <v>3152</v>
      </c>
      <c r="D1036">
        <v>18.850000000000001</v>
      </c>
      <c r="E1036" t="s">
        <v>3024</v>
      </c>
    </row>
    <row r="1037" spans="1:5" x14ac:dyDescent="0.25">
      <c r="A1037" t="s">
        <v>2952</v>
      </c>
      <c r="B1037" t="s">
        <v>2953</v>
      </c>
      <c r="C1037" t="s">
        <v>3152</v>
      </c>
      <c r="D1037">
        <v>7.75</v>
      </c>
      <c r="E1037" t="s">
        <v>3024</v>
      </c>
    </row>
    <row r="1038" spans="1:5" x14ac:dyDescent="0.25">
      <c r="A1038" t="s">
        <v>2954</v>
      </c>
      <c r="B1038" t="s">
        <v>2955</v>
      </c>
      <c r="C1038" t="s">
        <v>3152</v>
      </c>
      <c r="D1038">
        <v>5.15</v>
      </c>
      <c r="E1038" t="s">
        <v>3024</v>
      </c>
    </row>
    <row r="1039" spans="1:5" x14ac:dyDescent="0.25">
      <c r="A1039" t="s">
        <v>3190</v>
      </c>
      <c r="B1039" t="s">
        <v>3191</v>
      </c>
      <c r="C1039" t="s">
        <v>3152</v>
      </c>
      <c r="D1039">
        <v>5.15</v>
      </c>
      <c r="E1039" t="s">
        <v>3024</v>
      </c>
    </row>
    <row r="1040" spans="1:5" x14ac:dyDescent="0.25">
      <c r="A1040" t="s">
        <v>3192</v>
      </c>
      <c r="B1040" t="s">
        <v>3193</v>
      </c>
      <c r="C1040" t="s">
        <v>3152</v>
      </c>
      <c r="D1040">
        <v>5.15</v>
      </c>
      <c r="E1040" t="s">
        <v>3024</v>
      </c>
    </row>
    <row r="1041" spans="1:5" x14ac:dyDescent="0.25">
      <c r="A1041" t="s">
        <v>3194</v>
      </c>
      <c r="B1041" t="s">
        <v>3195</v>
      </c>
      <c r="C1041" t="s">
        <v>3152</v>
      </c>
      <c r="D1041">
        <v>5.15</v>
      </c>
      <c r="E1041" t="s">
        <v>3024</v>
      </c>
    </row>
    <row r="1042" spans="1:5" x14ac:dyDescent="0.25">
      <c r="A1042" t="s">
        <v>3196</v>
      </c>
      <c r="B1042" t="s">
        <v>3197</v>
      </c>
      <c r="C1042" t="s">
        <v>3152</v>
      </c>
      <c r="D1042">
        <v>5.15</v>
      </c>
      <c r="E1042" t="s">
        <v>3024</v>
      </c>
    </row>
    <row r="1043" spans="1:5" x14ac:dyDescent="0.25">
      <c r="A1043" t="s">
        <v>3198</v>
      </c>
      <c r="B1043" t="s">
        <v>3199</v>
      </c>
      <c r="C1043" t="s">
        <v>3152</v>
      </c>
      <c r="D1043">
        <v>5.15</v>
      </c>
      <c r="E1043" t="s">
        <v>3024</v>
      </c>
    </row>
    <row r="1044" spans="1:5" x14ac:dyDescent="0.25">
      <c r="A1044" t="s">
        <v>3200</v>
      </c>
      <c r="B1044" t="s">
        <v>3201</v>
      </c>
      <c r="C1044" t="s">
        <v>3152</v>
      </c>
      <c r="D1044">
        <v>5.15</v>
      </c>
      <c r="E1044" t="s">
        <v>3024</v>
      </c>
    </row>
    <row r="1045" spans="1:5" x14ac:dyDescent="0.25">
      <c r="A1045" t="s">
        <v>3202</v>
      </c>
      <c r="B1045" t="s">
        <v>3203</v>
      </c>
      <c r="C1045" t="s">
        <v>3152</v>
      </c>
      <c r="D1045">
        <v>5.15</v>
      </c>
      <c r="E1045" t="s">
        <v>3024</v>
      </c>
    </row>
    <row r="1046" spans="1:5" x14ac:dyDescent="0.25">
      <c r="A1046" t="s">
        <v>3204</v>
      </c>
      <c r="B1046" t="s">
        <v>3205</v>
      </c>
      <c r="C1046" t="s">
        <v>3152</v>
      </c>
      <c r="D1046">
        <v>5.15</v>
      </c>
      <c r="E1046" t="s">
        <v>3024</v>
      </c>
    </row>
    <row r="1047" spans="1:5" x14ac:dyDescent="0.25">
      <c r="A1047" t="s">
        <v>3206</v>
      </c>
      <c r="B1047" t="s">
        <v>3207</v>
      </c>
      <c r="C1047" t="s">
        <v>3152</v>
      </c>
      <c r="D1047">
        <v>5.15</v>
      </c>
      <c r="E1047" t="s">
        <v>3024</v>
      </c>
    </row>
    <row r="1048" spans="1:5" x14ac:dyDescent="0.25">
      <c r="A1048" t="s">
        <v>3208</v>
      </c>
      <c r="B1048" t="s">
        <v>3209</v>
      </c>
      <c r="C1048" t="s">
        <v>3152</v>
      </c>
      <c r="D1048">
        <v>5.15</v>
      </c>
      <c r="E1048" t="s">
        <v>3024</v>
      </c>
    </row>
    <row r="1049" spans="1:5" x14ac:dyDescent="0.25">
      <c r="A1049" t="s">
        <v>3210</v>
      </c>
      <c r="B1049" t="s">
        <v>3211</v>
      </c>
      <c r="C1049" t="s">
        <v>3152</v>
      </c>
      <c r="D1049">
        <v>5.15</v>
      </c>
      <c r="E1049" t="s">
        <v>3024</v>
      </c>
    </row>
    <row r="1050" spans="1:5" x14ac:dyDescent="0.25">
      <c r="A1050" t="s">
        <v>3212</v>
      </c>
      <c r="B1050" t="s">
        <v>3213</v>
      </c>
      <c r="C1050" t="s">
        <v>3152</v>
      </c>
      <c r="D1050">
        <v>5.15</v>
      </c>
      <c r="E1050" t="s">
        <v>3024</v>
      </c>
    </row>
    <row r="1051" spans="1:5" x14ac:dyDescent="0.25">
      <c r="A1051" t="s">
        <v>3214</v>
      </c>
      <c r="B1051" t="s">
        <v>3215</v>
      </c>
      <c r="C1051" t="s">
        <v>3152</v>
      </c>
      <c r="D1051">
        <v>5.15</v>
      </c>
      <c r="E1051" t="s">
        <v>3024</v>
      </c>
    </row>
    <row r="1052" spans="1:5" x14ac:dyDescent="0.25">
      <c r="A1052" t="s">
        <v>3216</v>
      </c>
      <c r="B1052" t="s">
        <v>3217</v>
      </c>
      <c r="C1052" t="s">
        <v>3152</v>
      </c>
      <c r="D1052">
        <v>5.15</v>
      </c>
      <c r="E1052" t="s">
        <v>3024</v>
      </c>
    </row>
    <row r="1053" spans="1:5" x14ac:dyDescent="0.25">
      <c r="A1053" t="s">
        <v>3218</v>
      </c>
      <c r="B1053" t="s">
        <v>3219</v>
      </c>
      <c r="C1053" t="s">
        <v>3152</v>
      </c>
      <c r="D1053">
        <v>5.15</v>
      </c>
      <c r="E1053" t="s">
        <v>3024</v>
      </c>
    </row>
    <row r="1054" spans="1:5" x14ac:dyDescent="0.25">
      <c r="A1054" t="s">
        <v>2211</v>
      </c>
      <c r="B1054" t="s">
        <v>2212</v>
      </c>
      <c r="C1054" t="s">
        <v>3152</v>
      </c>
      <c r="D1054">
        <v>41.6</v>
      </c>
      <c r="E1054" t="s">
        <v>3220</v>
      </c>
    </row>
    <row r="1055" spans="1:5" x14ac:dyDescent="0.25">
      <c r="A1055" t="s">
        <v>2956</v>
      </c>
      <c r="B1055" t="s">
        <v>2957</v>
      </c>
      <c r="C1055" t="s">
        <v>3152</v>
      </c>
      <c r="D1055">
        <v>14.15</v>
      </c>
      <c r="E1055" t="s">
        <v>3220</v>
      </c>
    </row>
    <row r="1056" spans="1:5" x14ac:dyDescent="0.25">
      <c r="A1056" t="s">
        <v>2958</v>
      </c>
      <c r="B1056" t="s">
        <v>2959</v>
      </c>
      <c r="C1056" t="s">
        <v>3152</v>
      </c>
      <c r="D1056">
        <v>5.55</v>
      </c>
      <c r="E1056" t="s">
        <v>3220</v>
      </c>
    </row>
    <row r="1057" spans="1:5" x14ac:dyDescent="0.25">
      <c r="A1057" t="s">
        <v>2218</v>
      </c>
      <c r="B1057" t="s">
        <v>2219</v>
      </c>
      <c r="C1057" t="s">
        <v>3152</v>
      </c>
      <c r="D1057">
        <v>3.55</v>
      </c>
      <c r="E1057" t="s">
        <v>3221</v>
      </c>
    </row>
    <row r="1058" spans="1:5" x14ac:dyDescent="0.25">
      <c r="A1058" t="s">
        <v>2225</v>
      </c>
      <c r="B1058" t="s">
        <v>2226</v>
      </c>
      <c r="C1058" t="s">
        <v>3152</v>
      </c>
      <c r="D1058">
        <v>5.85</v>
      </c>
      <c r="E1058" t="s">
        <v>3221</v>
      </c>
    </row>
    <row r="1059" spans="1:5" x14ac:dyDescent="0.25">
      <c r="A1059" t="s">
        <v>2222</v>
      </c>
      <c r="B1059" t="s">
        <v>2223</v>
      </c>
      <c r="C1059" t="s">
        <v>3152</v>
      </c>
      <c r="D1059">
        <v>13.3</v>
      </c>
      <c r="E1059" t="s">
        <v>3221</v>
      </c>
    </row>
    <row r="1060" spans="1:5" x14ac:dyDescent="0.25">
      <c r="A1060" t="s">
        <v>2982</v>
      </c>
      <c r="B1060" t="s">
        <v>2983</v>
      </c>
      <c r="C1060" t="s">
        <v>3152</v>
      </c>
      <c r="D1060">
        <v>13.3</v>
      </c>
      <c r="E1060" t="s">
        <v>3221</v>
      </c>
    </row>
    <row r="1061" spans="1:5" x14ac:dyDescent="0.25">
      <c r="A1061" t="s">
        <v>2984</v>
      </c>
      <c r="B1061" t="s">
        <v>2985</v>
      </c>
      <c r="C1061" t="s">
        <v>3152</v>
      </c>
      <c r="D1061">
        <v>59.6</v>
      </c>
      <c r="E1061" t="s">
        <v>3221</v>
      </c>
    </row>
    <row r="1062" spans="1:5" x14ac:dyDescent="0.25">
      <c r="A1062" t="s">
        <v>2234</v>
      </c>
      <c r="B1062" t="s">
        <v>2235</v>
      </c>
      <c r="C1062" t="s">
        <v>3152</v>
      </c>
      <c r="D1062">
        <v>26.5</v>
      </c>
      <c r="E1062" t="s">
        <v>3221</v>
      </c>
    </row>
    <row r="1063" spans="1:5" x14ac:dyDescent="0.25">
      <c r="A1063" t="s">
        <v>2232</v>
      </c>
      <c r="B1063" t="s">
        <v>2233</v>
      </c>
      <c r="C1063" t="s">
        <v>3152</v>
      </c>
      <c r="D1063">
        <v>12.1</v>
      </c>
      <c r="E1063" t="s">
        <v>3221</v>
      </c>
    </row>
    <row r="1064" spans="1:5" x14ac:dyDescent="0.25">
      <c r="A1064" t="s">
        <v>2239</v>
      </c>
      <c r="B1064" t="s">
        <v>2240</v>
      </c>
      <c r="C1064" t="s">
        <v>3152</v>
      </c>
      <c r="D1064">
        <v>189.25</v>
      </c>
      <c r="E1064" t="s">
        <v>3221</v>
      </c>
    </row>
    <row r="1065" spans="1:5" x14ac:dyDescent="0.25">
      <c r="A1065" t="s">
        <v>2242</v>
      </c>
      <c r="B1065" t="s">
        <v>2243</v>
      </c>
      <c r="C1065" t="s">
        <v>3152</v>
      </c>
      <c r="D1065">
        <v>126.25</v>
      </c>
      <c r="E1065" t="s">
        <v>3221</v>
      </c>
    </row>
    <row r="1066" spans="1:5" x14ac:dyDescent="0.25">
      <c r="A1066" t="s">
        <v>2986</v>
      </c>
      <c r="B1066" t="s">
        <v>2987</v>
      </c>
      <c r="C1066" t="s">
        <v>3152</v>
      </c>
      <c r="D1066">
        <v>10</v>
      </c>
      <c r="E1066" t="s">
        <v>3221</v>
      </c>
    </row>
    <row r="1067" spans="1:5" x14ac:dyDescent="0.25">
      <c r="A1067" t="s">
        <v>2254</v>
      </c>
      <c r="B1067" t="s">
        <v>2255</v>
      </c>
      <c r="C1067" t="s">
        <v>3152</v>
      </c>
      <c r="D1067">
        <v>22.4</v>
      </c>
      <c r="E1067" t="s">
        <v>3222</v>
      </c>
    </row>
    <row r="1068" spans="1:5" x14ac:dyDescent="0.25">
      <c r="A1068" t="s">
        <v>2245</v>
      </c>
      <c r="B1068" t="s">
        <v>2246</v>
      </c>
      <c r="C1068" t="s">
        <v>3152</v>
      </c>
      <c r="D1068">
        <v>18.600000000000001</v>
      </c>
      <c r="E1068" t="s">
        <v>3222</v>
      </c>
    </row>
    <row r="1069" spans="1:5" x14ac:dyDescent="0.25">
      <c r="A1069" t="s">
        <v>2249</v>
      </c>
      <c r="B1069" t="s">
        <v>2250</v>
      </c>
      <c r="C1069" t="s">
        <v>3152</v>
      </c>
      <c r="D1069">
        <v>6.5</v>
      </c>
      <c r="E1069" t="s">
        <v>3222</v>
      </c>
    </row>
    <row r="1070" spans="1:5" x14ac:dyDescent="0.25">
      <c r="A1070" t="s">
        <v>2251</v>
      </c>
      <c r="B1070" t="s">
        <v>2252</v>
      </c>
      <c r="C1070" t="s">
        <v>3152</v>
      </c>
      <c r="D1070">
        <v>18.600000000000001</v>
      </c>
      <c r="E1070" t="s">
        <v>3222</v>
      </c>
    </row>
    <row r="1071" spans="1:5" x14ac:dyDescent="0.25">
      <c r="A1071" t="s">
        <v>2260</v>
      </c>
      <c r="B1071" t="s">
        <v>2261</v>
      </c>
      <c r="C1071" t="s">
        <v>3152</v>
      </c>
      <c r="D1071">
        <v>37.15</v>
      </c>
      <c r="E1071" t="s">
        <v>3222</v>
      </c>
    </row>
    <row r="1072" spans="1:5" x14ac:dyDescent="0.25">
      <c r="A1072" t="s">
        <v>2257</v>
      </c>
      <c r="B1072" t="s">
        <v>2258</v>
      </c>
      <c r="C1072" t="s">
        <v>3152</v>
      </c>
      <c r="D1072">
        <v>39.799999999999997</v>
      </c>
      <c r="E1072" t="s">
        <v>3222</v>
      </c>
    </row>
    <row r="1073" spans="1:5" x14ac:dyDescent="0.25">
      <c r="A1073" t="s">
        <v>2269</v>
      </c>
      <c r="B1073" t="s">
        <v>2270</v>
      </c>
      <c r="C1073" t="s">
        <v>3152</v>
      </c>
      <c r="D1073">
        <v>21.25</v>
      </c>
      <c r="E1073" t="s">
        <v>3222</v>
      </c>
    </row>
    <row r="1074" spans="1:5" x14ac:dyDescent="0.25">
      <c r="A1074" t="s">
        <v>2266</v>
      </c>
      <c r="B1074" t="s">
        <v>2267</v>
      </c>
      <c r="C1074" t="s">
        <v>3152</v>
      </c>
      <c r="D1074">
        <v>26.5</v>
      </c>
      <c r="E1074" t="s">
        <v>3222</v>
      </c>
    </row>
    <row r="1075" spans="1:5" x14ac:dyDescent="0.25">
      <c r="A1075" t="s">
        <v>2263</v>
      </c>
      <c r="B1075" t="s">
        <v>2264</v>
      </c>
      <c r="C1075" t="s">
        <v>3152</v>
      </c>
      <c r="D1075">
        <v>31.9</v>
      </c>
      <c r="E1075" t="s">
        <v>3222</v>
      </c>
    </row>
    <row r="1076" spans="1:5" x14ac:dyDescent="0.25">
      <c r="A1076" t="s">
        <v>2272</v>
      </c>
      <c r="B1076" t="s">
        <v>2273</v>
      </c>
      <c r="C1076" t="s">
        <v>3152</v>
      </c>
      <c r="D1076">
        <v>59.6</v>
      </c>
      <c r="E1076" t="s">
        <v>3222</v>
      </c>
    </row>
    <row r="1077" spans="1:5" x14ac:dyDescent="0.25">
      <c r="A1077" t="s">
        <v>2275</v>
      </c>
      <c r="B1077" t="s">
        <v>2276</v>
      </c>
      <c r="C1077" t="s">
        <v>3152</v>
      </c>
      <c r="D1077">
        <v>7.4</v>
      </c>
      <c r="E1077" t="s">
        <v>3222</v>
      </c>
    </row>
    <row r="1078" spans="1:5" x14ac:dyDescent="0.25">
      <c r="A1078" t="s">
        <v>2278</v>
      </c>
      <c r="B1078" t="s">
        <v>2279</v>
      </c>
      <c r="C1078" t="s">
        <v>3152</v>
      </c>
      <c r="D1078">
        <v>15.95</v>
      </c>
      <c r="E1078" t="s">
        <v>3222</v>
      </c>
    </row>
    <row r="1079" spans="1:5" x14ac:dyDescent="0.25">
      <c r="A1079" t="s">
        <v>2281</v>
      </c>
      <c r="B1079" t="s">
        <v>2282</v>
      </c>
      <c r="C1079" t="s">
        <v>3152</v>
      </c>
      <c r="D1079">
        <v>22.4</v>
      </c>
      <c r="E1079" t="s">
        <v>3222</v>
      </c>
    </row>
    <row r="1080" spans="1:5" x14ac:dyDescent="0.25">
      <c r="A1080" t="s">
        <v>2283</v>
      </c>
      <c r="B1080" t="s">
        <v>2284</v>
      </c>
      <c r="C1080" t="s">
        <v>3152</v>
      </c>
      <c r="D1080">
        <v>22.4</v>
      </c>
      <c r="E1080" t="s">
        <v>3222</v>
      </c>
    </row>
    <row r="1081" spans="1:5" x14ac:dyDescent="0.25">
      <c r="A1081" t="s">
        <v>2988</v>
      </c>
      <c r="B1081" t="s">
        <v>2989</v>
      </c>
      <c r="C1081" t="s">
        <v>3152</v>
      </c>
      <c r="D1081">
        <v>7.65</v>
      </c>
      <c r="E1081" t="s">
        <v>3222</v>
      </c>
    </row>
    <row r="1082" spans="1:5" x14ac:dyDescent="0.25">
      <c r="A1082" t="s">
        <v>2990</v>
      </c>
      <c r="B1082" t="s">
        <v>2991</v>
      </c>
      <c r="C1082" t="s">
        <v>3152</v>
      </c>
      <c r="D1082">
        <v>16.2</v>
      </c>
      <c r="E1082" t="s">
        <v>3222</v>
      </c>
    </row>
    <row r="1083" spans="1:5" x14ac:dyDescent="0.25">
      <c r="A1083" t="s">
        <v>1549</v>
      </c>
      <c r="B1083" t="s">
        <v>1550</v>
      </c>
      <c r="C1083" t="s">
        <v>3152</v>
      </c>
      <c r="D1083">
        <v>26.5</v>
      </c>
      <c r="E1083" t="s">
        <v>3223</v>
      </c>
    </row>
    <row r="1084" spans="1:5" x14ac:dyDescent="0.25">
      <c r="A1084" t="s">
        <v>1547</v>
      </c>
      <c r="B1084" t="s">
        <v>1548</v>
      </c>
      <c r="C1084" t="s">
        <v>3152</v>
      </c>
      <c r="D1084">
        <v>53.05</v>
      </c>
      <c r="E1084" t="s">
        <v>3223</v>
      </c>
    </row>
    <row r="1085" spans="1:5" x14ac:dyDescent="0.25">
      <c r="A1085" t="s">
        <v>1551</v>
      </c>
      <c r="B1085" t="s">
        <v>1552</v>
      </c>
      <c r="C1085" t="s">
        <v>3152</v>
      </c>
      <c r="D1085">
        <v>53.05</v>
      </c>
      <c r="E1085" t="s">
        <v>3223</v>
      </c>
    </row>
    <row r="1086" spans="1:5" x14ac:dyDescent="0.25">
      <c r="A1086" t="s">
        <v>1553</v>
      </c>
      <c r="B1086" t="s">
        <v>1554</v>
      </c>
      <c r="C1086" t="s">
        <v>3152</v>
      </c>
      <c r="D1086">
        <v>28.95</v>
      </c>
      <c r="E1086" t="s">
        <v>3223</v>
      </c>
    </row>
    <row r="1087" spans="1:5" x14ac:dyDescent="0.25">
      <c r="A1087" t="s">
        <v>1555</v>
      </c>
      <c r="B1087" t="s">
        <v>1556</v>
      </c>
      <c r="C1087" t="s">
        <v>3152</v>
      </c>
      <c r="D1087">
        <v>28.35</v>
      </c>
      <c r="E1087" t="s">
        <v>3223</v>
      </c>
    </row>
    <row r="1088" spans="1:5" x14ac:dyDescent="0.25">
      <c r="A1088" t="s">
        <v>1557</v>
      </c>
      <c r="B1088" t="s">
        <v>1558</v>
      </c>
      <c r="C1088" t="s">
        <v>3152</v>
      </c>
      <c r="D1088">
        <v>28.35</v>
      </c>
      <c r="E1088" t="s">
        <v>3223</v>
      </c>
    </row>
    <row r="1089" spans="1:5" x14ac:dyDescent="0.25">
      <c r="A1089" t="s">
        <v>1560</v>
      </c>
      <c r="B1089" t="s">
        <v>1561</v>
      </c>
      <c r="C1089" t="s">
        <v>3152</v>
      </c>
      <c r="D1089">
        <v>22.4</v>
      </c>
      <c r="E1089" t="s">
        <v>3223</v>
      </c>
    </row>
    <row r="1090" spans="1:5" x14ac:dyDescent="0.25">
      <c r="A1090" t="s">
        <v>2992</v>
      </c>
      <c r="B1090" t="s">
        <v>2993</v>
      </c>
      <c r="C1090" t="s">
        <v>3152</v>
      </c>
      <c r="D1090">
        <v>12.65</v>
      </c>
      <c r="E1090" t="s">
        <v>3224</v>
      </c>
    </row>
    <row r="1091" spans="1:5" x14ac:dyDescent="0.25">
      <c r="A1091" t="s">
        <v>1490</v>
      </c>
      <c r="B1091" t="s">
        <v>1491</v>
      </c>
      <c r="C1091" t="s">
        <v>3152</v>
      </c>
      <c r="D1091">
        <v>18.05</v>
      </c>
      <c r="E1091" t="s">
        <v>3224</v>
      </c>
    </row>
    <row r="1092" spans="1:5" x14ac:dyDescent="0.25">
      <c r="A1092" t="s">
        <v>1493</v>
      </c>
      <c r="B1092" t="s">
        <v>1494</v>
      </c>
      <c r="C1092" t="s">
        <v>3152</v>
      </c>
      <c r="D1092">
        <v>8.0500000000000007</v>
      </c>
      <c r="E1092" t="s">
        <v>3224</v>
      </c>
    </row>
    <row r="1093" spans="1:5" x14ac:dyDescent="0.25">
      <c r="A1093" t="s">
        <v>1496</v>
      </c>
      <c r="B1093" t="s">
        <v>1497</v>
      </c>
      <c r="C1093" t="s">
        <v>3152</v>
      </c>
      <c r="D1093">
        <v>22.4</v>
      </c>
      <c r="E1093" t="s">
        <v>3224</v>
      </c>
    </row>
    <row r="1094" spans="1:5" x14ac:dyDescent="0.25">
      <c r="A1094" t="s">
        <v>1499</v>
      </c>
      <c r="B1094" t="s">
        <v>1500</v>
      </c>
      <c r="C1094" t="s">
        <v>3152</v>
      </c>
      <c r="D1094">
        <v>27.15</v>
      </c>
      <c r="E1094" t="s">
        <v>3224</v>
      </c>
    </row>
    <row r="1095" spans="1:5" x14ac:dyDescent="0.25">
      <c r="A1095" t="s">
        <v>1626</v>
      </c>
      <c r="B1095" t="s">
        <v>1627</v>
      </c>
      <c r="C1095" t="s">
        <v>3152</v>
      </c>
      <c r="D1095">
        <v>17.399999999999999</v>
      </c>
      <c r="E1095" t="s">
        <v>3224</v>
      </c>
    </row>
    <row r="1096" spans="1:5" x14ac:dyDescent="0.25">
      <c r="A1096" t="s">
        <v>1480</v>
      </c>
      <c r="B1096" t="s">
        <v>1481</v>
      </c>
      <c r="C1096" t="s">
        <v>3152</v>
      </c>
      <c r="D1096">
        <v>15.95</v>
      </c>
      <c r="E1096" t="s">
        <v>3224</v>
      </c>
    </row>
    <row r="1097" spans="1:5" x14ac:dyDescent="0.25">
      <c r="A1097" t="s">
        <v>1483</v>
      </c>
      <c r="B1097" t="s">
        <v>1484</v>
      </c>
      <c r="C1097" t="s">
        <v>3152</v>
      </c>
      <c r="D1097">
        <v>22.4</v>
      </c>
      <c r="E1097" t="s">
        <v>3224</v>
      </c>
    </row>
    <row r="1098" spans="1:5" x14ac:dyDescent="0.25">
      <c r="A1098" t="s">
        <v>1477</v>
      </c>
      <c r="B1098" t="s">
        <v>1478</v>
      </c>
      <c r="C1098" t="s">
        <v>3152</v>
      </c>
      <c r="D1098">
        <v>15.1</v>
      </c>
      <c r="E1098" t="s">
        <v>3224</v>
      </c>
    </row>
    <row r="1099" spans="1:5" x14ac:dyDescent="0.25">
      <c r="A1099" t="s">
        <v>1514</v>
      </c>
      <c r="B1099" t="s">
        <v>1515</v>
      </c>
      <c r="C1099" t="s">
        <v>3152</v>
      </c>
      <c r="D1099">
        <v>23.9</v>
      </c>
      <c r="E1099" t="s">
        <v>3224</v>
      </c>
    </row>
    <row r="1100" spans="1:5" x14ac:dyDescent="0.25">
      <c r="A1100" t="s">
        <v>2994</v>
      </c>
      <c r="B1100" t="s">
        <v>2995</v>
      </c>
      <c r="C1100" t="s">
        <v>3152</v>
      </c>
      <c r="D1100">
        <v>26.5</v>
      </c>
      <c r="E1100" t="s">
        <v>3224</v>
      </c>
    </row>
    <row r="1101" spans="1:5" x14ac:dyDescent="0.25">
      <c r="A1101" t="s">
        <v>2996</v>
      </c>
      <c r="B1101" t="s">
        <v>2997</v>
      </c>
      <c r="C1101" t="s">
        <v>3152</v>
      </c>
      <c r="D1101">
        <v>34.5</v>
      </c>
      <c r="E1101" t="s">
        <v>3224</v>
      </c>
    </row>
    <row r="1102" spans="1:5" x14ac:dyDescent="0.25">
      <c r="A1102" t="s">
        <v>1474</v>
      </c>
      <c r="B1102" t="s">
        <v>1475</v>
      </c>
      <c r="C1102" t="s">
        <v>3152</v>
      </c>
      <c r="D1102">
        <v>7.4</v>
      </c>
      <c r="E1102" t="s">
        <v>3225</v>
      </c>
    </row>
    <row r="1103" spans="1:5" x14ac:dyDescent="0.25">
      <c r="A1103" t="s">
        <v>2998</v>
      </c>
      <c r="B1103" t="s">
        <v>2999</v>
      </c>
      <c r="C1103" t="s">
        <v>3152</v>
      </c>
      <c r="D1103">
        <v>7.4</v>
      </c>
      <c r="E1103" t="s">
        <v>3225</v>
      </c>
    </row>
    <row r="1104" spans="1:5" x14ac:dyDescent="0.25">
      <c r="A1104" t="s">
        <v>3000</v>
      </c>
      <c r="B1104" t="s">
        <v>3001</v>
      </c>
      <c r="C1104" t="s">
        <v>3152</v>
      </c>
      <c r="D1104">
        <v>7.4</v>
      </c>
      <c r="E1104" t="s">
        <v>3225</v>
      </c>
    </row>
    <row r="1105" spans="1:5" x14ac:dyDescent="0.25">
      <c r="A1105" t="s">
        <v>3002</v>
      </c>
      <c r="B1105" t="s">
        <v>3003</v>
      </c>
      <c r="C1105" t="s">
        <v>3152</v>
      </c>
      <c r="D1105">
        <v>7.4</v>
      </c>
      <c r="E1105" t="s">
        <v>3225</v>
      </c>
    </row>
    <row r="1106" spans="1:5" x14ac:dyDescent="0.25">
      <c r="A1106" t="s">
        <v>3004</v>
      </c>
      <c r="B1106" t="s">
        <v>3005</v>
      </c>
      <c r="C1106" t="s">
        <v>3152</v>
      </c>
      <c r="D1106">
        <v>14.45</v>
      </c>
      <c r="E1106" t="s">
        <v>3225</v>
      </c>
    </row>
    <row r="1107" spans="1:5" x14ac:dyDescent="0.25">
      <c r="A1107" t="s">
        <v>3006</v>
      </c>
      <c r="B1107" t="s">
        <v>3007</v>
      </c>
      <c r="C1107" t="s">
        <v>3152</v>
      </c>
      <c r="D1107">
        <v>7.4</v>
      </c>
      <c r="E1107" t="s">
        <v>3225</v>
      </c>
    </row>
    <row r="1108" spans="1:5" x14ac:dyDescent="0.25">
      <c r="A1108" t="s">
        <v>3008</v>
      </c>
      <c r="B1108" t="s">
        <v>3009</v>
      </c>
      <c r="C1108" t="s">
        <v>3152</v>
      </c>
      <c r="D1108">
        <v>7.4</v>
      </c>
      <c r="E1108" t="s">
        <v>3225</v>
      </c>
    </row>
    <row r="1109" spans="1:5" x14ac:dyDescent="0.25">
      <c r="A1109" t="s">
        <v>3010</v>
      </c>
      <c r="B1109" t="s">
        <v>3011</v>
      </c>
      <c r="C1109" t="s">
        <v>3152</v>
      </c>
      <c r="D1109">
        <v>7.4</v>
      </c>
      <c r="E1109" t="s">
        <v>3225</v>
      </c>
    </row>
    <row r="1110" spans="1:5" x14ac:dyDescent="0.25">
      <c r="A1110" t="s">
        <v>3012</v>
      </c>
      <c r="B1110" t="s">
        <v>3013</v>
      </c>
      <c r="C1110" t="s">
        <v>3152</v>
      </c>
      <c r="D1110">
        <v>7.4</v>
      </c>
      <c r="E1110" t="s">
        <v>3225</v>
      </c>
    </row>
    <row r="1111" spans="1:5" x14ac:dyDescent="0.25">
      <c r="A1111" t="s">
        <v>3014</v>
      </c>
      <c r="B1111" t="s">
        <v>3015</v>
      </c>
      <c r="C1111" t="s">
        <v>3152</v>
      </c>
      <c r="D1111">
        <v>14.45</v>
      </c>
      <c r="E1111" t="s">
        <v>3225</v>
      </c>
    </row>
    <row r="1112" spans="1:5" x14ac:dyDescent="0.25">
      <c r="A1112" t="s">
        <v>3016</v>
      </c>
      <c r="B1112" t="s">
        <v>3017</v>
      </c>
      <c r="C1112" t="s">
        <v>3152</v>
      </c>
      <c r="D1112">
        <v>14.45</v>
      </c>
      <c r="E1112" t="s">
        <v>3225</v>
      </c>
    </row>
    <row r="1113" spans="1:5" x14ac:dyDescent="0.25">
      <c r="A1113" t="s">
        <v>1375</v>
      </c>
      <c r="B1113" t="s">
        <v>1376</v>
      </c>
      <c r="C1113" t="s">
        <v>3152</v>
      </c>
      <c r="D1113">
        <v>20.65</v>
      </c>
      <c r="E1113" t="s">
        <v>3225</v>
      </c>
    </row>
    <row r="1114" spans="1:5" x14ac:dyDescent="0.25">
      <c r="A1114" t="s">
        <v>1651</v>
      </c>
      <c r="B1114" t="s">
        <v>1652</v>
      </c>
      <c r="C1114" t="s">
        <v>3152</v>
      </c>
      <c r="D1114">
        <v>13.3</v>
      </c>
      <c r="E1114" t="s">
        <v>3226</v>
      </c>
    </row>
    <row r="1115" spans="1:5" x14ac:dyDescent="0.25">
      <c r="A1115" t="s">
        <v>1653</v>
      </c>
      <c r="B1115" t="s">
        <v>1654</v>
      </c>
      <c r="C1115" t="s">
        <v>3152</v>
      </c>
      <c r="D1115">
        <v>15.95</v>
      </c>
      <c r="E1115" t="s">
        <v>3226</v>
      </c>
    </row>
    <row r="1116" spans="1:5" x14ac:dyDescent="0.25">
      <c r="A1116" t="s">
        <v>1639</v>
      </c>
      <c r="B1116" t="s">
        <v>1640</v>
      </c>
      <c r="C1116" t="s">
        <v>3152</v>
      </c>
      <c r="D1116">
        <v>13.3</v>
      </c>
      <c r="E1116" t="s">
        <v>3226</v>
      </c>
    </row>
    <row r="1117" spans="1:5" x14ac:dyDescent="0.25">
      <c r="A1117" t="s">
        <v>1643</v>
      </c>
      <c r="B1117" t="s">
        <v>3227</v>
      </c>
      <c r="C1117" t="s">
        <v>3152</v>
      </c>
      <c r="D1117">
        <v>24.45</v>
      </c>
      <c r="E1117" t="s">
        <v>3226</v>
      </c>
    </row>
    <row r="1118" spans="1:5" x14ac:dyDescent="0.25">
      <c r="A1118" t="s">
        <v>1645</v>
      </c>
      <c r="B1118" t="s">
        <v>3228</v>
      </c>
      <c r="C1118" t="s">
        <v>3152</v>
      </c>
      <c r="D1118">
        <v>23.9</v>
      </c>
      <c r="E1118" t="s">
        <v>3226</v>
      </c>
    </row>
    <row r="1119" spans="1:5" x14ac:dyDescent="0.25">
      <c r="A1119" t="s">
        <v>1378</v>
      </c>
      <c r="B1119" t="s">
        <v>1379</v>
      </c>
      <c r="C1119" t="s">
        <v>3152</v>
      </c>
      <c r="D1119">
        <v>23.9</v>
      </c>
      <c r="E1119" t="s">
        <v>3226</v>
      </c>
    </row>
    <row r="1120" spans="1:5" x14ac:dyDescent="0.25">
      <c r="A1120" t="s">
        <v>1647</v>
      </c>
      <c r="B1120" t="s">
        <v>3229</v>
      </c>
      <c r="C1120" t="s">
        <v>3152</v>
      </c>
      <c r="D1120">
        <v>23.9</v>
      </c>
      <c r="E1120" t="s">
        <v>3226</v>
      </c>
    </row>
    <row r="1121" spans="1:5" x14ac:dyDescent="0.25">
      <c r="A1121" t="s">
        <v>1649</v>
      </c>
      <c r="B1121" t="s">
        <v>3230</v>
      </c>
      <c r="C1121" t="s">
        <v>3152</v>
      </c>
      <c r="D1121">
        <v>27.75</v>
      </c>
      <c r="E1121" t="s">
        <v>3226</v>
      </c>
    </row>
    <row r="1122" spans="1:5" x14ac:dyDescent="0.25">
      <c r="A1122" t="s">
        <v>3231</v>
      </c>
      <c r="B1122" t="s">
        <v>3232</v>
      </c>
      <c r="C1122" t="s">
        <v>3152</v>
      </c>
      <c r="D1122">
        <v>14.15</v>
      </c>
      <c r="E1122" t="s">
        <v>3042</v>
      </c>
    </row>
    <row r="1123" spans="1:5" x14ac:dyDescent="0.25">
      <c r="A1123" t="s">
        <v>1380</v>
      </c>
      <c r="B1123" t="s">
        <v>1381</v>
      </c>
      <c r="C1123" t="s">
        <v>3152</v>
      </c>
      <c r="D1123">
        <v>11.1</v>
      </c>
      <c r="E1123" t="s">
        <v>3233</v>
      </c>
    </row>
    <row r="1124" spans="1:5" x14ac:dyDescent="0.25">
      <c r="A1124" t="s">
        <v>2960</v>
      </c>
      <c r="B1124" t="s">
        <v>2961</v>
      </c>
      <c r="C1124" t="s">
        <v>3152</v>
      </c>
      <c r="D1124">
        <v>18.649999999999999</v>
      </c>
      <c r="E1124" t="s">
        <v>3044</v>
      </c>
    </row>
    <row r="1125" spans="1:5" x14ac:dyDescent="0.25">
      <c r="A1125" t="s">
        <v>2161</v>
      </c>
      <c r="B1125" t="s">
        <v>2162</v>
      </c>
      <c r="C1125" t="s">
        <v>3152</v>
      </c>
      <c r="D1125">
        <v>18.649999999999999</v>
      </c>
      <c r="E1125" t="s">
        <v>3044</v>
      </c>
    </row>
    <row r="1126" spans="1:5" x14ac:dyDescent="0.25">
      <c r="A1126" t="s">
        <v>2962</v>
      </c>
      <c r="B1126" t="s">
        <v>2963</v>
      </c>
      <c r="C1126" t="s">
        <v>3152</v>
      </c>
      <c r="D1126">
        <v>18.649999999999999</v>
      </c>
      <c r="E1126" t="s">
        <v>3044</v>
      </c>
    </row>
    <row r="1127" spans="1:5" x14ac:dyDescent="0.25">
      <c r="A1127" t="s">
        <v>2964</v>
      </c>
      <c r="B1127" t="s">
        <v>2965</v>
      </c>
      <c r="C1127" t="s">
        <v>3152</v>
      </c>
      <c r="D1127">
        <v>19.8</v>
      </c>
      <c r="E1127" t="s">
        <v>3044</v>
      </c>
    </row>
    <row r="1128" spans="1:5" x14ac:dyDescent="0.25">
      <c r="A1128" t="s">
        <v>2163</v>
      </c>
      <c r="B1128" t="s">
        <v>2164</v>
      </c>
      <c r="C1128" t="s">
        <v>3152</v>
      </c>
      <c r="D1128">
        <v>25.35</v>
      </c>
      <c r="E1128" t="s">
        <v>3044</v>
      </c>
    </row>
    <row r="1129" spans="1:5" x14ac:dyDescent="0.25">
      <c r="A1129" t="s">
        <v>2073</v>
      </c>
      <c r="B1129" t="s">
        <v>2074</v>
      </c>
      <c r="C1129" t="s">
        <v>3152</v>
      </c>
      <c r="D1129">
        <v>5.6</v>
      </c>
      <c r="E1129" t="s">
        <v>3044</v>
      </c>
    </row>
    <row r="1130" spans="1:5" x14ac:dyDescent="0.25">
      <c r="A1130" t="s">
        <v>2077</v>
      </c>
      <c r="B1130" t="s">
        <v>2078</v>
      </c>
      <c r="C1130" t="s">
        <v>3152</v>
      </c>
      <c r="D1130">
        <v>5.6</v>
      </c>
      <c r="E1130" t="s">
        <v>3044</v>
      </c>
    </row>
    <row r="1131" spans="1:5" x14ac:dyDescent="0.25">
      <c r="A1131" t="s">
        <v>2080</v>
      </c>
      <c r="B1131" t="s">
        <v>2081</v>
      </c>
      <c r="C1131" t="s">
        <v>3152</v>
      </c>
      <c r="D1131">
        <v>5.6</v>
      </c>
      <c r="E1131" t="s">
        <v>3044</v>
      </c>
    </row>
    <row r="1132" spans="1:5" x14ac:dyDescent="0.25">
      <c r="A1132" t="s">
        <v>2083</v>
      </c>
      <c r="B1132" t="s">
        <v>2084</v>
      </c>
      <c r="C1132" t="s">
        <v>3152</v>
      </c>
      <c r="D1132">
        <v>5.6</v>
      </c>
      <c r="E1132" t="s">
        <v>3044</v>
      </c>
    </row>
    <row r="1133" spans="1:5" x14ac:dyDescent="0.25">
      <c r="A1133" t="s">
        <v>2086</v>
      </c>
      <c r="B1133" t="s">
        <v>2087</v>
      </c>
      <c r="C1133" t="s">
        <v>3152</v>
      </c>
      <c r="D1133">
        <v>5.6</v>
      </c>
      <c r="E1133" t="s">
        <v>3044</v>
      </c>
    </row>
    <row r="1134" spans="1:5" x14ac:dyDescent="0.25">
      <c r="A1134" t="s">
        <v>2089</v>
      </c>
      <c r="B1134" t="s">
        <v>2090</v>
      </c>
      <c r="C1134" t="s">
        <v>3152</v>
      </c>
      <c r="D1134">
        <v>6.5</v>
      </c>
      <c r="E1134" t="s">
        <v>3044</v>
      </c>
    </row>
    <row r="1135" spans="1:5" x14ac:dyDescent="0.25">
      <c r="A1135" t="s">
        <v>2092</v>
      </c>
      <c r="B1135" t="s">
        <v>2093</v>
      </c>
      <c r="C1135" t="s">
        <v>3152</v>
      </c>
      <c r="D1135">
        <v>14.45</v>
      </c>
      <c r="E1135" t="s">
        <v>3044</v>
      </c>
    </row>
    <row r="1136" spans="1:5" x14ac:dyDescent="0.25">
      <c r="A1136" t="s">
        <v>2100</v>
      </c>
      <c r="B1136" t="s">
        <v>2101</v>
      </c>
      <c r="C1136" t="s">
        <v>3152</v>
      </c>
      <c r="D1136">
        <v>4.75</v>
      </c>
      <c r="E1136" t="s">
        <v>3044</v>
      </c>
    </row>
    <row r="1137" spans="1:5" x14ac:dyDescent="0.25">
      <c r="A1137" t="s">
        <v>2103</v>
      </c>
      <c r="B1137" t="s">
        <v>2104</v>
      </c>
      <c r="C1137" t="s">
        <v>3152</v>
      </c>
      <c r="D1137">
        <v>4.75</v>
      </c>
      <c r="E1137" t="s">
        <v>3044</v>
      </c>
    </row>
    <row r="1138" spans="1:5" x14ac:dyDescent="0.25">
      <c r="A1138" t="s">
        <v>2106</v>
      </c>
      <c r="B1138" t="s">
        <v>2107</v>
      </c>
      <c r="C1138" t="s">
        <v>3152</v>
      </c>
      <c r="D1138">
        <v>4.75</v>
      </c>
      <c r="E1138" t="s">
        <v>3044</v>
      </c>
    </row>
    <row r="1139" spans="1:5" x14ac:dyDescent="0.25">
      <c r="A1139" t="s">
        <v>2109</v>
      </c>
      <c r="B1139" t="s">
        <v>2110</v>
      </c>
      <c r="C1139" t="s">
        <v>3152</v>
      </c>
      <c r="D1139">
        <v>4.75</v>
      </c>
      <c r="E1139" t="s">
        <v>3044</v>
      </c>
    </row>
    <row r="1140" spans="1:5" x14ac:dyDescent="0.25">
      <c r="A1140" t="s">
        <v>2966</v>
      </c>
      <c r="B1140" t="s">
        <v>2967</v>
      </c>
      <c r="C1140" t="s">
        <v>3152</v>
      </c>
      <c r="D1140">
        <v>10.6</v>
      </c>
      <c r="E1140" t="s">
        <v>3044</v>
      </c>
    </row>
    <row r="1141" spans="1:5" x14ac:dyDescent="0.25">
      <c r="A1141" t="s">
        <v>2095</v>
      </c>
      <c r="B1141" t="s">
        <v>2096</v>
      </c>
      <c r="C1141" t="s">
        <v>3152</v>
      </c>
      <c r="D1141">
        <v>19.05</v>
      </c>
      <c r="E1141" t="s">
        <v>3044</v>
      </c>
    </row>
    <row r="1142" spans="1:5" x14ac:dyDescent="0.25">
      <c r="A1142" t="s">
        <v>2098</v>
      </c>
      <c r="B1142" t="s">
        <v>2099</v>
      </c>
      <c r="C1142" t="s">
        <v>3152</v>
      </c>
      <c r="D1142">
        <v>36.049999999999997</v>
      </c>
      <c r="E1142" t="s">
        <v>3044</v>
      </c>
    </row>
    <row r="1143" spans="1:5" x14ac:dyDescent="0.25">
      <c r="A1143" t="s">
        <v>2968</v>
      </c>
      <c r="B1143" t="s">
        <v>2969</v>
      </c>
      <c r="C1143" t="s">
        <v>3152</v>
      </c>
      <c r="D1143">
        <v>25.35</v>
      </c>
      <c r="E1143" t="s">
        <v>3044</v>
      </c>
    </row>
    <row r="1144" spans="1:5" x14ac:dyDescent="0.25">
      <c r="A1144" t="s">
        <v>2138</v>
      </c>
      <c r="B1144" t="s">
        <v>2139</v>
      </c>
      <c r="C1144" t="s">
        <v>3152</v>
      </c>
      <c r="D1144">
        <v>15.95</v>
      </c>
      <c r="E1144" t="s">
        <v>3044</v>
      </c>
    </row>
    <row r="1145" spans="1:5" x14ac:dyDescent="0.25">
      <c r="A1145" t="s">
        <v>2141</v>
      </c>
      <c r="B1145" t="s">
        <v>2142</v>
      </c>
      <c r="C1145" t="s">
        <v>3152</v>
      </c>
      <c r="D1145">
        <v>15.95</v>
      </c>
      <c r="E1145" t="s">
        <v>3044</v>
      </c>
    </row>
    <row r="1146" spans="1:5" x14ac:dyDescent="0.25">
      <c r="A1146" t="s">
        <v>2970</v>
      </c>
      <c r="B1146" t="s">
        <v>2971</v>
      </c>
      <c r="C1146" t="s">
        <v>3152</v>
      </c>
      <c r="D1146">
        <v>15.95</v>
      </c>
      <c r="E1146" t="s">
        <v>3044</v>
      </c>
    </row>
    <row r="1147" spans="1:5" x14ac:dyDescent="0.25">
      <c r="A1147" t="s">
        <v>2147</v>
      </c>
      <c r="B1147" t="s">
        <v>2148</v>
      </c>
      <c r="C1147" t="s">
        <v>3152</v>
      </c>
      <c r="D1147">
        <v>15.95</v>
      </c>
      <c r="E1147" t="s">
        <v>3044</v>
      </c>
    </row>
    <row r="1148" spans="1:5" x14ac:dyDescent="0.25">
      <c r="A1148" t="s">
        <v>2149</v>
      </c>
      <c r="B1148" t="s">
        <v>2150</v>
      </c>
      <c r="C1148" t="s">
        <v>3152</v>
      </c>
      <c r="D1148">
        <v>19.8</v>
      </c>
      <c r="E1148" t="s">
        <v>3044</v>
      </c>
    </row>
    <row r="1149" spans="1:5" x14ac:dyDescent="0.25">
      <c r="A1149" t="s">
        <v>2144</v>
      </c>
      <c r="B1149" t="s">
        <v>2145</v>
      </c>
      <c r="C1149" t="s">
        <v>3152</v>
      </c>
      <c r="D1149">
        <v>15.95</v>
      </c>
      <c r="E1149" t="s">
        <v>3044</v>
      </c>
    </row>
    <row r="1150" spans="1:5" x14ac:dyDescent="0.25">
      <c r="A1150" t="s">
        <v>2972</v>
      </c>
      <c r="B1150" t="s">
        <v>2973</v>
      </c>
      <c r="C1150" t="s">
        <v>3152</v>
      </c>
      <c r="D1150">
        <v>15.95</v>
      </c>
      <c r="E1150" t="s">
        <v>3044</v>
      </c>
    </row>
    <row r="1151" spans="1:5" x14ac:dyDescent="0.25">
      <c r="A1151" t="s">
        <v>2151</v>
      </c>
      <c r="B1151" t="s">
        <v>2152</v>
      </c>
      <c r="C1151" t="s">
        <v>3152</v>
      </c>
      <c r="D1151">
        <v>40.450000000000003</v>
      </c>
      <c r="E1151" t="s">
        <v>3044</v>
      </c>
    </row>
    <row r="1152" spans="1:5" x14ac:dyDescent="0.25">
      <c r="A1152" t="s">
        <v>2974</v>
      </c>
      <c r="B1152" t="s">
        <v>2975</v>
      </c>
      <c r="C1152" t="s">
        <v>3152</v>
      </c>
      <c r="D1152">
        <v>15.95</v>
      </c>
      <c r="E1152" t="s">
        <v>3044</v>
      </c>
    </row>
    <row r="1153" spans="1:5" x14ac:dyDescent="0.25">
      <c r="A1153" t="s">
        <v>2976</v>
      </c>
      <c r="B1153" t="s">
        <v>2977</v>
      </c>
      <c r="C1153" t="s">
        <v>3152</v>
      </c>
      <c r="D1153">
        <v>0.9</v>
      </c>
      <c r="E1153" t="s">
        <v>3044</v>
      </c>
    </row>
    <row r="1154" spans="1:5" x14ac:dyDescent="0.25">
      <c r="A1154" t="s">
        <v>2172</v>
      </c>
      <c r="B1154" t="s">
        <v>2173</v>
      </c>
      <c r="C1154" t="s">
        <v>3152</v>
      </c>
      <c r="D1154">
        <v>5.6</v>
      </c>
      <c r="E1154" t="s">
        <v>3044</v>
      </c>
    </row>
    <row r="1155" spans="1:5" x14ac:dyDescent="0.25">
      <c r="A1155" t="s">
        <v>2182</v>
      </c>
      <c r="B1155" t="s">
        <v>2183</v>
      </c>
      <c r="C1155" t="s">
        <v>3152</v>
      </c>
      <c r="D1155">
        <v>15.95</v>
      </c>
      <c r="E1155" t="s">
        <v>3044</v>
      </c>
    </row>
    <row r="1156" spans="1:5" x14ac:dyDescent="0.25">
      <c r="A1156" t="s">
        <v>2174</v>
      </c>
      <c r="B1156" t="s">
        <v>2175</v>
      </c>
      <c r="C1156" t="s">
        <v>3152</v>
      </c>
      <c r="D1156">
        <v>3.75</v>
      </c>
      <c r="E1156" t="s">
        <v>3044</v>
      </c>
    </row>
    <row r="1157" spans="1:5" x14ac:dyDescent="0.25">
      <c r="A1157" t="s">
        <v>2177</v>
      </c>
      <c r="B1157" t="s">
        <v>2178</v>
      </c>
      <c r="C1157" t="s">
        <v>3152</v>
      </c>
      <c r="D1157">
        <v>9.15</v>
      </c>
      <c r="E1157" t="s">
        <v>3044</v>
      </c>
    </row>
    <row r="1158" spans="1:5" x14ac:dyDescent="0.25">
      <c r="A1158" t="s">
        <v>2179</v>
      </c>
      <c r="B1158" t="s">
        <v>2180</v>
      </c>
      <c r="C1158" t="s">
        <v>3152</v>
      </c>
      <c r="D1158">
        <v>9.6999999999999993</v>
      </c>
      <c r="E1158" t="s">
        <v>3044</v>
      </c>
    </row>
    <row r="1159" spans="1:5" x14ac:dyDescent="0.25">
      <c r="A1159" t="s">
        <v>3234</v>
      </c>
      <c r="B1159" t="s">
        <v>3235</v>
      </c>
      <c r="C1159" t="s">
        <v>3152</v>
      </c>
      <c r="D1159">
        <v>41.25</v>
      </c>
      <c r="E1159" t="s">
        <v>3044</v>
      </c>
    </row>
    <row r="1160" spans="1:5" x14ac:dyDescent="0.25">
      <c r="A1160" t="s">
        <v>2978</v>
      </c>
      <c r="B1160" t="s">
        <v>2979</v>
      </c>
      <c r="C1160" t="s">
        <v>3152</v>
      </c>
      <c r="D1160">
        <v>10</v>
      </c>
      <c r="E1160" t="s">
        <v>3044</v>
      </c>
    </row>
    <row r="1161" spans="1:5" x14ac:dyDescent="0.25">
      <c r="A1161" t="s">
        <v>2980</v>
      </c>
      <c r="B1161" t="s">
        <v>2981</v>
      </c>
      <c r="C1161" t="s">
        <v>3152</v>
      </c>
      <c r="D1161">
        <v>3.55</v>
      </c>
      <c r="E1161" t="s">
        <v>3044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3062</v>
      </c>
      <c r="B1" s="6" t="s">
        <v>3063</v>
      </c>
      <c r="C1" s="6" t="s">
        <v>3</v>
      </c>
      <c r="D1" s="6" t="s">
        <v>2</v>
      </c>
      <c r="E1" s="6" t="s">
        <v>3064</v>
      </c>
      <c r="F1" s="6" t="s">
        <v>3065</v>
      </c>
      <c r="G1" s="6" t="s">
        <v>3066</v>
      </c>
    </row>
    <row r="2" spans="1:7" x14ac:dyDescent="0.25">
      <c r="A2" t="s">
        <v>184</v>
      </c>
      <c r="B2" t="s">
        <v>185</v>
      </c>
      <c r="C2" t="s">
        <v>3067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3067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3067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3067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3067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3067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3067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3067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3067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3067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3067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3067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3067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3067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3067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3067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3067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3067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3067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3067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3067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3067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3067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3067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3067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3067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3067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3067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3067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3067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3067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3067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3067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3068</v>
      </c>
      <c r="C35" t="s">
        <v>3067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3067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3067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3067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3067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3067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3067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3067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3067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3067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3067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3067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3067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3067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3067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3067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3067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3067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3067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3067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3067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3067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3067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3067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3067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3067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3067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3067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3067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3067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3067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3067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3069</v>
      </c>
      <c r="C67" t="s">
        <v>3067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3067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3067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3067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3067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3067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3067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3067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3067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3067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3067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3067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3067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3067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3067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3067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3070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3071</v>
      </c>
      <c r="C84" t="s">
        <v>3070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3070</v>
      </c>
      <c r="F85">
        <v>0</v>
      </c>
    </row>
    <row r="86" spans="1:7" x14ac:dyDescent="0.25">
      <c r="A86" t="s">
        <v>514</v>
      </c>
      <c r="B86" t="s">
        <v>515</v>
      </c>
      <c r="C86" t="s">
        <v>3070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3070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3070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3070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3070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3070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3070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3070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3070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3070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3070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3070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3070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3072</v>
      </c>
      <c r="C99" t="s">
        <v>3070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3070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3070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3073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3073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3073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3073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3073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3073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3073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3073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3073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3073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3073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3073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3073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3073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3073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3073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3073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3073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3074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3074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3074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3074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3075</v>
      </c>
      <c r="C124" t="s">
        <v>3074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3074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3074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3074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3074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3074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2301</v>
      </c>
      <c r="B130" t="s">
        <v>2302</v>
      </c>
      <c r="C130" t="s">
        <v>3074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3074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3074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3074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3074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3074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3074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3074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3074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3076</v>
      </c>
      <c r="C139" t="s">
        <v>3074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3074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3074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3074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3074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3074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3074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3077</v>
      </c>
      <c r="C146" t="s">
        <v>3074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3074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3074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3074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3074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3074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3074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3074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3074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3074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3074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3078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3078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3078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3078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3078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3078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3078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3078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3078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3078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3078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3078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3079</v>
      </c>
      <c r="C169" t="s">
        <v>3078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3078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3078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3078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3078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3078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3078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3078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3078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3078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3078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3078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3078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3078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3078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3078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3078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3078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3078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3078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3078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3078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3078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3078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3078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3078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3078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3080</v>
      </c>
      <c r="C196" t="s">
        <v>3081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3082</v>
      </c>
      <c r="C197" t="s">
        <v>3081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3081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3081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3083</v>
      </c>
      <c r="C200" t="s">
        <v>3081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3081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3081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3081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3081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3081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3081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3084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3084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3084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3084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3084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3084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3084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3084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3084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3084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3084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3084</v>
      </c>
      <c r="F218">
        <v>0</v>
      </c>
    </row>
    <row r="219" spans="1:7" x14ac:dyDescent="0.25">
      <c r="A219" t="s">
        <v>1131</v>
      </c>
      <c r="B219" t="s">
        <v>1132</v>
      </c>
      <c r="C219" t="s">
        <v>3084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3085</v>
      </c>
      <c r="C220" t="s">
        <v>3084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3084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3084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3084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3084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3084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3084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3084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3084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3084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3084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3084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3084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3084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3084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3084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3084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3084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3084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3084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3084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3084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3084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3084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3084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3086</v>
      </c>
      <c r="C245" t="s">
        <v>3084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3084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3084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3084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3084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3084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3084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3084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3084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3084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3084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3084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3084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3084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3084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3084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3084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3084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3087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3088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3089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3090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3091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3091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3091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3091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3091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3091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3091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3091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3091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3091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3091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3091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3091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3091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3091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3091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3091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3091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3091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3091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3091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3091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3091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3092</v>
      </c>
      <c r="C335" t="s">
        <v>3091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3091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3093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3093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3093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3093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3094</v>
      </c>
      <c r="C341" t="s">
        <v>3093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3093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3093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3093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3093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3093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3093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3093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3093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3095</v>
      </c>
      <c r="C350" t="s">
        <v>3093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3093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3096</v>
      </c>
      <c r="C352" t="s">
        <v>3093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3061</v>
      </c>
      <c r="B353" t="s">
        <v>3097</v>
      </c>
      <c r="C353" t="s">
        <v>3098</v>
      </c>
      <c r="E353">
        <v>47</v>
      </c>
      <c r="F353">
        <v>0</v>
      </c>
      <c r="G353">
        <v>0</v>
      </c>
    </row>
    <row r="354" spans="1:7" x14ac:dyDescent="0.25">
      <c r="A354" t="s">
        <v>3047</v>
      </c>
      <c r="B354" t="s">
        <v>3048</v>
      </c>
      <c r="C354" t="s">
        <v>3098</v>
      </c>
      <c r="E354">
        <v>2</v>
      </c>
    </row>
    <row r="355" spans="1:7" x14ac:dyDescent="0.25">
      <c r="A355" t="s">
        <v>3051</v>
      </c>
      <c r="B355" t="s">
        <v>3052</v>
      </c>
      <c r="C355" t="s">
        <v>3098</v>
      </c>
      <c r="E355">
        <v>3</v>
      </c>
    </row>
    <row r="356" spans="1:7" x14ac:dyDescent="0.25">
      <c r="A356" t="s">
        <v>3053</v>
      </c>
      <c r="B356" t="s">
        <v>3054</v>
      </c>
      <c r="C356" t="s">
        <v>3098</v>
      </c>
      <c r="E356">
        <v>2</v>
      </c>
    </row>
    <row r="357" spans="1:7" x14ac:dyDescent="0.25">
      <c r="A357" t="s">
        <v>3055</v>
      </c>
      <c r="B357" t="s">
        <v>3056</v>
      </c>
      <c r="C357" t="s">
        <v>3098</v>
      </c>
      <c r="E357">
        <v>3</v>
      </c>
    </row>
    <row r="358" spans="1:7" x14ac:dyDescent="0.25">
      <c r="A358" t="s">
        <v>3057</v>
      </c>
      <c r="B358" t="s">
        <v>3099</v>
      </c>
      <c r="C358" t="s">
        <v>3098</v>
      </c>
      <c r="E358">
        <v>2</v>
      </c>
    </row>
    <row r="359" spans="1:7" x14ac:dyDescent="0.25">
      <c r="A359" t="s">
        <v>3059</v>
      </c>
      <c r="B359" t="s">
        <v>3060</v>
      </c>
      <c r="C359" t="s">
        <v>3098</v>
      </c>
      <c r="E359">
        <v>2</v>
      </c>
    </row>
    <row r="360" spans="1:7" x14ac:dyDescent="0.25">
      <c r="A360" t="s">
        <v>1323</v>
      </c>
      <c r="B360" t="s">
        <v>1324</v>
      </c>
      <c r="C360" t="s">
        <v>3100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3100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3100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3100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3100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3101</v>
      </c>
      <c r="C365" t="s">
        <v>3100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3100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3100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3100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3100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3100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3100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3100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3100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3100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3100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3102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3103</v>
      </c>
      <c r="C377" t="s">
        <v>3102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3102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3104</v>
      </c>
      <c r="C379" t="s">
        <v>3102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3105</v>
      </c>
      <c r="C380" t="s">
        <v>3102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3106</v>
      </c>
      <c r="C381" t="s">
        <v>3102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3102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3102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3102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3102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3102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3107</v>
      </c>
      <c r="C387" t="s">
        <v>3102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3108</v>
      </c>
      <c r="C388" t="s">
        <v>3102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3109</v>
      </c>
      <c r="C389" t="s">
        <v>3102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3110</v>
      </c>
      <c r="C390" t="s">
        <v>3102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3102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3102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3102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3102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3102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3102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3111</v>
      </c>
      <c r="C397" t="s">
        <v>3102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3102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3102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3102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3102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3102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3102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3102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3102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3102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3102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3102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3102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3102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3102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3102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3112</v>
      </c>
      <c r="B413" t="s">
        <v>1627</v>
      </c>
      <c r="C413" t="s">
        <v>3102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3102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3102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3102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3102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3102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3102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3102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3102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3102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3102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3102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3102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3102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3113</v>
      </c>
      <c r="C427" t="s">
        <v>3102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3102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3102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3102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3102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3102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3102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3102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3102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3102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3102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3102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3114</v>
      </c>
      <c r="C439" t="s">
        <v>3102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3102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3115</v>
      </c>
      <c r="B441" t="s">
        <v>2997</v>
      </c>
      <c r="C441" t="s">
        <v>3102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3102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3102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3102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3102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3102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3102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3102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3102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3116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3116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3117</v>
      </c>
      <c r="C452" t="s">
        <v>3116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3116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3116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3116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3116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3116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3116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3116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3116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3116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3116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3118</v>
      </c>
      <c r="C463" t="s">
        <v>3116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3116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3116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3116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3116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3116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3116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3116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3116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3119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3119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3119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3119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3119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3119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3119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3119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3120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3120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3120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3120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3120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3120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3120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3120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3120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3120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3120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3120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3120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3121</v>
      </c>
      <c r="C493" t="s">
        <v>3120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3120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3120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3120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3120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3120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3120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3120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3120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3120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3122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3123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3123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3123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2208</v>
      </c>
      <c r="B522" t="s">
        <v>2209</v>
      </c>
      <c r="C522" t="s">
        <v>3124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2157</v>
      </c>
      <c r="B523" t="s">
        <v>2158</v>
      </c>
      <c r="C523" t="s">
        <v>3124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2199</v>
      </c>
      <c r="B524" t="s">
        <v>2200</v>
      </c>
      <c r="C524" t="s">
        <v>3124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2058</v>
      </c>
      <c r="B525" t="s">
        <v>2059</v>
      </c>
      <c r="C525" t="s">
        <v>3124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2154</v>
      </c>
      <c r="B526" t="s">
        <v>2155</v>
      </c>
      <c r="C526" t="s">
        <v>3124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2202</v>
      </c>
      <c r="B527" t="s">
        <v>2203</v>
      </c>
      <c r="C527" t="s">
        <v>3124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2069</v>
      </c>
      <c r="B528" t="s">
        <v>2070</v>
      </c>
      <c r="C528" t="s">
        <v>3124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2196</v>
      </c>
      <c r="B529" t="s">
        <v>2197</v>
      </c>
      <c r="C529" t="s">
        <v>3124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2205</v>
      </c>
      <c r="B530" t="s">
        <v>2206</v>
      </c>
      <c r="C530" t="s">
        <v>3124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2064</v>
      </c>
      <c r="B531" t="s">
        <v>2065</v>
      </c>
      <c r="C531" t="s">
        <v>3124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2062</v>
      </c>
      <c r="B532" t="s">
        <v>2063</v>
      </c>
      <c r="C532" t="s">
        <v>3124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2165</v>
      </c>
      <c r="B533" t="s">
        <v>2166</v>
      </c>
      <c r="C533" t="s">
        <v>3124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2071</v>
      </c>
      <c r="B534" t="s">
        <v>2072</v>
      </c>
      <c r="C534" t="s">
        <v>3124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2067</v>
      </c>
      <c r="B535" t="s">
        <v>2068</v>
      </c>
      <c r="C535" t="s">
        <v>3124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2191</v>
      </c>
      <c r="B536" t="s">
        <v>2192</v>
      </c>
      <c r="C536" t="s">
        <v>3124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2185</v>
      </c>
      <c r="B537" t="s">
        <v>2186</v>
      </c>
      <c r="C537" t="s">
        <v>3124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2188</v>
      </c>
      <c r="B538" t="s">
        <v>2189</v>
      </c>
      <c r="C538" t="s">
        <v>3124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2194</v>
      </c>
      <c r="B539" t="s">
        <v>2195</v>
      </c>
      <c r="C539" t="s">
        <v>3124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3125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3126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3127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2236</v>
      </c>
      <c r="B546" t="s">
        <v>2237</v>
      </c>
      <c r="C546" t="s">
        <v>3128</v>
      </c>
      <c r="F546">
        <v>0</v>
      </c>
    </row>
    <row r="547" spans="1:7" x14ac:dyDescent="0.25">
      <c r="A547" t="s">
        <v>2214</v>
      </c>
      <c r="B547" t="s">
        <v>3129</v>
      </c>
      <c r="C547" t="s">
        <v>3128</v>
      </c>
      <c r="D547">
        <v>1000</v>
      </c>
      <c r="E547">
        <v>2</v>
      </c>
    </row>
    <row r="548" spans="1:7" x14ac:dyDescent="0.25">
      <c r="A548" t="s">
        <v>2227</v>
      </c>
      <c r="B548" t="s">
        <v>2228</v>
      </c>
      <c r="C548" t="s">
        <v>3128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3130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3131</v>
      </c>
      <c r="C550" t="s">
        <v>3130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3130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3130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3132</v>
      </c>
      <c r="C553" t="s">
        <v>3130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3130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3130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3133</v>
      </c>
      <c r="C556" t="s">
        <v>3130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3130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3130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3130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3130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3130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3130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3134</v>
      </c>
      <c r="C563" t="s">
        <v>3130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3135</v>
      </c>
      <c r="C564" t="s">
        <v>3130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3130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3130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3130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3130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3136</v>
      </c>
      <c r="C569" t="s">
        <v>3130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3130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3137</v>
      </c>
      <c r="C571" t="s">
        <v>3130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3138</v>
      </c>
      <c r="C572" t="s">
        <v>3130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3130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3130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3139</v>
      </c>
      <c r="C575" t="s">
        <v>3130</v>
      </c>
      <c r="D575">
        <v>6000</v>
      </c>
      <c r="E575">
        <v>12</v>
      </c>
    </row>
    <row r="576" spans="1:7" x14ac:dyDescent="0.25">
      <c r="A576" t="s">
        <v>1913</v>
      </c>
      <c r="B576" t="s">
        <v>3140</v>
      </c>
      <c r="C576" t="s">
        <v>3130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3130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3130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3130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3141</v>
      </c>
      <c r="B580" t="s">
        <v>2937</v>
      </c>
      <c r="C580" t="s">
        <v>3142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2310</v>
      </c>
      <c r="B581" t="s">
        <v>2311</v>
      </c>
      <c r="C581" t="s">
        <v>3142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2285</v>
      </c>
      <c r="B582" t="s">
        <v>2286</v>
      </c>
      <c r="C582" t="s">
        <v>3142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2315</v>
      </c>
      <c r="B583" t="s">
        <v>2316</v>
      </c>
      <c r="C583" t="s">
        <v>3142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2313</v>
      </c>
      <c r="B584" t="s">
        <v>2314</v>
      </c>
      <c r="C584" t="s">
        <v>3142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2289</v>
      </c>
      <c r="B585" t="s">
        <v>2290</v>
      </c>
      <c r="C585" t="s">
        <v>3142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2307</v>
      </c>
      <c r="B586" t="s">
        <v>2308</v>
      </c>
      <c r="C586" t="s">
        <v>3142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2304</v>
      </c>
      <c r="B587" t="s">
        <v>2305</v>
      </c>
      <c r="C587" t="s">
        <v>3142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2292</v>
      </c>
      <c r="B588" t="s">
        <v>2293</v>
      </c>
      <c r="C588" t="s">
        <v>3142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2295</v>
      </c>
      <c r="B589" t="s">
        <v>2296</v>
      </c>
      <c r="C589" t="s">
        <v>3142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2332</v>
      </c>
      <c r="B590" t="s">
        <v>2333</v>
      </c>
      <c r="C590" t="s">
        <v>3143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2371</v>
      </c>
      <c r="B591" t="s">
        <v>2372</v>
      </c>
      <c r="C591" t="s">
        <v>3143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2353</v>
      </c>
      <c r="B592" t="s">
        <v>2354</v>
      </c>
      <c r="C592" t="s">
        <v>3143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2325</v>
      </c>
      <c r="B593" t="s">
        <v>2326</v>
      </c>
      <c r="C593" t="s">
        <v>3143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2346</v>
      </c>
      <c r="B594" t="s">
        <v>2347</v>
      </c>
      <c r="C594" t="s">
        <v>3143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2367</v>
      </c>
      <c r="B595" t="s">
        <v>2368</v>
      </c>
      <c r="C595" t="s">
        <v>3143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2318</v>
      </c>
      <c r="B596" t="s">
        <v>2319</v>
      </c>
      <c r="C596" t="s">
        <v>3143</v>
      </c>
      <c r="D596">
        <v>682.8</v>
      </c>
      <c r="E596">
        <v>4</v>
      </c>
      <c r="G596">
        <v>1533.88</v>
      </c>
    </row>
    <row r="597" spans="1:7" x14ac:dyDescent="0.25">
      <c r="A597" t="s">
        <v>2373</v>
      </c>
      <c r="B597" t="s">
        <v>3144</v>
      </c>
      <c r="C597" t="s">
        <v>3143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2375</v>
      </c>
      <c r="B598" t="s">
        <v>2376</v>
      </c>
      <c r="C598" t="s">
        <v>3143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2351</v>
      </c>
      <c r="B599" t="s">
        <v>2352</v>
      </c>
      <c r="C599" t="s">
        <v>3143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2323</v>
      </c>
      <c r="B600" t="s">
        <v>2324</v>
      </c>
      <c r="C600" t="s">
        <v>3143</v>
      </c>
      <c r="D600">
        <v>190</v>
      </c>
      <c r="E600">
        <v>2</v>
      </c>
      <c r="G600">
        <v>357.5</v>
      </c>
    </row>
    <row r="601" spans="1:7" x14ac:dyDescent="0.25">
      <c r="A601" t="s">
        <v>2341</v>
      </c>
      <c r="B601" t="s">
        <v>2342</v>
      </c>
      <c r="C601" t="s">
        <v>3143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2338</v>
      </c>
      <c r="B602" t="s">
        <v>2339</v>
      </c>
      <c r="C602" t="s">
        <v>3143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2336</v>
      </c>
      <c r="B603" t="s">
        <v>2337</v>
      </c>
      <c r="C603" t="s">
        <v>3143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2344</v>
      </c>
      <c r="B604" t="s">
        <v>2345</v>
      </c>
      <c r="C604" t="s">
        <v>3143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2356</v>
      </c>
      <c r="B605" t="s">
        <v>2357</v>
      </c>
      <c r="C605" t="s">
        <v>3143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2349</v>
      </c>
      <c r="B606" t="s">
        <v>3145</v>
      </c>
      <c r="C606" t="s">
        <v>3143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2329</v>
      </c>
      <c r="B607" t="s">
        <v>3146</v>
      </c>
      <c r="C607" t="s">
        <v>3143</v>
      </c>
      <c r="D607">
        <v>1000</v>
      </c>
      <c r="E607">
        <v>2</v>
      </c>
    </row>
    <row r="608" spans="1:7" x14ac:dyDescent="0.25">
      <c r="A608" t="s">
        <v>2378</v>
      </c>
      <c r="B608" t="s">
        <v>2379</v>
      </c>
      <c r="C608" t="s">
        <v>3143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2360</v>
      </c>
      <c r="B609" t="s">
        <v>2361</v>
      </c>
      <c r="C609" t="s">
        <v>3143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2358</v>
      </c>
      <c r="B610" t="s">
        <v>2359</v>
      </c>
      <c r="C610" t="s">
        <v>3143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3147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3147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3147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2394</v>
      </c>
      <c r="B614" t="s">
        <v>2395</v>
      </c>
      <c r="C614" t="s">
        <v>3147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3147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3147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3147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3148</v>
      </c>
      <c r="C618" t="s">
        <v>3147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3148</v>
      </c>
      <c r="C619" t="s">
        <v>3147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3147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3147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3147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3147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3147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3147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3147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3147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2426</v>
      </c>
      <c r="B628" t="s">
        <v>2427</v>
      </c>
      <c r="C628" t="s">
        <v>3147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3147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3147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3147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3147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3147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2424</v>
      </c>
      <c r="B634" t="s">
        <v>2425</v>
      </c>
      <c r="C634" t="s">
        <v>3147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3147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3147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2432</v>
      </c>
      <c r="B637" t="s">
        <v>2433</v>
      </c>
      <c r="C637" t="s">
        <v>3147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2429</v>
      </c>
      <c r="B638" t="s">
        <v>2430</v>
      </c>
      <c r="C638" t="s">
        <v>3147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2437</v>
      </c>
      <c r="B639" t="s">
        <v>2438</v>
      </c>
      <c r="C639" t="s">
        <v>3147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3149</v>
      </c>
      <c r="C640" t="s">
        <v>3147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3147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3147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3147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2435</v>
      </c>
      <c r="B644" t="s">
        <v>2436</v>
      </c>
      <c r="C644" t="s">
        <v>3147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2418</v>
      </c>
      <c r="B645" t="s">
        <v>2419</v>
      </c>
      <c r="C645" t="s">
        <v>3147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2415</v>
      </c>
      <c r="B646" t="s">
        <v>2416</v>
      </c>
      <c r="C646" t="s">
        <v>3147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2391</v>
      </c>
      <c r="B647" t="s">
        <v>2392</v>
      </c>
      <c r="C647" t="s">
        <v>3147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3147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2421</v>
      </c>
      <c r="B649" t="s">
        <v>2422</v>
      </c>
      <c r="C649" t="s">
        <v>3147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2381</v>
      </c>
      <c r="B650" t="s">
        <v>2382</v>
      </c>
      <c r="C650" t="s">
        <v>3147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3147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2389</v>
      </c>
      <c r="B652" t="s">
        <v>2390</v>
      </c>
      <c r="C652" t="s">
        <v>3147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2386</v>
      </c>
      <c r="B653" t="s">
        <v>2387</v>
      </c>
      <c r="C653" t="s">
        <v>3147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3147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3147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3150</v>
      </c>
      <c r="C656" t="s">
        <v>3147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2399</v>
      </c>
      <c r="B657" t="s">
        <v>2400</v>
      </c>
      <c r="C657" t="s">
        <v>3147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2397</v>
      </c>
      <c r="B658" t="s">
        <v>2398</v>
      </c>
      <c r="C658" t="s">
        <v>3147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3147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2135</v>
      </c>
      <c r="B660" t="s">
        <v>2136</v>
      </c>
      <c r="C660" t="s">
        <v>3151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2119</v>
      </c>
      <c r="B661" t="s">
        <v>2120</v>
      </c>
      <c r="C661" t="s">
        <v>3151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2122</v>
      </c>
      <c r="B662" t="s">
        <v>2123</v>
      </c>
      <c r="C662" t="s">
        <v>3151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2116</v>
      </c>
      <c r="B663" t="s">
        <v>2117</v>
      </c>
      <c r="C663" t="s">
        <v>3151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2125</v>
      </c>
      <c r="B664" t="s">
        <v>2126</v>
      </c>
      <c r="C664" t="s">
        <v>3151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2130</v>
      </c>
      <c r="B665" t="s">
        <v>2131</v>
      </c>
      <c r="C665" t="s">
        <v>3151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2132</v>
      </c>
      <c r="B666" t="s">
        <v>2133</v>
      </c>
      <c r="C666" t="s">
        <v>3151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2112</v>
      </c>
      <c r="B667" t="s">
        <v>2113</v>
      </c>
      <c r="C667" t="s">
        <v>3151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2128</v>
      </c>
      <c r="B668" t="s">
        <v>2129</v>
      </c>
      <c r="C668" t="s">
        <v>3151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3236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3238</v>
      </c>
      <c r="B1" t="s">
        <v>3239</v>
      </c>
      <c r="C1" t="s">
        <v>3</v>
      </c>
      <c r="D1" s="8" t="s">
        <v>2</v>
      </c>
      <c r="E1" t="s">
        <v>3062</v>
      </c>
    </row>
    <row r="2" spans="1:5" x14ac:dyDescent="0.25">
      <c r="A2" t="s">
        <v>330</v>
      </c>
      <c r="B2" t="s">
        <v>331</v>
      </c>
      <c r="C2" t="s">
        <v>3152</v>
      </c>
      <c r="D2" s="8">
        <v>10.050000000000001</v>
      </c>
      <c r="E2" t="s">
        <v>3153</v>
      </c>
    </row>
    <row r="3" spans="1:5" x14ac:dyDescent="0.25">
      <c r="A3" t="s">
        <v>387</v>
      </c>
      <c r="B3" t="s">
        <v>388</v>
      </c>
      <c r="C3" t="s">
        <v>3152</v>
      </c>
      <c r="D3" s="8">
        <v>6.25</v>
      </c>
      <c r="E3" t="s">
        <v>3153</v>
      </c>
    </row>
    <row r="4" spans="1:5" x14ac:dyDescent="0.25">
      <c r="A4" t="s">
        <v>390</v>
      </c>
      <c r="B4" t="s">
        <v>391</v>
      </c>
      <c r="C4" t="s">
        <v>3152</v>
      </c>
      <c r="D4" s="8">
        <v>6.25</v>
      </c>
      <c r="E4" t="s">
        <v>3153</v>
      </c>
    </row>
    <row r="5" spans="1:5" x14ac:dyDescent="0.25">
      <c r="A5" t="s">
        <v>393</v>
      </c>
      <c r="B5" t="s">
        <v>394</v>
      </c>
      <c r="C5" t="s">
        <v>3152</v>
      </c>
      <c r="D5" s="8">
        <v>6.25</v>
      </c>
      <c r="E5" t="s">
        <v>3153</v>
      </c>
    </row>
    <row r="6" spans="1:5" x14ac:dyDescent="0.25">
      <c r="A6" t="s">
        <v>364</v>
      </c>
      <c r="B6" t="s">
        <v>365</v>
      </c>
      <c r="C6" t="s">
        <v>3152</v>
      </c>
      <c r="D6" s="8">
        <v>6.25</v>
      </c>
      <c r="E6" t="s">
        <v>3153</v>
      </c>
    </row>
    <row r="7" spans="1:5" x14ac:dyDescent="0.25">
      <c r="A7" t="s">
        <v>396</v>
      </c>
      <c r="B7" t="s">
        <v>397</v>
      </c>
      <c r="C7" t="s">
        <v>3152</v>
      </c>
      <c r="D7" s="8">
        <v>2.85</v>
      </c>
      <c r="E7" t="s">
        <v>3153</v>
      </c>
    </row>
    <row r="8" spans="1:5" x14ac:dyDescent="0.25">
      <c r="A8" t="s">
        <v>399</v>
      </c>
      <c r="B8" t="s">
        <v>400</v>
      </c>
      <c r="C8" t="s">
        <v>3152</v>
      </c>
      <c r="D8" s="8">
        <v>2.85</v>
      </c>
      <c r="E8" t="s">
        <v>3153</v>
      </c>
    </row>
    <row r="9" spans="1:5" x14ac:dyDescent="0.25">
      <c r="A9" t="s">
        <v>402</v>
      </c>
      <c r="B9" t="s">
        <v>403</v>
      </c>
      <c r="C9" t="s">
        <v>3152</v>
      </c>
      <c r="D9" s="8">
        <v>2.85</v>
      </c>
      <c r="E9" t="s">
        <v>3153</v>
      </c>
    </row>
    <row r="10" spans="1:5" x14ac:dyDescent="0.25">
      <c r="A10" t="s">
        <v>405</v>
      </c>
      <c r="B10" t="s">
        <v>406</v>
      </c>
      <c r="C10" t="s">
        <v>3152</v>
      </c>
      <c r="D10" s="8">
        <v>2.85</v>
      </c>
      <c r="E10" t="s">
        <v>3153</v>
      </c>
    </row>
    <row r="11" spans="1:5" x14ac:dyDescent="0.25">
      <c r="A11" t="s">
        <v>385</v>
      </c>
      <c r="B11" t="s">
        <v>386</v>
      </c>
      <c r="C11" t="s">
        <v>3152</v>
      </c>
      <c r="D11" s="8">
        <v>1.25</v>
      </c>
      <c r="E11" t="s">
        <v>3153</v>
      </c>
    </row>
    <row r="12" spans="1:5" x14ac:dyDescent="0.25">
      <c r="A12" t="s">
        <v>333</v>
      </c>
      <c r="B12" t="s">
        <v>334</v>
      </c>
      <c r="C12" t="s">
        <v>3152</v>
      </c>
      <c r="D12" s="8">
        <v>6.25</v>
      </c>
      <c r="E12" t="s">
        <v>3153</v>
      </c>
    </row>
    <row r="13" spans="1:5" x14ac:dyDescent="0.25">
      <c r="A13" t="s">
        <v>367</v>
      </c>
      <c r="B13" t="s">
        <v>368</v>
      </c>
      <c r="C13" t="s">
        <v>3152</v>
      </c>
      <c r="D13" s="8">
        <v>2.7</v>
      </c>
      <c r="E13" t="s">
        <v>3153</v>
      </c>
    </row>
    <row r="14" spans="1:5" x14ac:dyDescent="0.25">
      <c r="A14" t="s">
        <v>369</v>
      </c>
      <c r="B14" t="s">
        <v>370</v>
      </c>
      <c r="C14" t="s">
        <v>3152</v>
      </c>
      <c r="D14" s="8">
        <v>5.9</v>
      </c>
      <c r="E14" t="s">
        <v>3154</v>
      </c>
    </row>
    <row r="15" spans="1:5" x14ac:dyDescent="0.25">
      <c r="A15" t="s">
        <v>371</v>
      </c>
      <c r="B15" t="s">
        <v>372</v>
      </c>
      <c r="C15" t="s">
        <v>3152</v>
      </c>
      <c r="D15" s="8">
        <v>1.85</v>
      </c>
      <c r="E15" t="s">
        <v>3154</v>
      </c>
    </row>
    <row r="16" spans="1:5" x14ac:dyDescent="0.25">
      <c r="A16" t="s">
        <v>373</v>
      </c>
      <c r="B16" t="s">
        <v>374</v>
      </c>
      <c r="C16" t="s">
        <v>3152</v>
      </c>
      <c r="D16" s="8">
        <v>2.2000000000000002</v>
      </c>
      <c r="E16" t="s">
        <v>3154</v>
      </c>
    </row>
    <row r="17" spans="1:5" x14ac:dyDescent="0.25">
      <c r="A17" t="s">
        <v>375</v>
      </c>
      <c r="B17" t="s">
        <v>376</v>
      </c>
      <c r="C17" t="s">
        <v>3152</v>
      </c>
      <c r="D17" s="8">
        <v>2.85</v>
      </c>
      <c r="E17" t="s">
        <v>3154</v>
      </c>
    </row>
    <row r="18" spans="1:5" x14ac:dyDescent="0.25">
      <c r="A18" t="s">
        <v>377</v>
      </c>
      <c r="B18" t="s">
        <v>378</v>
      </c>
      <c r="C18" t="s">
        <v>3152</v>
      </c>
      <c r="D18" s="8">
        <v>3.1</v>
      </c>
      <c r="E18" t="s">
        <v>3154</v>
      </c>
    </row>
    <row r="19" spans="1:5" x14ac:dyDescent="0.25">
      <c r="A19" t="s">
        <v>379</v>
      </c>
      <c r="B19" t="s">
        <v>380</v>
      </c>
      <c r="C19" t="s">
        <v>3152</v>
      </c>
      <c r="D19" s="8">
        <v>3.45</v>
      </c>
      <c r="E19" t="s">
        <v>3154</v>
      </c>
    </row>
    <row r="20" spans="1:5" x14ac:dyDescent="0.25">
      <c r="A20" t="s">
        <v>381</v>
      </c>
      <c r="B20" t="s">
        <v>382</v>
      </c>
      <c r="C20" t="s">
        <v>3152</v>
      </c>
      <c r="D20" s="8">
        <v>3.75</v>
      </c>
      <c r="E20" t="s">
        <v>3154</v>
      </c>
    </row>
    <row r="21" spans="1:5" x14ac:dyDescent="0.25">
      <c r="A21" t="s">
        <v>383</v>
      </c>
      <c r="B21" t="s">
        <v>384</v>
      </c>
      <c r="C21" t="s">
        <v>3152</v>
      </c>
      <c r="D21" s="8">
        <v>4.45</v>
      </c>
      <c r="E21" t="s">
        <v>3154</v>
      </c>
    </row>
    <row r="22" spans="1:5" x14ac:dyDescent="0.25">
      <c r="A22" t="s">
        <v>434</v>
      </c>
      <c r="B22" t="s">
        <v>435</v>
      </c>
      <c r="C22" t="s">
        <v>3152</v>
      </c>
      <c r="D22" s="8">
        <v>13.75</v>
      </c>
      <c r="E22" t="s">
        <v>3155</v>
      </c>
    </row>
    <row r="23" spans="1:5" x14ac:dyDescent="0.25">
      <c r="A23" t="s">
        <v>448</v>
      </c>
      <c r="B23" t="s">
        <v>449</v>
      </c>
      <c r="C23" t="s">
        <v>3152</v>
      </c>
      <c r="D23" s="8">
        <v>24</v>
      </c>
      <c r="E23" t="s">
        <v>3155</v>
      </c>
    </row>
    <row r="24" spans="1:5" x14ac:dyDescent="0.25">
      <c r="A24" t="s">
        <v>436</v>
      </c>
      <c r="B24" t="s">
        <v>437</v>
      </c>
      <c r="C24" t="s">
        <v>3152</v>
      </c>
      <c r="D24" s="8">
        <v>17.149999999999999</v>
      </c>
      <c r="E24" t="s">
        <v>3155</v>
      </c>
    </row>
    <row r="25" spans="1:5" x14ac:dyDescent="0.25">
      <c r="A25" t="s">
        <v>438</v>
      </c>
      <c r="B25" t="s">
        <v>439</v>
      </c>
      <c r="C25" t="s">
        <v>3152</v>
      </c>
      <c r="D25" s="8">
        <v>20.25</v>
      </c>
      <c r="E25" t="s">
        <v>3155</v>
      </c>
    </row>
    <row r="26" spans="1:5" x14ac:dyDescent="0.25">
      <c r="A26" t="s">
        <v>450</v>
      </c>
      <c r="B26" t="s">
        <v>451</v>
      </c>
      <c r="C26" t="s">
        <v>3152</v>
      </c>
      <c r="D26" s="8">
        <v>29.85</v>
      </c>
      <c r="E26" t="s">
        <v>3155</v>
      </c>
    </row>
    <row r="27" spans="1:5" x14ac:dyDescent="0.25">
      <c r="A27" t="s">
        <v>452</v>
      </c>
      <c r="B27" t="s">
        <v>453</v>
      </c>
      <c r="C27" t="s">
        <v>3152</v>
      </c>
      <c r="D27" s="8">
        <v>36.1</v>
      </c>
      <c r="E27" t="s">
        <v>3155</v>
      </c>
    </row>
    <row r="28" spans="1:5" x14ac:dyDescent="0.25">
      <c r="A28" t="s">
        <v>440</v>
      </c>
      <c r="B28" t="s">
        <v>441</v>
      </c>
      <c r="C28" t="s">
        <v>3152</v>
      </c>
      <c r="D28" s="8">
        <v>23.65</v>
      </c>
      <c r="E28" t="s">
        <v>3155</v>
      </c>
    </row>
    <row r="29" spans="1:5" x14ac:dyDescent="0.25">
      <c r="A29" t="s">
        <v>454</v>
      </c>
      <c r="B29" t="s">
        <v>455</v>
      </c>
      <c r="C29" t="s">
        <v>3152</v>
      </c>
      <c r="D29" s="8">
        <v>42</v>
      </c>
      <c r="E29" t="s">
        <v>3155</v>
      </c>
    </row>
    <row r="30" spans="1:5" x14ac:dyDescent="0.25">
      <c r="A30" t="s">
        <v>442</v>
      </c>
      <c r="B30" t="s">
        <v>443</v>
      </c>
      <c r="C30" t="s">
        <v>3152</v>
      </c>
      <c r="D30" s="8">
        <v>27.15</v>
      </c>
      <c r="E30" t="s">
        <v>3155</v>
      </c>
    </row>
    <row r="31" spans="1:5" x14ac:dyDescent="0.25">
      <c r="A31" t="s">
        <v>456</v>
      </c>
      <c r="B31" t="s">
        <v>457</v>
      </c>
      <c r="C31" t="s">
        <v>3152</v>
      </c>
      <c r="D31" s="8">
        <v>47.95</v>
      </c>
      <c r="E31" t="s">
        <v>3155</v>
      </c>
    </row>
    <row r="32" spans="1:5" x14ac:dyDescent="0.25">
      <c r="A32" t="s">
        <v>444</v>
      </c>
      <c r="B32" t="s">
        <v>445</v>
      </c>
      <c r="C32" t="s">
        <v>3152</v>
      </c>
      <c r="D32" s="8">
        <v>30.55</v>
      </c>
      <c r="E32" t="s">
        <v>3155</v>
      </c>
    </row>
    <row r="33" spans="1:5" x14ac:dyDescent="0.25">
      <c r="A33" t="s">
        <v>458</v>
      </c>
      <c r="B33" t="s">
        <v>459</v>
      </c>
      <c r="C33" t="s">
        <v>3152</v>
      </c>
      <c r="D33" s="8">
        <v>53.8</v>
      </c>
      <c r="E33" t="s">
        <v>3155</v>
      </c>
    </row>
    <row r="34" spans="1:5" x14ac:dyDescent="0.25">
      <c r="A34" t="s">
        <v>446</v>
      </c>
      <c r="B34" t="s">
        <v>447</v>
      </c>
      <c r="C34" t="s">
        <v>3152</v>
      </c>
      <c r="D34" s="8">
        <v>33.950000000000003</v>
      </c>
      <c r="E34" t="s">
        <v>3155</v>
      </c>
    </row>
    <row r="35" spans="1:5" x14ac:dyDescent="0.25">
      <c r="A35" t="s">
        <v>460</v>
      </c>
      <c r="B35" t="s">
        <v>461</v>
      </c>
      <c r="C35" t="s">
        <v>3152</v>
      </c>
      <c r="D35" s="8">
        <v>60.05</v>
      </c>
      <c r="E35" t="s">
        <v>3155</v>
      </c>
    </row>
    <row r="36" spans="1:5" x14ac:dyDescent="0.25">
      <c r="A36" t="s">
        <v>474</v>
      </c>
      <c r="B36" t="s">
        <v>475</v>
      </c>
      <c r="C36" t="s">
        <v>3152</v>
      </c>
      <c r="D36" s="8">
        <v>9.15</v>
      </c>
      <c r="E36" t="s">
        <v>3156</v>
      </c>
    </row>
    <row r="37" spans="1:5" x14ac:dyDescent="0.25">
      <c r="A37" t="s">
        <v>477</v>
      </c>
      <c r="B37" t="s">
        <v>478</v>
      </c>
      <c r="C37" t="s">
        <v>3152</v>
      </c>
      <c r="D37" s="8">
        <v>14.45</v>
      </c>
      <c r="E37" t="s">
        <v>3156</v>
      </c>
    </row>
    <row r="38" spans="1:5" x14ac:dyDescent="0.25">
      <c r="A38" t="s">
        <v>2439</v>
      </c>
      <c r="B38" t="s">
        <v>2440</v>
      </c>
      <c r="C38" t="s">
        <v>3152</v>
      </c>
      <c r="D38" s="8">
        <v>5.35</v>
      </c>
      <c r="E38" t="s">
        <v>3156</v>
      </c>
    </row>
    <row r="39" spans="1:5" x14ac:dyDescent="0.25">
      <c r="A39" t="s">
        <v>2441</v>
      </c>
      <c r="B39" t="s">
        <v>2442</v>
      </c>
      <c r="C39" t="s">
        <v>3152</v>
      </c>
      <c r="D39" s="8">
        <v>5.35</v>
      </c>
      <c r="E39" t="s">
        <v>3156</v>
      </c>
    </row>
    <row r="40" spans="1:5" x14ac:dyDescent="0.25">
      <c r="A40" t="s">
        <v>575</v>
      </c>
      <c r="B40" t="s">
        <v>576</v>
      </c>
      <c r="C40" t="s">
        <v>3152</v>
      </c>
      <c r="D40" s="8">
        <v>25.7</v>
      </c>
      <c r="E40" t="s">
        <v>3157</v>
      </c>
    </row>
    <row r="41" spans="1:5" x14ac:dyDescent="0.25">
      <c r="A41" t="s">
        <v>2443</v>
      </c>
      <c r="B41" t="s">
        <v>2444</v>
      </c>
      <c r="C41" t="s">
        <v>3152</v>
      </c>
      <c r="D41" s="8">
        <v>3.55</v>
      </c>
      <c r="E41" t="s">
        <v>3157</v>
      </c>
    </row>
    <row r="42" spans="1:5" x14ac:dyDescent="0.25">
      <c r="A42" t="s">
        <v>656</v>
      </c>
      <c r="B42" t="s">
        <v>657</v>
      </c>
      <c r="C42" t="s">
        <v>3152</v>
      </c>
      <c r="D42" s="8">
        <v>16.55</v>
      </c>
      <c r="E42" t="s">
        <v>3157</v>
      </c>
    </row>
    <row r="43" spans="1:5" x14ac:dyDescent="0.25">
      <c r="A43" t="s">
        <v>532</v>
      </c>
      <c r="B43" t="s">
        <v>533</v>
      </c>
      <c r="C43" t="s">
        <v>3152</v>
      </c>
      <c r="D43" s="8">
        <v>10.6</v>
      </c>
      <c r="E43" t="s">
        <v>3157</v>
      </c>
    </row>
    <row r="44" spans="1:5" x14ac:dyDescent="0.25">
      <c r="A44" t="s">
        <v>2445</v>
      </c>
      <c r="B44" t="s">
        <v>2446</v>
      </c>
      <c r="C44" t="s">
        <v>3152</v>
      </c>
      <c r="D44" s="8">
        <v>2.7</v>
      </c>
      <c r="E44" t="s">
        <v>3157</v>
      </c>
    </row>
    <row r="45" spans="1:5" x14ac:dyDescent="0.25">
      <c r="A45" t="s">
        <v>2447</v>
      </c>
      <c r="B45" t="s">
        <v>2448</v>
      </c>
      <c r="C45" t="s">
        <v>3152</v>
      </c>
      <c r="D45" s="8">
        <v>4.1500000000000004</v>
      </c>
      <c r="E45" t="s">
        <v>3157</v>
      </c>
    </row>
    <row r="46" spans="1:5" x14ac:dyDescent="0.25">
      <c r="A46" t="s">
        <v>2449</v>
      </c>
      <c r="B46" t="s">
        <v>2450</v>
      </c>
      <c r="C46" t="s">
        <v>3152</v>
      </c>
      <c r="D46" s="8">
        <v>3.85</v>
      </c>
      <c r="E46" t="s">
        <v>3157</v>
      </c>
    </row>
    <row r="47" spans="1:5" x14ac:dyDescent="0.25">
      <c r="A47" t="s">
        <v>2451</v>
      </c>
      <c r="B47" t="s">
        <v>2452</v>
      </c>
      <c r="C47" t="s">
        <v>3152</v>
      </c>
      <c r="D47" s="8">
        <v>3.85</v>
      </c>
      <c r="E47" t="s">
        <v>3157</v>
      </c>
    </row>
    <row r="48" spans="1:5" x14ac:dyDescent="0.25">
      <c r="A48" t="s">
        <v>2453</v>
      </c>
      <c r="B48" t="s">
        <v>2454</v>
      </c>
      <c r="C48" t="s">
        <v>3152</v>
      </c>
      <c r="D48" s="8">
        <v>3.85</v>
      </c>
      <c r="E48" t="s">
        <v>3157</v>
      </c>
    </row>
    <row r="49" spans="1:5" x14ac:dyDescent="0.25">
      <c r="A49" t="s">
        <v>2455</v>
      </c>
      <c r="B49" t="s">
        <v>2456</v>
      </c>
      <c r="C49" t="s">
        <v>3152</v>
      </c>
      <c r="D49" s="8">
        <v>11.8</v>
      </c>
      <c r="E49" t="s">
        <v>3157</v>
      </c>
    </row>
    <row r="50" spans="1:5" x14ac:dyDescent="0.25">
      <c r="A50" t="s">
        <v>2457</v>
      </c>
      <c r="B50" t="s">
        <v>2458</v>
      </c>
      <c r="C50" t="s">
        <v>3152</v>
      </c>
      <c r="D50" s="8">
        <v>11.8</v>
      </c>
      <c r="E50" t="s">
        <v>3157</v>
      </c>
    </row>
    <row r="51" spans="1:5" x14ac:dyDescent="0.25">
      <c r="A51" t="s">
        <v>2459</v>
      </c>
      <c r="B51" t="s">
        <v>2460</v>
      </c>
      <c r="C51" t="s">
        <v>3152</v>
      </c>
      <c r="D51" s="8">
        <v>31.55</v>
      </c>
      <c r="E51" t="s">
        <v>3157</v>
      </c>
    </row>
    <row r="52" spans="1:5" x14ac:dyDescent="0.25">
      <c r="A52" t="s">
        <v>2461</v>
      </c>
      <c r="B52" t="s">
        <v>2462</v>
      </c>
      <c r="C52" t="s">
        <v>3152</v>
      </c>
      <c r="D52" s="8">
        <v>18.899999999999999</v>
      </c>
      <c r="E52" t="s">
        <v>3157</v>
      </c>
    </row>
    <row r="53" spans="1:5" x14ac:dyDescent="0.25">
      <c r="A53" t="s">
        <v>2463</v>
      </c>
      <c r="B53" t="s">
        <v>2464</v>
      </c>
      <c r="C53" t="s">
        <v>3152</v>
      </c>
      <c r="D53" s="8">
        <v>9.85</v>
      </c>
      <c r="E53" t="s">
        <v>717</v>
      </c>
    </row>
    <row r="54" spans="1:5" x14ac:dyDescent="0.25">
      <c r="A54" t="s">
        <v>2465</v>
      </c>
      <c r="B54" t="s">
        <v>2466</v>
      </c>
      <c r="C54" t="s">
        <v>3152</v>
      </c>
      <c r="D54" s="8">
        <v>9.85</v>
      </c>
      <c r="E54" t="s">
        <v>717</v>
      </c>
    </row>
    <row r="55" spans="1:5" x14ac:dyDescent="0.25">
      <c r="A55" t="s">
        <v>620</v>
      </c>
      <c r="B55" t="s">
        <v>3158</v>
      </c>
      <c r="C55" t="s">
        <v>3152</v>
      </c>
      <c r="D55" s="8">
        <v>9.85</v>
      </c>
      <c r="E55" t="s">
        <v>717</v>
      </c>
    </row>
    <row r="56" spans="1:5" x14ac:dyDescent="0.25">
      <c r="A56" t="s">
        <v>631</v>
      </c>
      <c r="B56" t="s">
        <v>3159</v>
      </c>
      <c r="C56" t="s">
        <v>3152</v>
      </c>
      <c r="D56" s="8">
        <v>14.8</v>
      </c>
      <c r="E56" t="s">
        <v>717</v>
      </c>
    </row>
    <row r="57" spans="1:5" x14ac:dyDescent="0.25">
      <c r="A57" t="s">
        <v>2467</v>
      </c>
      <c r="B57" t="s">
        <v>2468</v>
      </c>
      <c r="C57" t="s">
        <v>3152</v>
      </c>
      <c r="D57" s="8">
        <v>14.8</v>
      </c>
      <c r="E57" t="s">
        <v>717</v>
      </c>
    </row>
    <row r="58" spans="1:5" x14ac:dyDescent="0.25">
      <c r="A58" t="s">
        <v>2469</v>
      </c>
      <c r="B58" t="s">
        <v>2470</v>
      </c>
      <c r="C58" t="s">
        <v>3152</v>
      </c>
      <c r="D58" s="8">
        <v>9.85</v>
      </c>
      <c r="E58" t="s">
        <v>717</v>
      </c>
    </row>
    <row r="59" spans="1:5" x14ac:dyDescent="0.25">
      <c r="A59" t="s">
        <v>642</v>
      </c>
      <c r="B59" t="s">
        <v>643</v>
      </c>
      <c r="C59" t="s">
        <v>3152</v>
      </c>
      <c r="D59" s="8">
        <v>14.8</v>
      </c>
      <c r="E59" t="s">
        <v>717</v>
      </c>
    </row>
    <row r="60" spans="1:5" x14ac:dyDescent="0.25">
      <c r="A60" t="s">
        <v>2471</v>
      </c>
      <c r="B60" t="s">
        <v>2472</v>
      </c>
      <c r="C60" t="s">
        <v>3152</v>
      </c>
      <c r="D60" s="8">
        <v>21.85</v>
      </c>
      <c r="E60" t="s">
        <v>717</v>
      </c>
    </row>
    <row r="61" spans="1:5" x14ac:dyDescent="0.25">
      <c r="A61" t="s">
        <v>2473</v>
      </c>
      <c r="B61" t="s">
        <v>2474</v>
      </c>
      <c r="C61" t="s">
        <v>3152</v>
      </c>
      <c r="D61" s="8">
        <v>9.85</v>
      </c>
      <c r="E61" t="s">
        <v>717</v>
      </c>
    </row>
    <row r="62" spans="1:5" x14ac:dyDescent="0.25">
      <c r="A62" t="s">
        <v>2475</v>
      </c>
      <c r="B62" t="s">
        <v>2476</v>
      </c>
      <c r="C62" t="s">
        <v>3152</v>
      </c>
      <c r="D62" s="8">
        <v>21.85</v>
      </c>
      <c r="E62" t="s">
        <v>717</v>
      </c>
    </row>
    <row r="63" spans="1:5" x14ac:dyDescent="0.25">
      <c r="A63" t="s">
        <v>2477</v>
      </c>
      <c r="B63" t="s">
        <v>2478</v>
      </c>
      <c r="C63" t="s">
        <v>3152</v>
      </c>
      <c r="D63" s="8">
        <v>21.85</v>
      </c>
      <c r="E63" t="s">
        <v>717</v>
      </c>
    </row>
    <row r="64" spans="1:5" x14ac:dyDescent="0.25">
      <c r="A64" t="s">
        <v>3160</v>
      </c>
      <c r="B64" t="s">
        <v>3161</v>
      </c>
      <c r="C64" t="s">
        <v>3152</v>
      </c>
      <c r="D64" s="8">
        <v>14.35</v>
      </c>
      <c r="E64" t="s">
        <v>717</v>
      </c>
    </row>
    <row r="65" spans="1:5" x14ac:dyDescent="0.25">
      <c r="A65" t="s">
        <v>1210</v>
      </c>
      <c r="B65" t="s">
        <v>1211</v>
      </c>
      <c r="C65" t="s">
        <v>3152</v>
      </c>
      <c r="D65" s="8">
        <v>9.85</v>
      </c>
      <c r="E65" t="s">
        <v>717</v>
      </c>
    </row>
    <row r="66" spans="1:5" x14ac:dyDescent="0.25">
      <c r="A66" t="s">
        <v>2745</v>
      </c>
      <c r="B66" t="s">
        <v>2746</v>
      </c>
      <c r="C66" t="s">
        <v>3152</v>
      </c>
      <c r="D66" s="8">
        <v>9.85</v>
      </c>
      <c r="E66" t="s">
        <v>717</v>
      </c>
    </row>
    <row r="67" spans="1:5" x14ac:dyDescent="0.25">
      <c r="A67" t="s">
        <v>2747</v>
      </c>
      <c r="B67" t="s">
        <v>2748</v>
      </c>
      <c r="C67" t="s">
        <v>3152</v>
      </c>
      <c r="D67" s="8">
        <v>9.85</v>
      </c>
      <c r="E67" t="s">
        <v>717</v>
      </c>
    </row>
    <row r="68" spans="1:5" x14ac:dyDescent="0.25">
      <c r="A68" t="s">
        <v>2749</v>
      </c>
      <c r="B68" t="s">
        <v>2750</v>
      </c>
      <c r="C68" t="s">
        <v>3152</v>
      </c>
      <c r="D68" s="8">
        <v>21.85</v>
      </c>
      <c r="E68" t="s">
        <v>717</v>
      </c>
    </row>
    <row r="69" spans="1:5" x14ac:dyDescent="0.25">
      <c r="A69" t="s">
        <v>2753</v>
      </c>
      <c r="B69" t="s">
        <v>2754</v>
      </c>
      <c r="C69" t="s">
        <v>3152</v>
      </c>
      <c r="D69" s="8">
        <v>9.85</v>
      </c>
      <c r="E69" t="s">
        <v>717</v>
      </c>
    </row>
    <row r="70" spans="1:5" x14ac:dyDescent="0.25">
      <c r="A70" t="s">
        <v>2755</v>
      </c>
      <c r="B70" t="s">
        <v>2756</v>
      </c>
      <c r="C70" t="s">
        <v>3152</v>
      </c>
      <c r="D70" s="8">
        <v>9.85</v>
      </c>
      <c r="E70" t="s">
        <v>717</v>
      </c>
    </row>
    <row r="71" spans="1:5" x14ac:dyDescent="0.25">
      <c r="A71" t="s">
        <v>3162</v>
      </c>
      <c r="B71" t="s">
        <v>3163</v>
      </c>
      <c r="C71" t="s">
        <v>3152</v>
      </c>
      <c r="D71" s="8">
        <v>9.85</v>
      </c>
      <c r="E71" t="s">
        <v>717</v>
      </c>
    </row>
    <row r="72" spans="1:5" x14ac:dyDescent="0.25">
      <c r="A72" t="s">
        <v>2757</v>
      </c>
      <c r="B72" t="s">
        <v>2758</v>
      </c>
      <c r="C72" t="s">
        <v>3152</v>
      </c>
      <c r="D72" s="8">
        <v>9.85</v>
      </c>
      <c r="E72" t="s">
        <v>717</v>
      </c>
    </row>
    <row r="73" spans="1:5" x14ac:dyDescent="0.25">
      <c r="A73" t="s">
        <v>2759</v>
      </c>
      <c r="B73" t="s">
        <v>2760</v>
      </c>
      <c r="C73" t="s">
        <v>3152</v>
      </c>
      <c r="D73" s="8">
        <v>9.85</v>
      </c>
      <c r="E73" t="s">
        <v>717</v>
      </c>
    </row>
    <row r="74" spans="1:5" x14ac:dyDescent="0.25">
      <c r="A74" t="s">
        <v>2479</v>
      </c>
      <c r="B74" t="s">
        <v>2480</v>
      </c>
      <c r="C74" t="s">
        <v>3152</v>
      </c>
      <c r="D74" s="8">
        <v>3.55</v>
      </c>
      <c r="E74" t="s">
        <v>3164</v>
      </c>
    </row>
    <row r="75" spans="1:5" x14ac:dyDescent="0.25">
      <c r="A75" t="s">
        <v>2481</v>
      </c>
      <c r="B75" t="s">
        <v>2482</v>
      </c>
      <c r="C75" t="s">
        <v>3152</v>
      </c>
      <c r="D75" s="8">
        <v>3.55</v>
      </c>
      <c r="E75" t="s">
        <v>3164</v>
      </c>
    </row>
    <row r="76" spans="1:5" x14ac:dyDescent="0.25">
      <c r="A76" t="s">
        <v>2483</v>
      </c>
      <c r="B76" t="s">
        <v>2484</v>
      </c>
      <c r="C76" t="s">
        <v>3152</v>
      </c>
      <c r="D76" s="8">
        <v>3.55</v>
      </c>
      <c r="E76" t="s">
        <v>3164</v>
      </c>
    </row>
    <row r="77" spans="1:5" x14ac:dyDescent="0.25">
      <c r="A77" t="s">
        <v>2485</v>
      </c>
      <c r="B77" t="s">
        <v>2486</v>
      </c>
      <c r="C77" t="s">
        <v>3152</v>
      </c>
      <c r="D77" s="8">
        <v>3.55</v>
      </c>
      <c r="E77" t="s">
        <v>3164</v>
      </c>
    </row>
    <row r="78" spans="1:5" x14ac:dyDescent="0.25">
      <c r="A78" t="s">
        <v>2487</v>
      </c>
      <c r="B78" t="s">
        <v>2488</v>
      </c>
      <c r="C78" t="s">
        <v>3152</v>
      </c>
      <c r="D78" s="8">
        <v>3.55</v>
      </c>
      <c r="E78" t="s">
        <v>3164</v>
      </c>
    </row>
    <row r="79" spans="1:5" x14ac:dyDescent="0.25">
      <c r="A79" t="s">
        <v>2489</v>
      </c>
      <c r="B79" t="s">
        <v>2490</v>
      </c>
      <c r="C79" t="s">
        <v>3152</v>
      </c>
      <c r="D79" s="8">
        <v>3.55</v>
      </c>
      <c r="E79" t="s">
        <v>3164</v>
      </c>
    </row>
    <row r="80" spans="1:5" x14ac:dyDescent="0.25">
      <c r="A80" t="s">
        <v>2491</v>
      </c>
      <c r="B80" t="s">
        <v>2492</v>
      </c>
      <c r="C80" t="s">
        <v>3152</v>
      </c>
      <c r="D80" s="8">
        <v>3.55</v>
      </c>
      <c r="E80" t="s">
        <v>3164</v>
      </c>
    </row>
    <row r="81" spans="1:5" x14ac:dyDescent="0.25">
      <c r="A81" t="s">
        <v>2493</v>
      </c>
      <c r="B81" t="s">
        <v>2494</v>
      </c>
      <c r="C81" t="s">
        <v>3152</v>
      </c>
      <c r="D81" s="8">
        <v>3.55</v>
      </c>
      <c r="E81" t="s">
        <v>3164</v>
      </c>
    </row>
    <row r="82" spans="1:5" x14ac:dyDescent="0.25">
      <c r="A82" t="s">
        <v>2495</v>
      </c>
      <c r="B82" t="s">
        <v>2496</v>
      </c>
      <c r="C82" t="s">
        <v>3152</v>
      </c>
      <c r="D82" s="8">
        <v>3.55</v>
      </c>
      <c r="E82" t="s">
        <v>3164</v>
      </c>
    </row>
    <row r="83" spans="1:5" x14ac:dyDescent="0.25">
      <c r="A83" t="s">
        <v>2497</v>
      </c>
      <c r="B83" t="s">
        <v>2498</v>
      </c>
      <c r="C83" t="s">
        <v>3152</v>
      </c>
      <c r="D83" s="8">
        <v>3.55</v>
      </c>
      <c r="E83" t="s">
        <v>3164</v>
      </c>
    </row>
    <row r="84" spans="1:5" x14ac:dyDescent="0.25">
      <c r="A84" t="s">
        <v>2499</v>
      </c>
      <c r="B84" t="s">
        <v>2500</v>
      </c>
      <c r="C84" t="s">
        <v>3152</v>
      </c>
      <c r="D84" s="8">
        <v>3.55</v>
      </c>
      <c r="E84" t="s">
        <v>3164</v>
      </c>
    </row>
    <row r="85" spans="1:5" x14ac:dyDescent="0.25">
      <c r="A85" t="s">
        <v>2501</v>
      </c>
      <c r="B85" t="s">
        <v>2502</v>
      </c>
      <c r="C85" t="s">
        <v>3152</v>
      </c>
      <c r="D85" s="8">
        <v>3.55</v>
      </c>
      <c r="E85" t="s">
        <v>3164</v>
      </c>
    </row>
    <row r="86" spans="1:5" x14ac:dyDescent="0.25">
      <c r="A86" t="s">
        <v>2503</v>
      </c>
      <c r="B86" t="s">
        <v>2504</v>
      </c>
      <c r="C86" t="s">
        <v>3152</v>
      </c>
      <c r="D86" s="8">
        <v>3.55</v>
      </c>
      <c r="E86" t="s">
        <v>3164</v>
      </c>
    </row>
    <row r="87" spans="1:5" x14ac:dyDescent="0.25">
      <c r="A87" t="s">
        <v>2505</v>
      </c>
      <c r="B87" t="s">
        <v>2506</v>
      </c>
      <c r="C87" t="s">
        <v>3152</v>
      </c>
      <c r="D87" s="8">
        <v>3.55</v>
      </c>
      <c r="E87" t="s">
        <v>3164</v>
      </c>
    </row>
    <row r="88" spans="1:5" x14ac:dyDescent="0.25">
      <c r="A88" t="s">
        <v>2507</v>
      </c>
      <c r="B88" t="s">
        <v>2508</v>
      </c>
      <c r="C88" t="s">
        <v>3152</v>
      </c>
      <c r="D88" s="8">
        <v>3.55</v>
      </c>
      <c r="E88" t="s">
        <v>3164</v>
      </c>
    </row>
    <row r="89" spans="1:5" x14ac:dyDescent="0.25">
      <c r="A89" t="s">
        <v>2509</v>
      </c>
      <c r="B89" t="s">
        <v>2510</v>
      </c>
      <c r="C89" t="s">
        <v>3152</v>
      </c>
      <c r="D89" s="8">
        <v>3.85</v>
      </c>
      <c r="E89" t="s">
        <v>3165</v>
      </c>
    </row>
    <row r="90" spans="1:5" x14ac:dyDescent="0.25">
      <c r="A90" t="s">
        <v>2511</v>
      </c>
      <c r="B90" t="s">
        <v>2512</v>
      </c>
      <c r="C90" t="s">
        <v>3152</v>
      </c>
      <c r="D90" s="8">
        <v>4.75</v>
      </c>
      <c r="E90" t="s">
        <v>3165</v>
      </c>
    </row>
    <row r="91" spans="1:5" x14ac:dyDescent="0.25">
      <c r="A91" t="s">
        <v>2513</v>
      </c>
      <c r="B91" t="s">
        <v>2514</v>
      </c>
      <c r="C91" t="s">
        <v>3152</v>
      </c>
      <c r="D91" s="8">
        <v>4.75</v>
      </c>
      <c r="E91" t="s">
        <v>3165</v>
      </c>
    </row>
    <row r="92" spans="1:5" x14ac:dyDescent="0.25">
      <c r="A92" t="s">
        <v>2515</v>
      </c>
      <c r="B92" t="s">
        <v>2516</v>
      </c>
      <c r="C92" t="s">
        <v>3152</v>
      </c>
      <c r="D92" s="8">
        <v>2.1</v>
      </c>
      <c r="E92" t="s">
        <v>3165</v>
      </c>
    </row>
    <row r="93" spans="1:5" x14ac:dyDescent="0.25">
      <c r="A93" t="s">
        <v>2517</v>
      </c>
      <c r="B93" t="s">
        <v>2518</v>
      </c>
      <c r="C93" t="s">
        <v>3152</v>
      </c>
      <c r="D93" s="8">
        <v>2.1</v>
      </c>
      <c r="E93" t="s">
        <v>3165</v>
      </c>
    </row>
    <row r="94" spans="1:5" x14ac:dyDescent="0.25">
      <c r="A94" t="s">
        <v>2519</v>
      </c>
      <c r="B94" t="s">
        <v>2520</v>
      </c>
      <c r="C94" t="s">
        <v>3152</v>
      </c>
      <c r="D94" s="8">
        <v>2.1</v>
      </c>
      <c r="E94" t="s">
        <v>3165</v>
      </c>
    </row>
    <row r="95" spans="1:5" x14ac:dyDescent="0.25">
      <c r="A95" t="s">
        <v>2521</v>
      </c>
      <c r="B95" t="s">
        <v>2522</v>
      </c>
      <c r="C95" t="s">
        <v>3152</v>
      </c>
      <c r="D95" s="8">
        <v>4.75</v>
      </c>
      <c r="E95" t="s">
        <v>3165</v>
      </c>
    </row>
    <row r="96" spans="1:5" x14ac:dyDescent="0.25">
      <c r="A96" t="s">
        <v>2523</v>
      </c>
      <c r="B96" t="s">
        <v>2524</v>
      </c>
      <c r="C96" t="s">
        <v>3152</v>
      </c>
      <c r="D96" s="8">
        <v>8.5500000000000007</v>
      </c>
      <c r="E96" t="s">
        <v>3165</v>
      </c>
    </row>
    <row r="97" spans="1:5" x14ac:dyDescent="0.25">
      <c r="A97" t="s">
        <v>2525</v>
      </c>
      <c r="B97" t="s">
        <v>2526</v>
      </c>
      <c r="C97" t="s">
        <v>3152</v>
      </c>
      <c r="D97" s="8">
        <v>2.1</v>
      </c>
      <c r="E97" t="s">
        <v>3165</v>
      </c>
    </row>
    <row r="98" spans="1:5" x14ac:dyDescent="0.25">
      <c r="A98" t="s">
        <v>2527</v>
      </c>
      <c r="B98" t="s">
        <v>2528</v>
      </c>
      <c r="C98" t="s">
        <v>3152</v>
      </c>
      <c r="D98" s="8">
        <v>2.1</v>
      </c>
      <c r="E98" t="s">
        <v>3165</v>
      </c>
    </row>
    <row r="99" spans="1:5" x14ac:dyDescent="0.25">
      <c r="A99" t="s">
        <v>2529</v>
      </c>
      <c r="B99" t="s">
        <v>2530</v>
      </c>
      <c r="C99" t="s">
        <v>3152</v>
      </c>
      <c r="D99" s="8">
        <v>2.1</v>
      </c>
      <c r="E99" t="s">
        <v>3165</v>
      </c>
    </row>
    <row r="100" spans="1:5" x14ac:dyDescent="0.25">
      <c r="A100" t="s">
        <v>2531</v>
      </c>
      <c r="B100" t="s">
        <v>2532</v>
      </c>
      <c r="C100" t="s">
        <v>3152</v>
      </c>
      <c r="D100" s="8">
        <v>4.75</v>
      </c>
      <c r="E100" t="s">
        <v>3165</v>
      </c>
    </row>
    <row r="101" spans="1:5" x14ac:dyDescent="0.25">
      <c r="A101" t="s">
        <v>2533</v>
      </c>
      <c r="B101" t="s">
        <v>2534</v>
      </c>
      <c r="C101" t="s">
        <v>3152</v>
      </c>
      <c r="D101" s="8">
        <v>4.75</v>
      </c>
      <c r="E101" t="s">
        <v>3165</v>
      </c>
    </row>
    <row r="102" spans="1:5" x14ac:dyDescent="0.25">
      <c r="A102" t="s">
        <v>2535</v>
      </c>
      <c r="B102" t="s">
        <v>2536</v>
      </c>
      <c r="C102" t="s">
        <v>3152</v>
      </c>
      <c r="D102" s="8">
        <v>9.15</v>
      </c>
      <c r="E102" t="s">
        <v>3165</v>
      </c>
    </row>
    <row r="103" spans="1:5" x14ac:dyDescent="0.25">
      <c r="A103" t="s">
        <v>2537</v>
      </c>
      <c r="B103" t="s">
        <v>2538</v>
      </c>
      <c r="C103" t="s">
        <v>3152</v>
      </c>
      <c r="D103" s="8">
        <v>2.1</v>
      </c>
      <c r="E103" t="s">
        <v>3165</v>
      </c>
    </row>
    <row r="104" spans="1:5" x14ac:dyDescent="0.25">
      <c r="A104" t="s">
        <v>2539</v>
      </c>
      <c r="B104" t="s">
        <v>2540</v>
      </c>
      <c r="C104" t="s">
        <v>3152</v>
      </c>
      <c r="D104" s="8">
        <v>4.75</v>
      </c>
      <c r="E104" t="s">
        <v>3165</v>
      </c>
    </row>
    <row r="105" spans="1:5" x14ac:dyDescent="0.25">
      <c r="A105" t="s">
        <v>2541</v>
      </c>
      <c r="B105" t="s">
        <v>2542</v>
      </c>
      <c r="C105" t="s">
        <v>3152</v>
      </c>
      <c r="D105" s="8">
        <v>4.75</v>
      </c>
      <c r="E105" t="s">
        <v>3165</v>
      </c>
    </row>
    <row r="106" spans="1:5" x14ac:dyDescent="0.25">
      <c r="A106" t="s">
        <v>2543</v>
      </c>
      <c r="B106" t="s">
        <v>2544</v>
      </c>
      <c r="C106" t="s">
        <v>3152</v>
      </c>
      <c r="D106" s="8">
        <v>4.75</v>
      </c>
      <c r="E106" t="s">
        <v>3165</v>
      </c>
    </row>
    <row r="107" spans="1:5" x14ac:dyDescent="0.25">
      <c r="A107" t="s">
        <v>2545</v>
      </c>
      <c r="B107" t="s">
        <v>2546</v>
      </c>
      <c r="C107" t="s">
        <v>3152</v>
      </c>
      <c r="D107" s="8">
        <v>10.050000000000001</v>
      </c>
      <c r="E107" t="s">
        <v>3165</v>
      </c>
    </row>
    <row r="108" spans="1:5" x14ac:dyDescent="0.25">
      <c r="A108" t="s">
        <v>2547</v>
      </c>
      <c r="B108" t="s">
        <v>2548</v>
      </c>
      <c r="C108" t="s">
        <v>3152</v>
      </c>
      <c r="D108" s="8">
        <v>4.75</v>
      </c>
      <c r="E108" t="s">
        <v>3165</v>
      </c>
    </row>
    <row r="109" spans="1:5" x14ac:dyDescent="0.25">
      <c r="A109" t="s">
        <v>2549</v>
      </c>
      <c r="B109" t="s">
        <v>2550</v>
      </c>
      <c r="C109" t="s">
        <v>3152</v>
      </c>
      <c r="D109" s="8">
        <v>3.55</v>
      </c>
      <c r="E109" t="s">
        <v>3166</v>
      </c>
    </row>
    <row r="110" spans="1:5" x14ac:dyDescent="0.25">
      <c r="A110" t="s">
        <v>2551</v>
      </c>
      <c r="B110" t="s">
        <v>2552</v>
      </c>
      <c r="C110" t="s">
        <v>3152</v>
      </c>
      <c r="D110" s="8">
        <v>3.55</v>
      </c>
      <c r="E110" t="s">
        <v>3166</v>
      </c>
    </row>
    <row r="111" spans="1:5" x14ac:dyDescent="0.25">
      <c r="A111" t="s">
        <v>2553</v>
      </c>
      <c r="B111" t="s">
        <v>2554</v>
      </c>
      <c r="C111" t="s">
        <v>3152</v>
      </c>
      <c r="D111" s="8">
        <v>3.55</v>
      </c>
      <c r="E111" t="s">
        <v>3166</v>
      </c>
    </row>
    <row r="112" spans="1:5" x14ac:dyDescent="0.25">
      <c r="A112" t="s">
        <v>2555</v>
      </c>
      <c r="B112" t="s">
        <v>2556</v>
      </c>
      <c r="C112" t="s">
        <v>3152</v>
      </c>
      <c r="D112" s="8">
        <v>3.55</v>
      </c>
      <c r="E112" t="s">
        <v>3166</v>
      </c>
    </row>
    <row r="113" spans="1:5" x14ac:dyDescent="0.25">
      <c r="A113" t="s">
        <v>2557</v>
      </c>
      <c r="B113" t="s">
        <v>2558</v>
      </c>
      <c r="C113" t="s">
        <v>3152</v>
      </c>
      <c r="D113" s="8">
        <v>3.55</v>
      </c>
      <c r="E113" t="s">
        <v>3166</v>
      </c>
    </row>
    <row r="114" spans="1:5" x14ac:dyDescent="0.25">
      <c r="A114" t="s">
        <v>2559</v>
      </c>
      <c r="B114" t="s">
        <v>2560</v>
      </c>
      <c r="C114" t="s">
        <v>3152</v>
      </c>
      <c r="D114" s="8">
        <v>3.55</v>
      </c>
      <c r="E114" t="s">
        <v>3166</v>
      </c>
    </row>
    <row r="115" spans="1:5" x14ac:dyDescent="0.25">
      <c r="A115" t="s">
        <v>2561</v>
      </c>
      <c r="B115" t="s">
        <v>2562</v>
      </c>
      <c r="C115" t="s">
        <v>3152</v>
      </c>
      <c r="D115" s="8">
        <v>3.55</v>
      </c>
      <c r="E115" t="s">
        <v>3166</v>
      </c>
    </row>
    <row r="116" spans="1:5" x14ac:dyDescent="0.25">
      <c r="A116" t="s">
        <v>2563</v>
      </c>
      <c r="B116" t="s">
        <v>2564</v>
      </c>
      <c r="C116" t="s">
        <v>3152</v>
      </c>
      <c r="D116" s="8">
        <v>3.55</v>
      </c>
      <c r="E116" t="s">
        <v>3166</v>
      </c>
    </row>
    <row r="117" spans="1:5" x14ac:dyDescent="0.25">
      <c r="A117" t="s">
        <v>2565</v>
      </c>
      <c r="B117" t="s">
        <v>2566</v>
      </c>
      <c r="C117" t="s">
        <v>3152</v>
      </c>
      <c r="D117" s="8">
        <v>3.55</v>
      </c>
      <c r="E117" t="s">
        <v>3166</v>
      </c>
    </row>
    <row r="118" spans="1:5" x14ac:dyDescent="0.25">
      <c r="A118" t="s">
        <v>2567</v>
      </c>
      <c r="B118" t="s">
        <v>2568</v>
      </c>
      <c r="C118" t="s">
        <v>3152</v>
      </c>
      <c r="D118" s="8">
        <v>3.55</v>
      </c>
      <c r="E118" t="s">
        <v>3166</v>
      </c>
    </row>
    <row r="119" spans="1:5" x14ac:dyDescent="0.25">
      <c r="A119" t="s">
        <v>2569</v>
      </c>
      <c r="B119" t="s">
        <v>2570</v>
      </c>
      <c r="C119" t="s">
        <v>3152</v>
      </c>
      <c r="D119" s="8">
        <v>3.55</v>
      </c>
      <c r="E119" t="s">
        <v>3166</v>
      </c>
    </row>
    <row r="120" spans="1:5" x14ac:dyDescent="0.25">
      <c r="A120" t="s">
        <v>2571</v>
      </c>
      <c r="B120" t="s">
        <v>2572</v>
      </c>
      <c r="C120" t="s">
        <v>3152</v>
      </c>
      <c r="D120" s="8">
        <v>3.55</v>
      </c>
      <c r="E120" t="s">
        <v>3166</v>
      </c>
    </row>
    <row r="121" spans="1:5" x14ac:dyDescent="0.25">
      <c r="A121" t="s">
        <v>2573</v>
      </c>
      <c r="B121" t="s">
        <v>2574</v>
      </c>
      <c r="C121" t="s">
        <v>3152</v>
      </c>
      <c r="D121" s="8">
        <v>3.55</v>
      </c>
      <c r="E121" t="s">
        <v>3166</v>
      </c>
    </row>
    <row r="122" spans="1:5" x14ac:dyDescent="0.25">
      <c r="A122" t="s">
        <v>2575</v>
      </c>
      <c r="B122" t="s">
        <v>2576</v>
      </c>
      <c r="C122" t="s">
        <v>3152</v>
      </c>
      <c r="D122" s="8">
        <v>3.55</v>
      </c>
      <c r="E122" t="s">
        <v>3166</v>
      </c>
    </row>
    <row r="123" spans="1:5" x14ac:dyDescent="0.25">
      <c r="A123" t="s">
        <v>2577</v>
      </c>
      <c r="B123" t="s">
        <v>2578</v>
      </c>
      <c r="C123" t="s">
        <v>3152</v>
      </c>
      <c r="D123" s="8">
        <v>3.55</v>
      </c>
      <c r="E123" t="s">
        <v>3166</v>
      </c>
    </row>
    <row r="124" spans="1:5" x14ac:dyDescent="0.25">
      <c r="A124" t="s">
        <v>2579</v>
      </c>
      <c r="B124" t="s">
        <v>2580</v>
      </c>
      <c r="C124" t="s">
        <v>3152</v>
      </c>
      <c r="D124" s="8">
        <v>3.55</v>
      </c>
      <c r="E124" t="s">
        <v>3166</v>
      </c>
    </row>
    <row r="125" spans="1:5" x14ac:dyDescent="0.25">
      <c r="A125" t="s">
        <v>2581</v>
      </c>
      <c r="B125" t="s">
        <v>2582</v>
      </c>
      <c r="C125" t="s">
        <v>3152</v>
      </c>
      <c r="D125" s="8">
        <v>3.55</v>
      </c>
      <c r="E125" t="s">
        <v>3166</v>
      </c>
    </row>
    <row r="126" spans="1:5" x14ac:dyDescent="0.25">
      <c r="A126" t="s">
        <v>2583</v>
      </c>
      <c r="B126" t="s">
        <v>2584</v>
      </c>
      <c r="C126" t="s">
        <v>3152</v>
      </c>
      <c r="D126" s="8">
        <v>3.55</v>
      </c>
      <c r="E126" t="s">
        <v>3166</v>
      </c>
    </row>
    <row r="127" spans="1:5" x14ac:dyDescent="0.25">
      <c r="A127" t="s">
        <v>2585</v>
      </c>
      <c r="B127" t="s">
        <v>2586</v>
      </c>
      <c r="C127" t="s">
        <v>3152</v>
      </c>
      <c r="D127" s="8">
        <v>3.55</v>
      </c>
      <c r="E127" t="s">
        <v>3166</v>
      </c>
    </row>
    <row r="128" spans="1:5" x14ac:dyDescent="0.25">
      <c r="A128" t="s">
        <v>2587</v>
      </c>
      <c r="B128" t="s">
        <v>2588</v>
      </c>
      <c r="C128" t="s">
        <v>3152</v>
      </c>
      <c r="D128" s="8">
        <v>3.55</v>
      </c>
      <c r="E128" t="s">
        <v>3166</v>
      </c>
    </row>
    <row r="129" spans="1:5" x14ac:dyDescent="0.25">
      <c r="A129" t="s">
        <v>2589</v>
      </c>
      <c r="B129" t="s">
        <v>2590</v>
      </c>
      <c r="C129" t="s">
        <v>3152</v>
      </c>
      <c r="D129" s="8">
        <v>3.55</v>
      </c>
      <c r="E129" t="s">
        <v>3166</v>
      </c>
    </row>
    <row r="130" spans="1:5" x14ac:dyDescent="0.25">
      <c r="A130" t="s">
        <v>2591</v>
      </c>
      <c r="B130" t="s">
        <v>2592</v>
      </c>
      <c r="C130" t="s">
        <v>3152</v>
      </c>
      <c r="D130" s="8">
        <v>3.55</v>
      </c>
      <c r="E130" t="s">
        <v>3166</v>
      </c>
    </row>
    <row r="131" spans="1:5" x14ac:dyDescent="0.25">
      <c r="A131" t="s">
        <v>2593</v>
      </c>
      <c r="B131" t="s">
        <v>2594</v>
      </c>
      <c r="C131" t="s">
        <v>3152</v>
      </c>
      <c r="D131" s="8">
        <v>3.55</v>
      </c>
      <c r="E131" t="s">
        <v>3166</v>
      </c>
    </row>
    <row r="132" spans="1:5" x14ac:dyDescent="0.25">
      <c r="A132" t="s">
        <v>2595</v>
      </c>
      <c r="B132" t="s">
        <v>2596</v>
      </c>
      <c r="C132" t="s">
        <v>3152</v>
      </c>
      <c r="D132" s="8">
        <v>3.55</v>
      </c>
      <c r="E132" t="s">
        <v>3166</v>
      </c>
    </row>
    <row r="133" spans="1:5" x14ac:dyDescent="0.25">
      <c r="A133" t="s">
        <v>2597</v>
      </c>
      <c r="B133" t="s">
        <v>2598</v>
      </c>
      <c r="C133" t="s">
        <v>3152</v>
      </c>
      <c r="D133" s="8">
        <v>3.55</v>
      </c>
      <c r="E133" t="s">
        <v>3166</v>
      </c>
    </row>
    <row r="134" spans="1:5" x14ac:dyDescent="0.25">
      <c r="A134" t="s">
        <v>2599</v>
      </c>
      <c r="B134" t="s">
        <v>2600</v>
      </c>
      <c r="C134" t="s">
        <v>3152</v>
      </c>
      <c r="D134" s="8">
        <v>3.55</v>
      </c>
      <c r="E134" t="s">
        <v>3166</v>
      </c>
    </row>
    <row r="135" spans="1:5" x14ac:dyDescent="0.25">
      <c r="A135" t="s">
        <v>2601</v>
      </c>
      <c r="B135" t="s">
        <v>2602</v>
      </c>
      <c r="C135" t="s">
        <v>3152</v>
      </c>
      <c r="D135" s="8">
        <v>3.55</v>
      </c>
      <c r="E135" t="s">
        <v>3166</v>
      </c>
    </row>
    <row r="136" spans="1:5" x14ac:dyDescent="0.25">
      <c r="A136" t="s">
        <v>2603</v>
      </c>
      <c r="B136" t="s">
        <v>2604</v>
      </c>
      <c r="C136" t="s">
        <v>3152</v>
      </c>
      <c r="D136" s="8">
        <v>3.55</v>
      </c>
      <c r="E136" t="s">
        <v>3166</v>
      </c>
    </row>
    <row r="137" spans="1:5" x14ac:dyDescent="0.25">
      <c r="A137" t="s">
        <v>2605</v>
      </c>
      <c r="B137" t="s">
        <v>2606</v>
      </c>
      <c r="C137" t="s">
        <v>3152</v>
      </c>
      <c r="D137" s="8">
        <v>3.55</v>
      </c>
      <c r="E137" t="s">
        <v>3166</v>
      </c>
    </row>
    <row r="138" spans="1:5" x14ac:dyDescent="0.25">
      <c r="A138" t="s">
        <v>2607</v>
      </c>
      <c r="B138" t="s">
        <v>2608</v>
      </c>
      <c r="C138" t="s">
        <v>3152</v>
      </c>
      <c r="D138" s="8">
        <v>3.55</v>
      </c>
      <c r="E138" t="s">
        <v>3166</v>
      </c>
    </row>
    <row r="139" spans="1:5" x14ac:dyDescent="0.25">
      <c r="A139" t="s">
        <v>2609</v>
      </c>
      <c r="B139" t="s">
        <v>2610</v>
      </c>
      <c r="C139" t="s">
        <v>3152</v>
      </c>
      <c r="D139" s="8">
        <v>3.55</v>
      </c>
      <c r="E139" t="s">
        <v>3166</v>
      </c>
    </row>
    <row r="140" spans="1:5" x14ac:dyDescent="0.25">
      <c r="A140" t="s">
        <v>2611</v>
      </c>
      <c r="B140" t="s">
        <v>2612</v>
      </c>
      <c r="C140" t="s">
        <v>3152</v>
      </c>
      <c r="D140" s="8">
        <v>3.55</v>
      </c>
      <c r="E140" t="s">
        <v>3166</v>
      </c>
    </row>
    <row r="141" spans="1:5" x14ac:dyDescent="0.25">
      <c r="A141" t="s">
        <v>2613</v>
      </c>
      <c r="B141" t="s">
        <v>2614</v>
      </c>
      <c r="C141" t="s">
        <v>3152</v>
      </c>
      <c r="D141" s="8">
        <v>3.55</v>
      </c>
      <c r="E141" t="s">
        <v>3166</v>
      </c>
    </row>
    <row r="142" spans="1:5" x14ac:dyDescent="0.25">
      <c r="A142" t="s">
        <v>2615</v>
      </c>
      <c r="B142" t="s">
        <v>2616</v>
      </c>
      <c r="C142" t="s">
        <v>3152</v>
      </c>
      <c r="D142" s="8">
        <v>3.55</v>
      </c>
      <c r="E142" t="s">
        <v>3166</v>
      </c>
    </row>
    <row r="143" spans="1:5" x14ac:dyDescent="0.25">
      <c r="A143" t="s">
        <v>2617</v>
      </c>
      <c r="B143" t="s">
        <v>2618</v>
      </c>
      <c r="C143" t="s">
        <v>3152</v>
      </c>
      <c r="D143" s="8">
        <v>3.55</v>
      </c>
      <c r="E143" t="s">
        <v>3166</v>
      </c>
    </row>
    <row r="144" spans="1:5" x14ac:dyDescent="0.25">
      <c r="A144" t="s">
        <v>2619</v>
      </c>
      <c r="B144" t="s">
        <v>2620</v>
      </c>
      <c r="C144" t="s">
        <v>3152</v>
      </c>
      <c r="D144" s="8">
        <v>3.55</v>
      </c>
      <c r="E144" t="s">
        <v>3166</v>
      </c>
    </row>
    <row r="145" spans="1:5" x14ac:dyDescent="0.25">
      <c r="A145" t="s">
        <v>2621</v>
      </c>
      <c r="B145" t="s">
        <v>2622</v>
      </c>
      <c r="C145" t="s">
        <v>3152</v>
      </c>
      <c r="D145" s="8">
        <v>3.55</v>
      </c>
      <c r="E145" t="s">
        <v>3166</v>
      </c>
    </row>
    <row r="146" spans="1:5" x14ac:dyDescent="0.25">
      <c r="A146" t="s">
        <v>2623</v>
      </c>
      <c r="B146" t="s">
        <v>2624</v>
      </c>
      <c r="C146" t="s">
        <v>3152</v>
      </c>
      <c r="D146" s="8">
        <v>3.55</v>
      </c>
      <c r="E146" t="s">
        <v>3166</v>
      </c>
    </row>
    <row r="147" spans="1:5" x14ac:dyDescent="0.25">
      <c r="A147" t="s">
        <v>2625</v>
      </c>
      <c r="B147" t="s">
        <v>2626</v>
      </c>
      <c r="C147" t="s">
        <v>3152</v>
      </c>
      <c r="D147" s="8">
        <v>3.55</v>
      </c>
      <c r="E147" t="s">
        <v>3166</v>
      </c>
    </row>
    <row r="148" spans="1:5" x14ac:dyDescent="0.25">
      <c r="A148" t="s">
        <v>2627</v>
      </c>
      <c r="B148" t="s">
        <v>2628</v>
      </c>
      <c r="C148" t="s">
        <v>3152</v>
      </c>
      <c r="D148" s="8">
        <v>3.55</v>
      </c>
      <c r="E148" t="s">
        <v>3166</v>
      </c>
    </row>
    <row r="149" spans="1:5" x14ac:dyDescent="0.25">
      <c r="A149" t="s">
        <v>2629</v>
      </c>
      <c r="B149" t="s">
        <v>2630</v>
      </c>
      <c r="C149" t="s">
        <v>3152</v>
      </c>
      <c r="D149" s="8">
        <v>3.55</v>
      </c>
      <c r="E149" t="s">
        <v>3166</v>
      </c>
    </row>
    <row r="150" spans="1:5" x14ac:dyDescent="0.25">
      <c r="A150" t="s">
        <v>2631</v>
      </c>
      <c r="B150" t="s">
        <v>2632</v>
      </c>
      <c r="C150" t="s">
        <v>3152</v>
      </c>
      <c r="D150" s="8">
        <v>6.5</v>
      </c>
      <c r="E150" t="s">
        <v>3166</v>
      </c>
    </row>
    <row r="151" spans="1:5" x14ac:dyDescent="0.25">
      <c r="A151" t="s">
        <v>2633</v>
      </c>
      <c r="B151" t="s">
        <v>2634</v>
      </c>
      <c r="C151" t="s">
        <v>3152</v>
      </c>
      <c r="D151" s="8">
        <v>6.5</v>
      </c>
      <c r="E151" t="s">
        <v>3166</v>
      </c>
    </row>
    <row r="152" spans="1:5" x14ac:dyDescent="0.25">
      <c r="A152" t="s">
        <v>2635</v>
      </c>
      <c r="B152" t="s">
        <v>2636</v>
      </c>
      <c r="C152" t="s">
        <v>3152</v>
      </c>
      <c r="D152" s="8">
        <v>6.5</v>
      </c>
      <c r="E152" t="s">
        <v>3166</v>
      </c>
    </row>
    <row r="153" spans="1:5" x14ac:dyDescent="0.25">
      <c r="A153" t="s">
        <v>2637</v>
      </c>
      <c r="B153" t="s">
        <v>2638</v>
      </c>
      <c r="C153" t="s">
        <v>3152</v>
      </c>
      <c r="D153" s="8">
        <v>6.5</v>
      </c>
      <c r="E153" t="s">
        <v>3166</v>
      </c>
    </row>
    <row r="154" spans="1:5" x14ac:dyDescent="0.25">
      <c r="A154" t="s">
        <v>768</v>
      </c>
      <c r="B154" t="s">
        <v>769</v>
      </c>
      <c r="C154" t="s">
        <v>3152</v>
      </c>
      <c r="D154" s="8">
        <v>15.95</v>
      </c>
      <c r="E154" t="s">
        <v>3167</v>
      </c>
    </row>
    <row r="155" spans="1:5" x14ac:dyDescent="0.25">
      <c r="A155" t="s">
        <v>2639</v>
      </c>
      <c r="B155" t="s">
        <v>2640</v>
      </c>
      <c r="C155" t="s">
        <v>3152</v>
      </c>
      <c r="D155" s="8">
        <v>14.45</v>
      </c>
      <c r="E155" t="s">
        <v>3167</v>
      </c>
    </row>
    <row r="156" spans="1:5" x14ac:dyDescent="0.25">
      <c r="A156" t="s">
        <v>799</v>
      </c>
      <c r="B156" t="s">
        <v>800</v>
      </c>
      <c r="C156" t="s">
        <v>3152</v>
      </c>
      <c r="D156" s="8">
        <v>12.1</v>
      </c>
      <c r="E156" t="s">
        <v>3167</v>
      </c>
    </row>
    <row r="157" spans="1:5" x14ac:dyDescent="0.25">
      <c r="A157" t="s">
        <v>2641</v>
      </c>
      <c r="B157" t="s">
        <v>2642</v>
      </c>
      <c r="C157" t="s">
        <v>3152</v>
      </c>
      <c r="D157" s="8">
        <v>23.35</v>
      </c>
      <c r="E157" t="s">
        <v>3167</v>
      </c>
    </row>
    <row r="158" spans="1:5" x14ac:dyDescent="0.25">
      <c r="A158" t="s">
        <v>2643</v>
      </c>
      <c r="B158" t="s">
        <v>2644</v>
      </c>
      <c r="C158" t="s">
        <v>3152</v>
      </c>
      <c r="D158" s="8">
        <v>14.75</v>
      </c>
      <c r="E158" t="s">
        <v>3167</v>
      </c>
    </row>
    <row r="159" spans="1:5" x14ac:dyDescent="0.25">
      <c r="A159" t="s">
        <v>2645</v>
      </c>
      <c r="B159" t="s">
        <v>2646</v>
      </c>
      <c r="C159" t="s">
        <v>3152</v>
      </c>
      <c r="D159" s="8">
        <v>11.8</v>
      </c>
      <c r="E159" t="s">
        <v>3167</v>
      </c>
    </row>
    <row r="160" spans="1:5" x14ac:dyDescent="0.25">
      <c r="A160" t="s">
        <v>2647</v>
      </c>
      <c r="B160" t="s">
        <v>2648</v>
      </c>
      <c r="C160" t="s">
        <v>3152</v>
      </c>
      <c r="D160" s="8">
        <v>62.5</v>
      </c>
      <c r="E160" t="s">
        <v>3167</v>
      </c>
    </row>
    <row r="161" spans="1:5" x14ac:dyDescent="0.25">
      <c r="A161" t="s">
        <v>2675</v>
      </c>
      <c r="B161" t="s">
        <v>2676</v>
      </c>
      <c r="C161" t="s">
        <v>3152</v>
      </c>
      <c r="D161" s="8">
        <v>17.5</v>
      </c>
      <c r="E161" t="s">
        <v>3167</v>
      </c>
    </row>
    <row r="162" spans="1:5" x14ac:dyDescent="0.25">
      <c r="A162" t="s">
        <v>2677</v>
      </c>
      <c r="B162" t="s">
        <v>2678</v>
      </c>
      <c r="C162" t="s">
        <v>3152</v>
      </c>
      <c r="D162" s="8">
        <v>9.25</v>
      </c>
      <c r="E162" t="s">
        <v>3167</v>
      </c>
    </row>
    <row r="163" spans="1:5" x14ac:dyDescent="0.25">
      <c r="A163" t="s">
        <v>2679</v>
      </c>
      <c r="B163" t="s">
        <v>2680</v>
      </c>
      <c r="C163" t="s">
        <v>3152</v>
      </c>
      <c r="D163" s="8">
        <v>15.95</v>
      </c>
      <c r="E163" t="s">
        <v>3167</v>
      </c>
    </row>
    <row r="164" spans="1:5" x14ac:dyDescent="0.25">
      <c r="A164" t="s">
        <v>2649</v>
      </c>
      <c r="B164" t="s">
        <v>2650</v>
      </c>
      <c r="C164" t="s">
        <v>3152</v>
      </c>
      <c r="D164" s="8">
        <v>15.95</v>
      </c>
      <c r="E164" t="s">
        <v>3168</v>
      </c>
    </row>
    <row r="165" spans="1:5" x14ac:dyDescent="0.25">
      <c r="A165" t="s">
        <v>2651</v>
      </c>
      <c r="B165" t="s">
        <v>2652</v>
      </c>
      <c r="C165" t="s">
        <v>3152</v>
      </c>
      <c r="D165" s="8">
        <v>4.75</v>
      </c>
      <c r="E165" t="s">
        <v>3168</v>
      </c>
    </row>
    <row r="166" spans="1:5" x14ac:dyDescent="0.25">
      <c r="A166" t="s">
        <v>2799</v>
      </c>
      <c r="B166" t="s">
        <v>2800</v>
      </c>
      <c r="C166" t="s">
        <v>3152</v>
      </c>
      <c r="D166" s="8">
        <v>10.6</v>
      </c>
      <c r="E166" t="s">
        <v>3168</v>
      </c>
    </row>
    <row r="167" spans="1:5" x14ac:dyDescent="0.25">
      <c r="A167" t="s">
        <v>2801</v>
      </c>
      <c r="B167" t="s">
        <v>2802</v>
      </c>
      <c r="C167" t="s">
        <v>3152</v>
      </c>
      <c r="D167" s="8">
        <v>10.6</v>
      </c>
      <c r="E167" t="s">
        <v>3168</v>
      </c>
    </row>
    <row r="168" spans="1:5" x14ac:dyDescent="0.25">
      <c r="A168" t="s">
        <v>2803</v>
      </c>
      <c r="B168" t="s">
        <v>2804</v>
      </c>
      <c r="C168" t="s">
        <v>3152</v>
      </c>
      <c r="D168" s="8">
        <v>10.6</v>
      </c>
      <c r="E168" t="s">
        <v>3168</v>
      </c>
    </row>
    <row r="169" spans="1:5" x14ac:dyDescent="0.25">
      <c r="A169" t="s">
        <v>2805</v>
      </c>
      <c r="B169" t="s">
        <v>2806</v>
      </c>
      <c r="C169" t="s">
        <v>3152</v>
      </c>
      <c r="D169" s="8">
        <v>10.6</v>
      </c>
      <c r="E169" t="s">
        <v>3168</v>
      </c>
    </row>
    <row r="170" spans="1:5" x14ac:dyDescent="0.25">
      <c r="A170" t="s">
        <v>2807</v>
      </c>
      <c r="B170" t="s">
        <v>2808</v>
      </c>
      <c r="C170" t="s">
        <v>3152</v>
      </c>
      <c r="D170" s="8">
        <v>29.45</v>
      </c>
      <c r="E170" t="s">
        <v>3168</v>
      </c>
    </row>
    <row r="171" spans="1:5" x14ac:dyDescent="0.25">
      <c r="A171" t="s">
        <v>2653</v>
      </c>
      <c r="B171" t="s">
        <v>2654</v>
      </c>
      <c r="C171" t="s">
        <v>3152</v>
      </c>
      <c r="D171" s="8">
        <v>1.8</v>
      </c>
      <c r="E171" t="s">
        <v>3169</v>
      </c>
    </row>
    <row r="172" spans="1:5" x14ac:dyDescent="0.25">
      <c r="A172" t="s">
        <v>2655</v>
      </c>
      <c r="B172" t="s">
        <v>2656</v>
      </c>
      <c r="C172" t="s">
        <v>3152</v>
      </c>
      <c r="D172" s="8">
        <v>1.8</v>
      </c>
      <c r="E172" t="s">
        <v>3169</v>
      </c>
    </row>
    <row r="173" spans="1:5" x14ac:dyDescent="0.25">
      <c r="A173" t="s">
        <v>2657</v>
      </c>
      <c r="B173" t="s">
        <v>2658</v>
      </c>
      <c r="C173" t="s">
        <v>3152</v>
      </c>
      <c r="D173" s="8">
        <v>1.8</v>
      </c>
      <c r="E173" t="s">
        <v>3169</v>
      </c>
    </row>
    <row r="174" spans="1:5" x14ac:dyDescent="0.25">
      <c r="A174" t="s">
        <v>2659</v>
      </c>
      <c r="B174" t="s">
        <v>2660</v>
      </c>
      <c r="C174" t="s">
        <v>3152</v>
      </c>
      <c r="D174" s="8">
        <v>1.8</v>
      </c>
      <c r="E174" t="s">
        <v>3169</v>
      </c>
    </row>
    <row r="175" spans="1:5" x14ac:dyDescent="0.25">
      <c r="A175" t="s">
        <v>2661</v>
      </c>
      <c r="B175" t="s">
        <v>2662</v>
      </c>
      <c r="C175" t="s">
        <v>3152</v>
      </c>
      <c r="D175" s="8">
        <v>1.8</v>
      </c>
      <c r="E175" t="s">
        <v>3169</v>
      </c>
    </row>
    <row r="176" spans="1:5" x14ac:dyDescent="0.25">
      <c r="A176" t="s">
        <v>2663</v>
      </c>
      <c r="B176" t="s">
        <v>2664</v>
      </c>
      <c r="C176" t="s">
        <v>3152</v>
      </c>
      <c r="D176" s="8">
        <v>1.8</v>
      </c>
      <c r="E176" t="s">
        <v>3169</v>
      </c>
    </row>
    <row r="177" spans="1:5" x14ac:dyDescent="0.25">
      <c r="A177" t="s">
        <v>2665</v>
      </c>
      <c r="B177" t="s">
        <v>2666</v>
      </c>
      <c r="C177" t="s">
        <v>3152</v>
      </c>
      <c r="D177" s="8">
        <v>1.8</v>
      </c>
      <c r="E177" t="s">
        <v>3169</v>
      </c>
    </row>
    <row r="178" spans="1:5" x14ac:dyDescent="0.25">
      <c r="A178" t="s">
        <v>2667</v>
      </c>
      <c r="B178" t="s">
        <v>2668</v>
      </c>
      <c r="C178" t="s">
        <v>3152</v>
      </c>
      <c r="D178" s="8">
        <v>1.8</v>
      </c>
      <c r="E178" t="s">
        <v>3169</v>
      </c>
    </row>
    <row r="179" spans="1:5" x14ac:dyDescent="0.25">
      <c r="A179" t="s">
        <v>2669</v>
      </c>
      <c r="B179" t="s">
        <v>2670</v>
      </c>
      <c r="C179" t="s">
        <v>3152</v>
      </c>
      <c r="D179" s="8">
        <v>1.8</v>
      </c>
      <c r="E179" t="s">
        <v>3169</v>
      </c>
    </row>
    <row r="180" spans="1:5" x14ac:dyDescent="0.25">
      <c r="A180" t="s">
        <v>2671</v>
      </c>
      <c r="B180" t="s">
        <v>2672</v>
      </c>
      <c r="C180" t="s">
        <v>3152</v>
      </c>
      <c r="D180" s="8">
        <v>1.8</v>
      </c>
      <c r="E180" t="s">
        <v>3169</v>
      </c>
    </row>
    <row r="181" spans="1:5" x14ac:dyDescent="0.25">
      <c r="A181" t="s">
        <v>2673</v>
      </c>
      <c r="B181" t="s">
        <v>2674</v>
      </c>
      <c r="C181" t="s">
        <v>3152</v>
      </c>
      <c r="D181" s="8">
        <v>1.8</v>
      </c>
      <c r="E181" t="s">
        <v>3169</v>
      </c>
    </row>
    <row r="182" spans="1:5" x14ac:dyDescent="0.25">
      <c r="A182" t="s">
        <v>901</v>
      </c>
      <c r="B182" t="s">
        <v>902</v>
      </c>
      <c r="C182" t="s">
        <v>3152</v>
      </c>
      <c r="D182" s="8">
        <v>15.95</v>
      </c>
      <c r="E182" t="s">
        <v>3170</v>
      </c>
    </row>
    <row r="183" spans="1:5" x14ac:dyDescent="0.25">
      <c r="A183" t="s">
        <v>911</v>
      </c>
      <c r="B183" t="s">
        <v>912</v>
      </c>
      <c r="C183" t="s">
        <v>3152</v>
      </c>
      <c r="D183" s="8">
        <v>13.3</v>
      </c>
      <c r="E183" t="s">
        <v>3170</v>
      </c>
    </row>
    <row r="184" spans="1:5" x14ac:dyDescent="0.25">
      <c r="A184" t="s">
        <v>2681</v>
      </c>
      <c r="B184" t="s">
        <v>2682</v>
      </c>
      <c r="C184" t="s">
        <v>3152</v>
      </c>
      <c r="D184" s="8">
        <v>13.3</v>
      </c>
      <c r="E184" t="s">
        <v>3170</v>
      </c>
    </row>
    <row r="185" spans="1:5" x14ac:dyDescent="0.25">
      <c r="A185" t="s">
        <v>914</v>
      </c>
      <c r="B185" t="s">
        <v>915</v>
      </c>
      <c r="C185" t="s">
        <v>3152</v>
      </c>
      <c r="D185" s="8">
        <v>11.55</v>
      </c>
      <c r="E185" t="s">
        <v>3170</v>
      </c>
    </row>
    <row r="186" spans="1:5" x14ac:dyDescent="0.25">
      <c r="A186" t="s">
        <v>927</v>
      </c>
      <c r="B186" t="s">
        <v>928</v>
      </c>
      <c r="C186" t="s">
        <v>3152</v>
      </c>
      <c r="D186" s="8">
        <v>18.600000000000001</v>
      </c>
      <c r="E186" t="s">
        <v>3170</v>
      </c>
    </row>
    <row r="187" spans="1:5" x14ac:dyDescent="0.25">
      <c r="A187" t="s">
        <v>919</v>
      </c>
      <c r="B187" t="s">
        <v>920</v>
      </c>
      <c r="C187" t="s">
        <v>3152</v>
      </c>
      <c r="D187" s="8">
        <v>53.05</v>
      </c>
      <c r="E187" t="s">
        <v>3170</v>
      </c>
    </row>
    <row r="188" spans="1:5" x14ac:dyDescent="0.25">
      <c r="A188" t="s">
        <v>1055</v>
      </c>
      <c r="B188" t="s">
        <v>1056</v>
      </c>
      <c r="C188" t="s">
        <v>3152</v>
      </c>
      <c r="D188" s="8">
        <v>9.5</v>
      </c>
      <c r="E188" t="s">
        <v>3170</v>
      </c>
    </row>
    <row r="189" spans="1:5" x14ac:dyDescent="0.25">
      <c r="A189" t="s">
        <v>2683</v>
      </c>
      <c r="B189" t="s">
        <v>2684</v>
      </c>
      <c r="C189" t="s">
        <v>3152</v>
      </c>
      <c r="D189" s="8">
        <v>15.1</v>
      </c>
      <c r="E189" t="s">
        <v>3170</v>
      </c>
    </row>
    <row r="190" spans="1:5" x14ac:dyDescent="0.25">
      <c r="A190" t="s">
        <v>2685</v>
      </c>
      <c r="B190" t="s">
        <v>2686</v>
      </c>
      <c r="C190" t="s">
        <v>3152</v>
      </c>
      <c r="D190" s="8">
        <v>20.100000000000001</v>
      </c>
      <c r="E190" t="s">
        <v>3170</v>
      </c>
    </row>
    <row r="191" spans="1:5" x14ac:dyDescent="0.25">
      <c r="A191" t="s">
        <v>2687</v>
      </c>
      <c r="B191" t="s">
        <v>2688</v>
      </c>
      <c r="C191" t="s">
        <v>3152</v>
      </c>
      <c r="D191" s="8">
        <v>25.35</v>
      </c>
      <c r="E191" t="s">
        <v>3170</v>
      </c>
    </row>
    <row r="192" spans="1:5" x14ac:dyDescent="0.25">
      <c r="A192" t="s">
        <v>2689</v>
      </c>
      <c r="B192" t="s">
        <v>2690</v>
      </c>
      <c r="C192" t="s">
        <v>3152</v>
      </c>
      <c r="D192" s="8">
        <v>30.4</v>
      </c>
      <c r="E192" t="s">
        <v>3170</v>
      </c>
    </row>
    <row r="193" spans="1:5" x14ac:dyDescent="0.25">
      <c r="A193" t="s">
        <v>2691</v>
      </c>
      <c r="B193" t="s">
        <v>2692</v>
      </c>
      <c r="C193" t="s">
        <v>3152</v>
      </c>
      <c r="D193" s="8">
        <v>35.4</v>
      </c>
      <c r="E193" t="s">
        <v>3170</v>
      </c>
    </row>
    <row r="194" spans="1:5" x14ac:dyDescent="0.25">
      <c r="A194" t="s">
        <v>2693</v>
      </c>
      <c r="B194" t="s">
        <v>2694</v>
      </c>
      <c r="C194" t="s">
        <v>3152</v>
      </c>
      <c r="D194" s="8">
        <v>17.649999999999999</v>
      </c>
      <c r="E194" t="s">
        <v>3170</v>
      </c>
    </row>
    <row r="195" spans="1:5" x14ac:dyDescent="0.25">
      <c r="A195" t="s">
        <v>2695</v>
      </c>
      <c r="B195" t="s">
        <v>2696</v>
      </c>
      <c r="C195" t="s">
        <v>3152</v>
      </c>
      <c r="D195" s="8">
        <v>17.649999999999999</v>
      </c>
      <c r="E195" t="s">
        <v>3170</v>
      </c>
    </row>
    <row r="196" spans="1:5" x14ac:dyDescent="0.25">
      <c r="A196" t="s">
        <v>3171</v>
      </c>
      <c r="B196" t="s">
        <v>3172</v>
      </c>
      <c r="C196" t="s">
        <v>3152</v>
      </c>
      <c r="D196" s="8">
        <v>15.95</v>
      </c>
      <c r="E196" t="s">
        <v>3170</v>
      </c>
    </row>
    <row r="197" spans="1:5" x14ac:dyDescent="0.25">
      <c r="A197" t="s">
        <v>2697</v>
      </c>
      <c r="B197" t="s">
        <v>2698</v>
      </c>
      <c r="C197" t="s">
        <v>3152</v>
      </c>
      <c r="D197" s="8">
        <v>1.65</v>
      </c>
      <c r="E197" t="s">
        <v>3170</v>
      </c>
    </row>
    <row r="198" spans="1:5" x14ac:dyDescent="0.25">
      <c r="A198" t="s">
        <v>2699</v>
      </c>
      <c r="B198" t="s">
        <v>2700</v>
      </c>
      <c r="C198" t="s">
        <v>3152</v>
      </c>
      <c r="D198" s="8">
        <v>2.2000000000000002</v>
      </c>
      <c r="E198" t="s">
        <v>3170</v>
      </c>
    </row>
    <row r="199" spans="1:5" x14ac:dyDescent="0.25">
      <c r="A199" t="s">
        <v>2701</v>
      </c>
      <c r="B199" t="s">
        <v>2702</v>
      </c>
      <c r="C199" t="s">
        <v>3152</v>
      </c>
      <c r="D199" s="8">
        <v>3.55</v>
      </c>
      <c r="E199" t="s">
        <v>3018</v>
      </c>
    </row>
    <row r="200" spans="1:5" x14ac:dyDescent="0.25">
      <c r="A200" t="s">
        <v>2703</v>
      </c>
      <c r="B200" t="s">
        <v>2704</v>
      </c>
      <c r="C200" t="s">
        <v>3152</v>
      </c>
      <c r="D200" s="8">
        <v>3.55</v>
      </c>
      <c r="E200" t="s">
        <v>3018</v>
      </c>
    </row>
    <row r="201" spans="1:5" x14ac:dyDescent="0.25">
      <c r="A201" t="s">
        <v>2705</v>
      </c>
      <c r="B201" t="s">
        <v>2706</v>
      </c>
      <c r="C201" t="s">
        <v>3152</v>
      </c>
      <c r="D201" s="8">
        <v>3.55</v>
      </c>
      <c r="E201" t="s">
        <v>3018</v>
      </c>
    </row>
    <row r="202" spans="1:5" x14ac:dyDescent="0.25">
      <c r="A202" t="s">
        <v>2707</v>
      </c>
      <c r="B202" t="s">
        <v>2708</v>
      </c>
      <c r="C202" t="s">
        <v>3152</v>
      </c>
      <c r="D202" s="8">
        <v>3.55</v>
      </c>
      <c r="E202" t="s">
        <v>3018</v>
      </c>
    </row>
    <row r="203" spans="1:5" x14ac:dyDescent="0.25">
      <c r="A203" t="s">
        <v>2709</v>
      </c>
      <c r="B203" t="s">
        <v>2710</v>
      </c>
      <c r="C203" t="s">
        <v>3152</v>
      </c>
      <c r="D203" s="8">
        <v>3.55</v>
      </c>
      <c r="E203" t="s">
        <v>3018</v>
      </c>
    </row>
    <row r="204" spans="1:5" x14ac:dyDescent="0.25">
      <c r="A204" t="s">
        <v>2711</v>
      </c>
      <c r="B204" t="s">
        <v>2712</v>
      </c>
      <c r="C204" t="s">
        <v>3152</v>
      </c>
      <c r="D204" s="8">
        <v>3.55</v>
      </c>
      <c r="E204" t="s">
        <v>3018</v>
      </c>
    </row>
    <row r="205" spans="1:5" x14ac:dyDescent="0.25">
      <c r="A205" t="s">
        <v>2713</v>
      </c>
      <c r="B205" t="s">
        <v>2714</v>
      </c>
      <c r="C205" t="s">
        <v>3152</v>
      </c>
      <c r="D205" s="8">
        <v>3.55</v>
      </c>
      <c r="E205" t="s">
        <v>3018</v>
      </c>
    </row>
    <row r="206" spans="1:5" x14ac:dyDescent="0.25">
      <c r="A206" t="s">
        <v>2715</v>
      </c>
      <c r="B206" t="s">
        <v>2716</v>
      </c>
      <c r="C206" t="s">
        <v>3152</v>
      </c>
      <c r="D206" s="8">
        <v>3.55</v>
      </c>
      <c r="E206" t="s">
        <v>3018</v>
      </c>
    </row>
    <row r="207" spans="1:5" x14ac:dyDescent="0.25">
      <c r="A207" t="s">
        <v>2717</v>
      </c>
      <c r="B207" t="s">
        <v>2718</v>
      </c>
      <c r="C207" t="s">
        <v>3152</v>
      </c>
      <c r="D207" s="8">
        <v>3.55</v>
      </c>
      <c r="E207" t="s">
        <v>3018</v>
      </c>
    </row>
    <row r="208" spans="1:5" x14ac:dyDescent="0.25">
      <c r="A208" t="s">
        <v>2719</v>
      </c>
      <c r="B208" t="s">
        <v>2720</v>
      </c>
      <c r="C208" t="s">
        <v>3152</v>
      </c>
      <c r="D208" s="8">
        <v>3.55</v>
      </c>
      <c r="E208" t="s">
        <v>3018</v>
      </c>
    </row>
    <row r="209" spans="1:5" x14ac:dyDescent="0.25">
      <c r="A209" t="s">
        <v>2721</v>
      </c>
      <c r="B209" t="s">
        <v>2722</v>
      </c>
      <c r="C209" t="s">
        <v>3152</v>
      </c>
      <c r="D209" s="8">
        <v>3.55</v>
      </c>
      <c r="E209" t="s">
        <v>3018</v>
      </c>
    </row>
    <row r="210" spans="1:5" x14ac:dyDescent="0.25">
      <c r="A210" t="s">
        <v>2723</v>
      </c>
      <c r="B210" t="s">
        <v>2724</v>
      </c>
      <c r="C210" t="s">
        <v>3152</v>
      </c>
      <c r="D210" s="8">
        <v>3.55</v>
      </c>
      <c r="E210" t="s">
        <v>3018</v>
      </c>
    </row>
    <row r="211" spans="1:5" x14ac:dyDescent="0.25">
      <c r="A211" t="s">
        <v>2725</v>
      </c>
      <c r="B211" t="s">
        <v>2726</v>
      </c>
      <c r="C211" t="s">
        <v>3152</v>
      </c>
      <c r="D211" s="8">
        <v>3.55</v>
      </c>
      <c r="E211" t="s">
        <v>3018</v>
      </c>
    </row>
    <row r="212" spans="1:5" x14ac:dyDescent="0.25">
      <c r="A212" t="s">
        <v>2727</v>
      </c>
      <c r="B212" t="s">
        <v>2728</v>
      </c>
      <c r="C212" t="s">
        <v>3152</v>
      </c>
      <c r="D212" s="8">
        <v>3.55</v>
      </c>
      <c r="E212" t="s">
        <v>3018</v>
      </c>
    </row>
    <row r="213" spans="1:5" x14ac:dyDescent="0.25">
      <c r="A213" t="s">
        <v>2729</v>
      </c>
      <c r="B213" t="s">
        <v>2730</v>
      </c>
      <c r="C213" t="s">
        <v>3152</v>
      </c>
      <c r="D213" s="8">
        <v>3.55</v>
      </c>
      <c r="E213" t="s">
        <v>3018</v>
      </c>
    </row>
    <row r="214" spans="1:5" x14ac:dyDescent="0.25">
      <c r="A214" t="s">
        <v>2731</v>
      </c>
      <c r="B214" t="s">
        <v>2732</v>
      </c>
      <c r="C214" t="s">
        <v>3152</v>
      </c>
      <c r="D214" s="8">
        <v>3.55</v>
      </c>
      <c r="E214" t="s">
        <v>3018</v>
      </c>
    </row>
    <row r="215" spans="1:5" x14ac:dyDescent="0.25">
      <c r="A215" t="s">
        <v>2733</v>
      </c>
      <c r="B215" t="s">
        <v>2734</v>
      </c>
      <c r="C215" t="s">
        <v>3152</v>
      </c>
      <c r="D215" s="8">
        <v>3.55</v>
      </c>
      <c r="E215" t="s">
        <v>3018</v>
      </c>
    </row>
    <row r="216" spans="1:5" x14ac:dyDescent="0.25">
      <c r="A216" t="s">
        <v>2735</v>
      </c>
      <c r="B216" t="s">
        <v>2736</v>
      </c>
      <c r="C216" t="s">
        <v>3152</v>
      </c>
      <c r="D216" s="8">
        <v>3.55</v>
      </c>
      <c r="E216" t="s">
        <v>3018</v>
      </c>
    </row>
    <row r="217" spans="1:5" x14ac:dyDescent="0.25">
      <c r="A217" t="s">
        <v>2737</v>
      </c>
      <c r="B217" t="s">
        <v>2738</v>
      </c>
      <c r="C217" t="s">
        <v>3152</v>
      </c>
      <c r="D217" s="8">
        <v>3.55</v>
      </c>
      <c r="E217" t="s">
        <v>3018</v>
      </c>
    </row>
    <row r="218" spans="1:5" x14ac:dyDescent="0.25">
      <c r="A218" t="s">
        <v>2739</v>
      </c>
      <c r="B218" t="s">
        <v>2740</v>
      </c>
      <c r="C218" t="s">
        <v>3152</v>
      </c>
      <c r="D218" s="8">
        <v>3.55</v>
      </c>
      <c r="E218" t="s">
        <v>3018</v>
      </c>
    </row>
    <row r="219" spans="1:5" x14ac:dyDescent="0.25">
      <c r="A219" t="s">
        <v>2741</v>
      </c>
      <c r="B219" t="s">
        <v>2742</v>
      </c>
      <c r="C219" t="s">
        <v>3152</v>
      </c>
      <c r="D219" s="8">
        <v>3.55</v>
      </c>
      <c r="E219" t="s">
        <v>3018</v>
      </c>
    </row>
    <row r="220" spans="1:5" x14ac:dyDescent="0.25">
      <c r="A220" t="s">
        <v>2743</v>
      </c>
      <c r="B220" t="s">
        <v>2744</v>
      </c>
      <c r="C220" t="s">
        <v>3152</v>
      </c>
      <c r="D220" s="8">
        <v>3.55</v>
      </c>
      <c r="E220" t="s">
        <v>3018</v>
      </c>
    </row>
    <row r="221" spans="1:5" x14ac:dyDescent="0.25">
      <c r="A221" t="s">
        <v>1728</v>
      </c>
      <c r="B221" t="s">
        <v>1729</v>
      </c>
      <c r="C221" t="s">
        <v>3152</v>
      </c>
      <c r="D221" s="8">
        <v>19.8</v>
      </c>
      <c r="E221" t="s">
        <v>3173</v>
      </c>
    </row>
    <row r="222" spans="1:5" x14ac:dyDescent="0.25">
      <c r="A222" t="s">
        <v>1737</v>
      </c>
      <c r="B222" t="s">
        <v>1738</v>
      </c>
      <c r="C222" t="s">
        <v>3152</v>
      </c>
      <c r="D222" s="8">
        <v>10.050000000000001</v>
      </c>
      <c r="E222" t="s">
        <v>3173</v>
      </c>
    </row>
    <row r="223" spans="1:5" x14ac:dyDescent="0.25">
      <c r="A223" t="s">
        <v>1731</v>
      </c>
      <c r="B223" t="s">
        <v>1732</v>
      </c>
      <c r="C223" t="s">
        <v>3152</v>
      </c>
      <c r="D223" s="8">
        <v>3.55</v>
      </c>
      <c r="E223" t="s">
        <v>3173</v>
      </c>
    </row>
    <row r="224" spans="1:5" x14ac:dyDescent="0.25">
      <c r="A224" t="s">
        <v>1199</v>
      </c>
      <c r="B224" t="s">
        <v>1200</v>
      </c>
      <c r="C224" t="s">
        <v>3152</v>
      </c>
      <c r="D224" s="8">
        <v>20.65</v>
      </c>
      <c r="E224" t="s">
        <v>3174</v>
      </c>
    </row>
    <row r="225" spans="1:5" x14ac:dyDescent="0.25">
      <c r="A225" t="s">
        <v>2751</v>
      </c>
      <c r="B225" t="s">
        <v>2752</v>
      </c>
      <c r="C225" t="s">
        <v>3152</v>
      </c>
      <c r="D225" s="8">
        <v>14.75</v>
      </c>
      <c r="E225" t="s">
        <v>3174</v>
      </c>
    </row>
    <row r="226" spans="1:5" x14ac:dyDescent="0.25">
      <c r="A226" t="s">
        <v>1366</v>
      </c>
      <c r="B226" t="s">
        <v>1367</v>
      </c>
      <c r="C226" t="s">
        <v>3152</v>
      </c>
      <c r="D226" s="8">
        <v>10.050000000000001</v>
      </c>
      <c r="E226" t="s">
        <v>3020</v>
      </c>
    </row>
    <row r="227" spans="1:5" x14ac:dyDescent="0.25">
      <c r="A227" t="s">
        <v>1362</v>
      </c>
      <c r="B227" t="s">
        <v>1363</v>
      </c>
      <c r="C227" t="s">
        <v>3152</v>
      </c>
      <c r="D227" s="8">
        <v>8.5500000000000007</v>
      </c>
      <c r="E227" t="s">
        <v>3020</v>
      </c>
    </row>
    <row r="228" spans="1:5" x14ac:dyDescent="0.25">
      <c r="A228" t="s">
        <v>2761</v>
      </c>
      <c r="B228" t="s">
        <v>2762</v>
      </c>
      <c r="C228" t="s">
        <v>3152</v>
      </c>
      <c r="D228" s="8">
        <v>8.5500000000000007</v>
      </c>
      <c r="E228" t="s">
        <v>3020</v>
      </c>
    </row>
    <row r="229" spans="1:5" x14ac:dyDescent="0.25">
      <c r="A229" t="s">
        <v>2763</v>
      </c>
      <c r="B229" t="s">
        <v>2764</v>
      </c>
      <c r="C229" t="s">
        <v>3152</v>
      </c>
      <c r="D229" s="8">
        <v>8.5500000000000007</v>
      </c>
      <c r="E229" t="s">
        <v>3020</v>
      </c>
    </row>
    <row r="230" spans="1:5" x14ac:dyDescent="0.25">
      <c r="A230" t="s">
        <v>2765</v>
      </c>
      <c r="B230" t="s">
        <v>2766</v>
      </c>
      <c r="C230" t="s">
        <v>3152</v>
      </c>
      <c r="D230" s="8">
        <v>8.5500000000000007</v>
      </c>
      <c r="E230" t="s">
        <v>3020</v>
      </c>
    </row>
    <row r="231" spans="1:5" x14ac:dyDescent="0.25">
      <c r="A231" t="s">
        <v>2767</v>
      </c>
      <c r="B231" t="s">
        <v>2768</v>
      </c>
      <c r="C231" t="s">
        <v>3152</v>
      </c>
      <c r="D231" s="8">
        <v>8.5500000000000007</v>
      </c>
      <c r="E231" t="s">
        <v>3020</v>
      </c>
    </row>
    <row r="232" spans="1:5" x14ac:dyDescent="0.25">
      <c r="A232" t="s">
        <v>2769</v>
      </c>
      <c r="B232" t="s">
        <v>2770</v>
      </c>
      <c r="C232" t="s">
        <v>3152</v>
      </c>
      <c r="D232" s="8">
        <v>8.5500000000000007</v>
      </c>
      <c r="E232" t="s">
        <v>3020</v>
      </c>
    </row>
    <row r="233" spans="1:5" x14ac:dyDescent="0.25">
      <c r="A233" t="s">
        <v>2771</v>
      </c>
      <c r="B233" t="s">
        <v>2772</v>
      </c>
      <c r="C233" t="s">
        <v>3152</v>
      </c>
      <c r="D233" s="8">
        <v>8.5500000000000007</v>
      </c>
      <c r="E233" t="s">
        <v>3020</v>
      </c>
    </row>
    <row r="234" spans="1:5" x14ac:dyDescent="0.25">
      <c r="A234" t="s">
        <v>1372</v>
      </c>
      <c r="B234" t="s">
        <v>1373</v>
      </c>
      <c r="C234" t="s">
        <v>3152</v>
      </c>
      <c r="D234" s="8">
        <v>14.45</v>
      </c>
      <c r="E234" t="s">
        <v>3020</v>
      </c>
    </row>
    <row r="235" spans="1:5" x14ac:dyDescent="0.25">
      <c r="A235" t="s">
        <v>2773</v>
      </c>
      <c r="B235" t="s">
        <v>2774</v>
      </c>
      <c r="C235" t="s">
        <v>3152</v>
      </c>
      <c r="D235" s="8">
        <v>9.5</v>
      </c>
      <c r="E235" t="s">
        <v>3020</v>
      </c>
    </row>
    <row r="236" spans="1:5" x14ac:dyDescent="0.25">
      <c r="A236" t="s">
        <v>3175</v>
      </c>
      <c r="B236" t="s">
        <v>3176</v>
      </c>
      <c r="C236" t="s">
        <v>3152</v>
      </c>
      <c r="D236" s="8">
        <v>9.5</v>
      </c>
      <c r="E236" t="s">
        <v>3020</v>
      </c>
    </row>
    <row r="237" spans="1:5" x14ac:dyDescent="0.25">
      <c r="A237" t="s">
        <v>2775</v>
      </c>
      <c r="B237" t="s">
        <v>2776</v>
      </c>
      <c r="C237" t="s">
        <v>3152</v>
      </c>
      <c r="D237" s="8">
        <v>9.5</v>
      </c>
      <c r="E237" t="s">
        <v>3020</v>
      </c>
    </row>
    <row r="238" spans="1:5" x14ac:dyDescent="0.25">
      <c r="A238" t="s">
        <v>2777</v>
      </c>
      <c r="B238" t="s">
        <v>2778</v>
      </c>
      <c r="C238" t="s">
        <v>3152</v>
      </c>
      <c r="D238" s="8">
        <v>9.5</v>
      </c>
      <c r="E238" t="s">
        <v>3020</v>
      </c>
    </row>
    <row r="239" spans="1:5" x14ac:dyDescent="0.25">
      <c r="A239" t="s">
        <v>2779</v>
      </c>
      <c r="B239" t="s">
        <v>2780</v>
      </c>
      <c r="C239" t="s">
        <v>3152</v>
      </c>
      <c r="D239" s="8">
        <v>14.45</v>
      </c>
      <c r="E239" t="s">
        <v>3020</v>
      </c>
    </row>
    <row r="240" spans="1:5" x14ac:dyDescent="0.25">
      <c r="A240" t="s">
        <v>2781</v>
      </c>
      <c r="B240" t="s">
        <v>2782</v>
      </c>
      <c r="C240" t="s">
        <v>3152</v>
      </c>
      <c r="D240" s="8">
        <v>10.050000000000001</v>
      </c>
      <c r="E240" t="s">
        <v>3020</v>
      </c>
    </row>
    <row r="241" spans="1:5" x14ac:dyDescent="0.25">
      <c r="A241" t="s">
        <v>2783</v>
      </c>
      <c r="B241" t="s">
        <v>2784</v>
      </c>
      <c r="C241" t="s">
        <v>3152</v>
      </c>
      <c r="D241" s="8">
        <v>9.5</v>
      </c>
      <c r="E241" t="s">
        <v>3020</v>
      </c>
    </row>
    <row r="242" spans="1:5" x14ac:dyDescent="0.25">
      <c r="A242" t="s">
        <v>2785</v>
      </c>
      <c r="B242" t="s">
        <v>2786</v>
      </c>
      <c r="C242" t="s">
        <v>3152</v>
      </c>
      <c r="D242" s="8">
        <v>9.5</v>
      </c>
      <c r="E242" t="s">
        <v>3020</v>
      </c>
    </row>
    <row r="243" spans="1:5" x14ac:dyDescent="0.25">
      <c r="A243" t="s">
        <v>2787</v>
      </c>
      <c r="B243" t="s">
        <v>2788</v>
      </c>
      <c r="C243" t="s">
        <v>3152</v>
      </c>
      <c r="D243" s="8">
        <v>9.5</v>
      </c>
      <c r="E243" t="s">
        <v>3020</v>
      </c>
    </row>
    <row r="244" spans="1:5" x14ac:dyDescent="0.25">
      <c r="A244" t="s">
        <v>2789</v>
      </c>
      <c r="B244" t="s">
        <v>2790</v>
      </c>
      <c r="C244" t="s">
        <v>3152</v>
      </c>
      <c r="D244" s="8">
        <v>10.3</v>
      </c>
      <c r="E244" t="s">
        <v>3020</v>
      </c>
    </row>
    <row r="245" spans="1:5" x14ac:dyDescent="0.25">
      <c r="A245" t="s">
        <v>2791</v>
      </c>
      <c r="B245" t="s">
        <v>2792</v>
      </c>
      <c r="C245" t="s">
        <v>3152</v>
      </c>
      <c r="D245" s="8">
        <v>20.6</v>
      </c>
      <c r="E245" t="s">
        <v>3020</v>
      </c>
    </row>
    <row r="246" spans="1:5" x14ac:dyDescent="0.25">
      <c r="A246" t="s">
        <v>2793</v>
      </c>
      <c r="B246" t="s">
        <v>2794</v>
      </c>
      <c r="C246" t="s">
        <v>3152</v>
      </c>
      <c r="D246" s="8">
        <v>20.6</v>
      </c>
      <c r="E246" t="s">
        <v>3020</v>
      </c>
    </row>
    <row r="247" spans="1:5" x14ac:dyDescent="0.25">
      <c r="A247" t="s">
        <v>1999</v>
      </c>
      <c r="B247" t="s">
        <v>2000</v>
      </c>
      <c r="C247" t="s">
        <v>3152</v>
      </c>
      <c r="D247" s="8">
        <v>17.399999999999999</v>
      </c>
      <c r="E247" t="s">
        <v>3177</v>
      </c>
    </row>
    <row r="248" spans="1:5" x14ac:dyDescent="0.25">
      <c r="A248" t="s">
        <v>2795</v>
      </c>
      <c r="B248" t="s">
        <v>2796</v>
      </c>
      <c r="C248" t="s">
        <v>3152</v>
      </c>
      <c r="D248" s="8">
        <v>17.399999999999999</v>
      </c>
      <c r="E248" t="s">
        <v>3177</v>
      </c>
    </row>
    <row r="249" spans="1:5" x14ac:dyDescent="0.25">
      <c r="A249" t="s">
        <v>2797</v>
      </c>
      <c r="B249" t="s">
        <v>2798</v>
      </c>
      <c r="C249" t="s">
        <v>3152</v>
      </c>
      <c r="D249" s="8">
        <v>17.399999999999999</v>
      </c>
      <c r="E249" t="s">
        <v>3177</v>
      </c>
    </row>
    <row r="250" spans="1:5" x14ac:dyDescent="0.25">
      <c r="A250" t="s">
        <v>1948</v>
      </c>
      <c r="B250" t="s">
        <v>1949</v>
      </c>
      <c r="C250" t="s">
        <v>3152</v>
      </c>
      <c r="D250" s="8">
        <v>5.35</v>
      </c>
      <c r="E250" t="s">
        <v>3022</v>
      </c>
    </row>
    <row r="251" spans="1:5" x14ac:dyDescent="0.25">
      <c r="A251" t="s">
        <v>1942</v>
      </c>
      <c r="B251" t="s">
        <v>1943</v>
      </c>
      <c r="C251" t="s">
        <v>3152</v>
      </c>
      <c r="D251" s="8">
        <v>5.6</v>
      </c>
      <c r="E251" t="s">
        <v>3022</v>
      </c>
    </row>
    <row r="252" spans="1:5" x14ac:dyDescent="0.25">
      <c r="A252" t="s">
        <v>2809</v>
      </c>
      <c r="B252" t="s">
        <v>2810</v>
      </c>
      <c r="C252" t="s">
        <v>3152</v>
      </c>
      <c r="D252" s="8">
        <v>5.35</v>
      </c>
      <c r="E252" t="s">
        <v>3022</v>
      </c>
    </row>
    <row r="253" spans="1:5" x14ac:dyDescent="0.25">
      <c r="A253" t="s">
        <v>1945</v>
      </c>
      <c r="B253" t="s">
        <v>1946</v>
      </c>
      <c r="C253" t="s">
        <v>3152</v>
      </c>
      <c r="D253" s="8">
        <v>14</v>
      </c>
      <c r="E253" t="s">
        <v>3022</v>
      </c>
    </row>
    <row r="254" spans="1:5" x14ac:dyDescent="0.25">
      <c r="A254" t="s">
        <v>2811</v>
      </c>
      <c r="B254" t="s">
        <v>2812</v>
      </c>
      <c r="C254" t="s">
        <v>3152</v>
      </c>
      <c r="D254" s="8">
        <v>14</v>
      </c>
      <c r="E254" t="s">
        <v>3022</v>
      </c>
    </row>
    <row r="255" spans="1:5" x14ac:dyDescent="0.25">
      <c r="A255" t="s">
        <v>2813</v>
      </c>
      <c r="B255" t="s">
        <v>2814</v>
      </c>
      <c r="C255" t="s">
        <v>3152</v>
      </c>
      <c r="D255" s="8">
        <v>4.1500000000000004</v>
      </c>
      <c r="E255" t="s">
        <v>3022</v>
      </c>
    </row>
    <row r="256" spans="1:5" x14ac:dyDescent="0.25">
      <c r="A256" t="s">
        <v>2815</v>
      </c>
      <c r="B256" t="s">
        <v>2816</v>
      </c>
      <c r="C256" t="s">
        <v>3152</v>
      </c>
      <c r="D256" s="8">
        <v>9.0500000000000007</v>
      </c>
      <c r="E256" t="s">
        <v>3022</v>
      </c>
    </row>
    <row r="257" spans="1:5" x14ac:dyDescent="0.25">
      <c r="A257" t="s">
        <v>1950</v>
      </c>
      <c r="B257" t="s">
        <v>1951</v>
      </c>
      <c r="C257" t="s">
        <v>3152</v>
      </c>
      <c r="D257" s="8">
        <v>23.9</v>
      </c>
      <c r="E257" t="s">
        <v>3022</v>
      </c>
    </row>
    <row r="258" spans="1:5" x14ac:dyDescent="0.25">
      <c r="A258" t="s">
        <v>2817</v>
      </c>
      <c r="B258" t="s">
        <v>2818</v>
      </c>
      <c r="C258" t="s">
        <v>3152</v>
      </c>
      <c r="D258" s="8">
        <v>3.55</v>
      </c>
      <c r="E258" t="s">
        <v>3178</v>
      </c>
    </row>
    <row r="259" spans="1:5" x14ac:dyDescent="0.25">
      <c r="A259" t="s">
        <v>2819</v>
      </c>
      <c r="B259" t="s">
        <v>2820</v>
      </c>
      <c r="C259" t="s">
        <v>3152</v>
      </c>
      <c r="D259" s="8">
        <v>47.8</v>
      </c>
      <c r="E259" t="s">
        <v>3178</v>
      </c>
    </row>
    <row r="260" spans="1:5" x14ac:dyDescent="0.25">
      <c r="A260" t="s">
        <v>2821</v>
      </c>
      <c r="B260" t="s">
        <v>2822</v>
      </c>
      <c r="C260" t="s">
        <v>3152</v>
      </c>
      <c r="D260" s="8">
        <v>153.25</v>
      </c>
      <c r="E260" t="s">
        <v>3178</v>
      </c>
    </row>
    <row r="261" spans="1:5" x14ac:dyDescent="0.25">
      <c r="A261" t="s">
        <v>2823</v>
      </c>
      <c r="B261" t="s">
        <v>2824</v>
      </c>
      <c r="C261" t="s">
        <v>3152</v>
      </c>
      <c r="D261" s="8">
        <v>19.8</v>
      </c>
      <c r="E261" t="s">
        <v>3178</v>
      </c>
    </row>
    <row r="262" spans="1:5" x14ac:dyDescent="0.25">
      <c r="A262" t="s">
        <v>2825</v>
      </c>
      <c r="B262" t="s">
        <v>2826</v>
      </c>
      <c r="C262" t="s">
        <v>3152</v>
      </c>
      <c r="D262" s="8">
        <v>47.8</v>
      </c>
      <c r="E262" t="s">
        <v>3178</v>
      </c>
    </row>
    <row r="263" spans="1:5" x14ac:dyDescent="0.25">
      <c r="A263" t="s">
        <v>2827</v>
      </c>
      <c r="B263" t="s">
        <v>2828</v>
      </c>
      <c r="C263" t="s">
        <v>3152</v>
      </c>
      <c r="D263" s="8">
        <v>67.849999999999994</v>
      </c>
      <c r="E263" t="s">
        <v>3178</v>
      </c>
    </row>
    <row r="264" spans="1:5" x14ac:dyDescent="0.25">
      <c r="A264" t="s">
        <v>2829</v>
      </c>
      <c r="B264" t="s">
        <v>2830</v>
      </c>
      <c r="C264" t="s">
        <v>3152</v>
      </c>
      <c r="D264" s="8">
        <v>73.7</v>
      </c>
      <c r="E264" t="s">
        <v>3178</v>
      </c>
    </row>
    <row r="265" spans="1:5" x14ac:dyDescent="0.25">
      <c r="A265" t="s">
        <v>2831</v>
      </c>
      <c r="B265" t="s">
        <v>2832</v>
      </c>
      <c r="C265" t="s">
        <v>3152</v>
      </c>
      <c r="D265" s="8">
        <v>33.049999999999997</v>
      </c>
      <c r="E265" t="s">
        <v>3178</v>
      </c>
    </row>
    <row r="266" spans="1:5" x14ac:dyDescent="0.25">
      <c r="A266" t="s">
        <v>2298</v>
      </c>
      <c r="B266" t="s">
        <v>2299</v>
      </c>
      <c r="C266" t="s">
        <v>3152</v>
      </c>
      <c r="D266" s="8">
        <v>11.55</v>
      </c>
      <c r="E266" t="s">
        <v>3178</v>
      </c>
    </row>
    <row r="267" spans="1:5" x14ac:dyDescent="0.25">
      <c r="A267" t="s">
        <v>2833</v>
      </c>
      <c r="B267" t="s">
        <v>2834</v>
      </c>
      <c r="C267" t="s">
        <v>3152</v>
      </c>
      <c r="D267" s="8">
        <v>6.25</v>
      </c>
      <c r="E267" t="s">
        <v>3178</v>
      </c>
    </row>
    <row r="268" spans="1:5" x14ac:dyDescent="0.25">
      <c r="A268" t="s">
        <v>2835</v>
      </c>
      <c r="B268" t="s">
        <v>2836</v>
      </c>
      <c r="C268" t="s">
        <v>3152</v>
      </c>
      <c r="D268" s="8">
        <v>6.25</v>
      </c>
      <c r="E268" t="s">
        <v>3178</v>
      </c>
    </row>
    <row r="269" spans="1:5" x14ac:dyDescent="0.25">
      <c r="A269" t="s">
        <v>2837</v>
      </c>
      <c r="B269" t="s">
        <v>2838</v>
      </c>
      <c r="C269" t="s">
        <v>3152</v>
      </c>
      <c r="D269" s="8">
        <v>6.25</v>
      </c>
      <c r="E269" t="s">
        <v>3178</v>
      </c>
    </row>
    <row r="270" spans="1:5" x14ac:dyDescent="0.25">
      <c r="A270" t="s">
        <v>2839</v>
      </c>
      <c r="B270" t="s">
        <v>2840</v>
      </c>
      <c r="C270" t="s">
        <v>3152</v>
      </c>
      <c r="D270" s="8">
        <v>33.049999999999997</v>
      </c>
      <c r="E270" t="s">
        <v>3178</v>
      </c>
    </row>
    <row r="271" spans="1:5" x14ac:dyDescent="0.25">
      <c r="A271" t="s">
        <v>2841</v>
      </c>
      <c r="B271" t="s">
        <v>2842</v>
      </c>
      <c r="C271" t="s">
        <v>3152</v>
      </c>
      <c r="D271" s="8">
        <v>41</v>
      </c>
      <c r="E271" t="s">
        <v>3179</v>
      </c>
    </row>
    <row r="272" spans="1:5" x14ac:dyDescent="0.25">
      <c r="A272" t="s">
        <v>2401</v>
      </c>
      <c r="B272" t="s">
        <v>2402</v>
      </c>
      <c r="C272" t="s">
        <v>3152</v>
      </c>
      <c r="D272" s="8">
        <v>18.600000000000001</v>
      </c>
      <c r="E272" t="s">
        <v>3179</v>
      </c>
    </row>
    <row r="273" spans="1:5" x14ac:dyDescent="0.25">
      <c r="A273" t="s">
        <v>2844</v>
      </c>
      <c r="B273" t="s">
        <v>2845</v>
      </c>
      <c r="C273" t="s">
        <v>3152</v>
      </c>
      <c r="D273" s="8">
        <v>6.5</v>
      </c>
      <c r="E273" t="s">
        <v>3179</v>
      </c>
    </row>
    <row r="274" spans="1:5" x14ac:dyDescent="0.25">
      <c r="A274" t="s">
        <v>2846</v>
      </c>
      <c r="B274" t="s">
        <v>2847</v>
      </c>
      <c r="C274" t="s">
        <v>3152</v>
      </c>
      <c r="D274" s="8">
        <v>10.050000000000001</v>
      </c>
      <c r="E274" t="s">
        <v>3179</v>
      </c>
    </row>
    <row r="275" spans="1:5" x14ac:dyDescent="0.25">
      <c r="A275" t="s">
        <v>2848</v>
      </c>
      <c r="B275" t="s">
        <v>2849</v>
      </c>
      <c r="C275" t="s">
        <v>3152</v>
      </c>
      <c r="D275" s="8">
        <v>22.75</v>
      </c>
      <c r="E275" t="s">
        <v>3179</v>
      </c>
    </row>
    <row r="276" spans="1:5" x14ac:dyDescent="0.25">
      <c r="A276" t="s">
        <v>2850</v>
      </c>
      <c r="B276" t="s">
        <v>2851</v>
      </c>
      <c r="C276" t="s">
        <v>3152</v>
      </c>
      <c r="D276" s="8">
        <v>23</v>
      </c>
      <c r="E276" t="s">
        <v>3179</v>
      </c>
    </row>
    <row r="277" spans="1:5" x14ac:dyDescent="0.25">
      <c r="A277" t="s">
        <v>2405</v>
      </c>
      <c r="B277" t="s">
        <v>2406</v>
      </c>
      <c r="C277" t="s">
        <v>3152</v>
      </c>
      <c r="D277" s="8">
        <v>15.95</v>
      </c>
      <c r="E277" t="s">
        <v>3180</v>
      </c>
    </row>
    <row r="278" spans="1:5" x14ac:dyDescent="0.25">
      <c r="A278" t="s">
        <v>2407</v>
      </c>
      <c r="B278" t="s">
        <v>2408</v>
      </c>
      <c r="C278" t="s">
        <v>3152</v>
      </c>
      <c r="D278" s="8">
        <v>7.4</v>
      </c>
      <c r="E278" t="s">
        <v>3180</v>
      </c>
    </row>
    <row r="279" spans="1:5" x14ac:dyDescent="0.25">
      <c r="A279" t="s">
        <v>2852</v>
      </c>
      <c r="B279" t="s">
        <v>2853</v>
      </c>
      <c r="C279" t="s">
        <v>3152</v>
      </c>
      <c r="D279" s="8">
        <v>7.4</v>
      </c>
      <c r="E279" t="s">
        <v>3180</v>
      </c>
    </row>
    <row r="280" spans="1:5" x14ac:dyDescent="0.25">
      <c r="A280" t="s">
        <v>2854</v>
      </c>
      <c r="B280" t="s">
        <v>2855</v>
      </c>
      <c r="C280" t="s">
        <v>3152</v>
      </c>
      <c r="D280" s="8">
        <v>7.4</v>
      </c>
      <c r="E280" t="s">
        <v>3180</v>
      </c>
    </row>
    <row r="281" spans="1:5" x14ac:dyDescent="0.25">
      <c r="A281" t="s">
        <v>2856</v>
      </c>
      <c r="B281" t="s">
        <v>2857</v>
      </c>
      <c r="C281" t="s">
        <v>3152</v>
      </c>
      <c r="D281" s="8">
        <v>7.4</v>
      </c>
      <c r="E281" t="s">
        <v>3180</v>
      </c>
    </row>
    <row r="282" spans="1:5" x14ac:dyDescent="0.25">
      <c r="A282" t="s">
        <v>2858</v>
      </c>
      <c r="B282" t="s">
        <v>2859</v>
      </c>
      <c r="C282" t="s">
        <v>3152</v>
      </c>
      <c r="D282" s="8">
        <v>7.4</v>
      </c>
      <c r="E282" t="s">
        <v>3180</v>
      </c>
    </row>
    <row r="283" spans="1:5" x14ac:dyDescent="0.25">
      <c r="A283" t="s">
        <v>2410</v>
      </c>
      <c r="B283" t="s">
        <v>2411</v>
      </c>
      <c r="C283" t="s">
        <v>3152</v>
      </c>
      <c r="D283" s="8">
        <v>12.65</v>
      </c>
      <c r="E283" t="s">
        <v>3180</v>
      </c>
    </row>
    <row r="284" spans="1:5" x14ac:dyDescent="0.25">
      <c r="A284" t="s">
        <v>2860</v>
      </c>
      <c r="B284" t="s">
        <v>2861</v>
      </c>
      <c r="C284" t="s">
        <v>3152</v>
      </c>
      <c r="D284" s="8">
        <v>12.65</v>
      </c>
      <c r="E284" t="s">
        <v>3180</v>
      </c>
    </row>
    <row r="285" spans="1:5" x14ac:dyDescent="0.25">
      <c r="A285" t="s">
        <v>2862</v>
      </c>
      <c r="B285" t="s">
        <v>2863</v>
      </c>
      <c r="C285" t="s">
        <v>3152</v>
      </c>
      <c r="D285" s="8">
        <v>12.65</v>
      </c>
      <c r="E285" t="s">
        <v>3180</v>
      </c>
    </row>
    <row r="286" spans="1:5" x14ac:dyDescent="0.25">
      <c r="A286" t="s">
        <v>2864</v>
      </c>
      <c r="B286" t="s">
        <v>2865</v>
      </c>
      <c r="C286" t="s">
        <v>3152</v>
      </c>
      <c r="D286" s="8">
        <v>12.65</v>
      </c>
      <c r="E286" t="s">
        <v>3180</v>
      </c>
    </row>
    <row r="287" spans="1:5" x14ac:dyDescent="0.25">
      <c r="A287" t="s">
        <v>2866</v>
      </c>
      <c r="B287" t="s">
        <v>2867</v>
      </c>
      <c r="C287" t="s">
        <v>3152</v>
      </c>
      <c r="D287" s="8">
        <v>12.65</v>
      </c>
      <c r="E287" t="s">
        <v>3180</v>
      </c>
    </row>
    <row r="288" spans="1:5" x14ac:dyDescent="0.25">
      <c r="A288" t="s">
        <v>2413</v>
      </c>
      <c r="B288" t="s">
        <v>2414</v>
      </c>
      <c r="C288" t="s">
        <v>3152</v>
      </c>
      <c r="D288" s="8">
        <v>2.7</v>
      </c>
      <c r="E288" t="s">
        <v>3180</v>
      </c>
    </row>
    <row r="289" spans="1:5" x14ac:dyDescent="0.25">
      <c r="A289" t="s">
        <v>1847</v>
      </c>
      <c r="B289" t="s">
        <v>1848</v>
      </c>
      <c r="C289" t="s">
        <v>3152</v>
      </c>
      <c r="D289" s="8">
        <v>12.65</v>
      </c>
      <c r="E289" t="s">
        <v>3181</v>
      </c>
    </row>
    <row r="290" spans="1:5" x14ac:dyDescent="0.25">
      <c r="A290" t="s">
        <v>1844</v>
      </c>
      <c r="B290" t="s">
        <v>1845</v>
      </c>
      <c r="C290" t="s">
        <v>3152</v>
      </c>
      <c r="D290" s="8">
        <v>12.65</v>
      </c>
      <c r="E290" t="s">
        <v>3181</v>
      </c>
    </row>
    <row r="291" spans="1:5" x14ac:dyDescent="0.25">
      <c r="A291" t="s">
        <v>2868</v>
      </c>
      <c r="B291" t="s">
        <v>2869</v>
      </c>
      <c r="C291" t="s">
        <v>3152</v>
      </c>
      <c r="D291" s="8">
        <v>12.65</v>
      </c>
      <c r="E291" t="s">
        <v>3181</v>
      </c>
    </row>
    <row r="292" spans="1:5" x14ac:dyDescent="0.25">
      <c r="A292" t="s">
        <v>2870</v>
      </c>
      <c r="B292" t="s">
        <v>2871</v>
      </c>
      <c r="C292" t="s">
        <v>3152</v>
      </c>
      <c r="D292" s="8">
        <v>12.65</v>
      </c>
      <c r="E292" t="s">
        <v>3181</v>
      </c>
    </row>
    <row r="293" spans="1:5" x14ac:dyDescent="0.25">
      <c r="A293" t="s">
        <v>1849</v>
      </c>
      <c r="B293" t="s">
        <v>1850</v>
      </c>
      <c r="C293" t="s">
        <v>3152</v>
      </c>
      <c r="D293" s="8">
        <v>6.5</v>
      </c>
      <c r="E293" t="s">
        <v>3181</v>
      </c>
    </row>
    <row r="294" spans="1:5" x14ac:dyDescent="0.25">
      <c r="A294" t="s">
        <v>2872</v>
      </c>
      <c r="B294" t="s">
        <v>2873</v>
      </c>
      <c r="C294" t="s">
        <v>3152</v>
      </c>
      <c r="D294" s="8">
        <v>6.5</v>
      </c>
      <c r="E294" t="s">
        <v>3181</v>
      </c>
    </row>
    <row r="295" spans="1:5" x14ac:dyDescent="0.25">
      <c r="A295" t="s">
        <v>1851</v>
      </c>
      <c r="B295" t="s">
        <v>1852</v>
      </c>
      <c r="C295" t="s">
        <v>3152</v>
      </c>
      <c r="D295" s="8">
        <v>4.1500000000000004</v>
      </c>
      <c r="E295" t="s">
        <v>3181</v>
      </c>
    </row>
    <row r="296" spans="1:5" x14ac:dyDescent="0.25">
      <c r="A296" t="s">
        <v>2874</v>
      </c>
      <c r="B296" t="s">
        <v>2875</v>
      </c>
      <c r="C296" t="s">
        <v>3152</v>
      </c>
      <c r="D296" s="8">
        <v>4.1500000000000004</v>
      </c>
      <c r="E296" t="s">
        <v>3181</v>
      </c>
    </row>
    <row r="297" spans="1:5" x14ac:dyDescent="0.25">
      <c r="A297" t="s">
        <v>2876</v>
      </c>
      <c r="B297" t="s">
        <v>2877</v>
      </c>
      <c r="C297" t="s">
        <v>3152</v>
      </c>
      <c r="D297" s="8">
        <v>4.1500000000000004</v>
      </c>
      <c r="E297" t="s">
        <v>3181</v>
      </c>
    </row>
    <row r="298" spans="1:5" x14ac:dyDescent="0.25">
      <c r="A298" t="s">
        <v>2878</v>
      </c>
      <c r="B298" t="s">
        <v>2879</v>
      </c>
      <c r="C298" t="s">
        <v>3152</v>
      </c>
      <c r="D298" s="8">
        <v>4.1500000000000004</v>
      </c>
      <c r="E298" t="s">
        <v>3181</v>
      </c>
    </row>
    <row r="299" spans="1:5" x14ac:dyDescent="0.25">
      <c r="A299" t="s">
        <v>1839</v>
      </c>
      <c r="B299" t="s">
        <v>1840</v>
      </c>
      <c r="C299" t="s">
        <v>3152</v>
      </c>
      <c r="D299" s="8">
        <v>14.45</v>
      </c>
      <c r="E299" t="s">
        <v>3181</v>
      </c>
    </row>
    <row r="300" spans="1:5" x14ac:dyDescent="0.25">
      <c r="A300" t="s">
        <v>1854</v>
      </c>
      <c r="B300" t="s">
        <v>1855</v>
      </c>
      <c r="C300" t="s">
        <v>3152</v>
      </c>
      <c r="D300" s="8">
        <v>13.9</v>
      </c>
      <c r="E300" t="s">
        <v>3181</v>
      </c>
    </row>
    <row r="301" spans="1:5" x14ac:dyDescent="0.25">
      <c r="A301" t="s">
        <v>2880</v>
      </c>
      <c r="B301" t="s">
        <v>2881</v>
      </c>
      <c r="C301" t="s">
        <v>3152</v>
      </c>
      <c r="D301" s="8">
        <v>13.9</v>
      </c>
      <c r="E301" t="s">
        <v>3181</v>
      </c>
    </row>
    <row r="302" spans="1:5" x14ac:dyDescent="0.25">
      <c r="A302" t="s">
        <v>1857</v>
      </c>
      <c r="B302" t="s">
        <v>1858</v>
      </c>
      <c r="C302" t="s">
        <v>3152</v>
      </c>
      <c r="D302" s="8">
        <v>18.600000000000001</v>
      </c>
      <c r="E302" t="s">
        <v>3181</v>
      </c>
    </row>
    <row r="303" spans="1:5" x14ac:dyDescent="0.25">
      <c r="A303" t="s">
        <v>1842</v>
      </c>
      <c r="B303" t="s">
        <v>1843</v>
      </c>
      <c r="C303" t="s">
        <v>3152</v>
      </c>
      <c r="D303" s="8">
        <v>13.9</v>
      </c>
      <c r="E303" t="s">
        <v>3181</v>
      </c>
    </row>
    <row r="304" spans="1:5" x14ac:dyDescent="0.25">
      <c r="A304" t="s">
        <v>1786</v>
      </c>
      <c r="B304" t="s">
        <v>1787</v>
      </c>
      <c r="C304" t="s">
        <v>3152</v>
      </c>
      <c r="D304" s="8">
        <v>31.9</v>
      </c>
      <c r="E304" t="s">
        <v>3182</v>
      </c>
    </row>
    <row r="305" spans="1:5" x14ac:dyDescent="0.25">
      <c r="A305" t="s">
        <v>2882</v>
      </c>
      <c r="B305" t="s">
        <v>2883</v>
      </c>
      <c r="C305" t="s">
        <v>3152</v>
      </c>
      <c r="D305" s="8">
        <v>49.3</v>
      </c>
      <c r="E305" t="s">
        <v>3182</v>
      </c>
    </row>
    <row r="306" spans="1:5" x14ac:dyDescent="0.25">
      <c r="A306" t="s">
        <v>2884</v>
      </c>
      <c r="B306" t="s">
        <v>2885</v>
      </c>
      <c r="C306" t="s">
        <v>3152</v>
      </c>
      <c r="D306" s="8">
        <v>10.050000000000001</v>
      </c>
      <c r="E306" t="s">
        <v>3182</v>
      </c>
    </row>
    <row r="307" spans="1:5" x14ac:dyDescent="0.25">
      <c r="A307" t="s">
        <v>2886</v>
      </c>
      <c r="B307" t="s">
        <v>2887</v>
      </c>
      <c r="C307" t="s">
        <v>3152</v>
      </c>
      <c r="D307" s="8">
        <v>10.050000000000001</v>
      </c>
      <c r="E307" t="s">
        <v>3182</v>
      </c>
    </row>
    <row r="308" spans="1:5" x14ac:dyDescent="0.25">
      <c r="A308" t="s">
        <v>2888</v>
      </c>
      <c r="B308" t="s">
        <v>2889</v>
      </c>
      <c r="C308" t="s">
        <v>3152</v>
      </c>
      <c r="D308" s="8">
        <v>10.050000000000001</v>
      </c>
      <c r="E308" t="s">
        <v>3182</v>
      </c>
    </row>
    <row r="309" spans="1:5" x14ac:dyDescent="0.25">
      <c r="A309" t="s">
        <v>2890</v>
      </c>
      <c r="B309" t="s">
        <v>2891</v>
      </c>
      <c r="C309" t="s">
        <v>3152</v>
      </c>
      <c r="D309" s="8">
        <v>10.050000000000001</v>
      </c>
      <c r="E309" t="s">
        <v>3182</v>
      </c>
    </row>
    <row r="310" spans="1:5" x14ac:dyDescent="0.25">
      <c r="A310" t="s">
        <v>2892</v>
      </c>
      <c r="B310" t="s">
        <v>2893</v>
      </c>
      <c r="C310" t="s">
        <v>3152</v>
      </c>
      <c r="D310" s="8">
        <v>15.1</v>
      </c>
      <c r="E310" t="s">
        <v>3182</v>
      </c>
    </row>
    <row r="311" spans="1:5" x14ac:dyDescent="0.25">
      <c r="A311" t="s">
        <v>2894</v>
      </c>
      <c r="B311" t="s">
        <v>2895</v>
      </c>
      <c r="C311" t="s">
        <v>3152</v>
      </c>
      <c r="D311" s="8">
        <v>7.65</v>
      </c>
      <c r="E311" t="s">
        <v>3182</v>
      </c>
    </row>
    <row r="312" spans="1:5" x14ac:dyDescent="0.25">
      <c r="A312" t="s">
        <v>2896</v>
      </c>
      <c r="B312" t="s">
        <v>2897</v>
      </c>
      <c r="C312" t="s">
        <v>3152</v>
      </c>
      <c r="D312" s="8">
        <v>7.65</v>
      </c>
      <c r="E312" t="s">
        <v>3182</v>
      </c>
    </row>
    <row r="313" spans="1:5" x14ac:dyDescent="0.25">
      <c r="A313" t="s">
        <v>2898</v>
      </c>
      <c r="B313" t="s">
        <v>2899</v>
      </c>
      <c r="C313" t="s">
        <v>3152</v>
      </c>
      <c r="D313" s="8">
        <v>7.65</v>
      </c>
      <c r="E313" t="s">
        <v>3182</v>
      </c>
    </row>
    <row r="314" spans="1:5" x14ac:dyDescent="0.25">
      <c r="A314" t="s">
        <v>2900</v>
      </c>
      <c r="B314" t="s">
        <v>2901</v>
      </c>
      <c r="C314" t="s">
        <v>3152</v>
      </c>
      <c r="D314" s="8">
        <v>7.65</v>
      </c>
      <c r="E314" t="s">
        <v>3182</v>
      </c>
    </row>
    <row r="315" spans="1:5" x14ac:dyDescent="0.25">
      <c r="A315" t="s">
        <v>2902</v>
      </c>
      <c r="B315" t="s">
        <v>2903</v>
      </c>
      <c r="C315" t="s">
        <v>3152</v>
      </c>
      <c r="D315" s="8">
        <v>7.65</v>
      </c>
      <c r="E315" t="s">
        <v>3182</v>
      </c>
    </row>
    <row r="316" spans="1:5" x14ac:dyDescent="0.25">
      <c r="A316" t="s">
        <v>2904</v>
      </c>
      <c r="B316" t="s">
        <v>2905</v>
      </c>
      <c r="C316" t="s">
        <v>3152</v>
      </c>
      <c r="D316" s="8">
        <v>7.65</v>
      </c>
      <c r="E316" t="s">
        <v>3182</v>
      </c>
    </row>
    <row r="317" spans="1:5" x14ac:dyDescent="0.25">
      <c r="A317" t="s">
        <v>2906</v>
      </c>
      <c r="B317" t="s">
        <v>2907</v>
      </c>
      <c r="C317" t="s">
        <v>3152</v>
      </c>
      <c r="D317" s="8">
        <v>7.65</v>
      </c>
      <c r="E317" t="s">
        <v>3182</v>
      </c>
    </row>
    <row r="318" spans="1:5" x14ac:dyDescent="0.25">
      <c r="A318" t="s">
        <v>2908</v>
      </c>
      <c r="B318" t="s">
        <v>2909</v>
      </c>
      <c r="C318" t="s">
        <v>3152</v>
      </c>
      <c r="D318" s="8">
        <v>7.65</v>
      </c>
      <c r="E318" t="s">
        <v>3182</v>
      </c>
    </row>
    <row r="319" spans="1:5" x14ac:dyDescent="0.25">
      <c r="A319" t="s">
        <v>2910</v>
      </c>
      <c r="B319" t="s">
        <v>2911</v>
      </c>
      <c r="C319" t="s">
        <v>3152</v>
      </c>
      <c r="D319" s="8">
        <v>7.65</v>
      </c>
      <c r="E319" t="s">
        <v>3182</v>
      </c>
    </row>
    <row r="320" spans="1:5" x14ac:dyDescent="0.25">
      <c r="A320" t="s">
        <v>2912</v>
      </c>
      <c r="B320" t="s">
        <v>2913</v>
      </c>
      <c r="C320" t="s">
        <v>3152</v>
      </c>
      <c r="D320" s="8">
        <v>7.65</v>
      </c>
      <c r="E320" t="s">
        <v>3182</v>
      </c>
    </row>
    <row r="321" spans="1:5" x14ac:dyDescent="0.25">
      <c r="A321" t="s">
        <v>2914</v>
      </c>
      <c r="B321" t="s">
        <v>2915</v>
      </c>
      <c r="C321" t="s">
        <v>3152</v>
      </c>
      <c r="D321" s="8">
        <v>7.65</v>
      </c>
      <c r="E321" t="s">
        <v>3182</v>
      </c>
    </row>
    <row r="322" spans="1:5" x14ac:dyDescent="0.25">
      <c r="A322" t="s">
        <v>2916</v>
      </c>
      <c r="B322" t="s">
        <v>2917</v>
      </c>
      <c r="C322" t="s">
        <v>3152</v>
      </c>
      <c r="D322" s="8">
        <v>7.65</v>
      </c>
      <c r="E322" t="s">
        <v>3182</v>
      </c>
    </row>
    <row r="323" spans="1:5" x14ac:dyDescent="0.25">
      <c r="A323" t="s">
        <v>2918</v>
      </c>
      <c r="B323" t="s">
        <v>2919</v>
      </c>
      <c r="C323" t="s">
        <v>3152</v>
      </c>
      <c r="D323" s="8">
        <v>7.65</v>
      </c>
      <c r="E323" t="s">
        <v>3182</v>
      </c>
    </row>
    <row r="324" spans="1:5" x14ac:dyDescent="0.25">
      <c r="A324" t="s">
        <v>1925</v>
      </c>
      <c r="B324" t="s">
        <v>1926</v>
      </c>
      <c r="C324" t="s">
        <v>3152</v>
      </c>
      <c r="D324" s="8">
        <v>43.95</v>
      </c>
      <c r="E324" t="s">
        <v>3183</v>
      </c>
    </row>
    <row r="325" spans="1:5" x14ac:dyDescent="0.25">
      <c r="A325" t="s">
        <v>1922</v>
      </c>
      <c r="B325" t="s">
        <v>1923</v>
      </c>
      <c r="C325" t="s">
        <v>3152</v>
      </c>
      <c r="D325" s="8">
        <v>31.55</v>
      </c>
      <c r="E325" t="s">
        <v>3183</v>
      </c>
    </row>
    <row r="326" spans="1:5" x14ac:dyDescent="0.25">
      <c r="A326" t="s">
        <v>2920</v>
      </c>
      <c r="B326" t="s">
        <v>2921</v>
      </c>
      <c r="C326" t="s">
        <v>3152</v>
      </c>
      <c r="D326" s="8">
        <v>47.8</v>
      </c>
      <c r="E326" t="s">
        <v>3184</v>
      </c>
    </row>
    <row r="327" spans="1:5" x14ac:dyDescent="0.25">
      <c r="A327" t="s">
        <v>1817</v>
      </c>
      <c r="B327" t="s">
        <v>1818</v>
      </c>
      <c r="C327" t="s">
        <v>3152</v>
      </c>
      <c r="D327" s="8">
        <v>22.4</v>
      </c>
      <c r="E327" t="s">
        <v>3184</v>
      </c>
    </row>
    <row r="328" spans="1:5" x14ac:dyDescent="0.25">
      <c r="A328" t="s">
        <v>1819</v>
      </c>
      <c r="B328" t="s">
        <v>1820</v>
      </c>
      <c r="C328" t="s">
        <v>3152</v>
      </c>
      <c r="D328" s="8">
        <v>27.15</v>
      </c>
      <c r="E328" t="s">
        <v>3184</v>
      </c>
    </row>
    <row r="329" spans="1:5" x14ac:dyDescent="0.25">
      <c r="A329" t="s">
        <v>1821</v>
      </c>
      <c r="B329" t="s">
        <v>1822</v>
      </c>
      <c r="C329" t="s">
        <v>3152</v>
      </c>
      <c r="D329" s="8">
        <v>35.700000000000003</v>
      </c>
      <c r="E329" t="s">
        <v>3184</v>
      </c>
    </row>
    <row r="330" spans="1:5" x14ac:dyDescent="0.25">
      <c r="A330" t="s">
        <v>2053</v>
      </c>
      <c r="B330" t="s">
        <v>2054</v>
      </c>
      <c r="C330" t="s">
        <v>3152</v>
      </c>
      <c r="D330" s="8">
        <v>10.050000000000001</v>
      </c>
      <c r="E330" t="s">
        <v>3185</v>
      </c>
    </row>
    <row r="331" spans="1:5" x14ac:dyDescent="0.25">
      <c r="A331" t="s">
        <v>2922</v>
      </c>
      <c r="B331" t="s">
        <v>2923</v>
      </c>
      <c r="C331" t="s">
        <v>3152</v>
      </c>
      <c r="D331" s="8">
        <v>10.050000000000001</v>
      </c>
      <c r="E331" t="s">
        <v>3185</v>
      </c>
    </row>
    <row r="332" spans="1:5" x14ac:dyDescent="0.25">
      <c r="A332" t="s">
        <v>2924</v>
      </c>
      <c r="B332" t="s">
        <v>2925</v>
      </c>
      <c r="C332" t="s">
        <v>3152</v>
      </c>
      <c r="D332" s="8">
        <v>10.050000000000001</v>
      </c>
      <c r="E332" t="s">
        <v>3185</v>
      </c>
    </row>
    <row r="333" spans="1:5" x14ac:dyDescent="0.25">
      <c r="A333" t="s">
        <v>2926</v>
      </c>
      <c r="B333" t="s">
        <v>2927</v>
      </c>
      <c r="C333" t="s">
        <v>3152</v>
      </c>
      <c r="D333" s="8">
        <v>10.050000000000001</v>
      </c>
      <c r="E333" t="s">
        <v>3185</v>
      </c>
    </row>
    <row r="334" spans="1:5" x14ac:dyDescent="0.25">
      <c r="A334" t="s">
        <v>2928</v>
      </c>
      <c r="B334" t="s">
        <v>2929</v>
      </c>
      <c r="C334" t="s">
        <v>3152</v>
      </c>
      <c r="D334" s="8">
        <v>10.050000000000001</v>
      </c>
      <c r="E334" t="s">
        <v>3185</v>
      </c>
    </row>
    <row r="335" spans="1:5" x14ac:dyDescent="0.25">
      <c r="A335" t="s">
        <v>2930</v>
      </c>
      <c r="B335" t="s">
        <v>2931</v>
      </c>
      <c r="C335" t="s">
        <v>3152</v>
      </c>
      <c r="D335" s="8">
        <v>10.050000000000001</v>
      </c>
      <c r="E335" t="s">
        <v>3185</v>
      </c>
    </row>
    <row r="336" spans="1:5" x14ac:dyDescent="0.25">
      <c r="A336" t="s">
        <v>2932</v>
      </c>
      <c r="B336" t="s">
        <v>2933</v>
      </c>
      <c r="C336" t="s">
        <v>3152</v>
      </c>
      <c r="D336" s="8">
        <v>10.050000000000001</v>
      </c>
      <c r="E336" t="s">
        <v>3185</v>
      </c>
    </row>
    <row r="337" spans="1:5" x14ac:dyDescent="0.25">
      <c r="A337" t="s">
        <v>2934</v>
      </c>
      <c r="B337" t="s">
        <v>2935</v>
      </c>
      <c r="C337" t="s">
        <v>3152</v>
      </c>
      <c r="D337" s="8">
        <v>48.95</v>
      </c>
      <c r="E337" t="s">
        <v>3185</v>
      </c>
    </row>
    <row r="338" spans="1:5" x14ac:dyDescent="0.25">
      <c r="A338" t="s">
        <v>2936</v>
      </c>
      <c r="B338" t="s">
        <v>2937</v>
      </c>
      <c r="C338" t="s">
        <v>3152</v>
      </c>
      <c r="D338" s="8">
        <v>55.45</v>
      </c>
      <c r="E338" t="s">
        <v>3185</v>
      </c>
    </row>
    <row r="339" spans="1:5" x14ac:dyDescent="0.25">
      <c r="A339" t="s">
        <v>2049</v>
      </c>
      <c r="B339" t="s">
        <v>2050</v>
      </c>
      <c r="C339" t="s">
        <v>3152</v>
      </c>
      <c r="D339" s="8">
        <v>12.1</v>
      </c>
      <c r="E339" t="s">
        <v>3185</v>
      </c>
    </row>
    <row r="340" spans="1:5" x14ac:dyDescent="0.25">
      <c r="A340" t="s">
        <v>2938</v>
      </c>
      <c r="B340" t="s">
        <v>2939</v>
      </c>
      <c r="C340" t="s">
        <v>3152</v>
      </c>
      <c r="D340" s="8">
        <v>12.1</v>
      </c>
      <c r="E340" t="s">
        <v>3185</v>
      </c>
    </row>
    <row r="341" spans="1:5" x14ac:dyDescent="0.25">
      <c r="A341" t="s">
        <v>2167</v>
      </c>
      <c r="B341" t="s">
        <v>2168</v>
      </c>
      <c r="C341" t="s">
        <v>3152</v>
      </c>
      <c r="D341" s="8">
        <v>10.050000000000001</v>
      </c>
      <c r="E341" t="s">
        <v>3185</v>
      </c>
    </row>
    <row r="342" spans="1:5" x14ac:dyDescent="0.25">
      <c r="A342" t="s">
        <v>2002</v>
      </c>
      <c r="B342" t="s">
        <v>2003</v>
      </c>
      <c r="C342" t="s">
        <v>3152</v>
      </c>
      <c r="D342" s="8">
        <v>8.0500000000000007</v>
      </c>
      <c r="E342" t="s">
        <v>3024</v>
      </c>
    </row>
    <row r="343" spans="1:5" x14ac:dyDescent="0.25">
      <c r="A343" t="s">
        <v>2940</v>
      </c>
      <c r="B343" t="s">
        <v>2941</v>
      </c>
      <c r="C343" t="s">
        <v>3152</v>
      </c>
      <c r="D343" s="8">
        <v>8.0500000000000007</v>
      </c>
      <c r="E343" t="s">
        <v>3024</v>
      </c>
    </row>
    <row r="344" spans="1:5" x14ac:dyDescent="0.25">
      <c r="A344" t="s">
        <v>2006</v>
      </c>
      <c r="B344" t="s">
        <v>2007</v>
      </c>
      <c r="C344" t="s">
        <v>3152</v>
      </c>
      <c r="D344" s="8">
        <v>3.55</v>
      </c>
      <c r="E344" t="s">
        <v>3024</v>
      </c>
    </row>
    <row r="345" spans="1:5" x14ac:dyDescent="0.25">
      <c r="A345" t="s">
        <v>2008</v>
      </c>
      <c r="B345" t="s">
        <v>2009</v>
      </c>
      <c r="C345" t="s">
        <v>3152</v>
      </c>
      <c r="D345" s="8">
        <v>4.1500000000000004</v>
      </c>
      <c r="E345" t="s">
        <v>3024</v>
      </c>
    </row>
    <row r="346" spans="1:5" x14ac:dyDescent="0.25">
      <c r="A346" t="s">
        <v>2014</v>
      </c>
      <c r="B346" t="s">
        <v>2015</v>
      </c>
      <c r="C346" t="s">
        <v>3152</v>
      </c>
      <c r="D346" s="8">
        <v>2.7</v>
      </c>
      <c r="E346" t="s">
        <v>3024</v>
      </c>
    </row>
    <row r="347" spans="1:5" x14ac:dyDescent="0.25">
      <c r="A347" t="s">
        <v>2012</v>
      </c>
      <c r="B347" t="s">
        <v>2013</v>
      </c>
      <c r="C347" t="s">
        <v>3152</v>
      </c>
      <c r="D347" s="8">
        <v>8.0500000000000007</v>
      </c>
      <c r="E347" t="s">
        <v>3024</v>
      </c>
    </row>
    <row r="348" spans="1:5" x14ac:dyDescent="0.25">
      <c r="A348" t="s">
        <v>2010</v>
      </c>
      <c r="B348" t="s">
        <v>2011</v>
      </c>
      <c r="C348" t="s">
        <v>3152</v>
      </c>
      <c r="D348" s="8">
        <v>4.1500000000000004</v>
      </c>
      <c r="E348" t="s">
        <v>3024</v>
      </c>
    </row>
    <row r="349" spans="1:5" x14ac:dyDescent="0.25">
      <c r="A349" t="s">
        <v>2016</v>
      </c>
      <c r="B349" t="s">
        <v>2017</v>
      </c>
      <c r="C349" t="s">
        <v>3152</v>
      </c>
      <c r="D349" s="8">
        <v>5.35</v>
      </c>
      <c r="E349" t="s">
        <v>3024</v>
      </c>
    </row>
    <row r="350" spans="1:5" x14ac:dyDescent="0.25">
      <c r="A350" t="s">
        <v>2019</v>
      </c>
      <c r="B350" t="s">
        <v>2020</v>
      </c>
      <c r="C350" t="s">
        <v>3152</v>
      </c>
      <c r="D350" s="8">
        <v>6.5</v>
      </c>
      <c r="E350" t="s">
        <v>3024</v>
      </c>
    </row>
    <row r="351" spans="1:5" x14ac:dyDescent="0.25">
      <c r="A351" t="s">
        <v>2022</v>
      </c>
      <c r="B351" t="s">
        <v>2023</v>
      </c>
      <c r="C351" t="s">
        <v>3152</v>
      </c>
      <c r="D351" s="8">
        <v>8.0500000000000007</v>
      </c>
      <c r="E351" t="s">
        <v>3024</v>
      </c>
    </row>
    <row r="352" spans="1:5" x14ac:dyDescent="0.25">
      <c r="A352" t="s">
        <v>2025</v>
      </c>
      <c r="B352" t="s">
        <v>2026</v>
      </c>
      <c r="C352" t="s">
        <v>3152</v>
      </c>
      <c r="D352" s="8">
        <v>13.3</v>
      </c>
      <c r="E352" t="s">
        <v>3024</v>
      </c>
    </row>
    <row r="353" spans="1:5" x14ac:dyDescent="0.25">
      <c r="A353" t="s">
        <v>2028</v>
      </c>
      <c r="B353" t="s">
        <v>2029</v>
      </c>
      <c r="C353" t="s">
        <v>3152</v>
      </c>
      <c r="D353" s="8">
        <v>13.3</v>
      </c>
      <c r="E353" t="s">
        <v>3024</v>
      </c>
    </row>
    <row r="354" spans="1:5" x14ac:dyDescent="0.25">
      <c r="A354" t="s">
        <v>2942</v>
      </c>
      <c r="B354" t="s">
        <v>2943</v>
      </c>
      <c r="C354" t="s">
        <v>3152</v>
      </c>
      <c r="D354" s="8">
        <v>13.3</v>
      </c>
      <c r="E354" t="s">
        <v>3024</v>
      </c>
    </row>
    <row r="355" spans="1:5" x14ac:dyDescent="0.25">
      <c r="A355" t="s">
        <v>2031</v>
      </c>
      <c r="B355" t="s">
        <v>2032</v>
      </c>
      <c r="C355" t="s">
        <v>3152</v>
      </c>
      <c r="D355" s="8">
        <v>13.3</v>
      </c>
      <c r="E355" t="s">
        <v>3024</v>
      </c>
    </row>
    <row r="356" spans="1:5" x14ac:dyDescent="0.25">
      <c r="A356" t="s">
        <v>2944</v>
      </c>
      <c r="B356" t="s">
        <v>2945</v>
      </c>
      <c r="C356" t="s">
        <v>3152</v>
      </c>
      <c r="D356" s="8">
        <v>10.050000000000001</v>
      </c>
      <c r="E356" t="s">
        <v>3024</v>
      </c>
    </row>
    <row r="357" spans="1:5" x14ac:dyDescent="0.25">
      <c r="A357" t="s">
        <v>3186</v>
      </c>
      <c r="B357" t="s">
        <v>3187</v>
      </c>
      <c r="C357" t="s">
        <v>3152</v>
      </c>
      <c r="D357" s="8">
        <v>10.050000000000001</v>
      </c>
      <c r="E357" t="s">
        <v>3024</v>
      </c>
    </row>
    <row r="358" spans="1:5" x14ac:dyDescent="0.25">
      <c r="A358" t="s">
        <v>3188</v>
      </c>
      <c r="B358" t="s">
        <v>3189</v>
      </c>
      <c r="C358" t="s">
        <v>3152</v>
      </c>
      <c r="D358" s="8">
        <v>15</v>
      </c>
      <c r="E358" t="s">
        <v>3024</v>
      </c>
    </row>
    <row r="359" spans="1:5" x14ac:dyDescent="0.25">
      <c r="A359" t="s">
        <v>2946</v>
      </c>
      <c r="B359" t="s">
        <v>2947</v>
      </c>
      <c r="C359" t="s">
        <v>3152</v>
      </c>
      <c r="D359" s="8">
        <v>7.5</v>
      </c>
      <c r="E359" t="s">
        <v>3024</v>
      </c>
    </row>
    <row r="360" spans="1:5" x14ac:dyDescent="0.25">
      <c r="A360" t="s">
        <v>2036</v>
      </c>
      <c r="B360" t="s">
        <v>2037</v>
      </c>
      <c r="C360" t="s">
        <v>3152</v>
      </c>
      <c r="D360" s="8">
        <v>10.050000000000001</v>
      </c>
      <c r="E360" t="s">
        <v>3024</v>
      </c>
    </row>
    <row r="361" spans="1:5" x14ac:dyDescent="0.25">
      <c r="A361" t="s">
        <v>2041</v>
      </c>
      <c r="B361" t="s">
        <v>2042</v>
      </c>
      <c r="C361" t="s">
        <v>3152</v>
      </c>
      <c r="D361" s="8">
        <v>2.7</v>
      </c>
      <c r="E361" t="s">
        <v>3024</v>
      </c>
    </row>
    <row r="362" spans="1:5" x14ac:dyDescent="0.25">
      <c r="A362" t="s">
        <v>2039</v>
      </c>
      <c r="B362" t="s">
        <v>2040</v>
      </c>
      <c r="C362" t="s">
        <v>3152</v>
      </c>
      <c r="D362" s="8">
        <v>2.7</v>
      </c>
      <c r="E362" t="s">
        <v>3024</v>
      </c>
    </row>
    <row r="363" spans="1:5" x14ac:dyDescent="0.25">
      <c r="A363" t="s">
        <v>2169</v>
      </c>
      <c r="B363" t="s">
        <v>2170</v>
      </c>
      <c r="C363" t="s">
        <v>3152</v>
      </c>
      <c r="D363" s="8">
        <v>1.5</v>
      </c>
      <c r="E363" t="s">
        <v>3024</v>
      </c>
    </row>
    <row r="364" spans="1:5" x14ac:dyDescent="0.25">
      <c r="A364" t="s">
        <v>2043</v>
      </c>
      <c r="B364" t="s">
        <v>2044</v>
      </c>
      <c r="C364" t="s">
        <v>3152</v>
      </c>
      <c r="D364" s="8">
        <v>14.45</v>
      </c>
      <c r="E364" t="s">
        <v>3024</v>
      </c>
    </row>
    <row r="365" spans="1:5" x14ac:dyDescent="0.25">
      <c r="A365" t="s">
        <v>2046</v>
      </c>
      <c r="B365" t="s">
        <v>2047</v>
      </c>
      <c r="C365" t="s">
        <v>3152</v>
      </c>
      <c r="D365" s="8">
        <v>14.45</v>
      </c>
      <c r="E365" t="s">
        <v>3024</v>
      </c>
    </row>
    <row r="366" spans="1:5" x14ac:dyDescent="0.25">
      <c r="A366" t="s">
        <v>2056</v>
      </c>
      <c r="B366" t="s">
        <v>2057</v>
      </c>
      <c r="C366" t="s">
        <v>3152</v>
      </c>
      <c r="D366" s="8">
        <v>20.65</v>
      </c>
      <c r="E366" t="s">
        <v>3024</v>
      </c>
    </row>
    <row r="367" spans="1:5" x14ac:dyDescent="0.25">
      <c r="A367" t="s">
        <v>2948</v>
      </c>
      <c r="B367" t="s">
        <v>2949</v>
      </c>
      <c r="C367" t="s">
        <v>3152</v>
      </c>
      <c r="D367" s="8">
        <v>13.3</v>
      </c>
      <c r="E367" t="s">
        <v>3024</v>
      </c>
    </row>
    <row r="368" spans="1:5" x14ac:dyDescent="0.25">
      <c r="A368" t="s">
        <v>2034</v>
      </c>
      <c r="B368" t="s">
        <v>2035</v>
      </c>
      <c r="C368" t="s">
        <v>3152</v>
      </c>
      <c r="D368" s="8">
        <v>28.35</v>
      </c>
      <c r="E368" t="s">
        <v>3024</v>
      </c>
    </row>
    <row r="369" spans="1:5" x14ac:dyDescent="0.25">
      <c r="A369" t="s">
        <v>2950</v>
      </c>
      <c r="B369" t="s">
        <v>2951</v>
      </c>
      <c r="C369" t="s">
        <v>3152</v>
      </c>
      <c r="D369" s="8">
        <v>18.850000000000001</v>
      </c>
      <c r="E369" t="s">
        <v>3024</v>
      </c>
    </row>
    <row r="370" spans="1:5" x14ac:dyDescent="0.25">
      <c r="A370" t="s">
        <v>2952</v>
      </c>
      <c r="B370" t="s">
        <v>2953</v>
      </c>
      <c r="C370" t="s">
        <v>3152</v>
      </c>
      <c r="D370" s="8">
        <v>7.75</v>
      </c>
      <c r="E370" t="s">
        <v>3024</v>
      </c>
    </row>
    <row r="371" spans="1:5" x14ac:dyDescent="0.25">
      <c r="A371" t="s">
        <v>2954</v>
      </c>
      <c r="B371" t="s">
        <v>2955</v>
      </c>
      <c r="C371" t="s">
        <v>3152</v>
      </c>
      <c r="D371" s="8">
        <v>5.15</v>
      </c>
      <c r="E371" t="s">
        <v>3024</v>
      </c>
    </row>
    <row r="372" spans="1:5" x14ac:dyDescent="0.25">
      <c r="A372" t="s">
        <v>3190</v>
      </c>
      <c r="B372" t="s">
        <v>3191</v>
      </c>
      <c r="C372" t="s">
        <v>3152</v>
      </c>
      <c r="D372" s="8">
        <v>5.15</v>
      </c>
      <c r="E372" t="s">
        <v>3024</v>
      </c>
    </row>
    <row r="373" spans="1:5" x14ac:dyDescent="0.25">
      <c r="A373" t="s">
        <v>3192</v>
      </c>
      <c r="B373" t="s">
        <v>3193</v>
      </c>
      <c r="C373" t="s">
        <v>3152</v>
      </c>
      <c r="D373" s="8">
        <v>5.15</v>
      </c>
      <c r="E373" t="s">
        <v>3024</v>
      </c>
    </row>
    <row r="374" spans="1:5" x14ac:dyDescent="0.25">
      <c r="A374" t="s">
        <v>3194</v>
      </c>
      <c r="B374" t="s">
        <v>3195</v>
      </c>
      <c r="C374" t="s">
        <v>3152</v>
      </c>
      <c r="D374" s="8">
        <v>5.15</v>
      </c>
      <c r="E374" t="s">
        <v>3024</v>
      </c>
    </row>
    <row r="375" spans="1:5" x14ac:dyDescent="0.25">
      <c r="A375" t="s">
        <v>3196</v>
      </c>
      <c r="B375" t="s">
        <v>3197</v>
      </c>
      <c r="C375" t="s">
        <v>3152</v>
      </c>
      <c r="D375" s="8">
        <v>5.15</v>
      </c>
      <c r="E375" t="s">
        <v>3024</v>
      </c>
    </row>
    <row r="376" spans="1:5" x14ac:dyDescent="0.25">
      <c r="A376" t="s">
        <v>3198</v>
      </c>
      <c r="B376" t="s">
        <v>3199</v>
      </c>
      <c r="C376" t="s">
        <v>3152</v>
      </c>
      <c r="D376" s="8">
        <v>5.15</v>
      </c>
      <c r="E376" t="s">
        <v>3024</v>
      </c>
    </row>
    <row r="377" spans="1:5" x14ac:dyDescent="0.25">
      <c r="A377" t="s">
        <v>3200</v>
      </c>
      <c r="B377" t="s">
        <v>3201</v>
      </c>
      <c r="C377" t="s">
        <v>3152</v>
      </c>
      <c r="D377" s="8">
        <v>5.15</v>
      </c>
      <c r="E377" t="s">
        <v>3024</v>
      </c>
    </row>
    <row r="378" spans="1:5" x14ac:dyDescent="0.25">
      <c r="A378" t="s">
        <v>3202</v>
      </c>
      <c r="B378" t="s">
        <v>3203</v>
      </c>
      <c r="C378" t="s">
        <v>3152</v>
      </c>
      <c r="D378" s="8">
        <v>5.15</v>
      </c>
      <c r="E378" t="s">
        <v>3024</v>
      </c>
    </row>
    <row r="379" spans="1:5" x14ac:dyDescent="0.25">
      <c r="A379" t="s">
        <v>3204</v>
      </c>
      <c r="B379" t="s">
        <v>3205</v>
      </c>
      <c r="C379" t="s">
        <v>3152</v>
      </c>
      <c r="D379" s="8">
        <v>5.15</v>
      </c>
      <c r="E379" t="s">
        <v>3024</v>
      </c>
    </row>
    <row r="380" spans="1:5" x14ac:dyDescent="0.25">
      <c r="A380" t="s">
        <v>3206</v>
      </c>
      <c r="B380" t="s">
        <v>3207</v>
      </c>
      <c r="C380" t="s">
        <v>3152</v>
      </c>
      <c r="D380" s="8">
        <v>5.15</v>
      </c>
      <c r="E380" t="s">
        <v>3024</v>
      </c>
    </row>
    <row r="381" spans="1:5" x14ac:dyDescent="0.25">
      <c r="A381" t="s">
        <v>3208</v>
      </c>
      <c r="B381" t="s">
        <v>3209</v>
      </c>
      <c r="C381" t="s">
        <v>3152</v>
      </c>
      <c r="D381" s="8">
        <v>5.15</v>
      </c>
      <c r="E381" t="s">
        <v>3024</v>
      </c>
    </row>
    <row r="382" spans="1:5" x14ac:dyDescent="0.25">
      <c r="A382" t="s">
        <v>3210</v>
      </c>
      <c r="B382" t="s">
        <v>3211</v>
      </c>
      <c r="C382" t="s">
        <v>3152</v>
      </c>
      <c r="D382" s="8">
        <v>5.15</v>
      </c>
      <c r="E382" t="s">
        <v>3024</v>
      </c>
    </row>
    <row r="383" spans="1:5" x14ac:dyDescent="0.25">
      <c r="A383" t="s">
        <v>3212</v>
      </c>
      <c r="B383" t="s">
        <v>3213</v>
      </c>
      <c r="C383" t="s">
        <v>3152</v>
      </c>
      <c r="D383" s="8">
        <v>5.15</v>
      </c>
      <c r="E383" t="s">
        <v>3024</v>
      </c>
    </row>
    <row r="384" spans="1:5" x14ac:dyDescent="0.25">
      <c r="A384" t="s">
        <v>3214</v>
      </c>
      <c r="B384" t="s">
        <v>3215</v>
      </c>
      <c r="C384" t="s">
        <v>3152</v>
      </c>
      <c r="D384" s="8">
        <v>5.15</v>
      </c>
      <c r="E384" t="s">
        <v>3024</v>
      </c>
    </row>
    <row r="385" spans="1:5" x14ac:dyDescent="0.25">
      <c r="A385" t="s">
        <v>3216</v>
      </c>
      <c r="B385" t="s">
        <v>3217</v>
      </c>
      <c r="C385" t="s">
        <v>3152</v>
      </c>
      <c r="D385" s="8">
        <v>5.15</v>
      </c>
      <c r="E385" t="s">
        <v>3024</v>
      </c>
    </row>
    <row r="386" spans="1:5" x14ac:dyDescent="0.25">
      <c r="A386" t="s">
        <v>3218</v>
      </c>
      <c r="B386" t="s">
        <v>3219</v>
      </c>
      <c r="C386" t="s">
        <v>3152</v>
      </c>
      <c r="D386" s="8">
        <v>5.15</v>
      </c>
      <c r="E386" t="s">
        <v>3024</v>
      </c>
    </row>
    <row r="387" spans="1:5" x14ac:dyDescent="0.25">
      <c r="A387" t="s">
        <v>2211</v>
      </c>
      <c r="B387" t="s">
        <v>2212</v>
      </c>
      <c r="C387" t="s">
        <v>3152</v>
      </c>
      <c r="D387" s="8">
        <v>41.6</v>
      </c>
      <c r="E387" t="s">
        <v>3220</v>
      </c>
    </row>
    <row r="388" spans="1:5" x14ac:dyDescent="0.25">
      <c r="A388" t="s">
        <v>2956</v>
      </c>
      <c r="B388" t="s">
        <v>2957</v>
      </c>
      <c r="C388" t="s">
        <v>3152</v>
      </c>
      <c r="D388" s="8">
        <v>14.15</v>
      </c>
      <c r="E388" t="s">
        <v>3220</v>
      </c>
    </row>
    <row r="389" spans="1:5" x14ac:dyDescent="0.25">
      <c r="A389" t="s">
        <v>2958</v>
      </c>
      <c r="B389" t="s">
        <v>2959</v>
      </c>
      <c r="C389" t="s">
        <v>3152</v>
      </c>
      <c r="D389" s="8">
        <v>5.55</v>
      </c>
      <c r="E389" t="s">
        <v>3220</v>
      </c>
    </row>
    <row r="390" spans="1:5" x14ac:dyDescent="0.25">
      <c r="A390" t="s">
        <v>2218</v>
      </c>
      <c r="B390" t="s">
        <v>2219</v>
      </c>
      <c r="C390" t="s">
        <v>3152</v>
      </c>
      <c r="D390" s="8">
        <v>3.55</v>
      </c>
      <c r="E390" t="s">
        <v>3221</v>
      </c>
    </row>
    <row r="391" spans="1:5" x14ac:dyDescent="0.25">
      <c r="A391" t="s">
        <v>2225</v>
      </c>
      <c r="B391" t="s">
        <v>2226</v>
      </c>
      <c r="C391" t="s">
        <v>3152</v>
      </c>
      <c r="D391" s="8">
        <v>5.85</v>
      </c>
      <c r="E391" t="s">
        <v>3221</v>
      </c>
    </row>
    <row r="392" spans="1:5" x14ac:dyDescent="0.25">
      <c r="A392" t="s">
        <v>2222</v>
      </c>
      <c r="B392" t="s">
        <v>2223</v>
      </c>
      <c r="C392" t="s">
        <v>3152</v>
      </c>
      <c r="D392" s="8">
        <v>13.3</v>
      </c>
      <c r="E392" t="s">
        <v>3221</v>
      </c>
    </row>
    <row r="393" spans="1:5" x14ac:dyDescent="0.25">
      <c r="A393" t="s">
        <v>2982</v>
      </c>
      <c r="B393" t="s">
        <v>2983</v>
      </c>
      <c r="C393" t="s">
        <v>3152</v>
      </c>
      <c r="D393" s="8">
        <v>13.3</v>
      </c>
      <c r="E393" t="s">
        <v>3221</v>
      </c>
    </row>
    <row r="394" spans="1:5" x14ac:dyDescent="0.25">
      <c r="A394" t="s">
        <v>2984</v>
      </c>
      <c r="B394" t="s">
        <v>2985</v>
      </c>
      <c r="C394" t="s">
        <v>3152</v>
      </c>
      <c r="D394" s="8">
        <v>59.6</v>
      </c>
      <c r="E394" t="s">
        <v>3221</v>
      </c>
    </row>
    <row r="395" spans="1:5" x14ac:dyDescent="0.25">
      <c r="A395" t="s">
        <v>2234</v>
      </c>
      <c r="B395" t="s">
        <v>2235</v>
      </c>
      <c r="C395" t="s">
        <v>3152</v>
      </c>
      <c r="D395" s="8">
        <v>26.5</v>
      </c>
      <c r="E395" t="s">
        <v>3221</v>
      </c>
    </row>
    <row r="396" spans="1:5" x14ac:dyDescent="0.25">
      <c r="A396" t="s">
        <v>2232</v>
      </c>
      <c r="B396" t="s">
        <v>2233</v>
      </c>
      <c r="C396" t="s">
        <v>3152</v>
      </c>
      <c r="D396" s="8">
        <v>12.1</v>
      </c>
      <c r="E396" t="s">
        <v>3221</v>
      </c>
    </row>
    <row r="397" spans="1:5" x14ac:dyDescent="0.25">
      <c r="A397" t="s">
        <v>2239</v>
      </c>
      <c r="B397" t="s">
        <v>2240</v>
      </c>
      <c r="C397" t="s">
        <v>3152</v>
      </c>
      <c r="D397" s="8">
        <v>189.25</v>
      </c>
      <c r="E397" t="s">
        <v>3221</v>
      </c>
    </row>
    <row r="398" spans="1:5" x14ac:dyDescent="0.25">
      <c r="A398" t="s">
        <v>2242</v>
      </c>
      <c r="B398" t="s">
        <v>2243</v>
      </c>
      <c r="C398" t="s">
        <v>3152</v>
      </c>
      <c r="D398" s="8">
        <v>126.25</v>
      </c>
      <c r="E398" t="s">
        <v>3221</v>
      </c>
    </row>
    <row r="399" spans="1:5" x14ac:dyDescent="0.25">
      <c r="A399" t="s">
        <v>2986</v>
      </c>
      <c r="B399" t="s">
        <v>2987</v>
      </c>
      <c r="C399" t="s">
        <v>3152</v>
      </c>
      <c r="D399" s="8">
        <v>10</v>
      </c>
      <c r="E399" t="s">
        <v>3221</v>
      </c>
    </row>
    <row r="400" spans="1:5" x14ac:dyDescent="0.25">
      <c r="A400" t="s">
        <v>2254</v>
      </c>
      <c r="B400" t="s">
        <v>2255</v>
      </c>
      <c r="C400" t="s">
        <v>3152</v>
      </c>
      <c r="D400" s="8">
        <v>22.4</v>
      </c>
      <c r="E400" t="s">
        <v>3222</v>
      </c>
    </row>
    <row r="401" spans="1:5" x14ac:dyDescent="0.25">
      <c r="A401" t="s">
        <v>2245</v>
      </c>
      <c r="B401" t="s">
        <v>2246</v>
      </c>
      <c r="C401" t="s">
        <v>3152</v>
      </c>
      <c r="D401" s="8">
        <v>18.600000000000001</v>
      </c>
      <c r="E401" t="s">
        <v>3222</v>
      </c>
    </row>
    <row r="402" spans="1:5" x14ac:dyDescent="0.25">
      <c r="A402" t="s">
        <v>2249</v>
      </c>
      <c r="B402" t="s">
        <v>2250</v>
      </c>
      <c r="C402" t="s">
        <v>3152</v>
      </c>
      <c r="D402" s="8">
        <v>6.5</v>
      </c>
      <c r="E402" t="s">
        <v>3222</v>
      </c>
    </row>
    <row r="403" spans="1:5" x14ac:dyDescent="0.25">
      <c r="A403" t="s">
        <v>2251</v>
      </c>
      <c r="B403" t="s">
        <v>2252</v>
      </c>
      <c r="C403" t="s">
        <v>3152</v>
      </c>
      <c r="D403" s="8">
        <v>18.600000000000001</v>
      </c>
      <c r="E403" t="s">
        <v>3222</v>
      </c>
    </row>
    <row r="404" spans="1:5" x14ac:dyDescent="0.25">
      <c r="A404" t="s">
        <v>2260</v>
      </c>
      <c r="B404" t="s">
        <v>2261</v>
      </c>
      <c r="C404" t="s">
        <v>3152</v>
      </c>
      <c r="D404" s="8">
        <v>37.15</v>
      </c>
      <c r="E404" t="s">
        <v>3222</v>
      </c>
    </row>
    <row r="405" spans="1:5" x14ac:dyDescent="0.25">
      <c r="A405" t="s">
        <v>2257</v>
      </c>
      <c r="B405" t="s">
        <v>2258</v>
      </c>
      <c r="C405" t="s">
        <v>3152</v>
      </c>
      <c r="D405" s="8">
        <v>39.799999999999997</v>
      </c>
      <c r="E405" t="s">
        <v>3222</v>
      </c>
    </row>
    <row r="406" spans="1:5" x14ac:dyDescent="0.25">
      <c r="A406" t="s">
        <v>2269</v>
      </c>
      <c r="B406" t="s">
        <v>2270</v>
      </c>
      <c r="C406" t="s">
        <v>3152</v>
      </c>
      <c r="D406" s="8">
        <v>21.25</v>
      </c>
      <c r="E406" t="s">
        <v>3222</v>
      </c>
    </row>
    <row r="407" spans="1:5" x14ac:dyDescent="0.25">
      <c r="A407" t="s">
        <v>2266</v>
      </c>
      <c r="B407" t="s">
        <v>2267</v>
      </c>
      <c r="C407" t="s">
        <v>3152</v>
      </c>
      <c r="D407" s="8">
        <v>26.5</v>
      </c>
      <c r="E407" t="s">
        <v>3222</v>
      </c>
    </row>
    <row r="408" spans="1:5" x14ac:dyDescent="0.25">
      <c r="A408" t="s">
        <v>2263</v>
      </c>
      <c r="B408" t="s">
        <v>2264</v>
      </c>
      <c r="C408" t="s">
        <v>3152</v>
      </c>
      <c r="D408" s="8">
        <v>31.9</v>
      </c>
      <c r="E408" t="s">
        <v>3222</v>
      </c>
    </row>
    <row r="409" spans="1:5" x14ac:dyDescent="0.25">
      <c r="A409" t="s">
        <v>2272</v>
      </c>
      <c r="B409" t="s">
        <v>2273</v>
      </c>
      <c r="C409" t="s">
        <v>3152</v>
      </c>
      <c r="D409" s="8">
        <v>59.6</v>
      </c>
      <c r="E409" t="s">
        <v>3222</v>
      </c>
    </row>
    <row r="410" spans="1:5" x14ac:dyDescent="0.25">
      <c r="A410" t="s">
        <v>2275</v>
      </c>
      <c r="B410" t="s">
        <v>2276</v>
      </c>
      <c r="C410" t="s">
        <v>3152</v>
      </c>
      <c r="D410" s="8">
        <v>7.4</v>
      </c>
      <c r="E410" t="s">
        <v>3222</v>
      </c>
    </row>
    <row r="411" spans="1:5" x14ac:dyDescent="0.25">
      <c r="A411" t="s">
        <v>2278</v>
      </c>
      <c r="B411" t="s">
        <v>2279</v>
      </c>
      <c r="C411" t="s">
        <v>3152</v>
      </c>
      <c r="D411" s="8">
        <v>15.95</v>
      </c>
      <c r="E411" t="s">
        <v>3222</v>
      </c>
    </row>
    <row r="412" spans="1:5" x14ac:dyDescent="0.25">
      <c r="A412" t="s">
        <v>2281</v>
      </c>
      <c r="B412" t="s">
        <v>2282</v>
      </c>
      <c r="C412" t="s">
        <v>3152</v>
      </c>
      <c r="D412" s="8">
        <v>22.4</v>
      </c>
      <c r="E412" t="s">
        <v>3222</v>
      </c>
    </row>
    <row r="413" spans="1:5" x14ac:dyDescent="0.25">
      <c r="A413" t="s">
        <v>2283</v>
      </c>
      <c r="B413" t="s">
        <v>2284</v>
      </c>
      <c r="C413" t="s">
        <v>3152</v>
      </c>
      <c r="D413" s="8">
        <v>22.4</v>
      </c>
      <c r="E413" t="s">
        <v>3222</v>
      </c>
    </row>
    <row r="414" spans="1:5" x14ac:dyDescent="0.25">
      <c r="A414" t="s">
        <v>2988</v>
      </c>
      <c r="B414" t="s">
        <v>2989</v>
      </c>
      <c r="C414" t="s">
        <v>3152</v>
      </c>
      <c r="D414" s="8">
        <v>7.65</v>
      </c>
      <c r="E414" t="s">
        <v>3222</v>
      </c>
    </row>
    <row r="415" spans="1:5" x14ac:dyDescent="0.25">
      <c r="A415" t="s">
        <v>2990</v>
      </c>
      <c r="B415" t="s">
        <v>2991</v>
      </c>
      <c r="C415" t="s">
        <v>3152</v>
      </c>
      <c r="D415" s="8">
        <v>16.2</v>
      </c>
      <c r="E415" t="s">
        <v>3222</v>
      </c>
    </row>
    <row r="416" spans="1:5" x14ac:dyDescent="0.25">
      <c r="A416" t="s">
        <v>1549</v>
      </c>
      <c r="B416" t="s">
        <v>1550</v>
      </c>
      <c r="C416" t="s">
        <v>3152</v>
      </c>
      <c r="D416" s="8">
        <v>26.5</v>
      </c>
      <c r="E416" t="s">
        <v>3223</v>
      </c>
    </row>
    <row r="417" spans="1:5" x14ac:dyDescent="0.25">
      <c r="A417" t="s">
        <v>1547</v>
      </c>
      <c r="B417" t="s">
        <v>1548</v>
      </c>
      <c r="C417" t="s">
        <v>3152</v>
      </c>
      <c r="D417" s="8">
        <v>53.05</v>
      </c>
      <c r="E417" t="s">
        <v>3223</v>
      </c>
    </row>
    <row r="418" spans="1:5" x14ac:dyDescent="0.25">
      <c r="A418" t="s">
        <v>1551</v>
      </c>
      <c r="B418" t="s">
        <v>1552</v>
      </c>
      <c r="C418" t="s">
        <v>3152</v>
      </c>
      <c r="D418" s="8">
        <v>53.05</v>
      </c>
      <c r="E418" t="s">
        <v>3223</v>
      </c>
    </row>
    <row r="419" spans="1:5" x14ac:dyDescent="0.25">
      <c r="A419" t="s">
        <v>1553</v>
      </c>
      <c r="B419" t="s">
        <v>1554</v>
      </c>
      <c r="C419" t="s">
        <v>3152</v>
      </c>
      <c r="D419" s="8">
        <v>28.95</v>
      </c>
      <c r="E419" t="s">
        <v>3223</v>
      </c>
    </row>
    <row r="420" spans="1:5" x14ac:dyDescent="0.25">
      <c r="A420" t="s">
        <v>1555</v>
      </c>
      <c r="B420" t="s">
        <v>1556</v>
      </c>
      <c r="C420" t="s">
        <v>3152</v>
      </c>
      <c r="D420" s="8">
        <v>28.35</v>
      </c>
      <c r="E420" t="s">
        <v>3223</v>
      </c>
    </row>
    <row r="421" spans="1:5" x14ac:dyDescent="0.25">
      <c r="A421" t="s">
        <v>1557</v>
      </c>
      <c r="B421" t="s">
        <v>1558</v>
      </c>
      <c r="C421" t="s">
        <v>3152</v>
      </c>
      <c r="D421" s="8">
        <v>28.35</v>
      </c>
      <c r="E421" t="s">
        <v>3223</v>
      </c>
    </row>
    <row r="422" spans="1:5" x14ac:dyDescent="0.25">
      <c r="A422" t="s">
        <v>1560</v>
      </c>
      <c r="B422" t="s">
        <v>1561</v>
      </c>
      <c r="C422" t="s">
        <v>3152</v>
      </c>
      <c r="D422" s="8">
        <v>22.4</v>
      </c>
      <c r="E422" t="s">
        <v>3223</v>
      </c>
    </row>
    <row r="423" spans="1:5" x14ac:dyDescent="0.25">
      <c r="A423" t="s">
        <v>2992</v>
      </c>
      <c r="B423" t="s">
        <v>2993</v>
      </c>
      <c r="C423" t="s">
        <v>3152</v>
      </c>
      <c r="D423" s="8">
        <v>12.65</v>
      </c>
      <c r="E423" t="s">
        <v>3224</v>
      </c>
    </row>
    <row r="424" spans="1:5" x14ac:dyDescent="0.25">
      <c r="A424" t="s">
        <v>1490</v>
      </c>
      <c r="B424" t="s">
        <v>1491</v>
      </c>
      <c r="C424" t="s">
        <v>3152</v>
      </c>
      <c r="D424" s="8">
        <v>18.05</v>
      </c>
      <c r="E424" t="s">
        <v>3224</v>
      </c>
    </row>
    <row r="425" spans="1:5" x14ac:dyDescent="0.25">
      <c r="A425" t="s">
        <v>1493</v>
      </c>
      <c r="B425" t="s">
        <v>1494</v>
      </c>
      <c r="C425" t="s">
        <v>3152</v>
      </c>
      <c r="D425" s="8">
        <v>8.0500000000000007</v>
      </c>
      <c r="E425" t="s">
        <v>3224</v>
      </c>
    </row>
    <row r="426" spans="1:5" x14ac:dyDescent="0.25">
      <c r="A426" t="s">
        <v>1496</v>
      </c>
      <c r="B426" t="s">
        <v>1497</v>
      </c>
      <c r="C426" t="s">
        <v>3152</v>
      </c>
      <c r="D426" s="8">
        <v>22.4</v>
      </c>
      <c r="E426" t="s">
        <v>3224</v>
      </c>
    </row>
    <row r="427" spans="1:5" x14ac:dyDescent="0.25">
      <c r="A427" t="s">
        <v>1499</v>
      </c>
      <c r="B427" t="s">
        <v>1500</v>
      </c>
      <c r="C427" t="s">
        <v>3152</v>
      </c>
      <c r="D427" s="8">
        <v>27.15</v>
      </c>
      <c r="E427" t="s">
        <v>3224</v>
      </c>
    </row>
    <row r="428" spans="1:5" x14ac:dyDescent="0.25">
      <c r="A428" t="s">
        <v>1626</v>
      </c>
      <c r="B428" t="s">
        <v>1627</v>
      </c>
      <c r="C428" t="s">
        <v>3152</v>
      </c>
      <c r="D428" s="8">
        <v>17.399999999999999</v>
      </c>
      <c r="E428" t="s">
        <v>3224</v>
      </c>
    </row>
    <row r="429" spans="1:5" x14ac:dyDescent="0.25">
      <c r="A429" t="s">
        <v>1480</v>
      </c>
      <c r="B429" t="s">
        <v>1481</v>
      </c>
      <c r="C429" t="s">
        <v>3152</v>
      </c>
      <c r="D429" s="8">
        <v>15.95</v>
      </c>
      <c r="E429" t="s">
        <v>3224</v>
      </c>
    </row>
    <row r="430" spans="1:5" x14ac:dyDescent="0.25">
      <c r="A430" t="s">
        <v>1483</v>
      </c>
      <c r="B430" t="s">
        <v>1484</v>
      </c>
      <c r="C430" t="s">
        <v>3152</v>
      </c>
      <c r="D430" s="8">
        <v>22.4</v>
      </c>
      <c r="E430" t="s">
        <v>3224</v>
      </c>
    </row>
    <row r="431" spans="1:5" x14ac:dyDescent="0.25">
      <c r="A431" t="s">
        <v>1477</v>
      </c>
      <c r="B431" t="s">
        <v>1478</v>
      </c>
      <c r="C431" t="s">
        <v>3152</v>
      </c>
      <c r="D431" s="8">
        <v>15.1</v>
      </c>
      <c r="E431" t="s">
        <v>3224</v>
      </c>
    </row>
    <row r="432" spans="1:5" x14ac:dyDescent="0.25">
      <c r="A432" t="s">
        <v>1514</v>
      </c>
      <c r="B432" t="s">
        <v>1515</v>
      </c>
      <c r="C432" t="s">
        <v>3152</v>
      </c>
      <c r="D432" s="8">
        <v>23.9</v>
      </c>
      <c r="E432" t="s">
        <v>3224</v>
      </c>
    </row>
    <row r="433" spans="1:5" x14ac:dyDescent="0.25">
      <c r="A433" t="s">
        <v>2994</v>
      </c>
      <c r="B433" t="s">
        <v>2995</v>
      </c>
      <c r="C433" t="s">
        <v>3152</v>
      </c>
      <c r="D433" s="8">
        <v>26.5</v>
      </c>
      <c r="E433" t="s">
        <v>3224</v>
      </c>
    </row>
    <row r="434" spans="1:5" x14ac:dyDescent="0.25">
      <c r="A434" t="s">
        <v>2996</v>
      </c>
      <c r="B434" t="s">
        <v>2997</v>
      </c>
      <c r="C434" t="s">
        <v>3152</v>
      </c>
      <c r="D434" s="8">
        <v>34.5</v>
      </c>
      <c r="E434" t="s">
        <v>3224</v>
      </c>
    </row>
    <row r="435" spans="1:5" x14ac:dyDescent="0.25">
      <c r="A435" t="s">
        <v>1474</v>
      </c>
      <c r="B435" t="s">
        <v>1475</v>
      </c>
      <c r="C435" t="s">
        <v>3152</v>
      </c>
      <c r="D435" s="8">
        <v>7.4</v>
      </c>
      <c r="E435" t="s">
        <v>3225</v>
      </c>
    </row>
    <row r="436" spans="1:5" x14ac:dyDescent="0.25">
      <c r="A436" t="s">
        <v>2998</v>
      </c>
      <c r="B436" t="s">
        <v>2999</v>
      </c>
      <c r="C436" t="s">
        <v>3152</v>
      </c>
      <c r="D436" s="8">
        <v>7.4</v>
      </c>
      <c r="E436" t="s">
        <v>3225</v>
      </c>
    </row>
    <row r="437" spans="1:5" x14ac:dyDescent="0.25">
      <c r="A437" t="s">
        <v>3000</v>
      </c>
      <c r="B437" t="s">
        <v>3001</v>
      </c>
      <c r="C437" t="s">
        <v>3152</v>
      </c>
      <c r="D437" s="8">
        <v>7.4</v>
      </c>
      <c r="E437" t="s">
        <v>3225</v>
      </c>
    </row>
    <row r="438" spans="1:5" x14ac:dyDescent="0.25">
      <c r="A438" t="s">
        <v>3002</v>
      </c>
      <c r="B438" t="s">
        <v>3003</v>
      </c>
      <c r="C438" t="s">
        <v>3152</v>
      </c>
      <c r="D438" s="8">
        <v>7.4</v>
      </c>
      <c r="E438" t="s">
        <v>3225</v>
      </c>
    </row>
    <row r="439" spans="1:5" x14ac:dyDescent="0.25">
      <c r="A439" t="s">
        <v>3004</v>
      </c>
      <c r="B439" t="s">
        <v>3005</v>
      </c>
      <c r="C439" t="s">
        <v>3152</v>
      </c>
      <c r="D439" s="8">
        <v>14.45</v>
      </c>
      <c r="E439" t="s">
        <v>3225</v>
      </c>
    </row>
    <row r="440" spans="1:5" x14ac:dyDescent="0.25">
      <c r="A440" t="s">
        <v>3006</v>
      </c>
      <c r="B440" t="s">
        <v>3007</v>
      </c>
      <c r="C440" t="s">
        <v>3152</v>
      </c>
      <c r="D440" s="8">
        <v>7.4</v>
      </c>
      <c r="E440" t="s">
        <v>3225</v>
      </c>
    </row>
    <row r="441" spans="1:5" x14ac:dyDescent="0.25">
      <c r="A441" t="s">
        <v>3008</v>
      </c>
      <c r="B441" t="s">
        <v>3009</v>
      </c>
      <c r="C441" t="s">
        <v>3152</v>
      </c>
      <c r="D441" s="8">
        <v>7.4</v>
      </c>
      <c r="E441" t="s">
        <v>3225</v>
      </c>
    </row>
    <row r="442" spans="1:5" x14ac:dyDescent="0.25">
      <c r="A442" t="s">
        <v>3010</v>
      </c>
      <c r="B442" t="s">
        <v>3011</v>
      </c>
      <c r="C442" t="s">
        <v>3152</v>
      </c>
      <c r="D442" s="8">
        <v>7.4</v>
      </c>
      <c r="E442" t="s">
        <v>3225</v>
      </c>
    </row>
    <row r="443" spans="1:5" x14ac:dyDescent="0.25">
      <c r="A443" t="s">
        <v>3012</v>
      </c>
      <c r="B443" t="s">
        <v>3013</v>
      </c>
      <c r="C443" t="s">
        <v>3152</v>
      </c>
      <c r="D443" s="8">
        <v>7.4</v>
      </c>
      <c r="E443" t="s">
        <v>3225</v>
      </c>
    </row>
    <row r="444" spans="1:5" x14ac:dyDescent="0.25">
      <c r="A444" t="s">
        <v>3014</v>
      </c>
      <c r="B444" t="s">
        <v>3015</v>
      </c>
      <c r="C444" t="s">
        <v>3152</v>
      </c>
      <c r="D444" s="8">
        <v>14.45</v>
      </c>
      <c r="E444" t="s">
        <v>3225</v>
      </c>
    </row>
    <row r="445" spans="1:5" x14ac:dyDescent="0.25">
      <c r="A445" t="s">
        <v>3016</v>
      </c>
      <c r="B445" t="s">
        <v>3017</v>
      </c>
      <c r="C445" t="s">
        <v>3152</v>
      </c>
      <c r="D445" s="8">
        <v>14.45</v>
      </c>
      <c r="E445" t="s">
        <v>3225</v>
      </c>
    </row>
    <row r="446" spans="1:5" x14ac:dyDescent="0.25">
      <c r="A446" t="s">
        <v>1375</v>
      </c>
      <c r="B446" t="s">
        <v>1376</v>
      </c>
      <c r="C446" t="s">
        <v>3152</v>
      </c>
      <c r="D446" s="8">
        <v>20.65</v>
      </c>
      <c r="E446" t="s">
        <v>3225</v>
      </c>
    </row>
    <row r="447" spans="1:5" x14ac:dyDescent="0.25">
      <c r="A447" t="s">
        <v>1651</v>
      </c>
      <c r="B447" t="s">
        <v>1652</v>
      </c>
      <c r="C447" t="s">
        <v>3152</v>
      </c>
      <c r="D447" s="8">
        <v>13.3</v>
      </c>
      <c r="E447" t="s">
        <v>3226</v>
      </c>
    </row>
    <row r="448" spans="1:5" x14ac:dyDescent="0.25">
      <c r="A448" t="s">
        <v>1653</v>
      </c>
      <c r="B448" t="s">
        <v>1654</v>
      </c>
      <c r="C448" t="s">
        <v>3152</v>
      </c>
      <c r="D448" s="8">
        <v>15.95</v>
      </c>
      <c r="E448" t="s">
        <v>3226</v>
      </c>
    </row>
    <row r="449" spans="1:5" x14ac:dyDescent="0.25">
      <c r="A449" t="s">
        <v>1639</v>
      </c>
      <c r="B449" t="s">
        <v>1640</v>
      </c>
      <c r="C449" t="s">
        <v>3152</v>
      </c>
      <c r="D449" s="8">
        <v>13.3</v>
      </c>
      <c r="E449" t="s">
        <v>3226</v>
      </c>
    </row>
    <row r="450" spans="1:5" x14ac:dyDescent="0.25">
      <c r="A450" t="s">
        <v>1643</v>
      </c>
      <c r="B450" t="s">
        <v>3227</v>
      </c>
      <c r="C450" t="s">
        <v>3152</v>
      </c>
      <c r="D450" s="8">
        <v>24.45</v>
      </c>
      <c r="E450" t="s">
        <v>3226</v>
      </c>
    </row>
    <row r="451" spans="1:5" x14ac:dyDescent="0.25">
      <c r="A451" t="s">
        <v>1645</v>
      </c>
      <c r="B451" t="s">
        <v>3228</v>
      </c>
      <c r="C451" t="s">
        <v>3152</v>
      </c>
      <c r="D451" s="8">
        <v>23.9</v>
      </c>
      <c r="E451" t="s">
        <v>3226</v>
      </c>
    </row>
    <row r="452" spans="1:5" x14ac:dyDescent="0.25">
      <c r="A452" t="s">
        <v>1378</v>
      </c>
      <c r="B452" t="s">
        <v>1379</v>
      </c>
      <c r="C452" t="s">
        <v>3152</v>
      </c>
      <c r="D452" s="8">
        <v>23.9</v>
      </c>
      <c r="E452" t="s">
        <v>3226</v>
      </c>
    </row>
    <row r="453" spans="1:5" x14ac:dyDescent="0.25">
      <c r="A453" t="s">
        <v>1647</v>
      </c>
      <c r="B453" t="s">
        <v>3229</v>
      </c>
      <c r="C453" t="s">
        <v>3152</v>
      </c>
      <c r="D453" s="8">
        <v>23.9</v>
      </c>
      <c r="E453" t="s">
        <v>3226</v>
      </c>
    </row>
    <row r="454" spans="1:5" x14ac:dyDescent="0.25">
      <c r="A454" t="s">
        <v>1649</v>
      </c>
      <c r="B454" t="s">
        <v>3230</v>
      </c>
      <c r="C454" t="s">
        <v>3152</v>
      </c>
      <c r="D454" s="8">
        <v>27.75</v>
      </c>
      <c r="E454" t="s">
        <v>3226</v>
      </c>
    </row>
    <row r="455" spans="1:5" x14ac:dyDescent="0.25">
      <c r="A455" t="s">
        <v>3231</v>
      </c>
      <c r="B455" t="s">
        <v>3232</v>
      </c>
      <c r="C455" t="s">
        <v>3152</v>
      </c>
      <c r="D455" s="8">
        <v>14.15</v>
      </c>
      <c r="E455" t="s">
        <v>3042</v>
      </c>
    </row>
    <row r="456" spans="1:5" x14ac:dyDescent="0.25">
      <c r="A456" t="s">
        <v>1380</v>
      </c>
      <c r="B456" t="s">
        <v>1381</v>
      </c>
      <c r="C456" t="s">
        <v>3152</v>
      </c>
      <c r="D456" s="8">
        <v>11.1</v>
      </c>
      <c r="E456" t="s">
        <v>3233</v>
      </c>
    </row>
    <row r="457" spans="1:5" x14ac:dyDescent="0.25">
      <c r="A457" t="s">
        <v>2960</v>
      </c>
      <c r="B457" t="s">
        <v>2961</v>
      </c>
      <c r="C457" t="s">
        <v>3152</v>
      </c>
      <c r="D457" s="8">
        <v>18.649999999999999</v>
      </c>
      <c r="E457" t="s">
        <v>3044</v>
      </c>
    </row>
    <row r="458" spans="1:5" x14ac:dyDescent="0.25">
      <c r="A458" t="s">
        <v>2161</v>
      </c>
      <c r="B458" t="s">
        <v>2162</v>
      </c>
      <c r="C458" t="s">
        <v>3152</v>
      </c>
      <c r="D458" s="8">
        <v>18.649999999999999</v>
      </c>
      <c r="E458" t="s">
        <v>3044</v>
      </c>
    </row>
    <row r="459" spans="1:5" x14ac:dyDescent="0.25">
      <c r="A459" t="s">
        <v>2962</v>
      </c>
      <c r="B459" t="s">
        <v>2963</v>
      </c>
      <c r="C459" t="s">
        <v>3152</v>
      </c>
      <c r="D459" s="8">
        <v>18.649999999999999</v>
      </c>
      <c r="E459" t="s">
        <v>3044</v>
      </c>
    </row>
    <row r="460" spans="1:5" x14ac:dyDescent="0.25">
      <c r="A460" t="s">
        <v>2964</v>
      </c>
      <c r="B460" t="s">
        <v>2965</v>
      </c>
      <c r="C460" t="s">
        <v>3152</v>
      </c>
      <c r="D460" s="8">
        <v>19.8</v>
      </c>
      <c r="E460" t="s">
        <v>3044</v>
      </c>
    </row>
    <row r="461" spans="1:5" x14ac:dyDescent="0.25">
      <c r="A461" t="s">
        <v>2163</v>
      </c>
      <c r="B461" t="s">
        <v>2164</v>
      </c>
      <c r="C461" t="s">
        <v>3152</v>
      </c>
      <c r="D461" s="8">
        <v>25.35</v>
      </c>
      <c r="E461" t="s">
        <v>3044</v>
      </c>
    </row>
    <row r="462" spans="1:5" x14ac:dyDescent="0.25">
      <c r="A462" t="s">
        <v>2073</v>
      </c>
      <c r="B462" t="s">
        <v>2074</v>
      </c>
      <c r="C462" t="s">
        <v>3152</v>
      </c>
      <c r="D462" s="8">
        <v>5.6</v>
      </c>
      <c r="E462" t="s">
        <v>3044</v>
      </c>
    </row>
    <row r="463" spans="1:5" x14ac:dyDescent="0.25">
      <c r="A463" t="s">
        <v>2077</v>
      </c>
      <c r="B463" t="s">
        <v>2078</v>
      </c>
      <c r="C463" t="s">
        <v>3152</v>
      </c>
      <c r="D463" s="8">
        <v>5.6</v>
      </c>
      <c r="E463" t="s">
        <v>3044</v>
      </c>
    </row>
    <row r="464" spans="1:5" x14ac:dyDescent="0.25">
      <c r="A464" t="s">
        <v>2080</v>
      </c>
      <c r="B464" t="s">
        <v>2081</v>
      </c>
      <c r="C464" t="s">
        <v>3152</v>
      </c>
      <c r="D464" s="8">
        <v>5.6</v>
      </c>
      <c r="E464" t="s">
        <v>3044</v>
      </c>
    </row>
    <row r="465" spans="1:5" x14ac:dyDescent="0.25">
      <c r="A465" t="s">
        <v>2083</v>
      </c>
      <c r="B465" t="s">
        <v>2084</v>
      </c>
      <c r="C465" t="s">
        <v>3152</v>
      </c>
      <c r="D465" s="8">
        <v>5.6</v>
      </c>
      <c r="E465" t="s">
        <v>3044</v>
      </c>
    </row>
    <row r="466" spans="1:5" x14ac:dyDescent="0.25">
      <c r="A466" t="s">
        <v>2086</v>
      </c>
      <c r="B466" t="s">
        <v>2087</v>
      </c>
      <c r="C466" t="s">
        <v>3152</v>
      </c>
      <c r="D466" s="8">
        <v>5.6</v>
      </c>
      <c r="E466" t="s">
        <v>3044</v>
      </c>
    </row>
    <row r="467" spans="1:5" x14ac:dyDescent="0.25">
      <c r="A467" t="s">
        <v>2089</v>
      </c>
      <c r="B467" t="s">
        <v>2090</v>
      </c>
      <c r="C467" t="s">
        <v>3152</v>
      </c>
      <c r="D467" s="8">
        <v>6.5</v>
      </c>
      <c r="E467" t="s">
        <v>3044</v>
      </c>
    </row>
    <row r="468" spans="1:5" x14ac:dyDescent="0.25">
      <c r="A468" t="s">
        <v>2092</v>
      </c>
      <c r="B468" t="s">
        <v>2093</v>
      </c>
      <c r="C468" t="s">
        <v>3152</v>
      </c>
      <c r="D468" s="8">
        <v>14.45</v>
      </c>
      <c r="E468" t="s">
        <v>3044</v>
      </c>
    </row>
    <row r="469" spans="1:5" x14ac:dyDescent="0.25">
      <c r="A469" t="s">
        <v>2100</v>
      </c>
      <c r="B469" t="s">
        <v>2101</v>
      </c>
      <c r="C469" t="s">
        <v>3152</v>
      </c>
      <c r="D469" s="8">
        <v>4.75</v>
      </c>
      <c r="E469" t="s">
        <v>3044</v>
      </c>
    </row>
    <row r="470" spans="1:5" x14ac:dyDescent="0.25">
      <c r="A470" t="s">
        <v>2103</v>
      </c>
      <c r="B470" t="s">
        <v>2104</v>
      </c>
      <c r="C470" t="s">
        <v>3152</v>
      </c>
      <c r="D470" s="8">
        <v>4.75</v>
      </c>
      <c r="E470" t="s">
        <v>3044</v>
      </c>
    </row>
    <row r="471" spans="1:5" x14ac:dyDescent="0.25">
      <c r="A471" t="s">
        <v>2106</v>
      </c>
      <c r="B471" t="s">
        <v>2107</v>
      </c>
      <c r="C471" t="s">
        <v>3152</v>
      </c>
      <c r="D471" s="8">
        <v>4.75</v>
      </c>
      <c r="E471" t="s">
        <v>3044</v>
      </c>
    </row>
    <row r="472" spans="1:5" x14ac:dyDescent="0.25">
      <c r="A472" t="s">
        <v>2109</v>
      </c>
      <c r="B472" t="s">
        <v>2110</v>
      </c>
      <c r="C472" t="s">
        <v>3152</v>
      </c>
      <c r="D472" s="8">
        <v>4.75</v>
      </c>
      <c r="E472" t="s">
        <v>3044</v>
      </c>
    </row>
    <row r="473" spans="1:5" x14ac:dyDescent="0.25">
      <c r="A473" t="s">
        <v>2966</v>
      </c>
      <c r="B473" t="s">
        <v>2967</v>
      </c>
      <c r="C473" t="s">
        <v>3152</v>
      </c>
      <c r="D473" s="8">
        <v>10.6</v>
      </c>
      <c r="E473" t="s">
        <v>3044</v>
      </c>
    </row>
    <row r="474" spans="1:5" x14ac:dyDescent="0.25">
      <c r="A474" t="s">
        <v>2095</v>
      </c>
      <c r="B474" t="s">
        <v>2096</v>
      </c>
      <c r="C474" t="s">
        <v>3152</v>
      </c>
      <c r="D474" s="8">
        <v>19.05</v>
      </c>
      <c r="E474" t="s">
        <v>3044</v>
      </c>
    </row>
    <row r="475" spans="1:5" x14ac:dyDescent="0.25">
      <c r="A475" t="s">
        <v>2098</v>
      </c>
      <c r="B475" t="s">
        <v>2099</v>
      </c>
      <c r="C475" t="s">
        <v>3152</v>
      </c>
      <c r="D475" s="8">
        <v>36.049999999999997</v>
      </c>
      <c r="E475" t="s">
        <v>3044</v>
      </c>
    </row>
    <row r="476" spans="1:5" x14ac:dyDescent="0.25">
      <c r="A476" t="s">
        <v>2968</v>
      </c>
      <c r="B476" t="s">
        <v>2969</v>
      </c>
      <c r="C476" t="s">
        <v>3152</v>
      </c>
      <c r="D476" s="8">
        <v>25.35</v>
      </c>
      <c r="E476" t="s">
        <v>3044</v>
      </c>
    </row>
    <row r="477" spans="1:5" x14ac:dyDescent="0.25">
      <c r="A477" t="s">
        <v>2138</v>
      </c>
      <c r="B477" t="s">
        <v>2139</v>
      </c>
      <c r="C477" t="s">
        <v>3152</v>
      </c>
      <c r="D477" s="8">
        <v>15.95</v>
      </c>
      <c r="E477" t="s">
        <v>3044</v>
      </c>
    </row>
    <row r="478" spans="1:5" x14ac:dyDescent="0.25">
      <c r="A478" t="s">
        <v>2141</v>
      </c>
      <c r="B478" t="s">
        <v>2142</v>
      </c>
      <c r="C478" t="s">
        <v>3152</v>
      </c>
      <c r="D478" s="8">
        <v>15.95</v>
      </c>
      <c r="E478" t="s">
        <v>3044</v>
      </c>
    </row>
    <row r="479" spans="1:5" x14ac:dyDescent="0.25">
      <c r="A479" t="s">
        <v>2970</v>
      </c>
      <c r="B479" t="s">
        <v>2971</v>
      </c>
      <c r="C479" t="s">
        <v>3152</v>
      </c>
      <c r="D479" s="8">
        <v>15.95</v>
      </c>
      <c r="E479" t="s">
        <v>3044</v>
      </c>
    </row>
    <row r="480" spans="1:5" x14ac:dyDescent="0.25">
      <c r="A480" t="s">
        <v>2147</v>
      </c>
      <c r="B480" t="s">
        <v>2148</v>
      </c>
      <c r="C480" t="s">
        <v>3152</v>
      </c>
      <c r="D480" s="8">
        <v>15.95</v>
      </c>
      <c r="E480" t="s">
        <v>3044</v>
      </c>
    </row>
    <row r="481" spans="1:5" x14ac:dyDescent="0.25">
      <c r="A481" t="s">
        <v>2149</v>
      </c>
      <c r="B481" t="s">
        <v>2150</v>
      </c>
      <c r="C481" t="s">
        <v>3152</v>
      </c>
      <c r="D481" s="8">
        <v>19.8</v>
      </c>
      <c r="E481" t="s">
        <v>3044</v>
      </c>
    </row>
    <row r="482" spans="1:5" x14ac:dyDescent="0.25">
      <c r="A482" t="s">
        <v>2144</v>
      </c>
      <c r="B482" t="s">
        <v>2145</v>
      </c>
      <c r="C482" t="s">
        <v>3152</v>
      </c>
      <c r="D482" s="8">
        <v>15.95</v>
      </c>
      <c r="E482" t="s">
        <v>3044</v>
      </c>
    </row>
    <row r="483" spans="1:5" x14ac:dyDescent="0.25">
      <c r="A483" t="s">
        <v>2972</v>
      </c>
      <c r="B483" t="s">
        <v>2973</v>
      </c>
      <c r="C483" t="s">
        <v>3152</v>
      </c>
      <c r="D483" s="8">
        <v>15.95</v>
      </c>
      <c r="E483" t="s">
        <v>3044</v>
      </c>
    </row>
    <row r="484" spans="1:5" x14ac:dyDescent="0.25">
      <c r="A484" t="s">
        <v>2151</v>
      </c>
      <c r="B484" t="s">
        <v>2152</v>
      </c>
      <c r="C484" t="s">
        <v>3152</v>
      </c>
      <c r="D484" s="8">
        <v>40.450000000000003</v>
      </c>
      <c r="E484" t="s">
        <v>3044</v>
      </c>
    </row>
    <row r="485" spans="1:5" x14ac:dyDescent="0.25">
      <c r="A485" t="s">
        <v>2974</v>
      </c>
      <c r="B485" t="s">
        <v>2975</v>
      </c>
      <c r="C485" t="s">
        <v>3152</v>
      </c>
      <c r="D485" s="8">
        <v>15.95</v>
      </c>
      <c r="E485" t="s">
        <v>3044</v>
      </c>
    </row>
    <row r="486" spans="1:5" x14ac:dyDescent="0.25">
      <c r="A486" t="s">
        <v>2976</v>
      </c>
      <c r="B486" t="s">
        <v>2977</v>
      </c>
      <c r="C486" t="s">
        <v>3152</v>
      </c>
      <c r="D486" s="8">
        <v>0.9</v>
      </c>
      <c r="E486" t="s">
        <v>3044</v>
      </c>
    </row>
    <row r="487" spans="1:5" x14ac:dyDescent="0.25">
      <c r="A487" t="s">
        <v>2172</v>
      </c>
      <c r="B487" t="s">
        <v>2173</v>
      </c>
      <c r="C487" t="s">
        <v>3152</v>
      </c>
      <c r="D487" s="8">
        <v>5.6</v>
      </c>
      <c r="E487" t="s">
        <v>3044</v>
      </c>
    </row>
    <row r="488" spans="1:5" x14ac:dyDescent="0.25">
      <c r="A488" t="s">
        <v>2182</v>
      </c>
      <c r="B488" t="s">
        <v>2183</v>
      </c>
      <c r="C488" t="s">
        <v>3152</v>
      </c>
      <c r="D488" s="8">
        <v>15.95</v>
      </c>
      <c r="E488" t="s">
        <v>3044</v>
      </c>
    </row>
    <row r="489" spans="1:5" x14ac:dyDescent="0.25">
      <c r="A489" t="s">
        <v>2174</v>
      </c>
      <c r="B489" t="s">
        <v>2175</v>
      </c>
      <c r="C489" t="s">
        <v>3152</v>
      </c>
      <c r="D489" s="8">
        <v>3.75</v>
      </c>
      <c r="E489" t="s">
        <v>3044</v>
      </c>
    </row>
    <row r="490" spans="1:5" x14ac:dyDescent="0.25">
      <c r="A490" t="s">
        <v>2177</v>
      </c>
      <c r="B490" t="s">
        <v>2178</v>
      </c>
      <c r="C490" t="s">
        <v>3152</v>
      </c>
      <c r="D490" s="8">
        <v>9.15</v>
      </c>
      <c r="E490" t="s">
        <v>3044</v>
      </c>
    </row>
    <row r="491" spans="1:5" x14ac:dyDescent="0.25">
      <c r="A491" t="s">
        <v>2179</v>
      </c>
      <c r="B491" t="s">
        <v>2180</v>
      </c>
      <c r="C491" t="s">
        <v>3152</v>
      </c>
      <c r="D491" s="8">
        <v>9.6999999999999993</v>
      </c>
      <c r="E491" t="s">
        <v>3044</v>
      </c>
    </row>
    <row r="492" spans="1:5" x14ac:dyDescent="0.25">
      <c r="A492" t="s">
        <v>3234</v>
      </c>
      <c r="B492" t="s">
        <v>3235</v>
      </c>
      <c r="C492" t="s">
        <v>3152</v>
      </c>
      <c r="D492" s="8">
        <v>41.25</v>
      </c>
      <c r="E492" t="s">
        <v>3044</v>
      </c>
    </row>
    <row r="493" spans="1:5" x14ac:dyDescent="0.25">
      <c r="A493" t="s">
        <v>2978</v>
      </c>
      <c r="B493" t="s">
        <v>2979</v>
      </c>
      <c r="C493" t="s">
        <v>3152</v>
      </c>
      <c r="D493" s="8">
        <v>10</v>
      </c>
      <c r="E493" t="s">
        <v>3044</v>
      </c>
    </row>
    <row r="494" spans="1:5" x14ac:dyDescent="0.25">
      <c r="A494" t="s">
        <v>2980</v>
      </c>
      <c r="B494" t="s">
        <v>2981</v>
      </c>
      <c r="C494" t="s">
        <v>3152</v>
      </c>
      <c r="D494" s="8">
        <v>3.55</v>
      </c>
      <c r="E494" t="s">
        <v>3044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149</v>
      </c>
      <c r="B2" s="1" t="s">
        <v>150</v>
      </c>
      <c r="C2">
        <v>36.6</v>
      </c>
      <c r="D2" t="s">
        <v>3241</v>
      </c>
      <c r="E2" s="3" t="s">
        <v>3242</v>
      </c>
      <c r="F2">
        <v>75</v>
      </c>
      <c r="G2" t="b">
        <v>1</v>
      </c>
      <c r="H2">
        <v>1</v>
      </c>
    </row>
    <row r="3" spans="1:8" x14ac:dyDescent="0.25">
      <c r="A3" s="2" t="s">
        <v>151</v>
      </c>
      <c r="B3" s="1" t="s">
        <v>152</v>
      </c>
      <c r="C3">
        <v>36.6</v>
      </c>
      <c r="D3" t="s">
        <v>3241</v>
      </c>
      <c r="E3" s="3" t="s">
        <v>3242</v>
      </c>
      <c r="F3">
        <v>75</v>
      </c>
      <c r="G3" t="b">
        <v>1</v>
      </c>
      <c r="H3">
        <v>1</v>
      </c>
    </row>
    <row r="4" spans="1:8" x14ac:dyDescent="0.25">
      <c r="A4" s="2" t="s">
        <v>153</v>
      </c>
      <c r="B4" s="1" t="s">
        <v>154</v>
      </c>
      <c r="C4">
        <v>36.6</v>
      </c>
      <c r="D4" t="s">
        <v>3241</v>
      </c>
      <c r="E4" s="3" t="s">
        <v>3242</v>
      </c>
      <c r="F4">
        <v>75</v>
      </c>
      <c r="G4" t="b">
        <v>1</v>
      </c>
      <c r="H4">
        <v>1</v>
      </c>
    </row>
    <row r="5" spans="1:8" x14ac:dyDescent="0.25">
      <c r="A5" s="2" t="s">
        <v>155</v>
      </c>
      <c r="B5" s="1" t="s">
        <v>156</v>
      </c>
      <c r="C5">
        <v>36.6</v>
      </c>
      <c r="D5" t="s">
        <v>3241</v>
      </c>
      <c r="E5" s="3" t="s">
        <v>3242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3241</v>
      </c>
      <c r="E6" t="s">
        <v>3243</v>
      </c>
      <c r="F6">
        <v>75</v>
      </c>
      <c r="G6" t="b">
        <v>1</v>
      </c>
      <c r="H6">
        <v>1</v>
      </c>
    </row>
    <row r="7" spans="1:8" x14ac:dyDescent="0.25">
      <c r="A7" s="5" t="s">
        <v>111</v>
      </c>
      <c r="B7" s="4" t="s">
        <v>112</v>
      </c>
      <c r="C7">
        <v>21.5</v>
      </c>
      <c r="D7" t="s">
        <v>3241</v>
      </c>
      <c r="E7" t="s">
        <v>3243</v>
      </c>
      <c r="F7">
        <v>75</v>
      </c>
      <c r="G7" t="b">
        <v>1</v>
      </c>
      <c r="H7">
        <v>1</v>
      </c>
    </row>
    <row r="8" spans="1:8" x14ac:dyDescent="0.25">
      <c r="A8" s="5" t="s">
        <v>113</v>
      </c>
      <c r="B8" s="4" t="s">
        <v>114</v>
      </c>
      <c r="C8">
        <v>21.5</v>
      </c>
      <c r="D8" t="s">
        <v>3241</v>
      </c>
      <c r="E8" t="s">
        <v>3243</v>
      </c>
      <c r="F8">
        <v>75</v>
      </c>
      <c r="G8" t="b">
        <v>1</v>
      </c>
      <c r="H8">
        <v>1</v>
      </c>
    </row>
    <row r="9" spans="1:8" x14ac:dyDescent="0.25">
      <c r="A9" s="5" t="s">
        <v>115</v>
      </c>
      <c r="B9" s="4" t="s">
        <v>116</v>
      </c>
      <c r="C9">
        <v>21.5</v>
      </c>
      <c r="D9" t="s">
        <v>3241</v>
      </c>
      <c r="E9" t="s">
        <v>3243</v>
      </c>
      <c r="F9">
        <v>75</v>
      </c>
      <c r="G9" t="b">
        <v>1</v>
      </c>
      <c r="H9">
        <v>1</v>
      </c>
    </row>
    <row r="10" spans="1:8" x14ac:dyDescent="0.25">
      <c r="A10" s="5" t="s">
        <v>117</v>
      </c>
      <c r="B10" s="4" t="s">
        <v>118</v>
      </c>
      <c r="C10">
        <v>21.5</v>
      </c>
      <c r="D10" t="s">
        <v>3241</v>
      </c>
      <c r="E10" t="s">
        <v>3243</v>
      </c>
      <c r="F10">
        <v>75</v>
      </c>
      <c r="G10" t="b">
        <v>1</v>
      </c>
      <c r="H10">
        <v>1</v>
      </c>
    </row>
    <row r="11" spans="1:8" x14ac:dyDescent="0.25">
      <c r="A11" s="5" t="s">
        <v>119</v>
      </c>
      <c r="B11" s="4" t="s">
        <v>120</v>
      </c>
      <c r="C11">
        <v>21.5</v>
      </c>
      <c r="D11" t="s">
        <v>3241</v>
      </c>
      <c r="E11" t="s">
        <v>3243</v>
      </c>
      <c r="F11">
        <v>75</v>
      </c>
      <c r="G11" t="b">
        <v>1</v>
      </c>
      <c r="H11">
        <v>1</v>
      </c>
    </row>
    <row r="12" spans="1:8" x14ac:dyDescent="0.25">
      <c r="A12" s="5" t="s">
        <v>121</v>
      </c>
      <c r="B12" s="4" t="s">
        <v>122</v>
      </c>
      <c r="C12">
        <v>21.5</v>
      </c>
      <c r="D12" t="s">
        <v>3241</v>
      </c>
      <c r="E12" t="s">
        <v>3243</v>
      </c>
      <c r="F12">
        <v>75</v>
      </c>
      <c r="G12" t="b">
        <v>1</v>
      </c>
      <c r="H12">
        <v>1</v>
      </c>
    </row>
    <row r="13" spans="1:8" x14ac:dyDescent="0.25">
      <c r="A13" s="5" t="s">
        <v>123</v>
      </c>
      <c r="B13" s="4" t="s">
        <v>124</v>
      </c>
      <c r="C13">
        <v>21.5</v>
      </c>
      <c r="D13" t="s">
        <v>3241</v>
      </c>
      <c r="E13" t="s">
        <v>3243</v>
      </c>
      <c r="F13">
        <v>75</v>
      </c>
      <c r="G13" t="b">
        <v>1</v>
      </c>
      <c r="H13">
        <v>1</v>
      </c>
    </row>
    <row r="14" spans="1:8" x14ac:dyDescent="0.25">
      <c r="A14" s="5" t="s">
        <v>125</v>
      </c>
      <c r="B14" s="4" t="s">
        <v>126</v>
      </c>
      <c r="C14">
        <v>21.5</v>
      </c>
      <c r="D14" t="s">
        <v>3241</v>
      </c>
      <c r="E14" t="s">
        <v>3243</v>
      </c>
      <c r="F14">
        <v>75</v>
      </c>
      <c r="G14" t="b">
        <v>1</v>
      </c>
      <c r="H14">
        <v>1</v>
      </c>
    </row>
    <row r="15" spans="1:8" x14ac:dyDescent="0.25">
      <c r="A15" s="2" t="s">
        <v>127</v>
      </c>
      <c r="B15" t="s">
        <v>116</v>
      </c>
      <c r="C15">
        <v>27.15</v>
      </c>
      <c r="D15" t="s">
        <v>3241</v>
      </c>
      <c r="E15" t="s">
        <v>3244</v>
      </c>
      <c r="F15">
        <v>75</v>
      </c>
      <c r="G15" t="b">
        <v>1</v>
      </c>
      <c r="H15">
        <v>1</v>
      </c>
    </row>
    <row r="16" spans="1:8" x14ac:dyDescent="0.25">
      <c r="A16" s="2" t="s">
        <v>128</v>
      </c>
      <c r="B16" t="s">
        <v>118</v>
      </c>
      <c r="C16">
        <v>27.15</v>
      </c>
      <c r="D16" t="s">
        <v>3241</v>
      </c>
      <c r="E16" t="s">
        <v>3244</v>
      </c>
      <c r="F16">
        <v>75</v>
      </c>
      <c r="G16" t="b">
        <v>1</v>
      </c>
      <c r="H16">
        <v>1</v>
      </c>
    </row>
    <row r="17" spans="1:8" x14ac:dyDescent="0.25">
      <c r="A17" s="2" t="s">
        <v>129</v>
      </c>
      <c r="B17" t="s">
        <v>130</v>
      </c>
      <c r="C17">
        <v>27.15</v>
      </c>
      <c r="D17" t="s">
        <v>3241</v>
      </c>
      <c r="E17" t="s">
        <v>3244</v>
      </c>
      <c r="F17">
        <v>75</v>
      </c>
      <c r="G17" t="b">
        <v>1</v>
      </c>
      <c r="H17">
        <v>1</v>
      </c>
    </row>
    <row r="18" spans="1:8" x14ac:dyDescent="0.25">
      <c r="A18" s="2" t="s">
        <v>131</v>
      </c>
      <c r="B18" t="s">
        <v>132</v>
      </c>
      <c r="C18">
        <v>27.15</v>
      </c>
      <c r="D18" t="s">
        <v>3241</v>
      </c>
      <c r="E18" t="s">
        <v>3244</v>
      </c>
      <c r="F18">
        <v>75</v>
      </c>
      <c r="G18" t="b">
        <v>1</v>
      </c>
      <c r="H18">
        <v>1</v>
      </c>
    </row>
    <row r="19" spans="1:8" x14ac:dyDescent="0.25">
      <c r="A19" t="s">
        <v>172</v>
      </c>
      <c r="B19" t="s">
        <v>174</v>
      </c>
      <c r="C19">
        <v>21.5</v>
      </c>
      <c r="D19" t="s">
        <v>3241</v>
      </c>
      <c r="E19" t="s">
        <v>175</v>
      </c>
      <c r="F19">
        <v>75</v>
      </c>
      <c r="G19" t="b">
        <v>1</v>
      </c>
      <c r="H19">
        <v>1</v>
      </c>
    </row>
    <row r="20" spans="1:8" x14ac:dyDescent="0.25">
      <c r="A20" t="s">
        <v>176</v>
      </c>
      <c r="B20" t="s">
        <v>178</v>
      </c>
      <c r="C20">
        <v>21.5</v>
      </c>
      <c r="D20" t="s">
        <v>3241</v>
      </c>
      <c r="E20" t="s">
        <v>175</v>
      </c>
      <c r="F20">
        <v>75</v>
      </c>
      <c r="G20" t="b">
        <v>1</v>
      </c>
      <c r="H20">
        <v>1</v>
      </c>
    </row>
    <row r="21" spans="1:8" x14ac:dyDescent="0.25">
      <c r="A21" t="s">
        <v>157</v>
      </c>
      <c r="B21" t="s">
        <v>158</v>
      </c>
      <c r="C21">
        <v>94.350000000000009</v>
      </c>
      <c r="D21" t="s">
        <v>3241</v>
      </c>
      <c r="E21" t="s">
        <v>159</v>
      </c>
      <c r="F21">
        <v>75</v>
      </c>
      <c r="G21" t="b">
        <v>1</v>
      </c>
      <c r="H21">
        <v>1</v>
      </c>
    </row>
    <row r="22" spans="1:8" x14ac:dyDescent="0.25">
      <c r="A22" t="s">
        <v>160</v>
      </c>
      <c r="B22" t="s">
        <v>161</v>
      </c>
      <c r="C22">
        <v>35.1</v>
      </c>
      <c r="D22" t="s">
        <v>3241</v>
      </c>
      <c r="E22" t="s">
        <v>159</v>
      </c>
      <c r="F22">
        <v>75</v>
      </c>
      <c r="G22" t="b">
        <v>1</v>
      </c>
      <c r="H22">
        <v>1</v>
      </c>
    </row>
    <row r="23" spans="1:8" x14ac:dyDescent="0.25">
      <c r="A23" t="s">
        <v>142</v>
      </c>
      <c r="B23" s="1" t="s">
        <v>143</v>
      </c>
      <c r="C23">
        <v>64.850000000000009</v>
      </c>
      <c r="D23" t="s">
        <v>3241</v>
      </c>
      <c r="E23" t="s">
        <v>3245</v>
      </c>
      <c r="F23">
        <v>75</v>
      </c>
      <c r="G23" t="b">
        <v>1</v>
      </c>
      <c r="H23">
        <v>1</v>
      </c>
    </row>
    <row r="24" spans="1:8" x14ac:dyDescent="0.25">
      <c r="A24" t="s">
        <v>145</v>
      </c>
      <c r="B24" s="1" t="s">
        <v>146</v>
      </c>
      <c r="C24">
        <v>67.55</v>
      </c>
      <c r="D24" t="s">
        <v>3241</v>
      </c>
      <c r="E24" t="s">
        <v>3245</v>
      </c>
      <c r="F24">
        <v>75</v>
      </c>
      <c r="G24" t="b">
        <v>1</v>
      </c>
      <c r="H24">
        <v>1</v>
      </c>
    </row>
    <row r="25" spans="1:8" x14ac:dyDescent="0.25">
      <c r="A25" t="s">
        <v>147</v>
      </c>
      <c r="B25" s="1" t="s">
        <v>148</v>
      </c>
      <c r="C25">
        <v>70.2</v>
      </c>
      <c r="D25" t="s">
        <v>3241</v>
      </c>
      <c r="E25" t="s">
        <v>3245</v>
      </c>
      <c r="F25">
        <v>75</v>
      </c>
      <c r="G25" t="b">
        <v>1</v>
      </c>
      <c r="H25">
        <v>1</v>
      </c>
    </row>
    <row r="26" spans="1:8" x14ac:dyDescent="0.25">
      <c r="A26" t="s">
        <v>133</v>
      </c>
      <c r="B26" s="1" t="s">
        <v>134</v>
      </c>
      <c r="C26">
        <v>98.800000000000011</v>
      </c>
      <c r="D26" t="s">
        <v>3241</v>
      </c>
      <c r="E26" t="s">
        <v>3246</v>
      </c>
      <c r="F26">
        <v>75</v>
      </c>
      <c r="G26" t="b">
        <v>1</v>
      </c>
      <c r="H26">
        <v>1</v>
      </c>
    </row>
    <row r="27" spans="1:8" x14ac:dyDescent="0.25">
      <c r="A27" t="s">
        <v>136</v>
      </c>
      <c r="B27" s="1" t="s">
        <v>137</v>
      </c>
      <c r="C27">
        <v>114.7</v>
      </c>
      <c r="D27" t="s">
        <v>3241</v>
      </c>
      <c r="E27" t="s">
        <v>3246</v>
      </c>
      <c r="F27">
        <v>75</v>
      </c>
      <c r="G27" t="b">
        <v>1</v>
      </c>
      <c r="H27">
        <v>1</v>
      </c>
    </row>
    <row r="28" spans="1:8" x14ac:dyDescent="0.25">
      <c r="A28" t="s">
        <v>138</v>
      </c>
      <c r="B28" s="1" t="s">
        <v>139</v>
      </c>
      <c r="C28">
        <v>125.60000000000001</v>
      </c>
      <c r="D28" t="s">
        <v>3241</v>
      </c>
      <c r="E28" t="s">
        <v>3246</v>
      </c>
      <c r="F28">
        <v>75</v>
      </c>
      <c r="G28" t="b">
        <v>1</v>
      </c>
      <c r="H28">
        <v>1</v>
      </c>
    </row>
    <row r="29" spans="1:8" x14ac:dyDescent="0.25">
      <c r="A29" t="s">
        <v>140</v>
      </c>
      <c r="B29" s="1" t="s">
        <v>141</v>
      </c>
      <c r="C29">
        <v>135.05000000000001</v>
      </c>
      <c r="D29" t="s">
        <v>3241</v>
      </c>
      <c r="E29" t="s">
        <v>3246</v>
      </c>
      <c r="F29">
        <v>75</v>
      </c>
      <c r="G29" t="b">
        <v>1</v>
      </c>
      <c r="H29">
        <v>1</v>
      </c>
    </row>
    <row r="41" spans="1:8" x14ac:dyDescent="0.25">
      <c r="A41" t="s">
        <v>246</v>
      </c>
      <c r="B41" t="s">
        <v>247</v>
      </c>
      <c r="C41">
        <v>22.4</v>
      </c>
      <c r="D41" t="s">
        <v>3067</v>
      </c>
      <c r="E41" t="s">
        <v>3247</v>
      </c>
      <c r="F41">
        <v>75</v>
      </c>
      <c r="G41" t="b">
        <v>1</v>
      </c>
      <c r="H41">
        <v>1</v>
      </c>
    </row>
    <row r="42" spans="1:8" x14ac:dyDescent="0.25">
      <c r="A42" t="s">
        <v>249</v>
      </c>
      <c r="B42" t="s">
        <v>250</v>
      </c>
      <c r="C42">
        <v>23.65</v>
      </c>
      <c r="D42" t="s">
        <v>3067</v>
      </c>
      <c r="E42" t="s">
        <v>3247</v>
      </c>
      <c r="F42">
        <v>75</v>
      </c>
      <c r="G42" t="b">
        <v>1</v>
      </c>
      <c r="H42">
        <v>1</v>
      </c>
    </row>
    <row r="43" spans="1:8" x14ac:dyDescent="0.25">
      <c r="A43" t="s">
        <v>252</v>
      </c>
      <c r="B43" t="s">
        <v>253</v>
      </c>
      <c r="C43">
        <v>25.25</v>
      </c>
      <c r="D43" t="s">
        <v>3067</v>
      </c>
      <c r="E43" t="s">
        <v>3247</v>
      </c>
      <c r="F43">
        <v>75</v>
      </c>
      <c r="G43" t="b">
        <v>1</v>
      </c>
      <c r="H43">
        <v>1</v>
      </c>
    </row>
    <row r="44" spans="1:8" x14ac:dyDescent="0.25">
      <c r="A44" t="s">
        <v>255</v>
      </c>
      <c r="B44" t="s">
        <v>256</v>
      </c>
      <c r="C44">
        <v>26.8</v>
      </c>
      <c r="D44" t="s">
        <v>3067</v>
      </c>
      <c r="E44" t="s">
        <v>3247</v>
      </c>
      <c r="F44">
        <v>75</v>
      </c>
      <c r="G44" t="b">
        <v>1</v>
      </c>
      <c r="H44">
        <v>1</v>
      </c>
    </row>
    <row r="45" spans="1:8" x14ac:dyDescent="0.25">
      <c r="A45" t="s">
        <v>335</v>
      </c>
      <c r="B45" t="s">
        <v>336</v>
      </c>
      <c r="C45">
        <v>40.799999999999997</v>
      </c>
      <c r="D45" t="s">
        <v>3067</v>
      </c>
      <c r="E45" t="s">
        <v>3247</v>
      </c>
      <c r="F45">
        <v>75</v>
      </c>
      <c r="G45" t="b">
        <v>1</v>
      </c>
      <c r="H45">
        <v>1</v>
      </c>
    </row>
    <row r="46" spans="1:8" x14ac:dyDescent="0.25">
      <c r="A46" t="s">
        <v>337</v>
      </c>
      <c r="B46" t="s">
        <v>338</v>
      </c>
      <c r="C46">
        <v>41.4</v>
      </c>
      <c r="D46" t="s">
        <v>3067</v>
      </c>
      <c r="E46" t="s">
        <v>3247</v>
      </c>
      <c r="F46">
        <v>75</v>
      </c>
      <c r="G46" t="b">
        <v>1</v>
      </c>
      <c r="H46">
        <v>1</v>
      </c>
    </row>
    <row r="47" spans="1:8" x14ac:dyDescent="0.25">
      <c r="A47" t="s">
        <v>340</v>
      </c>
      <c r="B47" t="s">
        <v>341</v>
      </c>
      <c r="C47">
        <v>42</v>
      </c>
      <c r="D47" t="s">
        <v>3067</v>
      </c>
      <c r="E47" t="s">
        <v>3247</v>
      </c>
      <c r="F47">
        <v>75</v>
      </c>
      <c r="G47" t="b">
        <v>1</v>
      </c>
      <c r="H47">
        <v>1</v>
      </c>
    </row>
    <row r="48" spans="1:8" x14ac:dyDescent="0.25">
      <c r="A48" t="s">
        <v>343</v>
      </c>
      <c r="B48" t="s">
        <v>344</v>
      </c>
      <c r="C48">
        <v>43.25</v>
      </c>
      <c r="D48" t="s">
        <v>3067</v>
      </c>
      <c r="E48" t="s">
        <v>3247</v>
      </c>
      <c r="F48">
        <v>75</v>
      </c>
      <c r="G48" t="b">
        <v>1</v>
      </c>
      <c r="H48">
        <v>1</v>
      </c>
    </row>
    <row r="49" spans="1:8" x14ac:dyDescent="0.25">
      <c r="A49" t="s">
        <v>300</v>
      </c>
      <c r="B49" t="s">
        <v>301</v>
      </c>
      <c r="C49">
        <v>29.3</v>
      </c>
      <c r="D49" t="s">
        <v>3067</v>
      </c>
      <c r="E49" t="s">
        <v>3247</v>
      </c>
      <c r="F49">
        <v>75</v>
      </c>
      <c r="G49" t="b">
        <v>1</v>
      </c>
      <c r="H49">
        <v>1</v>
      </c>
    </row>
    <row r="50" spans="1:8" x14ac:dyDescent="0.25">
      <c r="A50" t="s">
        <v>303</v>
      </c>
      <c r="B50" t="s">
        <v>304</v>
      </c>
      <c r="C50">
        <v>29.85</v>
      </c>
      <c r="D50" t="s">
        <v>3067</v>
      </c>
      <c r="E50" t="s">
        <v>3247</v>
      </c>
      <c r="F50">
        <v>75</v>
      </c>
      <c r="G50" t="b">
        <v>1</v>
      </c>
      <c r="H50">
        <v>1</v>
      </c>
    </row>
    <row r="51" spans="1:8" x14ac:dyDescent="0.25">
      <c r="A51" t="s">
        <v>306</v>
      </c>
      <c r="B51" t="s">
        <v>307</v>
      </c>
      <c r="C51">
        <v>32.4</v>
      </c>
      <c r="D51" t="s">
        <v>3067</v>
      </c>
      <c r="E51" t="s">
        <v>3247</v>
      </c>
      <c r="F51">
        <v>75</v>
      </c>
      <c r="G51" t="b">
        <v>1</v>
      </c>
      <c r="H51">
        <v>1</v>
      </c>
    </row>
    <row r="52" spans="1:8" x14ac:dyDescent="0.25">
      <c r="A52" t="s">
        <v>309</v>
      </c>
      <c r="B52" t="s">
        <v>310</v>
      </c>
      <c r="C52">
        <v>34.85</v>
      </c>
      <c r="D52" t="s">
        <v>3067</v>
      </c>
      <c r="E52" t="s">
        <v>3247</v>
      </c>
      <c r="F52">
        <v>75</v>
      </c>
      <c r="G52" t="b">
        <v>1</v>
      </c>
      <c r="H52">
        <v>1</v>
      </c>
    </row>
    <row r="53" spans="1:8" x14ac:dyDescent="0.25">
      <c r="A53" t="s">
        <v>312</v>
      </c>
      <c r="B53" t="s">
        <v>313</v>
      </c>
      <c r="C53">
        <v>39.25</v>
      </c>
      <c r="D53" t="s">
        <v>3067</v>
      </c>
      <c r="E53" t="s">
        <v>3247</v>
      </c>
      <c r="F53">
        <v>75</v>
      </c>
      <c r="G53" t="b">
        <v>1</v>
      </c>
      <c r="H53">
        <v>1</v>
      </c>
    </row>
    <row r="54" spans="1:8" x14ac:dyDescent="0.25">
      <c r="A54" t="s">
        <v>315</v>
      </c>
      <c r="B54" t="s">
        <v>316</v>
      </c>
      <c r="C54">
        <v>42</v>
      </c>
      <c r="D54" t="s">
        <v>3067</v>
      </c>
      <c r="E54" t="s">
        <v>3247</v>
      </c>
      <c r="F54">
        <v>75</v>
      </c>
      <c r="G54" t="b">
        <v>1</v>
      </c>
      <c r="H54">
        <v>1</v>
      </c>
    </row>
    <row r="55" spans="1:8" x14ac:dyDescent="0.25">
      <c r="A55" t="s">
        <v>258</v>
      </c>
      <c r="B55" t="s">
        <v>259</v>
      </c>
      <c r="C55">
        <v>25.35</v>
      </c>
      <c r="D55" t="s">
        <v>3067</v>
      </c>
      <c r="E55" t="s">
        <v>3247</v>
      </c>
      <c r="F55">
        <v>75</v>
      </c>
      <c r="G55" t="b">
        <v>1</v>
      </c>
      <c r="H55">
        <v>1</v>
      </c>
    </row>
    <row r="56" spans="1:8" x14ac:dyDescent="0.25">
      <c r="A56" t="s">
        <v>261</v>
      </c>
      <c r="B56" t="s">
        <v>262</v>
      </c>
      <c r="C56">
        <v>28.95</v>
      </c>
      <c r="D56" t="s">
        <v>3067</v>
      </c>
      <c r="E56" t="s">
        <v>3247</v>
      </c>
      <c r="F56">
        <v>75</v>
      </c>
      <c r="G56" t="b">
        <v>1</v>
      </c>
      <c r="H56">
        <v>1</v>
      </c>
    </row>
    <row r="57" spans="1:8" x14ac:dyDescent="0.25">
      <c r="A57" t="s">
        <v>264</v>
      </c>
      <c r="B57" t="s">
        <v>265</v>
      </c>
      <c r="C57">
        <v>30.4</v>
      </c>
      <c r="D57" t="s">
        <v>3067</v>
      </c>
      <c r="E57" t="s">
        <v>3247</v>
      </c>
      <c r="F57">
        <v>75</v>
      </c>
      <c r="G57" t="b">
        <v>1</v>
      </c>
      <c r="H57">
        <v>1</v>
      </c>
    </row>
    <row r="58" spans="1:8" x14ac:dyDescent="0.25">
      <c r="A58" t="s">
        <v>267</v>
      </c>
      <c r="B58" t="s">
        <v>268</v>
      </c>
      <c r="C58">
        <v>31.55</v>
      </c>
      <c r="D58" t="s">
        <v>3067</v>
      </c>
      <c r="E58" t="s">
        <v>3247</v>
      </c>
      <c r="F58">
        <v>75</v>
      </c>
      <c r="G58" t="b">
        <v>1</v>
      </c>
      <c r="H58">
        <v>1</v>
      </c>
    </row>
    <row r="59" spans="1:8" x14ac:dyDescent="0.25">
      <c r="A59" t="s">
        <v>241</v>
      </c>
      <c r="B59" t="s">
        <v>242</v>
      </c>
      <c r="C59">
        <v>31.95</v>
      </c>
      <c r="D59" t="s">
        <v>3067</v>
      </c>
      <c r="E59" t="s">
        <v>3247</v>
      </c>
      <c r="F59">
        <v>75</v>
      </c>
      <c r="G59" t="b">
        <v>1</v>
      </c>
      <c r="H59">
        <v>1</v>
      </c>
    </row>
    <row r="60" spans="1:8" x14ac:dyDescent="0.25">
      <c r="A60" t="s">
        <v>244</v>
      </c>
      <c r="B60" t="s">
        <v>245</v>
      </c>
      <c r="C60">
        <v>35.1</v>
      </c>
      <c r="D60" t="s">
        <v>3067</v>
      </c>
      <c r="E60" t="s">
        <v>3247</v>
      </c>
      <c r="F60">
        <v>75</v>
      </c>
      <c r="G60" t="b">
        <v>1</v>
      </c>
      <c r="H60">
        <v>1</v>
      </c>
    </row>
    <row r="61" spans="1:8" x14ac:dyDescent="0.25">
      <c r="A61" t="s">
        <v>346</v>
      </c>
      <c r="B61" t="s">
        <v>347</v>
      </c>
      <c r="C61">
        <v>34.25</v>
      </c>
      <c r="D61" t="s">
        <v>3067</v>
      </c>
      <c r="E61" t="s">
        <v>3247</v>
      </c>
      <c r="F61">
        <v>75</v>
      </c>
      <c r="G61" t="b">
        <v>1</v>
      </c>
      <c r="H61">
        <v>1</v>
      </c>
    </row>
    <row r="62" spans="1:8" x14ac:dyDescent="0.25">
      <c r="A62" t="s">
        <v>349</v>
      </c>
      <c r="B62" t="s">
        <v>350</v>
      </c>
      <c r="C62">
        <v>35.549999999999997</v>
      </c>
      <c r="D62" t="s">
        <v>3067</v>
      </c>
      <c r="E62" t="s">
        <v>3247</v>
      </c>
      <c r="F62">
        <v>75</v>
      </c>
      <c r="G62" t="b">
        <v>1</v>
      </c>
      <c r="H62">
        <v>1</v>
      </c>
    </row>
    <row r="63" spans="1:8" x14ac:dyDescent="0.25">
      <c r="A63" t="s">
        <v>352</v>
      </c>
      <c r="B63" t="s">
        <v>353</v>
      </c>
      <c r="C63">
        <v>40.799999999999997</v>
      </c>
      <c r="D63" t="s">
        <v>3067</v>
      </c>
      <c r="E63" t="s">
        <v>3247</v>
      </c>
      <c r="F63">
        <v>75</v>
      </c>
      <c r="G63" t="b">
        <v>1</v>
      </c>
      <c r="H63">
        <v>1</v>
      </c>
    </row>
    <row r="64" spans="1:8" x14ac:dyDescent="0.25">
      <c r="A64" t="s">
        <v>355</v>
      </c>
      <c r="B64" t="s">
        <v>356</v>
      </c>
      <c r="C64">
        <v>43.95</v>
      </c>
      <c r="D64" t="s">
        <v>3067</v>
      </c>
      <c r="E64" t="s">
        <v>3247</v>
      </c>
      <c r="F64">
        <v>75</v>
      </c>
      <c r="G64" t="b">
        <v>1</v>
      </c>
      <c r="H64">
        <v>1</v>
      </c>
    </row>
    <row r="65" spans="1:8" x14ac:dyDescent="0.25">
      <c r="A65" t="s">
        <v>358</v>
      </c>
      <c r="B65" t="s">
        <v>359</v>
      </c>
      <c r="C65">
        <v>46.4</v>
      </c>
      <c r="D65" t="s">
        <v>3067</v>
      </c>
      <c r="E65" t="s">
        <v>3247</v>
      </c>
      <c r="F65">
        <v>75</v>
      </c>
      <c r="G65" t="b">
        <v>1</v>
      </c>
      <c r="H65">
        <v>1</v>
      </c>
    </row>
    <row r="66" spans="1:8" x14ac:dyDescent="0.25">
      <c r="A66" t="s">
        <v>361</v>
      </c>
      <c r="B66" t="s">
        <v>362</v>
      </c>
      <c r="C66">
        <v>48.95</v>
      </c>
      <c r="D66" t="s">
        <v>3067</v>
      </c>
      <c r="E66" t="s">
        <v>3247</v>
      </c>
      <c r="F66">
        <v>75</v>
      </c>
      <c r="G66" t="b">
        <v>1</v>
      </c>
      <c r="H66">
        <v>1</v>
      </c>
    </row>
    <row r="67" spans="1:8" x14ac:dyDescent="0.25">
      <c r="A67" t="s">
        <v>291</v>
      </c>
      <c r="B67" t="s">
        <v>292</v>
      </c>
      <c r="C67">
        <v>51.65</v>
      </c>
      <c r="D67" t="s">
        <v>3067</v>
      </c>
      <c r="E67" t="s">
        <v>3247</v>
      </c>
      <c r="F67">
        <v>75</v>
      </c>
      <c r="G67" t="b">
        <v>1</v>
      </c>
      <c r="H67">
        <v>1</v>
      </c>
    </row>
    <row r="68" spans="1:8" x14ac:dyDescent="0.25">
      <c r="A68" t="s">
        <v>318</v>
      </c>
      <c r="B68" t="s">
        <v>319</v>
      </c>
      <c r="C68">
        <v>42</v>
      </c>
      <c r="D68" t="s">
        <v>3067</v>
      </c>
      <c r="E68" t="s">
        <v>3247</v>
      </c>
      <c r="F68">
        <v>75</v>
      </c>
      <c r="G68" t="b">
        <v>1</v>
      </c>
      <c r="H68">
        <v>1</v>
      </c>
    </row>
    <row r="69" spans="1:8" x14ac:dyDescent="0.25">
      <c r="A69" t="s">
        <v>321</v>
      </c>
      <c r="B69" t="s">
        <v>322</v>
      </c>
      <c r="C69">
        <v>43.25</v>
      </c>
      <c r="D69" t="s">
        <v>3067</v>
      </c>
      <c r="E69" t="s">
        <v>3247</v>
      </c>
      <c r="F69">
        <v>75</v>
      </c>
      <c r="G69" t="b">
        <v>1</v>
      </c>
      <c r="H69">
        <v>1</v>
      </c>
    </row>
    <row r="70" spans="1:8" x14ac:dyDescent="0.25">
      <c r="A70" t="s">
        <v>324</v>
      </c>
      <c r="B70" t="s">
        <v>325</v>
      </c>
      <c r="C70">
        <v>45.8</v>
      </c>
      <c r="D70" t="s">
        <v>3067</v>
      </c>
      <c r="E70" t="s">
        <v>3247</v>
      </c>
      <c r="F70">
        <v>75</v>
      </c>
      <c r="G70" t="b">
        <v>1</v>
      </c>
      <c r="H70">
        <v>1</v>
      </c>
    </row>
    <row r="71" spans="1:8" x14ac:dyDescent="0.25">
      <c r="A71" t="s">
        <v>327</v>
      </c>
      <c r="B71" t="s">
        <v>328</v>
      </c>
      <c r="C71">
        <v>73.45</v>
      </c>
      <c r="D71" t="s">
        <v>3067</v>
      </c>
      <c r="E71" t="s">
        <v>3247</v>
      </c>
      <c r="F71">
        <v>75</v>
      </c>
      <c r="G71" t="b">
        <v>1</v>
      </c>
      <c r="H71">
        <v>1</v>
      </c>
    </row>
    <row r="72" spans="1:8" x14ac:dyDescent="0.25">
      <c r="A72" t="s">
        <v>408</v>
      </c>
      <c r="B72" t="s">
        <v>409</v>
      </c>
      <c r="C72">
        <v>17.399999999999999</v>
      </c>
      <c r="D72" t="s">
        <v>3067</v>
      </c>
      <c r="E72" t="s">
        <v>366</v>
      </c>
      <c r="F72">
        <v>75</v>
      </c>
      <c r="G72" t="b">
        <v>1</v>
      </c>
      <c r="H72">
        <v>1</v>
      </c>
    </row>
    <row r="73" spans="1:8" x14ac:dyDescent="0.25">
      <c r="A73" t="s">
        <v>411</v>
      </c>
      <c r="B73" t="s">
        <v>412</v>
      </c>
      <c r="C73">
        <v>19.8</v>
      </c>
      <c r="D73" t="s">
        <v>3067</v>
      </c>
      <c r="E73" t="s">
        <v>366</v>
      </c>
      <c r="F73">
        <v>75</v>
      </c>
      <c r="G73" t="b">
        <v>1</v>
      </c>
      <c r="H73">
        <v>1</v>
      </c>
    </row>
    <row r="74" spans="1:8" x14ac:dyDescent="0.25">
      <c r="A74" t="s">
        <v>413</v>
      </c>
      <c r="B74" t="s">
        <v>414</v>
      </c>
      <c r="C74">
        <v>22.4</v>
      </c>
      <c r="D74" t="s">
        <v>3067</v>
      </c>
      <c r="E74" t="s">
        <v>366</v>
      </c>
      <c r="F74">
        <v>75</v>
      </c>
      <c r="G74" t="b">
        <v>1</v>
      </c>
      <c r="H74">
        <v>1</v>
      </c>
    </row>
    <row r="75" spans="1:8" x14ac:dyDescent="0.25">
      <c r="A75" t="s">
        <v>415</v>
      </c>
      <c r="B75" t="s">
        <v>416</v>
      </c>
      <c r="C75">
        <v>24.45</v>
      </c>
      <c r="D75" t="s">
        <v>3067</v>
      </c>
      <c r="E75" t="s">
        <v>366</v>
      </c>
      <c r="F75">
        <v>75</v>
      </c>
      <c r="G75" t="b">
        <v>1</v>
      </c>
      <c r="H75">
        <v>1</v>
      </c>
    </row>
    <row r="76" spans="1:8" x14ac:dyDescent="0.25">
      <c r="A76" t="s">
        <v>418</v>
      </c>
      <c r="B76" t="s">
        <v>419</v>
      </c>
      <c r="C76">
        <v>27.75</v>
      </c>
      <c r="D76" t="s">
        <v>3067</v>
      </c>
      <c r="E76" t="s">
        <v>366</v>
      </c>
      <c r="F76">
        <v>75</v>
      </c>
      <c r="G76" t="b">
        <v>1</v>
      </c>
      <c r="H76">
        <v>1</v>
      </c>
    </row>
    <row r="77" spans="1:8" x14ac:dyDescent="0.25">
      <c r="A77" t="s">
        <v>421</v>
      </c>
      <c r="B77" t="s">
        <v>422</v>
      </c>
      <c r="C77">
        <v>31.9</v>
      </c>
      <c r="D77" t="s">
        <v>3067</v>
      </c>
      <c r="E77" t="s">
        <v>366</v>
      </c>
      <c r="F77">
        <v>75</v>
      </c>
      <c r="G77" t="b">
        <v>1</v>
      </c>
      <c r="H77">
        <v>1</v>
      </c>
    </row>
    <row r="78" spans="1:8" x14ac:dyDescent="0.25">
      <c r="A78" t="s">
        <v>424</v>
      </c>
      <c r="B78" t="s">
        <v>425</v>
      </c>
      <c r="C78">
        <v>35.700000000000003</v>
      </c>
      <c r="D78" t="s">
        <v>3067</v>
      </c>
      <c r="E78" t="s">
        <v>366</v>
      </c>
      <c r="F78">
        <v>75</v>
      </c>
      <c r="G78" t="b">
        <v>1</v>
      </c>
      <c r="H78">
        <v>1</v>
      </c>
    </row>
    <row r="79" spans="1:8" x14ac:dyDescent="0.25">
      <c r="A79" t="s">
        <v>426</v>
      </c>
      <c r="B79" t="s">
        <v>427</v>
      </c>
      <c r="C79">
        <v>41</v>
      </c>
      <c r="D79" t="s">
        <v>3067</v>
      </c>
      <c r="E79" t="s">
        <v>366</v>
      </c>
      <c r="F79">
        <v>75</v>
      </c>
      <c r="G79" t="b">
        <v>1</v>
      </c>
      <c r="H79">
        <v>1</v>
      </c>
    </row>
    <row r="80" spans="1:8" x14ac:dyDescent="0.25">
      <c r="A80" t="s">
        <v>428</v>
      </c>
      <c r="B80" t="s">
        <v>429</v>
      </c>
      <c r="C80">
        <v>45.1</v>
      </c>
      <c r="D80" t="s">
        <v>3067</v>
      </c>
      <c r="E80" t="s">
        <v>366</v>
      </c>
      <c r="F80">
        <v>75</v>
      </c>
      <c r="G80" t="b">
        <v>1</v>
      </c>
      <c r="H80">
        <v>1</v>
      </c>
    </row>
    <row r="81" spans="1:8" x14ac:dyDescent="0.25">
      <c r="A81" t="s">
        <v>430</v>
      </c>
      <c r="B81" t="s">
        <v>431</v>
      </c>
      <c r="C81">
        <v>51.6</v>
      </c>
      <c r="D81" t="s">
        <v>3067</v>
      </c>
      <c r="E81" t="s">
        <v>366</v>
      </c>
      <c r="F81">
        <v>75</v>
      </c>
      <c r="G81" t="b">
        <v>1</v>
      </c>
      <c r="H81">
        <v>1</v>
      </c>
    </row>
    <row r="82" spans="1:8" x14ac:dyDescent="0.25">
      <c r="A82" t="s">
        <v>432</v>
      </c>
      <c r="B82" t="s">
        <v>433</v>
      </c>
      <c r="C82">
        <v>55.45</v>
      </c>
      <c r="D82" t="s">
        <v>3067</v>
      </c>
      <c r="E82" t="s">
        <v>366</v>
      </c>
      <c r="F82">
        <v>75</v>
      </c>
      <c r="G82" t="b">
        <v>1</v>
      </c>
      <c r="H82">
        <v>1</v>
      </c>
    </row>
    <row r="83" spans="1:8" x14ac:dyDescent="0.25">
      <c r="A83" t="s">
        <v>294</v>
      </c>
      <c r="B83" t="s">
        <v>295</v>
      </c>
      <c r="C83">
        <v>53.05</v>
      </c>
      <c r="D83" t="s">
        <v>3067</v>
      </c>
      <c r="E83" t="s">
        <v>3247</v>
      </c>
      <c r="F83">
        <v>75</v>
      </c>
      <c r="G83" t="b">
        <v>1</v>
      </c>
      <c r="H83">
        <v>1</v>
      </c>
    </row>
    <row r="84" spans="1:8" x14ac:dyDescent="0.25">
      <c r="A84" t="s">
        <v>297</v>
      </c>
      <c r="B84" t="s">
        <v>298</v>
      </c>
      <c r="C84">
        <v>69.3</v>
      </c>
      <c r="D84" t="s">
        <v>3067</v>
      </c>
      <c r="E84" t="s">
        <v>3247</v>
      </c>
      <c r="F84">
        <v>75</v>
      </c>
      <c r="G84" t="b">
        <v>1</v>
      </c>
      <c r="H84">
        <v>1</v>
      </c>
    </row>
    <row r="85" spans="1:8" x14ac:dyDescent="0.25">
      <c r="A85" t="s">
        <v>288</v>
      </c>
      <c r="B85" t="s">
        <v>289</v>
      </c>
      <c r="C85">
        <v>65.05</v>
      </c>
      <c r="D85" t="s">
        <v>3067</v>
      </c>
      <c r="E85" t="s">
        <v>3247</v>
      </c>
      <c r="F85">
        <v>75</v>
      </c>
      <c r="G85" t="b">
        <v>1</v>
      </c>
      <c r="H85">
        <v>1</v>
      </c>
    </row>
    <row r="86" spans="1:8" x14ac:dyDescent="0.25">
      <c r="A86" t="s">
        <v>214</v>
      </c>
      <c r="B86" t="s">
        <v>215</v>
      </c>
      <c r="C86">
        <v>57.2</v>
      </c>
      <c r="D86" t="s">
        <v>3067</v>
      </c>
      <c r="E86" t="s">
        <v>198</v>
      </c>
      <c r="F86">
        <v>75</v>
      </c>
      <c r="G86" t="b">
        <v>1</v>
      </c>
      <c r="H86">
        <v>1</v>
      </c>
    </row>
    <row r="87" spans="1:8" x14ac:dyDescent="0.25">
      <c r="A87" t="s">
        <v>217</v>
      </c>
      <c r="B87" t="s">
        <v>218</v>
      </c>
      <c r="C87">
        <v>57.2</v>
      </c>
      <c r="D87" t="s">
        <v>3067</v>
      </c>
      <c r="E87" t="s">
        <v>198</v>
      </c>
      <c r="F87">
        <v>75</v>
      </c>
      <c r="G87" t="b">
        <v>1</v>
      </c>
      <c r="H87">
        <v>1</v>
      </c>
    </row>
    <row r="88" spans="1:8" x14ac:dyDescent="0.25">
      <c r="A88" t="s">
        <v>196</v>
      </c>
      <c r="B88" t="s">
        <v>197</v>
      </c>
      <c r="C88">
        <v>57.2</v>
      </c>
      <c r="D88" t="s">
        <v>3067</v>
      </c>
      <c r="E88" t="s">
        <v>198</v>
      </c>
      <c r="F88">
        <v>75</v>
      </c>
      <c r="G88" t="b">
        <v>1</v>
      </c>
      <c r="H88">
        <v>1</v>
      </c>
    </row>
    <row r="89" spans="1:8" x14ac:dyDescent="0.25">
      <c r="A89" t="s">
        <v>199</v>
      </c>
      <c r="B89" t="s">
        <v>200</v>
      </c>
      <c r="C89">
        <v>57.2</v>
      </c>
      <c r="D89" t="s">
        <v>3067</v>
      </c>
      <c r="E89" t="s">
        <v>198</v>
      </c>
      <c r="F89">
        <v>75</v>
      </c>
      <c r="G89" t="b">
        <v>1</v>
      </c>
      <c r="H89">
        <v>1</v>
      </c>
    </row>
    <row r="90" spans="1:8" x14ac:dyDescent="0.25">
      <c r="A90" t="s">
        <v>220</v>
      </c>
      <c r="B90" t="s">
        <v>221</v>
      </c>
      <c r="C90">
        <v>66.349999999999994</v>
      </c>
      <c r="D90" t="s">
        <v>3067</v>
      </c>
      <c r="E90" t="s">
        <v>198</v>
      </c>
      <c r="F90">
        <v>75</v>
      </c>
      <c r="G90" t="b">
        <v>1</v>
      </c>
      <c r="H90">
        <v>1</v>
      </c>
    </row>
    <row r="91" spans="1:8" x14ac:dyDescent="0.25">
      <c r="A91" t="s">
        <v>201</v>
      </c>
      <c r="B91" t="s">
        <v>202</v>
      </c>
      <c r="C91">
        <v>66.349999999999994</v>
      </c>
      <c r="D91" t="s">
        <v>3067</v>
      </c>
      <c r="E91" t="s">
        <v>198</v>
      </c>
      <c r="F91">
        <v>75</v>
      </c>
      <c r="G91" t="b">
        <v>1</v>
      </c>
      <c r="H91">
        <v>1</v>
      </c>
    </row>
    <row r="92" spans="1:8" x14ac:dyDescent="0.25">
      <c r="A92" t="s">
        <v>203</v>
      </c>
      <c r="B92" t="s">
        <v>204</v>
      </c>
      <c r="C92">
        <v>106.15</v>
      </c>
      <c r="D92" t="s">
        <v>3067</v>
      </c>
      <c r="E92" t="s">
        <v>198</v>
      </c>
      <c r="F92">
        <v>75</v>
      </c>
      <c r="G92" t="b">
        <v>1</v>
      </c>
      <c r="H92">
        <v>1</v>
      </c>
    </row>
    <row r="93" spans="1:8" x14ac:dyDescent="0.25">
      <c r="A93" t="s">
        <v>205</v>
      </c>
      <c r="B93" t="s">
        <v>206</v>
      </c>
      <c r="C93">
        <v>106.15</v>
      </c>
      <c r="D93" t="s">
        <v>3067</v>
      </c>
      <c r="E93" t="s">
        <v>198</v>
      </c>
      <c r="F93">
        <v>75</v>
      </c>
      <c r="G93" t="b">
        <v>1</v>
      </c>
      <c r="H93">
        <v>1</v>
      </c>
    </row>
    <row r="94" spans="1:8" x14ac:dyDescent="0.25">
      <c r="A94" t="s">
        <v>223</v>
      </c>
      <c r="B94" t="s">
        <v>224</v>
      </c>
      <c r="C94">
        <v>106.15</v>
      </c>
      <c r="D94" t="s">
        <v>3067</v>
      </c>
      <c r="E94" t="s">
        <v>198</v>
      </c>
      <c r="F94">
        <v>75</v>
      </c>
      <c r="G94" t="b">
        <v>1</v>
      </c>
      <c r="H94">
        <v>1</v>
      </c>
    </row>
    <row r="95" spans="1:8" x14ac:dyDescent="0.25">
      <c r="A95" t="s">
        <v>226</v>
      </c>
      <c r="B95" t="s">
        <v>227</v>
      </c>
      <c r="C95">
        <v>141.5</v>
      </c>
      <c r="D95" t="s">
        <v>3067</v>
      </c>
      <c r="E95" t="s">
        <v>198</v>
      </c>
      <c r="F95">
        <v>75</v>
      </c>
      <c r="G95" t="b">
        <v>1</v>
      </c>
      <c r="H95">
        <v>1</v>
      </c>
    </row>
    <row r="96" spans="1:8" x14ac:dyDescent="0.25">
      <c r="A96" t="s">
        <v>211</v>
      </c>
      <c r="B96" t="s">
        <v>212</v>
      </c>
      <c r="C96">
        <v>62.5</v>
      </c>
      <c r="D96" t="s">
        <v>3067</v>
      </c>
      <c r="E96" t="s">
        <v>3248</v>
      </c>
      <c r="F96">
        <v>75</v>
      </c>
      <c r="G96" t="b">
        <v>1</v>
      </c>
      <c r="H96">
        <v>1</v>
      </c>
    </row>
    <row r="97" spans="1:8" x14ac:dyDescent="0.25">
      <c r="A97" t="s">
        <v>229</v>
      </c>
      <c r="B97" t="s">
        <v>230</v>
      </c>
      <c r="C97">
        <v>8.0500000000000007</v>
      </c>
      <c r="D97" t="s">
        <v>3067</v>
      </c>
      <c r="E97" t="s">
        <v>198</v>
      </c>
      <c r="F97">
        <v>75</v>
      </c>
      <c r="G97" t="b">
        <v>1</v>
      </c>
      <c r="H97">
        <v>1</v>
      </c>
    </row>
    <row r="98" spans="1:8" x14ac:dyDescent="0.25">
      <c r="A98" t="s">
        <v>232</v>
      </c>
      <c r="B98" t="s">
        <v>233</v>
      </c>
      <c r="C98">
        <v>13.3</v>
      </c>
      <c r="D98" t="s">
        <v>3067</v>
      </c>
      <c r="E98" t="s">
        <v>198</v>
      </c>
      <c r="F98">
        <v>75</v>
      </c>
      <c r="G98" t="b">
        <v>1</v>
      </c>
      <c r="H98">
        <v>1</v>
      </c>
    </row>
    <row r="99" spans="1:8" x14ac:dyDescent="0.25">
      <c r="A99" t="s">
        <v>235</v>
      </c>
      <c r="B99" t="s">
        <v>236</v>
      </c>
      <c r="C99">
        <v>13.3</v>
      </c>
      <c r="D99" t="s">
        <v>3067</v>
      </c>
      <c r="E99" t="s">
        <v>198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3067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3067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3067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3067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184</v>
      </c>
      <c r="B104" t="s">
        <v>185</v>
      </c>
      <c r="C104">
        <v>151.55000000000001</v>
      </c>
      <c r="D104" t="s">
        <v>3067</v>
      </c>
      <c r="E104" t="s">
        <v>3249</v>
      </c>
      <c r="F104">
        <v>75</v>
      </c>
      <c r="G104" t="b">
        <v>1</v>
      </c>
      <c r="H104">
        <v>1</v>
      </c>
    </row>
    <row r="105" spans="1:8" x14ac:dyDescent="0.25">
      <c r="A105" t="s">
        <v>190</v>
      </c>
      <c r="B105" t="s">
        <v>191</v>
      </c>
      <c r="C105">
        <v>47.15</v>
      </c>
      <c r="D105" t="s">
        <v>3067</v>
      </c>
      <c r="E105" t="s">
        <v>3249</v>
      </c>
      <c r="F105">
        <v>75</v>
      </c>
      <c r="G105" t="b">
        <v>1</v>
      </c>
      <c r="H105">
        <v>1</v>
      </c>
    </row>
    <row r="106" spans="1:8" x14ac:dyDescent="0.25">
      <c r="A106" t="s">
        <v>187</v>
      </c>
      <c r="B106" t="s">
        <v>188</v>
      </c>
      <c r="C106">
        <v>193.15</v>
      </c>
      <c r="D106" t="s">
        <v>3067</v>
      </c>
      <c r="E106" t="s">
        <v>3249</v>
      </c>
      <c r="F106">
        <v>75</v>
      </c>
      <c r="G106" t="b">
        <v>1</v>
      </c>
      <c r="H106">
        <v>1</v>
      </c>
    </row>
    <row r="107" spans="1:8" x14ac:dyDescent="0.25">
      <c r="A107" t="s">
        <v>187</v>
      </c>
      <c r="B107" t="s">
        <v>185</v>
      </c>
      <c r="C107">
        <v>151.55000000000001</v>
      </c>
      <c r="D107" t="s">
        <v>3067</v>
      </c>
      <c r="E107" t="s">
        <v>3249</v>
      </c>
      <c r="F107">
        <v>75</v>
      </c>
      <c r="G107" t="b">
        <v>1</v>
      </c>
      <c r="H107">
        <v>1</v>
      </c>
    </row>
    <row r="108" spans="1:8" x14ac:dyDescent="0.25">
      <c r="A108" t="s">
        <v>179</v>
      </c>
      <c r="B108" t="s">
        <v>3250</v>
      </c>
      <c r="C108">
        <v>166.5</v>
      </c>
      <c r="D108" t="s">
        <v>3067</v>
      </c>
      <c r="E108" t="s">
        <v>3249</v>
      </c>
      <c r="F108">
        <v>75</v>
      </c>
      <c r="G108" t="b">
        <v>1</v>
      </c>
      <c r="H108">
        <v>1</v>
      </c>
    </row>
    <row r="109" spans="1:8" x14ac:dyDescent="0.25">
      <c r="A109" t="s">
        <v>193</v>
      </c>
      <c r="B109" t="s">
        <v>194</v>
      </c>
      <c r="C109">
        <v>48.65</v>
      </c>
      <c r="D109" t="s">
        <v>3067</v>
      </c>
      <c r="E109" t="s">
        <v>3249</v>
      </c>
      <c r="F109">
        <v>75</v>
      </c>
      <c r="G109" t="b">
        <v>1</v>
      </c>
      <c r="H109">
        <v>1</v>
      </c>
    </row>
    <row r="110" spans="1:8" x14ac:dyDescent="0.25">
      <c r="A110" t="s">
        <v>238</v>
      </c>
      <c r="B110" t="s">
        <v>239</v>
      </c>
      <c r="C110">
        <v>54.85</v>
      </c>
      <c r="D110" t="s">
        <v>3067</v>
      </c>
      <c r="E110" t="s">
        <v>198</v>
      </c>
      <c r="F110">
        <v>75</v>
      </c>
      <c r="G110" t="b">
        <v>1</v>
      </c>
      <c r="H110">
        <v>1</v>
      </c>
    </row>
    <row r="111" spans="1:8" x14ac:dyDescent="0.25">
      <c r="A111" t="s">
        <v>207</v>
      </c>
      <c r="B111" t="s">
        <v>208</v>
      </c>
      <c r="C111">
        <v>54.85</v>
      </c>
      <c r="D111" t="s">
        <v>3067</v>
      </c>
      <c r="E111" t="s">
        <v>198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3067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3067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285</v>
      </c>
      <c r="B114" t="s">
        <v>286</v>
      </c>
      <c r="C114">
        <v>55.45</v>
      </c>
      <c r="D114" t="s">
        <v>3067</v>
      </c>
      <c r="E114" t="s">
        <v>3247</v>
      </c>
      <c r="F114">
        <v>75</v>
      </c>
      <c r="G114" t="b">
        <v>1</v>
      </c>
      <c r="H114">
        <v>1</v>
      </c>
    </row>
    <row r="115" spans="1:8" x14ac:dyDescent="0.25">
      <c r="A115" t="s">
        <v>270</v>
      </c>
      <c r="B115" t="s">
        <v>271</v>
      </c>
      <c r="C115">
        <v>35.4</v>
      </c>
      <c r="D115" t="s">
        <v>3067</v>
      </c>
      <c r="E115" t="s">
        <v>3247</v>
      </c>
      <c r="F115">
        <v>75</v>
      </c>
      <c r="G115" t="b">
        <v>1</v>
      </c>
      <c r="H115">
        <v>1</v>
      </c>
    </row>
    <row r="116" spans="1:8" x14ac:dyDescent="0.25">
      <c r="A116" t="s">
        <v>273</v>
      </c>
      <c r="B116" t="s">
        <v>274</v>
      </c>
      <c r="C116">
        <v>37.5</v>
      </c>
      <c r="D116" t="s">
        <v>3067</v>
      </c>
      <c r="E116" t="s">
        <v>3247</v>
      </c>
      <c r="F116">
        <v>75</v>
      </c>
      <c r="G116" t="b">
        <v>1</v>
      </c>
      <c r="H116">
        <v>1</v>
      </c>
    </row>
    <row r="117" spans="1:8" x14ac:dyDescent="0.25">
      <c r="A117" t="s">
        <v>276</v>
      </c>
      <c r="B117" t="s">
        <v>277</v>
      </c>
      <c r="C117">
        <v>38.950000000000003</v>
      </c>
      <c r="D117" t="s">
        <v>3067</v>
      </c>
      <c r="E117" t="s">
        <v>3247</v>
      </c>
      <c r="F117">
        <v>75</v>
      </c>
      <c r="G117" t="b">
        <v>1</v>
      </c>
      <c r="H117">
        <v>1</v>
      </c>
    </row>
    <row r="118" spans="1:8" x14ac:dyDescent="0.25">
      <c r="A118" t="s">
        <v>279</v>
      </c>
      <c r="B118" t="s">
        <v>280</v>
      </c>
      <c r="C118">
        <v>44.25</v>
      </c>
      <c r="D118" t="s">
        <v>3067</v>
      </c>
      <c r="E118" t="s">
        <v>3247</v>
      </c>
      <c r="F118">
        <v>75</v>
      </c>
      <c r="G118" t="b">
        <v>1</v>
      </c>
      <c r="H118">
        <v>1</v>
      </c>
    </row>
    <row r="119" spans="1:8" x14ac:dyDescent="0.25">
      <c r="A119" t="s">
        <v>282</v>
      </c>
      <c r="B119" t="s">
        <v>283</v>
      </c>
      <c r="C119">
        <v>50.1</v>
      </c>
      <c r="D119" t="s">
        <v>3067</v>
      </c>
      <c r="E119" t="s">
        <v>3247</v>
      </c>
      <c r="F119">
        <v>75</v>
      </c>
      <c r="G119" t="b">
        <v>1</v>
      </c>
      <c r="H119">
        <v>1</v>
      </c>
    </row>
    <row r="120" spans="1:8" x14ac:dyDescent="0.25">
      <c r="A120" t="s">
        <v>182</v>
      </c>
      <c r="B120" t="s">
        <v>183</v>
      </c>
      <c r="C120">
        <v>151.55000000000001</v>
      </c>
      <c r="D120" t="s">
        <v>3067</v>
      </c>
      <c r="E120" t="s">
        <v>3249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3251</v>
      </c>
      <c r="C121">
        <v>250.3</v>
      </c>
      <c r="D121" t="s">
        <v>3067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3067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3067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3067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209</v>
      </c>
      <c r="B125" t="s">
        <v>210</v>
      </c>
      <c r="C125">
        <v>206</v>
      </c>
      <c r="D125" t="s">
        <v>3067</v>
      </c>
      <c r="E125" t="s">
        <v>198</v>
      </c>
      <c r="F125">
        <v>75</v>
      </c>
      <c r="G125" t="b">
        <v>1</v>
      </c>
      <c r="H125">
        <v>1</v>
      </c>
    </row>
    <row r="126" spans="1:8" x14ac:dyDescent="0.25">
      <c r="A126" t="s">
        <v>3153</v>
      </c>
      <c r="B126" t="s">
        <v>331</v>
      </c>
      <c r="C126">
        <v>10.050000000000001</v>
      </c>
      <c r="D126" t="s">
        <v>3067</v>
      </c>
      <c r="E126" t="s">
        <v>942</v>
      </c>
      <c r="F126">
        <v>75</v>
      </c>
      <c r="G126" t="b">
        <v>1</v>
      </c>
      <c r="H126">
        <v>1</v>
      </c>
    </row>
    <row r="127" spans="1:8" x14ac:dyDescent="0.25">
      <c r="A127" t="s">
        <v>3153</v>
      </c>
      <c r="B127" t="s">
        <v>334</v>
      </c>
      <c r="C127">
        <v>6.25</v>
      </c>
      <c r="D127" t="s">
        <v>3067</v>
      </c>
      <c r="E127" t="s">
        <v>942</v>
      </c>
      <c r="F127">
        <v>75</v>
      </c>
      <c r="G127" t="b">
        <v>1</v>
      </c>
      <c r="H127">
        <v>1</v>
      </c>
    </row>
    <row r="128" spans="1:8" x14ac:dyDescent="0.25">
      <c r="A128" t="s">
        <v>3153</v>
      </c>
      <c r="B128" t="s">
        <v>368</v>
      </c>
      <c r="C128">
        <v>2.7</v>
      </c>
      <c r="D128" t="s">
        <v>3067</v>
      </c>
      <c r="E128" t="s">
        <v>942</v>
      </c>
      <c r="F128">
        <v>75</v>
      </c>
      <c r="G128" t="b">
        <v>1</v>
      </c>
      <c r="H128">
        <v>1</v>
      </c>
    </row>
    <row r="129" spans="1:8" x14ac:dyDescent="0.25">
      <c r="A129" t="s">
        <v>3153</v>
      </c>
      <c r="B129" t="s">
        <v>386</v>
      </c>
      <c r="C129">
        <v>1.25</v>
      </c>
      <c r="D129" t="s">
        <v>3067</v>
      </c>
      <c r="E129" t="s">
        <v>942</v>
      </c>
      <c r="F129">
        <v>75</v>
      </c>
      <c r="G129" t="b">
        <v>1</v>
      </c>
      <c r="H129">
        <v>1</v>
      </c>
    </row>
    <row r="130" spans="1:8" x14ac:dyDescent="0.25">
      <c r="A130" t="s">
        <v>3153</v>
      </c>
      <c r="B130" t="s">
        <v>388</v>
      </c>
      <c r="C130">
        <v>6.25</v>
      </c>
      <c r="D130" t="s">
        <v>3067</v>
      </c>
      <c r="E130" t="s">
        <v>942</v>
      </c>
      <c r="F130">
        <v>75</v>
      </c>
      <c r="G130" t="b">
        <v>1</v>
      </c>
      <c r="H130">
        <v>1</v>
      </c>
    </row>
    <row r="131" spans="1:8" x14ac:dyDescent="0.25">
      <c r="A131" t="s">
        <v>3153</v>
      </c>
      <c r="B131" t="s">
        <v>391</v>
      </c>
      <c r="C131">
        <v>6.25</v>
      </c>
      <c r="D131" t="s">
        <v>3067</v>
      </c>
      <c r="E131" t="s">
        <v>942</v>
      </c>
      <c r="F131">
        <v>75</v>
      </c>
      <c r="G131" t="b">
        <v>1</v>
      </c>
      <c r="H131">
        <v>1</v>
      </c>
    </row>
    <row r="132" spans="1:8" x14ac:dyDescent="0.25">
      <c r="A132" t="s">
        <v>3153</v>
      </c>
      <c r="B132" t="s">
        <v>394</v>
      </c>
      <c r="C132">
        <v>6.25</v>
      </c>
      <c r="D132" t="s">
        <v>3067</v>
      </c>
      <c r="E132" t="s">
        <v>942</v>
      </c>
      <c r="F132">
        <v>75</v>
      </c>
      <c r="G132" t="b">
        <v>1</v>
      </c>
      <c r="H132">
        <v>1</v>
      </c>
    </row>
    <row r="133" spans="1:8" x14ac:dyDescent="0.25">
      <c r="A133" t="s">
        <v>3153</v>
      </c>
      <c r="B133" t="s">
        <v>365</v>
      </c>
      <c r="C133">
        <v>6.25</v>
      </c>
      <c r="D133" t="s">
        <v>3067</v>
      </c>
      <c r="E133" t="s">
        <v>942</v>
      </c>
      <c r="F133">
        <v>75</v>
      </c>
      <c r="G133" t="b">
        <v>1</v>
      </c>
      <c r="H133">
        <v>1</v>
      </c>
    </row>
    <row r="134" spans="1:8" x14ac:dyDescent="0.25">
      <c r="A134" t="s">
        <v>3153</v>
      </c>
      <c r="B134" t="s">
        <v>397</v>
      </c>
      <c r="C134">
        <v>2.85</v>
      </c>
      <c r="D134" t="s">
        <v>3067</v>
      </c>
      <c r="E134" t="s">
        <v>942</v>
      </c>
      <c r="F134">
        <v>75</v>
      </c>
      <c r="G134" t="b">
        <v>1</v>
      </c>
      <c r="H134">
        <v>1</v>
      </c>
    </row>
    <row r="135" spans="1:8" x14ac:dyDescent="0.25">
      <c r="A135" t="s">
        <v>3153</v>
      </c>
      <c r="B135" t="s">
        <v>400</v>
      </c>
      <c r="C135">
        <v>2.85</v>
      </c>
      <c r="D135" t="s">
        <v>3067</v>
      </c>
      <c r="E135" t="s">
        <v>942</v>
      </c>
      <c r="F135">
        <v>75</v>
      </c>
      <c r="G135" t="b">
        <v>1</v>
      </c>
      <c r="H135">
        <v>1</v>
      </c>
    </row>
    <row r="136" spans="1:8" x14ac:dyDescent="0.25">
      <c r="A136" t="s">
        <v>3153</v>
      </c>
      <c r="B136" t="s">
        <v>403</v>
      </c>
      <c r="C136">
        <v>2.85</v>
      </c>
      <c r="D136" t="s">
        <v>3067</v>
      </c>
      <c r="E136" t="s">
        <v>942</v>
      </c>
      <c r="F136">
        <v>75</v>
      </c>
      <c r="G136" t="b">
        <v>1</v>
      </c>
      <c r="H136">
        <v>1</v>
      </c>
    </row>
    <row r="137" spans="1:8" x14ac:dyDescent="0.25">
      <c r="A137" t="s">
        <v>3153</v>
      </c>
      <c r="B137" t="s">
        <v>406</v>
      </c>
      <c r="C137">
        <v>2.85</v>
      </c>
      <c r="D137" t="s">
        <v>3067</v>
      </c>
      <c r="E137" t="s">
        <v>942</v>
      </c>
      <c r="F137">
        <v>75</v>
      </c>
      <c r="G137" t="b">
        <v>1</v>
      </c>
      <c r="H137">
        <v>1</v>
      </c>
    </row>
    <row r="138" spans="1:8" x14ac:dyDescent="0.25">
      <c r="A138" t="s">
        <v>3154</v>
      </c>
      <c r="B138" t="s">
        <v>370</v>
      </c>
      <c r="C138">
        <v>5.9</v>
      </c>
      <c r="D138" t="s">
        <v>3067</v>
      </c>
      <c r="E138" t="s">
        <v>942</v>
      </c>
      <c r="F138">
        <v>75</v>
      </c>
      <c r="G138" t="b">
        <v>1</v>
      </c>
      <c r="H138">
        <v>1</v>
      </c>
    </row>
    <row r="139" spans="1:8" x14ac:dyDescent="0.25">
      <c r="A139" t="s">
        <v>3154</v>
      </c>
      <c r="B139" t="s">
        <v>372</v>
      </c>
      <c r="C139">
        <v>1.85</v>
      </c>
      <c r="D139" t="s">
        <v>3067</v>
      </c>
      <c r="E139" t="s">
        <v>942</v>
      </c>
      <c r="F139">
        <v>75</v>
      </c>
      <c r="G139" t="b">
        <v>1</v>
      </c>
      <c r="H139">
        <v>1</v>
      </c>
    </row>
    <row r="140" spans="1:8" x14ac:dyDescent="0.25">
      <c r="A140" t="s">
        <v>3154</v>
      </c>
      <c r="B140" t="s">
        <v>374</v>
      </c>
      <c r="C140">
        <v>2.2000000000000002</v>
      </c>
      <c r="D140" t="s">
        <v>3067</v>
      </c>
      <c r="E140" t="s">
        <v>942</v>
      </c>
      <c r="F140">
        <v>75</v>
      </c>
      <c r="G140" t="b">
        <v>1</v>
      </c>
      <c r="H140">
        <v>1</v>
      </c>
    </row>
    <row r="141" spans="1:8" x14ac:dyDescent="0.25">
      <c r="A141" t="s">
        <v>3154</v>
      </c>
      <c r="B141" t="s">
        <v>376</v>
      </c>
      <c r="C141">
        <v>2.85</v>
      </c>
      <c r="D141" t="s">
        <v>3067</v>
      </c>
      <c r="E141" t="s">
        <v>942</v>
      </c>
      <c r="F141">
        <v>75</v>
      </c>
      <c r="G141" t="b">
        <v>1</v>
      </c>
      <c r="H141">
        <v>1</v>
      </c>
    </row>
    <row r="142" spans="1:8" x14ac:dyDescent="0.25">
      <c r="A142" t="s">
        <v>3154</v>
      </c>
      <c r="B142" t="s">
        <v>378</v>
      </c>
      <c r="C142">
        <v>3.1</v>
      </c>
      <c r="D142" t="s">
        <v>3067</v>
      </c>
      <c r="E142" t="s">
        <v>942</v>
      </c>
      <c r="F142">
        <v>75</v>
      </c>
      <c r="G142" t="b">
        <v>1</v>
      </c>
      <c r="H142">
        <v>1</v>
      </c>
    </row>
    <row r="143" spans="1:8" x14ac:dyDescent="0.25">
      <c r="A143" t="s">
        <v>3154</v>
      </c>
      <c r="B143" t="s">
        <v>380</v>
      </c>
      <c r="C143">
        <v>3.45</v>
      </c>
      <c r="D143" t="s">
        <v>3067</v>
      </c>
      <c r="E143" t="s">
        <v>942</v>
      </c>
      <c r="F143">
        <v>75</v>
      </c>
      <c r="G143" t="b">
        <v>1</v>
      </c>
      <c r="H143">
        <v>1</v>
      </c>
    </row>
    <row r="144" spans="1:8" x14ac:dyDescent="0.25">
      <c r="A144" t="s">
        <v>3154</v>
      </c>
      <c r="B144" t="s">
        <v>382</v>
      </c>
      <c r="C144">
        <v>3.75</v>
      </c>
      <c r="D144" t="s">
        <v>3067</v>
      </c>
      <c r="E144" t="s">
        <v>942</v>
      </c>
      <c r="F144">
        <v>75</v>
      </c>
      <c r="G144" t="b">
        <v>1</v>
      </c>
      <c r="H144">
        <v>1</v>
      </c>
    </row>
    <row r="145" spans="1:8" x14ac:dyDescent="0.25">
      <c r="A145" t="s">
        <v>3154</v>
      </c>
      <c r="B145" t="s">
        <v>384</v>
      </c>
      <c r="C145">
        <v>4.45</v>
      </c>
      <c r="D145" t="s">
        <v>3067</v>
      </c>
      <c r="E145" t="s">
        <v>942</v>
      </c>
      <c r="F145">
        <v>75</v>
      </c>
      <c r="G145" t="b">
        <v>1</v>
      </c>
      <c r="H145">
        <v>1</v>
      </c>
    </row>
    <row r="146" spans="1:8" x14ac:dyDescent="0.25">
      <c r="A146" t="s">
        <v>3155</v>
      </c>
      <c r="B146" t="s">
        <v>435</v>
      </c>
      <c r="C146">
        <v>13.75</v>
      </c>
      <c r="D146" t="s">
        <v>3067</v>
      </c>
      <c r="E146" t="s">
        <v>942</v>
      </c>
      <c r="F146">
        <v>75</v>
      </c>
      <c r="G146" t="b">
        <v>1</v>
      </c>
      <c r="H146">
        <v>1</v>
      </c>
    </row>
    <row r="147" spans="1:8" x14ac:dyDescent="0.25">
      <c r="A147" t="s">
        <v>3155</v>
      </c>
      <c r="B147" t="s">
        <v>449</v>
      </c>
      <c r="C147">
        <v>24</v>
      </c>
      <c r="D147" t="s">
        <v>3067</v>
      </c>
      <c r="E147" t="s">
        <v>942</v>
      </c>
      <c r="F147">
        <v>75</v>
      </c>
      <c r="G147" t="b">
        <v>1</v>
      </c>
      <c r="H147">
        <v>1</v>
      </c>
    </row>
    <row r="148" spans="1:8" x14ac:dyDescent="0.25">
      <c r="A148" t="s">
        <v>3155</v>
      </c>
      <c r="B148" t="s">
        <v>437</v>
      </c>
      <c r="C148">
        <v>17.149999999999999</v>
      </c>
      <c r="D148" t="s">
        <v>3067</v>
      </c>
      <c r="E148" t="s">
        <v>942</v>
      </c>
      <c r="F148">
        <v>75</v>
      </c>
      <c r="G148" t="b">
        <v>1</v>
      </c>
      <c r="H148">
        <v>1</v>
      </c>
    </row>
    <row r="149" spans="1:8" x14ac:dyDescent="0.25">
      <c r="A149" t="s">
        <v>3155</v>
      </c>
      <c r="B149" t="s">
        <v>439</v>
      </c>
      <c r="C149">
        <v>20.25</v>
      </c>
      <c r="D149" t="s">
        <v>3067</v>
      </c>
      <c r="E149" t="s">
        <v>942</v>
      </c>
      <c r="F149">
        <v>75</v>
      </c>
      <c r="G149" t="b">
        <v>1</v>
      </c>
      <c r="H149">
        <v>1</v>
      </c>
    </row>
    <row r="150" spans="1:8" x14ac:dyDescent="0.25">
      <c r="A150" t="s">
        <v>3155</v>
      </c>
      <c r="B150" t="s">
        <v>451</v>
      </c>
      <c r="C150">
        <v>29.85</v>
      </c>
      <c r="D150" t="s">
        <v>3067</v>
      </c>
      <c r="E150" t="s">
        <v>942</v>
      </c>
      <c r="F150">
        <v>75</v>
      </c>
      <c r="G150" t="b">
        <v>1</v>
      </c>
      <c r="H150">
        <v>1</v>
      </c>
    </row>
    <row r="151" spans="1:8" x14ac:dyDescent="0.25">
      <c r="A151" t="s">
        <v>3155</v>
      </c>
      <c r="B151" t="s">
        <v>453</v>
      </c>
      <c r="C151">
        <v>36.1</v>
      </c>
      <c r="D151" t="s">
        <v>3067</v>
      </c>
      <c r="E151" t="s">
        <v>942</v>
      </c>
      <c r="F151">
        <v>75</v>
      </c>
      <c r="G151" t="b">
        <v>1</v>
      </c>
      <c r="H151">
        <v>1</v>
      </c>
    </row>
    <row r="152" spans="1:8" x14ac:dyDescent="0.25">
      <c r="A152" t="s">
        <v>3155</v>
      </c>
      <c r="B152" t="s">
        <v>441</v>
      </c>
      <c r="C152">
        <v>23.65</v>
      </c>
      <c r="D152" t="s">
        <v>3067</v>
      </c>
      <c r="E152" t="s">
        <v>942</v>
      </c>
      <c r="F152">
        <v>75</v>
      </c>
      <c r="G152" t="b">
        <v>1</v>
      </c>
      <c r="H152">
        <v>1</v>
      </c>
    </row>
    <row r="153" spans="1:8" x14ac:dyDescent="0.25">
      <c r="A153" t="s">
        <v>3155</v>
      </c>
      <c r="B153" t="s">
        <v>455</v>
      </c>
      <c r="C153">
        <v>42</v>
      </c>
      <c r="D153" t="s">
        <v>3067</v>
      </c>
      <c r="E153" t="s">
        <v>942</v>
      </c>
      <c r="F153">
        <v>75</v>
      </c>
      <c r="G153" t="b">
        <v>1</v>
      </c>
      <c r="H153">
        <v>1</v>
      </c>
    </row>
    <row r="154" spans="1:8" x14ac:dyDescent="0.25">
      <c r="A154" t="s">
        <v>3155</v>
      </c>
      <c r="B154" t="s">
        <v>443</v>
      </c>
      <c r="C154">
        <v>27.15</v>
      </c>
      <c r="D154" t="s">
        <v>3067</v>
      </c>
      <c r="E154" t="s">
        <v>942</v>
      </c>
      <c r="F154">
        <v>75</v>
      </c>
      <c r="G154" t="b">
        <v>1</v>
      </c>
      <c r="H154">
        <v>1</v>
      </c>
    </row>
    <row r="155" spans="1:8" x14ac:dyDescent="0.25">
      <c r="A155" t="s">
        <v>3155</v>
      </c>
      <c r="B155" t="s">
        <v>457</v>
      </c>
      <c r="C155">
        <v>47.95</v>
      </c>
      <c r="D155" t="s">
        <v>3067</v>
      </c>
      <c r="E155" t="s">
        <v>942</v>
      </c>
      <c r="F155">
        <v>75</v>
      </c>
      <c r="G155" t="b">
        <v>1</v>
      </c>
      <c r="H155">
        <v>1</v>
      </c>
    </row>
    <row r="156" spans="1:8" x14ac:dyDescent="0.25">
      <c r="A156" t="s">
        <v>3155</v>
      </c>
      <c r="B156" t="s">
        <v>445</v>
      </c>
      <c r="C156">
        <v>30.55</v>
      </c>
      <c r="D156" t="s">
        <v>3067</v>
      </c>
      <c r="E156" t="s">
        <v>942</v>
      </c>
      <c r="F156">
        <v>75</v>
      </c>
      <c r="G156" t="b">
        <v>1</v>
      </c>
      <c r="H156">
        <v>1</v>
      </c>
    </row>
    <row r="157" spans="1:8" x14ac:dyDescent="0.25">
      <c r="A157" t="s">
        <v>3155</v>
      </c>
      <c r="B157" t="s">
        <v>459</v>
      </c>
      <c r="C157">
        <v>53.8</v>
      </c>
      <c r="D157" t="s">
        <v>3067</v>
      </c>
      <c r="E157" t="s">
        <v>942</v>
      </c>
      <c r="F157">
        <v>75</v>
      </c>
      <c r="G157" t="b">
        <v>1</v>
      </c>
      <c r="H157">
        <v>1</v>
      </c>
    </row>
    <row r="158" spans="1:8" x14ac:dyDescent="0.25">
      <c r="A158" t="s">
        <v>3155</v>
      </c>
      <c r="B158" t="s">
        <v>447</v>
      </c>
      <c r="C158">
        <v>33.950000000000003</v>
      </c>
      <c r="D158" t="s">
        <v>3067</v>
      </c>
      <c r="E158" t="s">
        <v>942</v>
      </c>
      <c r="F158">
        <v>75</v>
      </c>
      <c r="G158" t="b">
        <v>1</v>
      </c>
      <c r="H158">
        <v>1</v>
      </c>
    </row>
    <row r="159" spans="1:8" x14ac:dyDescent="0.25">
      <c r="A159" t="s">
        <v>3155</v>
      </c>
      <c r="B159" t="s">
        <v>461</v>
      </c>
      <c r="C159">
        <v>60.05</v>
      </c>
      <c r="D159" t="s">
        <v>3067</v>
      </c>
      <c r="E159" t="s">
        <v>942</v>
      </c>
      <c r="F159">
        <v>75</v>
      </c>
      <c r="G159" t="b">
        <v>1</v>
      </c>
      <c r="H159">
        <v>1</v>
      </c>
    </row>
    <row r="160" spans="1:8" x14ac:dyDescent="0.25">
      <c r="A160" t="s">
        <v>510</v>
      </c>
      <c r="B160" t="s">
        <v>511</v>
      </c>
      <c r="C160">
        <v>54.3</v>
      </c>
      <c r="D160" t="s">
        <v>3070</v>
      </c>
      <c r="E160" t="s">
        <v>513</v>
      </c>
      <c r="F160">
        <v>75</v>
      </c>
      <c r="G160" t="b">
        <v>1</v>
      </c>
      <c r="H160">
        <v>1</v>
      </c>
    </row>
    <row r="161" spans="1:8" x14ac:dyDescent="0.25">
      <c r="A161" t="s">
        <v>514</v>
      </c>
      <c r="B161" t="s">
        <v>515</v>
      </c>
      <c r="C161">
        <v>58.4</v>
      </c>
      <c r="D161" t="s">
        <v>3070</v>
      </c>
      <c r="E161" t="s">
        <v>513</v>
      </c>
      <c r="F161">
        <v>75</v>
      </c>
      <c r="G161" t="b">
        <v>1</v>
      </c>
      <c r="H161">
        <v>1</v>
      </c>
    </row>
    <row r="162" spans="1:8" x14ac:dyDescent="0.25">
      <c r="A162" t="s">
        <v>479</v>
      </c>
      <c r="B162" t="s">
        <v>480</v>
      </c>
      <c r="C162">
        <v>53.05</v>
      </c>
      <c r="D162" t="s">
        <v>3070</v>
      </c>
      <c r="E162" t="s">
        <v>527</v>
      </c>
      <c r="F162">
        <v>75</v>
      </c>
      <c r="G162" t="b">
        <v>1</v>
      </c>
      <c r="H162">
        <v>1</v>
      </c>
    </row>
    <row r="163" spans="1:8" x14ac:dyDescent="0.25">
      <c r="A163" t="s">
        <v>524</v>
      </c>
      <c r="B163" t="s">
        <v>525</v>
      </c>
      <c r="C163">
        <v>96.7</v>
      </c>
      <c r="D163" t="s">
        <v>3070</v>
      </c>
      <c r="E163" t="s">
        <v>527</v>
      </c>
      <c r="F163">
        <v>75</v>
      </c>
      <c r="G163" t="b">
        <v>1</v>
      </c>
      <c r="H163">
        <v>1</v>
      </c>
    </row>
    <row r="164" spans="1:8" x14ac:dyDescent="0.25">
      <c r="A164" t="s">
        <v>528</v>
      </c>
      <c r="B164" t="s">
        <v>529</v>
      </c>
      <c r="C164">
        <v>96.7</v>
      </c>
      <c r="D164" t="s">
        <v>3070</v>
      </c>
      <c r="E164" t="s">
        <v>527</v>
      </c>
      <c r="F164">
        <v>75</v>
      </c>
      <c r="G164" t="b">
        <v>1</v>
      </c>
      <c r="H164">
        <v>1</v>
      </c>
    </row>
    <row r="165" spans="1:8" x14ac:dyDescent="0.25">
      <c r="A165" t="s">
        <v>483</v>
      </c>
      <c r="B165" t="s">
        <v>484</v>
      </c>
      <c r="C165">
        <v>96.7</v>
      </c>
      <c r="D165" t="s">
        <v>3070</v>
      </c>
      <c r="E165" t="s">
        <v>527</v>
      </c>
      <c r="F165">
        <v>75</v>
      </c>
      <c r="G165" t="b">
        <v>1</v>
      </c>
      <c r="H165">
        <v>1</v>
      </c>
    </row>
    <row r="166" spans="1:8" x14ac:dyDescent="0.25">
      <c r="A166" t="s">
        <v>486</v>
      </c>
      <c r="B166" t="s">
        <v>487</v>
      </c>
      <c r="C166">
        <v>61.65</v>
      </c>
      <c r="D166" t="s">
        <v>3070</v>
      </c>
      <c r="E166" t="s">
        <v>527</v>
      </c>
      <c r="F166">
        <v>75</v>
      </c>
      <c r="G166" t="b">
        <v>1</v>
      </c>
      <c r="H166">
        <v>1</v>
      </c>
    </row>
    <row r="167" spans="1:8" x14ac:dyDescent="0.25">
      <c r="A167" t="s">
        <v>489</v>
      </c>
      <c r="B167" t="s">
        <v>490</v>
      </c>
      <c r="C167">
        <v>51.6</v>
      </c>
      <c r="D167" t="s">
        <v>3070</v>
      </c>
      <c r="E167" t="s">
        <v>527</v>
      </c>
      <c r="F167">
        <v>75</v>
      </c>
      <c r="G167" t="b">
        <v>1</v>
      </c>
      <c r="H167">
        <v>1</v>
      </c>
    </row>
    <row r="168" spans="1:8" x14ac:dyDescent="0.25">
      <c r="A168" t="s">
        <v>492</v>
      </c>
      <c r="B168" t="s">
        <v>493</v>
      </c>
      <c r="C168">
        <v>51.6</v>
      </c>
      <c r="D168" t="s">
        <v>3070</v>
      </c>
      <c r="E168" t="s">
        <v>519</v>
      </c>
      <c r="F168">
        <v>75</v>
      </c>
      <c r="G168" t="b">
        <v>1</v>
      </c>
      <c r="H168">
        <v>1</v>
      </c>
    </row>
    <row r="169" spans="1:8" x14ac:dyDescent="0.25">
      <c r="A169" t="s">
        <v>517</v>
      </c>
      <c r="B169" t="s">
        <v>518</v>
      </c>
      <c r="C169">
        <v>56.05</v>
      </c>
      <c r="D169" t="s">
        <v>3070</v>
      </c>
      <c r="E169" t="s">
        <v>519</v>
      </c>
      <c r="F169">
        <v>75</v>
      </c>
      <c r="G169" t="b">
        <v>1</v>
      </c>
      <c r="H169">
        <v>1</v>
      </c>
    </row>
    <row r="170" spans="1:8" x14ac:dyDescent="0.25">
      <c r="A170" t="s">
        <v>505</v>
      </c>
      <c r="B170" t="s">
        <v>506</v>
      </c>
      <c r="C170">
        <v>80.8</v>
      </c>
      <c r="D170" t="s">
        <v>3070</v>
      </c>
      <c r="E170" t="s">
        <v>3252</v>
      </c>
      <c r="F170">
        <v>75</v>
      </c>
      <c r="G170" t="b">
        <v>1</v>
      </c>
      <c r="H170">
        <v>1</v>
      </c>
    </row>
    <row r="171" spans="1:8" x14ac:dyDescent="0.25">
      <c r="A171" t="s">
        <v>498</v>
      </c>
      <c r="B171" t="s">
        <v>499</v>
      </c>
      <c r="C171">
        <v>55.45</v>
      </c>
      <c r="D171" t="s">
        <v>3070</v>
      </c>
      <c r="E171" t="s">
        <v>3252</v>
      </c>
      <c r="F171">
        <v>75</v>
      </c>
      <c r="G171" t="b">
        <v>1</v>
      </c>
      <c r="H171">
        <v>1</v>
      </c>
    </row>
    <row r="172" spans="1:8" x14ac:dyDescent="0.25">
      <c r="A172" t="s">
        <v>502</v>
      </c>
      <c r="B172" t="s">
        <v>503</v>
      </c>
      <c r="C172">
        <v>66.349999999999994</v>
      </c>
      <c r="D172" t="s">
        <v>3070</v>
      </c>
      <c r="E172" t="s">
        <v>3252</v>
      </c>
      <c r="F172">
        <v>75</v>
      </c>
      <c r="G172" t="b">
        <v>1</v>
      </c>
      <c r="H172">
        <v>1</v>
      </c>
    </row>
    <row r="173" spans="1:8" x14ac:dyDescent="0.25">
      <c r="A173" t="s">
        <v>507</v>
      </c>
      <c r="B173" t="s">
        <v>508</v>
      </c>
      <c r="C173">
        <v>353.2</v>
      </c>
      <c r="D173" t="s">
        <v>3070</v>
      </c>
      <c r="E173" t="s">
        <v>3252</v>
      </c>
      <c r="F173">
        <v>75</v>
      </c>
      <c r="G173" t="b">
        <v>1</v>
      </c>
      <c r="H173">
        <v>1</v>
      </c>
    </row>
    <row r="174" spans="1:8" x14ac:dyDescent="0.25">
      <c r="A174" t="s">
        <v>522</v>
      </c>
      <c r="B174" t="s">
        <v>523</v>
      </c>
      <c r="C174">
        <v>55.45</v>
      </c>
      <c r="D174" t="s">
        <v>3070</v>
      </c>
      <c r="E174" t="s">
        <v>519</v>
      </c>
      <c r="F174">
        <v>75</v>
      </c>
      <c r="G174" t="b">
        <v>1</v>
      </c>
      <c r="H174">
        <v>1</v>
      </c>
    </row>
    <row r="175" spans="1:8" x14ac:dyDescent="0.25">
      <c r="A175" t="s">
        <v>520</v>
      </c>
      <c r="B175" t="s">
        <v>521</v>
      </c>
      <c r="C175">
        <v>35.700000000000003</v>
      </c>
      <c r="D175" t="s">
        <v>3070</v>
      </c>
      <c r="E175" t="s">
        <v>519</v>
      </c>
      <c r="F175">
        <v>75</v>
      </c>
      <c r="G175" t="b">
        <v>1</v>
      </c>
      <c r="H175">
        <v>1</v>
      </c>
    </row>
    <row r="176" spans="1:8" x14ac:dyDescent="0.25">
      <c r="A176" t="s">
        <v>469</v>
      </c>
      <c r="B176" t="s">
        <v>470</v>
      </c>
      <c r="C176">
        <v>10.6</v>
      </c>
      <c r="D176" t="s">
        <v>3070</v>
      </c>
      <c r="E176" t="s">
        <v>942</v>
      </c>
      <c r="F176">
        <v>75</v>
      </c>
      <c r="G176" t="b">
        <v>1</v>
      </c>
      <c r="H176">
        <v>1</v>
      </c>
    </row>
    <row r="177" spans="1:8" x14ac:dyDescent="0.25">
      <c r="A177" t="s">
        <v>495</v>
      </c>
      <c r="B177" t="s">
        <v>496</v>
      </c>
      <c r="C177">
        <v>18.600000000000001</v>
      </c>
      <c r="D177" t="s">
        <v>3070</v>
      </c>
      <c r="E177" t="s">
        <v>519</v>
      </c>
      <c r="F177">
        <v>75</v>
      </c>
      <c r="G177" t="b">
        <v>1</v>
      </c>
      <c r="H177">
        <v>1</v>
      </c>
    </row>
    <row r="178" spans="1:8" x14ac:dyDescent="0.25">
      <c r="A178" t="s">
        <v>530</v>
      </c>
      <c r="B178" t="s">
        <v>531</v>
      </c>
      <c r="C178">
        <v>56.9</v>
      </c>
      <c r="D178" t="s">
        <v>3070</v>
      </c>
      <c r="E178" t="s">
        <v>519</v>
      </c>
      <c r="F178">
        <v>75</v>
      </c>
      <c r="G178" t="b">
        <v>1</v>
      </c>
      <c r="H178">
        <v>1</v>
      </c>
    </row>
    <row r="179" spans="1:8" x14ac:dyDescent="0.25">
      <c r="A179" t="s">
        <v>3156</v>
      </c>
      <c r="B179" t="s">
        <v>475</v>
      </c>
      <c r="C179">
        <v>9.15</v>
      </c>
      <c r="D179" t="s">
        <v>3070</v>
      </c>
      <c r="E179" t="s">
        <v>942</v>
      </c>
      <c r="F179">
        <v>75</v>
      </c>
      <c r="G179" t="b">
        <v>1</v>
      </c>
      <c r="H179">
        <v>1</v>
      </c>
    </row>
    <row r="180" spans="1:8" x14ac:dyDescent="0.25">
      <c r="A180" t="s">
        <v>3156</v>
      </c>
      <c r="B180" t="s">
        <v>478</v>
      </c>
      <c r="C180">
        <v>14.45</v>
      </c>
      <c r="D180" t="s">
        <v>3070</v>
      </c>
      <c r="E180" t="s">
        <v>942</v>
      </c>
      <c r="F180">
        <v>75</v>
      </c>
      <c r="G180" t="b">
        <v>1</v>
      </c>
      <c r="H180">
        <v>1</v>
      </c>
    </row>
    <row r="181" spans="1:8" x14ac:dyDescent="0.25">
      <c r="A181" t="s">
        <v>3156</v>
      </c>
      <c r="B181" t="s">
        <v>2440</v>
      </c>
      <c r="C181">
        <v>5.35</v>
      </c>
      <c r="D181" t="s">
        <v>3070</v>
      </c>
      <c r="E181" t="s">
        <v>942</v>
      </c>
      <c r="F181">
        <v>75</v>
      </c>
      <c r="G181" t="b">
        <v>1</v>
      </c>
      <c r="H181">
        <v>1</v>
      </c>
    </row>
    <row r="182" spans="1:8" x14ac:dyDescent="0.25">
      <c r="A182" t="s">
        <v>3156</v>
      </c>
      <c r="B182" t="s">
        <v>2442</v>
      </c>
      <c r="C182">
        <v>5.35</v>
      </c>
      <c r="D182" t="s">
        <v>3070</v>
      </c>
      <c r="E182" t="s">
        <v>942</v>
      </c>
      <c r="F182">
        <v>75</v>
      </c>
      <c r="G182" t="b">
        <v>1</v>
      </c>
      <c r="H182">
        <v>1</v>
      </c>
    </row>
    <row r="183" spans="1:8" x14ac:dyDescent="0.25">
      <c r="A183" t="s">
        <v>717</v>
      </c>
      <c r="B183" t="s">
        <v>2478</v>
      </c>
      <c r="C183">
        <v>21.85</v>
      </c>
      <c r="D183" t="s">
        <v>3253</v>
      </c>
      <c r="E183" t="s">
        <v>942</v>
      </c>
      <c r="F183">
        <v>75</v>
      </c>
      <c r="G183" t="b">
        <v>1</v>
      </c>
      <c r="H183">
        <v>1</v>
      </c>
    </row>
    <row r="184" spans="1:8" x14ac:dyDescent="0.25">
      <c r="A184" t="s">
        <v>717</v>
      </c>
      <c r="B184" t="s">
        <v>2746</v>
      </c>
      <c r="C184">
        <v>9.85</v>
      </c>
      <c r="D184" t="s">
        <v>3253</v>
      </c>
      <c r="E184" t="s">
        <v>942</v>
      </c>
      <c r="F184">
        <v>75</v>
      </c>
      <c r="G184" t="b">
        <v>1</v>
      </c>
      <c r="H184">
        <v>1</v>
      </c>
    </row>
    <row r="185" spans="1:8" x14ac:dyDescent="0.25">
      <c r="A185" t="s">
        <v>717</v>
      </c>
      <c r="B185" t="s">
        <v>2750</v>
      </c>
      <c r="C185">
        <v>21.85</v>
      </c>
      <c r="D185" t="s">
        <v>3253</v>
      </c>
      <c r="E185" t="s">
        <v>942</v>
      </c>
      <c r="F185">
        <v>75</v>
      </c>
      <c r="G185" t="b">
        <v>1</v>
      </c>
      <c r="H185">
        <v>1</v>
      </c>
    </row>
    <row r="186" spans="1:8" x14ac:dyDescent="0.25">
      <c r="A186" t="s">
        <v>717</v>
      </c>
      <c r="B186" t="s">
        <v>2464</v>
      </c>
      <c r="C186">
        <v>9.85</v>
      </c>
      <c r="D186" t="s">
        <v>3253</v>
      </c>
      <c r="E186" t="s">
        <v>942</v>
      </c>
      <c r="F186">
        <v>75</v>
      </c>
      <c r="G186" t="b">
        <v>1</v>
      </c>
      <c r="H186">
        <v>1</v>
      </c>
    </row>
    <row r="187" spans="1:8" x14ac:dyDescent="0.25">
      <c r="A187" t="s">
        <v>717</v>
      </c>
      <c r="B187" t="s">
        <v>2466</v>
      </c>
      <c r="C187">
        <v>9.85</v>
      </c>
      <c r="D187" t="s">
        <v>3253</v>
      </c>
      <c r="E187" t="s">
        <v>942</v>
      </c>
      <c r="F187">
        <v>75</v>
      </c>
      <c r="G187" t="b">
        <v>1</v>
      </c>
      <c r="H187">
        <v>1</v>
      </c>
    </row>
    <row r="188" spans="1:8" x14ac:dyDescent="0.25">
      <c r="A188" t="s">
        <v>717</v>
      </c>
      <c r="B188" t="s">
        <v>3158</v>
      </c>
      <c r="C188">
        <v>9.85</v>
      </c>
      <c r="D188" t="s">
        <v>3253</v>
      </c>
      <c r="E188" t="s">
        <v>942</v>
      </c>
      <c r="F188">
        <v>75</v>
      </c>
      <c r="G188" t="b">
        <v>1</v>
      </c>
      <c r="H188">
        <v>1</v>
      </c>
    </row>
    <row r="189" spans="1:8" x14ac:dyDescent="0.25">
      <c r="A189" t="s">
        <v>717</v>
      </c>
      <c r="B189" t="s">
        <v>3159</v>
      </c>
      <c r="C189">
        <v>14.8</v>
      </c>
      <c r="D189" t="s">
        <v>3253</v>
      </c>
      <c r="E189" t="s">
        <v>942</v>
      </c>
      <c r="F189">
        <v>75</v>
      </c>
      <c r="G189" t="b">
        <v>1</v>
      </c>
      <c r="H189">
        <v>1</v>
      </c>
    </row>
    <row r="190" spans="1:8" x14ac:dyDescent="0.25">
      <c r="A190" t="s">
        <v>717</v>
      </c>
      <c r="B190" t="s">
        <v>2468</v>
      </c>
      <c r="C190">
        <v>14.8</v>
      </c>
      <c r="D190" t="s">
        <v>3253</v>
      </c>
      <c r="E190" t="s">
        <v>942</v>
      </c>
      <c r="F190">
        <v>75</v>
      </c>
      <c r="G190" t="b">
        <v>1</v>
      </c>
      <c r="H190">
        <v>1</v>
      </c>
    </row>
    <row r="191" spans="1:8" x14ac:dyDescent="0.25">
      <c r="A191" t="s">
        <v>717</v>
      </c>
      <c r="B191" t="s">
        <v>2470</v>
      </c>
      <c r="C191">
        <v>9.85</v>
      </c>
      <c r="D191" t="s">
        <v>3253</v>
      </c>
      <c r="E191" t="s">
        <v>942</v>
      </c>
      <c r="F191">
        <v>75</v>
      </c>
      <c r="G191" t="b">
        <v>1</v>
      </c>
      <c r="H191">
        <v>1</v>
      </c>
    </row>
    <row r="192" spans="1:8" x14ac:dyDescent="0.25">
      <c r="A192" t="s">
        <v>717</v>
      </c>
      <c r="B192" t="s">
        <v>643</v>
      </c>
      <c r="C192">
        <v>14.8</v>
      </c>
      <c r="D192" t="s">
        <v>3253</v>
      </c>
      <c r="E192" t="s">
        <v>942</v>
      </c>
      <c r="F192">
        <v>75</v>
      </c>
      <c r="G192" t="b">
        <v>1</v>
      </c>
      <c r="H192">
        <v>1</v>
      </c>
    </row>
    <row r="193" spans="1:8" x14ac:dyDescent="0.25">
      <c r="A193" t="s">
        <v>717</v>
      </c>
      <c r="B193" t="s">
        <v>1211</v>
      </c>
      <c r="C193">
        <v>9.85</v>
      </c>
      <c r="D193" t="s">
        <v>3253</v>
      </c>
      <c r="E193" t="s">
        <v>942</v>
      </c>
      <c r="F193">
        <v>75</v>
      </c>
      <c r="G193" t="b">
        <v>1</v>
      </c>
      <c r="H193">
        <v>1</v>
      </c>
    </row>
    <row r="194" spans="1:8" x14ac:dyDescent="0.25">
      <c r="A194" t="s">
        <v>717</v>
      </c>
      <c r="B194" t="s">
        <v>2748</v>
      </c>
      <c r="C194">
        <v>9.85</v>
      </c>
      <c r="D194" t="s">
        <v>3253</v>
      </c>
      <c r="E194" t="s">
        <v>942</v>
      </c>
      <c r="F194">
        <v>75</v>
      </c>
      <c r="G194" t="b">
        <v>1</v>
      </c>
      <c r="H194">
        <v>1</v>
      </c>
    </row>
    <row r="195" spans="1:8" x14ac:dyDescent="0.25">
      <c r="A195" t="s">
        <v>717</v>
      </c>
      <c r="B195" t="s">
        <v>2472</v>
      </c>
      <c r="C195">
        <v>21.85</v>
      </c>
      <c r="D195" t="s">
        <v>3253</v>
      </c>
      <c r="E195" t="s">
        <v>942</v>
      </c>
      <c r="F195">
        <v>75</v>
      </c>
      <c r="G195" t="b">
        <v>1</v>
      </c>
      <c r="H195">
        <v>1</v>
      </c>
    </row>
    <row r="196" spans="1:8" x14ac:dyDescent="0.25">
      <c r="A196" t="s">
        <v>717</v>
      </c>
      <c r="B196" t="s">
        <v>2754</v>
      </c>
      <c r="C196">
        <v>9.85</v>
      </c>
      <c r="D196" t="s">
        <v>3253</v>
      </c>
      <c r="E196" t="s">
        <v>942</v>
      </c>
      <c r="F196">
        <v>75</v>
      </c>
      <c r="G196" t="b">
        <v>1</v>
      </c>
      <c r="H196">
        <v>1</v>
      </c>
    </row>
    <row r="197" spans="1:8" x14ac:dyDescent="0.25">
      <c r="A197" t="s">
        <v>717</v>
      </c>
      <c r="B197" t="s">
        <v>643</v>
      </c>
      <c r="C197">
        <v>14.35</v>
      </c>
      <c r="D197" t="s">
        <v>3253</v>
      </c>
      <c r="E197" t="s">
        <v>942</v>
      </c>
      <c r="F197">
        <v>75</v>
      </c>
      <c r="G197" t="b">
        <v>1</v>
      </c>
      <c r="H197">
        <v>1</v>
      </c>
    </row>
    <row r="198" spans="1:8" x14ac:dyDescent="0.25">
      <c r="A198" t="s">
        <v>717</v>
      </c>
      <c r="B198" t="s">
        <v>2758</v>
      </c>
      <c r="C198">
        <v>9.85</v>
      </c>
      <c r="D198" t="s">
        <v>3253</v>
      </c>
      <c r="E198" t="s">
        <v>942</v>
      </c>
      <c r="F198">
        <v>75</v>
      </c>
      <c r="G198" t="b">
        <v>1</v>
      </c>
      <c r="H198">
        <v>1</v>
      </c>
    </row>
    <row r="199" spans="1:8" x14ac:dyDescent="0.25">
      <c r="A199" t="s">
        <v>717</v>
      </c>
      <c r="B199" t="s">
        <v>2760</v>
      </c>
      <c r="C199">
        <v>9.85</v>
      </c>
      <c r="D199" t="s">
        <v>3253</v>
      </c>
      <c r="E199" t="s">
        <v>942</v>
      </c>
      <c r="F199">
        <v>75</v>
      </c>
      <c r="G199" t="b">
        <v>1</v>
      </c>
      <c r="H199">
        <v>1</v>
      </c>
    </row>
    <row r="200" spans="1:8" x14ac:dyDescent="0.25">
      <c r="A200" t="s">
        <v>717</v>
      </c>
      <c r="B200" t="s">
        <v>2474</v>
      </c>
      <c r="C200">
        <v>9.85</v>
      </c>
      <c r="D200" t="s">
        <v>3253</v>
      </c>
      <c r="E200" t="s">
        <v>942</v>
      </c>
      <c r="F200">
        <v>75</v>
      </c>
      <c r="G200" t="b">
        <v>1</v>
      </c>
      <c r="H200">
        <v>1</v>
      </c>
    </row>
    <row r="201" spans="1:8" x14ac:dyDescent="0.25">
      <c r="A201" t="s">
        <v>717</v>
      </c>
      <c r="B201" t="s">
        <v>2476</v>
      </c>
      <c r="C201">
        <v>21.85</v>
      </c>
      <c r="D201" t="s">
        <v>3253</v>
      </c>
      <c r="E201" t="s">
        <v>942</v>
      </c>
      <c r="F201">
        <v>75</v>
      </c>
      <c r="G201" t="b">
        <v>1</v>
      </c>
      <c r="H201">
        <v>1</v>
      </c>
    </row>
    <row r="202" spans="1:8" x14ac:dyDescent="0.25">
      <c r="A202" t="s">
        <v>717</v>
      </c>
      <c r="B202" t="s">
        <v>2756</v>
      </c>
      <c r="C202">
        <v>9.85</v>
      </c>
      <c r="D202" t="s">
        <v>3253</v>
      </c>
      <c r="E202" t="s">
        <v>942</v>
      </c>
      <c r="F202">
        <v>75</v>
      </c>
      <c r="G202" t="b">
        <v>1</v>
      </c>
      <c r="H202">
        <v>1</v>
      </c>
    </row>
    <row r="203" spans="1:8" x14ac:dyDescent="0.25">
      <c r="A203" t="s">
        <v>717</v>
      </c>
      <c r="B203" t="s">
        <v>718</v>
      </c>
      <c r="C203">
        <v>9.85</v>
      </c>
      <c r="D203" t="s">
        <v>3253</v>
      </c>
      <c r="E203" t="s">
        <v>942</v>
      </c>
      <c r="F203">
        <v>75</v>
      </c>
      <c r="G203" t="b">
        <v>1</v>
      </c>
      <c r="H203">
        <v>1</v>
      </c>
    </row>
    <row r="204" spans="1:8" x14ac:dyDescent="0.25">
      <c r="A204" t="s">
        <v>680</v>
      </c>
      <c r="B204" t="s">
        <v>681</v>
      </c>
      <c r="C204">
        <v>48.95</v>
      </c>
      <c r="D204" t="s">
        <v>3073</v>
      </c>
      <c r="E204" t="s">
        <v>527</v>
      </c>
      <c r="F204">
        <v>75</v>
      </c>
      <c r="G204" t="b">
        <v>1</v>
      </c>
      <c r="H204">
        <v>1</v>
      </c>
    </row>
    <row r="205" spans="1:8" x14ac:dyDescent="0.25">
      <c r="A205" t="s">
        <v>536</v>
      </c>
      <c r="B205" t="s">
        <v>537</v>
      </c>
      <c r="C205">
        <v>55.45</v>
      </c>
      <c r="D205" t="s">
        <v>3073</v>
      </c>
      <c r="E205" t="s">
        <v>527</v>
      </c>
      <c r="F205">
        <v>75</v>
      </c>
      <c r="G205" t="b">
        <v>1</v>
      </c>
      <c r="H205">
        <v>1</v>
      </c>
    </row>
    <row r="206" spans="1:8" x14ac:dyDescent="0.25">
      <c r="A206" t="s">
        <v>540</v>
      </c>
      <c r="B206" t="s">
        <v>541</v>
      </c>
      <c r="C206">
        <v>106.15</v>
      </c>
      <c r="D206" t="s">
        <v>3073</v>
      </c>
      <c r="E206" t="s">
        <v>527</v>
      </c>
      <c r="F206">
        <v>75</v>
      </c>
      <c r="G206" t="b">
        <v>1</v>
      </c>
      <c r="H206">
        <v>1</v>
      </c>
    </row>
    <row r="207" spans="1:8" x14ac:dyDescent="0.25">
      <c r="A207" t="s">
        <v>545</v>
      </c>
      <c r="B207" t="s">
        <v>546</v>
      </c>
      <c r="C207">
        <v>56.9</v>
      </c>
      <c r="D207" t="s">
        <v>3073</v>
      </c>
      <c r="E207" t="s">
        <v>527</v>
      </c>
      <c r="F207">
        <v>75</v>
      </c>
      <c r="G207" t="b">
        <v>1</v>
      </c>
      <c r="H207">
        <v>1</v>
      </c>
    </row>
    <row r="208" spans="1:8" x14ac:dyDescent="0.25">
      <c r="A208" t="s">
        <v>542</v>
      </c>
      <c r="B208" t="s">
        <v>543</v>
      </c>
      <c r="C208">
        <v>50.45</v>
      </c>
      <c r="D208" t="s">
        <v>3073</v>
      </c>
      <c r="E208" t="s">
        <v>527</v>
      </c>
      <c r="F208">
        <v>75</v>
      </c>
      <c r="G208" t="b">
        <v>1</v>
      </c>
      <c r="H208">
        <v>1</v>
      </c>
    </row>
    <row r="209" spans="1:8" x14ac:dyDescent="0.25">
      <c r="A209" t="s">
        <v>683</v>
      </c>
      <c r="B209" t="s">
        <v>684</v>
      </c>
      <c r="C209">
        <v>70.75</v>
      </c>
      <c r="D209" t="s">
        <v>3073</v>
      </c>
      <c r="E209" t="s">
        <v>527</v>
      </c>
      <c r="F209">
        <v>75</v>
      </c>
      <c r="G209" t="b">
        <v>1</v>
      </c>
      <c r="H209">
        <v>1</v>
      </c>
    </row>
    <row r="210" spans="1:8" x14ac:dyDescent="0.25">
      <c r="A210" t="s">
        <v>551</v>
      </c>
      <c r="B210" t="s">
        <v>552</v>
      </c>
      <c r="C210">
        <v>74</v>
      </c>
      <c r="D210" t="s">
        <v>3073</v>
      </c>
      <c r="E210" t="s">
        <v>527</v>
      </c>
      <c r="F210">
        <v>75</v>
      </c>
      <c r="G210" t="b">
        <v>1</v>
      </c>
      <c r="H210">
        <v>1</v>
      </c>
    </row>
    <row r="211" spans="1:8" x14ac:dyDescent="0.25">
      <c r="A211" t="s">
        <v>672</v>
      </c>
      <c r="B211" t="s">
        <v>673</v>
      </c>
      <c r="C211">
        <v>74</v>
      </c>
      <c r="D211" t="s">
        <v>3073</v>
      </c>
      <c r="E211" t="s">
        <v>527</v>
      </c>
      <c r="F211">
        <v>75</v>
      </c>
      <c r="G211" t="b">
        <v>1</v>
      </c>
      <c r="H211">
        <v>1</v>
      </c>
    </row>
    <row r="212" spans="1:8" x14ac:dyDescent="0.25">
      <c r="A212" t="s">
        <v>554</v>
      </c>
      <c r="B212" t="s">
        <v>555</v>
      </c>
      <c r="C212">
        <v>112</v>
      </c>
      <c r="D212" t="s">
        <v>3073</v>
      </c>
      <c r="E212" t="s">
        <v>527</v>
      </c>
      <c r="F212">
        <v>75</v>
      </c>
      <c r="G212" t="b">
        <v>1</v>
      </c>
      <c r="H212">
        <v>1</v>
      </c>
    </row>
    <row r="213" spans="1:8" x14ac:dyDescent="0.25">
      <c r="A213" t="s">
        <v>674</v>
      </c>
      <c r="B213" t="s">
        <v>675</v>
      </c>
      <c r="C213">
        <v>112</v>
      </c>
      <c r="D213" t="s">
        <v>3073</v>
      </c>
      <c r="E213" t="s">
        <v>527</v>
      </c>
      <c r="F213">
        <v>75</v>
      </c>
      <c r="G213" t="b">
        <v>1</v>
      </c>
      <c r="H213">
        <v>1</v>
      </c>
    </row>
    <row r="214" spans="1:8" x14ac:dyDescent="0.25">
      <c r="A214" t="s">
        <v>560</v>
      </c>
      <c r="B214" t="s">
        <v>561</v>
      </c>
      <c r="C214">
        <v>106.15</v>
      </c>
      <c r="D214" t="s">
        <v>3073</v>
      </c>
      <c r="E214" t="s">
        <v>527</v>
      </c>
      <c r="F214">
        <v>75</v>
      </c>
      <c r="G214" t="b">
        <v>1</v>
      </c>
      <c r="H214">
        <v>1</v>
      </c>
    </row>
    <row r="215" spans="1:8" x14ac:dyDescent="0.25">
      <c r="A215" t="s">
        <v>557</v>
      </c>
      <c r="B215" t="s">
        <v>558</v>
      </c>
      <c r="C215">
        <v>81.349999999999994</v>
      </c>
      <c r="D215" t="s">
        <v>3073</v>
      </c>
      <c r="E215" t="s">
        <v>527</v>
      </c>
      <c r="F215">
        <v>75</v>
      </c>
      <c r="G215" t="b">
        <v>1</v>
      </c>
      <c r="H215">
        <v>1</v>
      </c>
    </row>
    <row r="216" spans="1:8" x14ac:dyDescent="0.25">
      <c r="A216" t="s">
        <v>548</v>
      </c>
      <c r="B216" t="s">
        <v>549</v>
      </c>
      <c r="C216">
        <v>50.45</v>
      </c>
      <c r="D216" t="s">
        <v>3073</v>
      </c>
      <c r="E216" t="s">
        <v>527</v>
      </c>
      <c r="F216">
        <v>75</v>
      </c>
      <c r="G216" t="b">
        <v>1</v>
      </c>
      <c r="H216">
        <v>1</v>
      </c>
    </row>
    <row r="217" spans="1:8" x14ac:dyDescent="0.25">
      <c r="A217" t="s">
        <v>566</v>
      </c>
      <c r="B217" t="s">
        <v>567</v>
      </c>
      <c r="C217">
        <v>42.2</v>
      </c>
      <c r="D217" t="s">
        <v>3073</v>
      </c>
      <c r="E217" t="s">
        <v>527</v>
      </c>
      <c r="F217">
        <v>75</v>
      </c>
      <c r="G217" t="b">
        <v>1</v>
      </c>
      <c r="H217">
        <v>1</v>
      </c>
    </row>
    <row r="218" spans="1:8" x14ac:dyDescent="0.25">
      <c r="A218" t="s">
        <v>568</v>
      </c>
      <c r="B218" t="s">
        <v>569</v>
      </c>
      <c r="C218">
        <v>106.15</v>
      </c>
      <c r="D218" t="s">
        <v>3073</v>
      </c>
      <c r="E218" t="s">
        <v>527</v>
      </c>
      <c r="F218">
        <v>75</v>
      </c>
      <c r="G218" t="b">
        <v>1</v>
      </c>
      <c r="H218">
        <v>1</v>
      </c>
    </row>
    <row r="219" spans="1:8" x14ac:dyDescent="0.25">
      <c r="A219" t="s">
        <v>676</v>
      </c>
      <c r="B219" t="s">
        <v>677</v>
      </c>
      <c r="C219">
        <v>129.4</v>
      </c>
      <c r="D219" t="s">
        <v>3073</v>
      </c>
      <c r="E219" t="s">
        <v>527</v>
      </c>
      <c r="F219">
        <v>75</v>
      </c>
      <c r="G219" t="b">
        <v>1</v>
      </c>
      <c r="H219">
        <v>1</v>
      </c>
    </row>
    <row r="220" spans="1:8" x14ac:dyDescent="0.25">
      <c r="A220" t="s">
        <v>563</v>
      </c>
      <c r="B220" t="s">
        <v>564</v>
      </c>
      <c r="C220">
        <v>129.4</v>
      </c>
      <c r="D220" t="s">
        <v>3073</v>
      </c>
      <c r="E220" t="s">
        <v>527</v>
      </c>
      <c r="F220">
        <v>75</v>
      </c>
      <c r="G220" t="b">
        <v>1</v>
      </c>
      <c r="H220">
        <v>1</v>
      </c>
    </row>
    <row r="221" spans="1:8" x14ac:dyDescent="0.25">
      <c r="A221" t="s">
        <v>686</v>
      </c>
      <c r="B221" t="s">
        <v>687</v>
      </c>
      <c r="C221">
        <v>129.4</v>
      </c>
      <c r="D221" t="s">
        <v>3073</v>
      </c>
      <c r="E221" t="s">
        <v>527</v>
      </c>
      <c r="F221">
        <v>75</v>
      </c>
      <c r="G221" t="b">
        <v>1</v>
      </c>
      <c r="H221">
        <v>1</v>
      </c>
    </row>
    <row r="222" spans="1:8" x14ac:dyDescent="0.25">
      <c r="A222" t="s">
        <v>678</v>
      </c>
      <c r="B222" t="s">
        <v>679</v>
      </c>
      <c r="C222">
        <v>129.4</v>
      </c>
      <c r="D222" t="s">
        <v>3073</v>
      </c>
      <c r="E222" t="s">
        <v>527</v>
      </c>
      <c r="F222">
        <v>75</v>
      </c>
      <c r="G222" t="b">
        <v>1</v>
      </c>
      <c r="H222">
        <v>1</v>
      </c>
    </row>
    <row r="223" spans="1:8" x14ac:dyDescent="0.25">
      <c r="A223" t="s">
        <v>3157</v>
      </c>
      <c r="B223" t="s">
        <v>2458</v>
      </c>
      <c r="C223">
        <v>11.8</v>
      </c>
      <c r="D223" t="s">
        <v>3073</v>
      </c>
      <c r="E223" t="s">
        <v>942</v>
      </c>
      <c r="F223">
        <v>75</v>
      </c>
      <c r="G223" t="b">
        <v>1</v>
      </c>
      <c r="H223">
        <v>1</v>
      </c>
    </row>
    <row r="224" spans="1:8" x14ac:dyDescent="0.25">
      <c r="A224" t="s">
        <v>3157</v>
      </c>
      <c r="B224" t="s">
        <v>2460</v>
      </c>
      <c r="C224">
        <v>31.55</v>
      </c>
      <c r="D224" t="s">
        <v>3073</v>
      </c>
      <c r="E224" t="s">
        <v>942</v>
      </c>
      <c r="F224">
        <v>75</v>
      </c>
      <c r="G224" t="b">
        <v>1</v>
      </c>
      <c r="H224">
        <v>1</v>
      </c>
    </row>
    <row r="225" spans="1:8" x14ac:dyDescent="0.25">
      <c r="A225" t="s">
        <v>3157</v>
      </c>
      <c r="B225" t="s">
        <v>2456</v>
      </c>
      <c r="C225">
        <v>11.8</v>
      </c>
      <c r="D225" t="s">
        <v>3073</v>
      </c>
      <c r="E225" t="s">
        <v>942</v>
      </c>
      <c r="F225">
        <v>75</v>
      </c>
      <c r="G225" t="b">
        <v>1</v>
      </c>
      <c r="H225">
        <v>1</v>
      </c>
    </row>
    <row r="226" spans="1:8" x14ac:dyDescent="0.25">
      <c r="A226" t="s">
        <v>3157</v>
      </c>
      <c r="B226" t="s">
        <v>576</v>
      </c>
      <c r="C226">
        <v>25.7</v>
      </c>
      <c r="D226" t="s">
        <v>3073</v>
      </c>
      <c r="E226" t="s">
        <v>942</v>
      </c>
      <c r="F226">
        <v>75</v>
      </c>
      <c r="G226" t="b">
        <v>1</v>
      </c>
      <c r="H226">
        <v>1</v>
      </c>
    </row>
    <row r="227" spans="1:8" x14ac:dyDescent="0.25">
      <c r="A227" t="s">
        <v>3165</v>
      </c>
      <c r="B227" t="s">
        <v>2548</v>
      </c>
      <c r="C227">
        <v>4.75</v>
      </c>
      <c r="D227" t="s">
        <v>3073</v>
      </c>
      <c r="E227" t="s">
        <v>942</v>
      </c>
      <c r="F227">
        <v>75</v>
      </c>
      <c r="G227" t="b">
        <v>1</v>
      </c>
      <c r="H227">
        <v>1</v>
      </c>
    </row>
    <row r="228" spans="1:8" x14ac:dyDescent="0.25">
      <c r="A228" t="s">
        <v>3165</v>
      </c>
      <c r="B228" t="s">
        <v>2536</v>
      </c>
      <c r="C228">
        <v>9.15</v>
      </c>
      <c r="D228" t="s">
        <v>3073</v>
      </c>
      <c r="E228" t="s">
        <v>942</v>
      </c>
      <c r="F228">
        <v>75</v>
      </c>
      <c r="G228" t="b">
        <v>1</v>
      </c>
      <c r="H228">
        <v>1</v>
      </c>
    </row>
    <row r="229" spans="1:8" x14ac:dyDescent="0.25">
      <c r="A229" t="s">
        <v>3165</v>
      </c>
      <c r="B229" t="s">
        <v>2510</v>
      </c>
      <c r="C229">
        <v>3.85</v>
      </c>
      <c r="D229" t="s">
        <v>3073</v>
      </c>
      <c r="E229" t="s">
        <v>942</v>
      </c>
      <c r="F229">
        <v>75</v>
      </c>
      <c r="G229" t="b">
        <v>1</v>
      </c>
      <c r="H229">
        <v>1</v>
      </c>
    </row>
    <row r="230" spans="1:8" x14ac:dyDescent="0.25">
      <c r="A230" t="s">
        <v>3165</v>
      </c>
      <c r="B230" t="s">
        <v>2512</v>
      </c>
      <c r="C230">
        <v>4.75</v>
      </c>
      <c r="D230" t="s">
        <v>3073</v>
      </c>
      <c r="E230" t="s">
        <v>942</v>
      </c>
      <c r="F230">
        <v>75</v>
      </c>
      <c r="G230" t="b">
        <v>1</v>
      </c>
      <c r="H230">
        <v>1</v>
      </c>
    </row>
    <row r="231" spans="1:8" x14ac:dyDescent="0.25">
      <c r="A231" t="s">
        <v>3165</v>
      </c>
      <c r="B231" t="s">
        <v>2514</v>
      </c>
      <c r="C231">
        <v>4.75</v>
      </c>
      <c r="D231" t="s">
        <v>3073</v>
      </c>
      <c r="E231" t="s">
        <v>942</v>
      </c>
      <c r="F231">
        <v>75</v>
      </c>
      <c r="G231" t="b">
        <v>1</v>
      </c>
      <c r="H231">
        <v>1</v>
      </c>
    </row>
    <row r="232" spans="1:8" x14ac:dyDescent="0.25">
      <c r="A232" t="s">
        <v>3165</v>
      </c>
      <c r="B232" t="s">
        <v>2516</v>
      </c>
      <c r="C232">
        <v>2.1</v>
      </c>
      <c r="D232" t="s">
        <v>3073</v>
      </c>
      <c r="E232" t="s">
        <v>942</v>
      </c>
      <c r="F232">
        <v>75</v>
      </c>
      <c r="G232" t="b">
        <v>1</v>
      </c>
      <c r="H232">
        <v>1</v>
      </c>
    </row>
    <row r="233" spans="1:8" x14ac:dyDescent="0.25">
      <c r="A233" t="s">
        <v>3165</v>
      </c>
      <c r="B233" t="s">
        <v>2518</v>
      </c>
      <c r="C233">
        <v>2.1</v>
      </c>
      <c r="D233" t="s">
        <v>3073</v>
      </c>
      <c r="E233" t="s">
        <v>942</v>
      </c>
      <c r="F233">
        <v>75</v>
      </c>
      <c r="G233" t="b">
        <v>1</v>
      </c>
      <c r="H233">
        <v>1</v>
      </c>
    </row>
    <row r="234" spans="1:8" x14ac:dyDescent="0.25">
      <c r="A234" t="s">
        <v>3165</v>
      </c>
      <c r="B234" t="s">
        <v>2520</v>
      </c>
      <c r="C234">
        <v>2.1</v>
      </c>
      <c r="D234" t="s">
        <v>3073</v>
      </c>
      <c r="E234" t="s">
        <v>942</v>
      </c>
      <c r="F234">
        <v>75</v>
      </c>
      <c r="G234" t="b">
        <v>1</v>
      </c>
      <c r="H234">
        <v>1</v>
      </c>
    </row>
    <row r="235" spans="1:8" x14ac:dyDescent="0.25">
      <c r="A235" t="s">
        <v>3165</v>
      </c>
      <c r="B235" t="s">
        <v>2522</v>
      </c>
      <c r="C235">
        <v>4.75</v>
      </c>
      <c r="D235" t="s">
        <v>3073</v>
      </c>
      <c r="E235" t="s">
        <v>942</v>
      </c>
      <c r="F235">
        <v>75</v>
      </c>
      <c r="G235" t="b">
        <v>1</v>
      </c>
      <c r="H235">
        <v>1</v>
      </c>
    </row>
    <row r="236" spans="1:8" x14ac:dyDescent="0.25">
      <c r="A236" t="s">
        <v>3165</v>
      </c>
      <c r="B236" t="s">
        <v>2524</v>
      </c>
      <c r="C236">
        <v>8.5500000000000007</v>
      </c>
      <c r="D236" t="s">
        <v>3073</v>
      </c>
      <c r="E236" t="s">
        <v>942</v>
      </c>
      <c r="F236">
        <v>75</v>
      </c>
      <c r="G236" t="b">
        <v>1</v>
      </c>
      <c r="H236">
        <v>1</v>
      </c>
    </row>
    <row r="237" spans="1:8" x14ac:dyDescent="0.25">
      <c r="A237" t="s">
        <v>3165</v>
      </c>
      <c r="B237" t="s">
        <v>2526</v>
      </c>
      <c r="C237">
        <v>2.1</v>
      </c>
      <c r="D237" t="s">
        <v>3073</v>
      </c>
      <c r="E237" t="s">
        <v>942</v>
      </c>
      <c r="F237">
        <v>75</v>
      </c>
      <c r="G237" t="b">
        <v>1</v>
      </c>
      <c r="H237">
        <v>1</v>
      </c>
    </row>
    <row r="238" spans="1:8" x14ac:dyDescent="0.25">
      <c r="A238" t="s">
        <v>3165</v>
      </c>
      <c r="B238" t="s">
        <v>2528</v>
      </c>
      <c r="C238">
        <v>2.1</v>
      </c>
      <c r="D238" t="s">
        <v>3073</v>
      </c>
      <c r="E238" t="s">
        <v>942</v>
      </c>
      <c r="F238">
        <v>75</v>
      </c>
      <c r="G238" t="b">
        <v>1</v>
      </c>
      <c r="H238">
        <v>1</v>
      </c>
    </row>
    <row r="239" spans="1:8" x14ac:dyDescent="0.25">
      <c r="A239" t="s">
        <v>3165</v>
      </c>
      <c r="B239" t="s">
        <v>2530</v>
      </c>
      <c r="C239">
        <v>2.1</v>
      </c>
      <c r="D239" t="s">
        <v>3073</v>
      </c>
      <c r="E239" t="s">
        <v>942</v>
      </c>
      <c r="F239">
        <v>75</v>
      </c>
      <c r="G239" t="b">
        <v>1</v>
      </c>
      <c r="H239">
        <v>1</v>
      </c>
    </row>
    <row r="240" spans="1:8" x14ac:dyDescent="0.25">
      <c r="A240" t="s">
        <v>3165</v>
      </c>
      <c r="B240" t="s">
        <v>2532</v>
      </c>
      <c r="C240">
        <v>4.75</v>
      </c>
      <c r="D240" t="s">
        <v>3073</v>
      </c>
      <c r="E240" t="s">
        <v>942</v>
      </c>
      <c r="F240">
        <v>75</v>
      </c>
      <c r="G240" t="b">
        <v>1</v>
      </c>
      <c r="H240">
        <v>1</v>
      </c>
    </row>
    <row r="241" spans="1:8" x14ac:dyDescent="0.25">
      <c r="A241" t="s">
        <v>3165</v>
      </c>
      <c r="B241" t="s">
        <v>2534</v>
      </c>
      <c r="C241">
        <v>4.75</v>
      </c>
      <c r="D241" t="s">
        <v>3073</v>
      </c>
      <c r="E241" t="s">
        <v>942</v>
      </c>
      <c r="F241">
        <v>75</v>
      </c>
      <c r="G241" t="b">
        <v>1</v>
      </c>
      <c r="H241">
        <v>1</v>
      </c>
    </row>
    <row r="242" spans="1:8" x14ac:dyDescent="0.25">
      <c r="A242" t="s">
        <v>3165</v>
      </c>
      <c r="B242" t="s">
        <v>2538</v>
      </c>
      <c r="C242">
        <v>2.1</v>
      </c>
      <c r="D242" t="s">
        <v>3073</v>
      </c>
      <c r="E242" t="s">
        <v>942</v>
      </c>
      <c r="F242">
        <v>75</v>
      </c>
      <c r="G242" t="b">
        <v>1</v>
      </c>
      <c r="H242">
        <v>1</v>
      </c>
    </row>
    <row r="243" spans="1:8" x14ac:dyDescent="0.25">
      <c r="A243" t="s">
        <v>3165</v>
      </c>
      <c r="B243" t="s">
        <v>2540</v>
      </c>
      <c r="C243">
        <v>4.75</v>
      </c>
      <c r="D243" t="s">
        <v>3073</v>
      </c>
      <c r="E243" t="s">
        <v>942</v>
      </c>
      <c r="F243">
        <v>75</v>
      </c>
      <c r="G243" t="b">
        <v>1</v>
      </c>
      <c r="H243">
        <v>1</v>
      </c>
    </row>
    <row r="244" spans="1:8" x14ac:dyDescent="0.25">
      <c r="A244" t="s">
        <v>3165</v>
      </c>
      <c r="B244" t="s">
        <v>2542</v>
      </c>
      <c r="C244">
        <v>4.75</v>
      </c>
      <c r="D244" t="s">
        <v>3073</v>
      </c>
      <c r="E244" t="s">
        <v>942</v>
      </c>
      <c r="F244">
        <v>75</v>
      </c>
      <c r="G244" t="b">
        <v>1</v>
      </c>
      <c r="H244">
        <v>1</v>
      </c>
    </row>
    <row r="245" spans="1:8" x14ac:dyDescent="0.25">
      <c r="A245" t="s">
        <v>3165</v>
      </c>
      <c r="B245" t="s">
        <v>2544</v>
      </c>
      <c r="C245">
        <v>4.75</v>
      </c>
      <c r="D245" t="s">
        <v>3073</v>
      </c>
      <c r="E245" t="s">
        <v>942</v>
      </c>
      <c r="F245">
        <v>75</v>
      </c>
      <c r="G245" t="b">
        <v>1</v>
      </c>
      <c r="H245">
        <v>1</v>
      </c>
    </row>
    <row r="246" spans="1:8" x14ac:dyDescent="0.25">
      <c r="A246" t="s">
        <v>3165</v>
      </c>
      <c r="B246" t="s">
        <v>2546</v>
      </c>
      <c r="C246">
        <v>10.050000000000001</v>
      </c>
      <c r="D246" t="s">
        <v>3073</v>
      </c>
      <c r="E246" t="s">
        <v>942</v>
      </c>
      <c r="F246">
        <v>75</v>
      </c>
      <c r="G246" t="b">
        <v>1</v>
      </c>
      <c r="H246">
        <v>1</v>
      </c>
    </row>
    <row r="247" spans="1:8" x14ac:dyDescent="0.25">
      <c r="A247" t="s">
        <v>3167</v>
      </c>
      <c r="B247" t="s">
        <v>2644</v>
      </c>
      <c r="C247">
        <v>14.75</v>
      </c>
      <c r="D247" t="s">
        <v>3152</v>
      </c>
      <c r="F247">
        <v>75</v>
      </c>
      <c r="G247" t="b">
        <v>1</v>
      </c>
      <c r="H247">
        <v>1</v>
      </c>
    </row>
    <row r="248" spans="1:8" x14ac:dyDescent="0.25">
      <c r="A248" t="s">
        <v>3167</v>
      </c>
      <c r="B248" t="s">
        <v>2640</v>
      </c>
      <c r="C248">
        <v>14.45</v>
      </c>
      <c r="D248" t="s">
        <v>3152</v>
      </c>
      <c r="F248">
        <v>75</v>
      </c>
      <c r="G248" t="b">
        <v>1</v>
      </c>
      <c r="H248">
        <v>1</v>
      </c>
    </row>
    <row r="249" spans="1:8" x14ac:dyDescent="0.25">
      <c r="A249" t="s">
        <v>3167</v>
      </c>
      <c r="B249" t="s">
        <v>2678</v>
      </c>
      <c r="C249">
        <v>9.25</v>
      </c>
      <c r="D249" t="s">
        <v>3152</v>
      </c>
      <c r="E249" t="s">
        <v>942</v>
      </c>
      <c r="F249">
        <v>75</v>
      </c>
      <c r="G249" t="b">
        <v>0</v>
      </c>
      <c r="H249">
        <v>1</v>
      </c>
    </row>
    <row r="250" spans="1:8" x14ac:dyDescent="0.25">
      <c r="A250" t="s">
        <v>3168</v>
      </c>
      <c r="B250" t="s">
        <v>2650</v>
      </c>
      <c r="C250">
        <v>15.95</v>
      </c>
      <c r="D250" t="s">
        <v>3152</v>
      </c>
      <c r="E250" t="s">
        <v>942</v>
      </c>
      <c r="F250">
        <v>75</v>
      </c>
      <c r="G250" t="b">
        <v>0</v>
      </c>
      <c r="H250">
        <v>1</v>
      </c>
    </row>
    <row r="251" spans="1:8" x14ac:dyDescent="0.25">
      <c r="A251" t="s">
        <v>3168</v>
      </c>
      <c r="B251" t="s">
        <v>2652</v>
      </c>
      <c r="C251">
        <v>4.75</v>
      </c>
      <c r="D251" t="s">
        <v>3152</v>
      </c>
      <c r="E251" t="s">
        <v>942</v>
      </c>
      <c r="F251">
        <v>75</v>
      </c>
      <c r="G251" t="b">
        <v>0</v>
      </c>
      <c r="H251">
        <v>1</v>
      </c>
    </row>
    <row r="252" spans="1:8" x14ac:dyDescent="0.25">
      <c r="A252" t="s">
        <v>3168</v>
      </c>
      <c r="B252" t="s">
        <v>2800</v>
      </c>
      <c r="C252">
        <v>10.6</v>
      </c>
      <c r="D252" t="s">
        <v>3152</v>
      </c>
      <c r="E252" t="s">
        <v>942</v>
      </c>
      <c r="F252">
        <v>75</v>
      </c>
      <c r="G252" t="b">
        <v>0</v>
      </c>
      <c r="H252">
        <v>1</v>
      </c>
    </row>
    <row r="253" spans="1:8" x14ac:dyDescent="0.25">
      <c r="A253" t="s">
        <v>3168</v>
      </c>
      <c r="B253" t="s">
        <v>2802</v>
      </c>
      <c r="C253">
        <v>10.6</v>
      </c>
      <c r="D253" t="s">
        <v>3152</v>
      </c>
      <c r="E253" t="s">
        <v>942</v>
      </c>
      <c r="F253">
        <v>75</v>
      </c>
      <c r="G253" t="b">
        <v>0</v>
      </c>
      <c r="H253">
        <v>1</v>
      </c>
    </row>
    <row r="254" spans="1:8" x14ac:dyDescent="0.25">
      <c r="A254" t="s">
        <v>3168</v>
      </c>
      <c r="B254" t="s">
        <v>2804</v>
      </c>
      <c r="C254">
        <v>10.6</v>
      </c>
      <c r="D254" t="s">
        <v>3152</v>
      </c>
      <c r="E254" t="s">
        <v>942</v>
      </c>
      <c r="F254">
        <v>75</v>
      </c>
      <c r="G254" t="b">
        <v>0</v>
      </c>
      <c r="H254">
        <v>1</v>
      </c>
    </row>
    <row r="255" spans="1:8" x14ac:dyDescent="0.25">
      <c r="A255" t="s">
        <v>3168</v>
      </c>
      <c r="B255" t="s">
        <v>2806</v>
      </c>
      <c r="C255">
        <v>10.6</v>
      </c>
      <c r="D255" t="s">
        <v>3152</v>
      </c>
      <c r="E255" t="s">
        <v>942</v>
      </c>
      <c r="F255">
        <v>75</v>
      </c>
      <c r="G255" t="b">
        <v>0</v>
      </c>
      <c r="H255">
        <v>1</v>
      </c>
    </row>
    <row r="256" spans="1:8" x14ac:dyDescent="0.25">
      <c r="A256" t="s">
        <v>3168</v>
      </c>
      <c r="B256" t="s">
        <v>2808</v>
      </c>
      <c r="C256">
        <v>29.45</v>
      </c>
      <c r="D256" t="s">
        <v>3152</v>
      </c>
      <c r="E256" t="s">
        <v>942</v>
      </c>
      <c r="F256">
        <v>75</v>
      </c>
      <c r="G256" t="b">
        <v>0</v>
      </c>
      <c r="H256">
        <v>1</v>
      </c>
    </row>
    <row r="257" spans="1:8" x14ac:dyDescent="0.25">
      <c r="A257" t="s">
        <v>3169</v>
      </c>
      <c r="B257" t="s">
        <v>2656</v>
      </c>
      <c r="C257">
        <v>1.8</v>
      </c>
      <c r="D257" t="s">
        <v>3152</v>
      </c>
      <c r="E257" t="s">
        <v>942</v>
      </c>
      <c r="F257">
        <v>75</v>
      </c>
      <c r="G257" t="b">
        <v>0</v>
      </c>
      <c r="H257">
        <v>1</v>
      </c>
    </row>
    <row r="258" spans="1:8" x14ac:dyDescent="0.25">
      <c r="A258" t="s">
        <v>3169</v>
      </c>
      <c r="B258" t="s">
        <v>2658</v>
      </c>
      <c r="C258">
        <v>1.8</v>
      </c>
      <c r="D258" t="s">
        <v>3152</v>
      </c>
      <c r="E258" t="s">
        <v>942</v>
      </c>
      <c r="F258">
        <v>75</v>
      </c>
      <c r="G258" t="b">
        <v>0</v>
      </c>
      <c r="H258">
        <v>1</v>
      </c>
    </row>
    <row r="259" spans="1:8" x14ac:dyDescent="0.25">
      <c r="A259" t="s">
        <v>3169</v>
      </c>
      <c r="B259" t="s">
        <v>2654</v>
      </c>
      <c r="C259">
        <v>1.8</v>
      </c>
      <c r="D259" t="s">
        <v>3152</v>
      </c>
      <c r="E259" t="s">
        <v>942</v>
      </c>
      <c r="F259">
        <v>75</v>
      </c>
      <c r="G259" t="b">
        <v>0</v>
      </c>
      <c r="H259">
        <v>1</v>
      </c>
    </row>
    <row r="260" spans="1:8" x14ac:dyDescent="0.25">
      <c r="A260" t="s">
        <v>3169</v>
      </c>
      <c r="B260" t="s">
        <v>2660</v>
      </c>
      <c r="C260">
        <v>1.8</v>
      </c>
      <c r="D260" t="s">
        <v>3152</v>
      </c>
      <c r="E260" t="s">
        <v>942</v>
      </c>
      <c r="F260">
        <v>75</v>
      </c>
      <c r="G260" t="b">
        <v>0</v>
      </c>
      <c r="H260">
        <v>1</v>
      </c>
    </row>
    <row r="261" spans="1:8" x14ac:dyDescent="0.25">
      <c r="A261" t="s">
        <v>3169</v>
      </c>
      <c r="B261" t="s">
        <v>2662</v>
      </c>
      <c r="C261">
        <v>1.8</v>
      </c>
      <c r="D261" t="s">
        <v>3152</v>
      </c>
      <c r="E261" t="s">
        <v>942</v>
      </c>
      <c r="F261">
        <v>75</v>
      </c>
      <c r="G261" t="b">
        <v>0</v>
      </c>
      <c r="H261">
        <v>1</v>
      </c>
    </row>
    <row r="262" spans="1:8" x14ac:dyDescent="0.25">
      <c r="A262" t="s">
        <v>3169</v>
      </c>
      <c r="B262" t="s">
        <v>2664</v>
      </c>
      <c r="C262">
        <v>1.8</v>
      </c>
      <c r="D262" t="s">
        <v>3152</v>
      </c>
      <c r="E262" t="s">
        <v>942</v>
      </c>
      <c r="F262">
        <v>75</v>
      </c>
      <c r="G262" t="b">
        <v>0</v>
      </c>
      <c r="H262">
        <v>1</v>
      </c>
    </row>
    <row r="263" spans="1:8" x14ac:dyDescent="0.25">
      <c r="A263" t="s">
        <v>3169</v>
      </c>
      <c r="B263" t="s">
        <v>2666</v>
      </c>
      <c r="C263">
        <v>1.8</v>
      </c>
      <c r="D263" t="s">
        <v>3152</v>
      </c>
      <c r="E263" t="s">
        <v>942</v>
      </c>
      <c r="F263">
        <v>75</v>
      </c>
      <c r="G263" t="b">
        <v>0</v>
      </c>
      <c r="H263">
        <v>1</v>
      </c>
    </row>
    <row r="264" spans="1:8" x14ac:dyDescent="0.25">
      <c r="A264" t="s">
        <v>3169</v>
      </c>
      <c r="B264" t="s">
        <v>2668</v>
      </c>
      <c r="C264">
        <v>1.8</v>
      </c>
      <c r="D264" t="s">
        <v>3152</v>
      </c>
      <c r="E264" t="s">
        <v>942</v>
      </c>
      <c r="F264">
        <v>75</v>
      </c>
      <c r="G264" t="b">
        <v>0</v>
      </c>
      <c r="H264">
        <v>1</v>
      </c>
    </row>
    <row r="265" spans="1:8" x14ac:dyDescent="0.25">
      <c r="A265" t="s">
        <v>3169</v>
      </c>
      <c r="B265" t="s">
        <v>2670</v>
      </c>
      <c r="C265">
        <v>1.8</v>
      </c>
      <c r="D265" t="s">
        <v>3152</v>
      </c>
      <c r="E265" t="s">
        <v>942</v>
      </c>
      <c r="F265">
        <v>75</v>
      </c>
      <c r="G265" t="b">
        <v>0</v>
      </c>
      <c r="H265">
        <v>1</v>
      </c>
    </row>
    <row r="266" spans="1:8" x14ac:dyDescent="0.25">
      <c r="A266" t="s">
        <v>3169</v>
      </c>
      <c r="B266" t="s">
        <v>2672</v>
      </c>
      <c r="C266">
        <v>1.8</v>
      </c>
      <c r="D266" t="s">
        <v>3152</v>
      </c>
      <c r="E266" t="s">
        <v>942</v>
      </c>
      <c r="F266">
        <v>75</v>
      </c>
      <c r="G266" t="b">
        <v>0</v>
      </c>
      <c r="H266">
        <v>1</v>
      </c>
    </row>
    <row r="267" spans="1:8" x14ac:dyDescent="0.25">
      <c r="A267" t="s">
        <v>3169</v>
      </c>
      <c r="B267" t="s">
        <v>2674</v>
      </c>
      <c r="C267">
        <v>1.8</v>
      </c>
      <c r="D267" t="s">
        <v>3152</v>
      </c>
      <c r="E267" t="s">
        <v>942</v>
      </c>
      <c r="F267">
        <v>75</v>
      </c>
      <c r="G267" t="b">
        <v>0</v>
      </c>
      <c r="H267">
        <v>1</v>
      </c>
    </row>
    <row r="268" spans="1:8" x14ac:dyDescent="0.25">
      <c r="A268" t="s">
        <v>3170</v>
      </c>
      <c r="B268" t="s">
        <v>2700</v>
      </c>
      <c r="C268">
        <v>2.2000000000000002</v>
      </c>
      <c r="D268" t="s">
        <v>3152</v>
      </c>
      <c r="E268" t="s">
        <v>942</v>
      </c>
      <c r="F268">
        <v>75</v>
      </c>
      <c r="G268" t="b">
        <v>0</v>
      </c>
      <c r="H268">
        <v>1</v>
      </c>
    </row>
    <row r="269" spans="1:8" x14ac:dyDescent="0.25">
      <c r="A269" t="s">
        <v>3170</v>
      </c>
      <c r="B269" t="s">
        <v>2694</v>
      </c>
      <c r="C269">
        <v>17.649999999999999</v>
      </c>
      <c r="D269" t="s">
        <v>3152</v>
      </c>
      <c r="E269" t="s">
        <v>942</v>
      </c>
      <c r="F269">
        <v>75</v>
      </c>
      <c r="G269" t="b">
        <v>0</v>
      </c>
      <c r="H269">
        <v>1</v>
      </c>
    </row>
    <row r="270" spans="1:8" x14ac:dyDescent="0.25">
      <c r="A270" t="s">
        <v>3170</v>
      </c>
      <c r="B270" t="s">
        <v>2684</v>
      </c>
      <c r="C270">
        <v>15.1</v>
      </c>
      <c r="D270" t="s">
        <v>3152</v>
      </c>
      <c r="E270" t="s">
        <v>942</v>
      </c>
      <c r="F270">
        <v>75</v>
      </c>
      <c r="G270" t="b">
        <v>0</v>
      </c>
      <c r="H270">
        <v>1</v>
      </c>
    </row>
    <row r="271" spans="1:8" x14ac:dyDescent="0.25">
      <c r="A271" t="s">
        <v>3170</v>
      </c>
      <c r="B271" t="s">
        <v>2686</v>
      </c>
      <c r="C271">
        <v>20.100000000000001</v>
      </c>
      <c r="D271" t="s">
        <v>3152</v>
      </c>
      <c r="E271" t="s">
        <v>942</v>
      </c>
      <c r="F271">
        <v>75</v>
      </c>
      <c r="G271" t="b">
        <v>0</v>
      </c>
      <c r="H271">
        <v>1</v>
      </c>
    </row>
    <row r="272" spans="1:8" x14ac:dyDescent="0.25">
      <c r="A272" t="s">
        <v>3170</v>
      </c>
      <c r="B272" t="s">
        <v>2688</v>
      </c>
      <c r="C272">
        <v>25.35</v>
      </c>
      <c r="D272" t="s">
        <v>3152</v>
      </c>
      <c r="E272" t="s">
        <v>942</v>
      </c>
      <c r="F272">
        <v>75</v>
      </c>
      <c r="G272" t="b">
        <v>0</v>
      </c>
      <c r="H272">
        <v>1</v>
      </c>
    </row>
    <row r="273" spans="1:8" x14ac:dyDescent="0.25">
      <c r="A273" t="s">
        <v>3170</v>
      </c>
      <c r="B273" t="s">
        <v>2690</v>
      </c>
      <c r="C273">
        <v>30.4</v>
      </c>
      <c r="D273" t="s">
        <v>3152</v>
      </c>
      <c r="E273" t="s">
        <v>942</v>
      </c>
      <c r="F273">
        <v>75</v>
      </c>
      <c r="G273" t="b">
        <v>0</v>
      </c>
      <c r="H273">
        <v>1</v>
      </c>
    </row>
    <row r="274" spans="1:8" x14ac:dyDescent="0.25">
      <c r="A274" t="s">
        <v>3170</v>
      </c>
      <c r="B274" t="s">
        <v>2692</v>
      </c>
      <c r="C274">
        <v>35.4</v>
      </c>
      <c r="D274" t="s">
        <v>3152</v>
      </c>
      <c r="E274" t="s">
        <v>942</v>
      </c>
      <c r="F274">
        <v>75</v>
      </c>
      <c r="G274" t="b">
        <v>0</v>
      </c>
      <c r="H274">
        <v>1</v>
      </c>
    </row>
    <row r="275" spans="1:8" x14ac:dyDescent="0.25">
      <c r="A275" t="s">
        <v>3170</v>
      </c>
      <c r="B275" t="s">
        <v>902</v>
      </c>
      <c r="C275">
        <v>15.95</v>
      </c>
      <c r="D275" t="s">
        <v>3152</v>
      </c>
      <c r="E275" t="s">
        <v>942</v>
      </c>
      <c r="F275">
        <v>75</v>
      </c>
      <c r="G275" t="b">
        <v>0</v>
      </c>
      <c r="H275">
        <v>1</v>
      </c>
    </row>
    <row r="276" spans="1:8" x14ac:dyDescent="0.25">
      <c r="A276" t="s">
        <v>3170</v>
      </c>
      <c r="B276" t="s">
        <v>912</v>
      </c>
      <c r="C276">
        <v>13.3</v>
      </c>
      <c r="D276" t="s">
        <v>3152</v>
      </c>
      <c r="E276" t="s">
        <v>942</v>
      </c>
      <c r="F276">
        <v>75</v>
      </c>
      <c r="G276" t="b">
        <v>0</v>
      </c>
      <c r="H276">
        <v>1</v>
      </c>
    </row>
    <row r="277" spans="1:8" x14ac:dyDescent="0.25">
      <c r="A277" t="s">
        <v>3170</v>
      </c>
      <c r="B277" t="s">
        <v>2682</v>
      </c>
      <c r="C277">
        <v>13.3</v>
      </c>
      <c r="D277" t="s">
        <v>3152</v>
      </c>
      <c r="E277" t="s">
        <v>942</v>
      </c>
      <c r="F277">
        <v>75</v>
      </c>
      <c r="G277" t="b">
        <v>0</v>
      </c>
      <c r="H277">
        <v>1</v>
      </c>
    </row>
    <row r="278" spans="1:8" x14ac:dyDescent="0.25">
      <c r="A278" t="s">
        <v>3170</v>
      </c>
      <c r="B278" t="s">
        <v>915</v>
      </c>
      <c r="C278">
        <v>11.55</v>
      </c>
      <c r="D278" t="s">
        <v>3152</v>
      </c>
      <c r="E278" t="s">
        <v>942</v>
      </c>
      <c r="F278">
        <v>75</v>
      </c>
      <c r="G278" t="b">
        <v>0</v>
      </c>
      <c r="H278">
        <v>1</v>
      </c>
    </row>
    <row r="279" spans="1:8" x14ac:dyDescent="0.25">
      <c r="A279" t="s">
        <v>3170</v>
      </c>
      <c r="B279" t="s">
        <v>928</v>
      </c>
      <c r="C279">
        <v>18.600000000000001</v>
      </c>
      <c r="D279" t="s">
        <v>3152</v>
      </c>
      <c r="E279" t="s">
        <v>942</v>
      </c>
      <c r="F279">
        <v>75</v>
      </c>
      <c r="G279" t="b">
        <v>0</v>
      </c>
      <c r="H279">
        <v>1</v>
      </c>
    </row>
    <row r="280" spans="1:8" x14ac:dyDescent="0.25">
      <c r="A280" t="s">
        <v>3170</v>
      </c>
      <c r="B280" t="s">
        <v>920</v>
      </c>
      <c r="C280">
        <v>53.05</v>
      </c>
      <c r="D280" t="s">
        <v>3152</v>
      </c>
      <c r="E280" t="s">
        <v>942</v>
      </c>
      <c r="F280">
        <v>75</v>
      </c>
      <c r="G280" t="b">
        <v>0</v>
      </c>
      <c r="H280">
        <v>1</v>
      </c>
    </row>
    <row r="281" spans="1:8" x14ac:dyDescent="0.25">
      <c r="A281" t="s">
        <v>3170</v>
      </c>
      <c r="B281" t="s">
        <v>1056</v>
      </c>
      <c r="C281">
        <v>9.5</v>
      </c>
      <c r="D281" t="s">
        <v>3152</v>
      </c>
      <c r="E281" t="s">
        <v>942</v>
      </c>
      <c r="F281">
        <v>75</v>
      </c>
      <c r="G281" t="b">
        <v>0</v>
      </c>
      <c r="H281">
        <v>1</v>
      </c>
    </row>
    <row r="282" spans="1:8" x14ac:dyDescent="0.25">
      <c r="A282" t="s">
        <v>3170</v>
      </c>
      <c r="B282" t="s">
        <v>2696</v>
      </c>
      <c r="C282">
        <v>17.649999999999999</v>
      </c>
      <c r="D282" t="s">
        <v>3152</v>
      </c>
      <c r="E282" t="s">
        <v>942</v>
      </c>
      <c r="F282">
        <v>75</v>
      </c>
      <c r="G282" t="b">
        <v>0</v>
      </c>
      <c r="H282">
        <v>1</v>
      </c>
    </row>
    <row r="283" spans="1:8" x14ac:dyDescent="0.25">
      <c r="A283" t="s">
        <v>3170</v>
      </c>
      <c r="B283" t="s">
        <v>2698</v>
      </c>
      <c r="C283">
        <v>1.65</v>
      </c>
      <c r="D283" t="s">
        <v>3152</v>
      </c>
      <c r="E283" t="s">
        <v>942</v>
      </c>
      <c r="F283">
        <v>75</v>
      </c>
      <c r="G283" t="b">
        <v>0</v>
      </c>
      <c r="H283">
        <v>1</v>
      </c>
    </row>
    <row r="284" spans="1:8" x14ac:dyDescent="0.25">
      <c r="A284" t="s">
        <v>3018</v>
      </c>
      <c r="B284" t="s">
        <v>2724</v>
      </c>
      <c r="C284">
        <v>3.55</v>
      </c>
      <c r="D284" t="s">
        <v>3152</v>
      </c>
      <c r="E284" t="s">
        <v>942</v>
      </c>
      <c r="F284">
        <v>75</v>
      </c>
      <c r="G284" t="b">
        <v>0</v>
      </c>
      <c r="H284">
        <v>1</v>
      </c>
    </row>
    <row r="285" spans="1:8" x14ac:dyDescent="0.25">
      <c r="A285" t="s">
        <v>3018</v>
      </c>
      <c r="B285" t="s">
        <v>2718</v>
      </c>
      <c r="C285">
        <v>3.55</v>
      </c>
      <c r="D285" t="s">
        <v>3152</v>
      </c>
      <c r="E285" t="s">
        <v>942</v>
      </c>
      <c r="F285">
        <v>75</v>
      </c>
      <c r="G285" t="b">
        <v>0</v>
      </c>
      <c r="H285">
        <v>1</v>
      </c>
    </row>
    <row r="286" spans="1:8" x14ac:dyDescent="0.25">
      <c r="A286" t="s">
        <v>3018</v>
      </c>
      <c r="B286" t="s">
        <v>3019</v>
      </c>
      <c r="C286">
        <v>3.55</v>
      </c>
      <c r="D286" t="s">
        <v>3152</v>
      </c>
      <c r="E286" t="s">
        <v>942</v>
      </c>
      <c r="F286">
        <v>75</v>
      </c>
      <c r="G286" t="b">
        <v>0</v>
      </c>
      <c r="H286">
        <v>1</v>
      </c>
    </row>
    <row r="287" spans="1:8" x14ac:dyDescent="0.25">
      <c r="A287" t="s">
        <v>3018</v>
      </c>
      <c r="B287" t="s">
        <v>2704</v>
      </c>
      <c r="C287">
        <v>3.55</v>
      </c>
      <c r="D287" t="s">
        <v>3152</v>
      </c>
      <c r="E287" t="s">
        <v>942</v>
      </c>
      <c r="F287">
        <v>75</v>
      </c>
      <c r="G287" t="b">
        <v>0</v>
      </c>
      <c r="H287">
        <v>1</v>
      </c>
    </row>
    <row r="288" spans="1:8" x14ac:dyDescent="0.25">
      <c r="A288" t="s">
        <v>3018</v>
      </c>
      <c r="B288" t="s">
        <v>2708</v>
      </c>
      <c r="C288">
        <v>3.55</v>
      </c>
      <c r="D288" t="s">
        <v>3152</v>
      </c>
      <c r="E288" t="s">
        <v>942</v>
      </c>
      <c r="F288">
        <v>75</v>
      </c>
      <c r="G288" t="b">
        <v>0</v>
      </c>
      <c r="H288">
        <v>1</v>
      </c>
    </row>
    <row r="289" spans="1:8" x14ac:dyDescent="0.25">
      <c r="A289" t="s">
        <v>3018</v>
      </c>
      <c r="B289" t="s">
        <v>2710</v>
      </c>
      <c r="C289">
        <v>3.55</v>
      </c>
      <c r="D289" t="s">
        <v>3152</v>
      </c>
      <c r="E289" t="s">
        <v>942</v>
      </c>
      <c r="F289">
        <v>75</v>
      </c>
      <c r="G289" t="b">
        <v>0</v>
      </c>
      <c r="H289">
        <v>1</v>
      </c>
    </row>
    <row r="290" spans="1:8" x14ac:dyDescent="0.25">
      <c r="A290" t="s">
        <v>3018</v>
      </c>
      <c r="B290" t="s">
        <v>2712</v>
      </c>
      <c r="C290">
        <v>3.55</v>
      </c>
      <c r="D290" t="s">
        <v>3152</v>
      </c>
      <c r="E290" t="s">
        <v>942</v>
      </c>
      <c r="F290">
        <v>75</v>
      </c>
      <c r="G290" t="b">
        <v>0</v>
      </c>
      <c r="H290">
        <v>1</v>
      </c>
    </row>
    <row r="291" spans="1:8" x14ac:dyDescent="0.25">
      <c r="A291" t="s">
        <v>3018</v>
      </c>
      <c r="B291" t="s">
        <v>2714</v>
      </c>
      <c r="C291">
        <v>3.55</v>
      </c>
      <c r="D291" t="s">
        <v>3152</v>
      </c>
      <c r="E291" t="s">
        <v>942</v>
      </c>
      <c r="F291">
        <v>75</v>
      </c>
      <c r="G291" t="b">
        <v>0</v>
      </c>
      <c r="H291">
        <v>1</v>
      </c>
    </row>
    <row r="292" spans="1:8" x14ac:dyDescent="0.25">
      <c r="A292" t="s">
        <v>3018</v>
      </c>
      <c r="B292" t="s">
        <v>2716</v>
      </c>
      <c r="C292">
        <v>3.55</v>
      </c>
      <c r="D292" t="s">
        <v>3152</v>
      </c>
      <c r="E292" t="s">
        <v>942</v>
      </c>
      <c r="F292">
        <v>75</v>
      </c>
      <c r="G292" t="b">
        <v>0</v>
      </c>
      <c r="H292">
        <v>1</v>
      </c>
    </row>
    <row r="293" spans="1:8" x14ac:dyDescent="0.25">
      <c r="A293" t="s">
        <v>3018</v>
      </c>
      <c r="B293" t="s">
        <v>2720</v>
      </c>
      <c r="C293">
        <v>3.55</v>
      </c>
      <c r="D293" t="s">
        <v>3152</v>
      </c>
      <c r="E293" t="s">
        <v>942</v>
      </c>
      <c r="F293">
        <v>75</v>
      </c>
      <c r="G293" t="b">
        <v>0</v>
      </c>
      <c r="H293">
        <v>1</v>
      </c>
    </row>
    <row r="294" spans="1:8" x14ac:dyDescent="0.25">
      <c r="A294" t="s">
        <v>3018</v>
      </c>
      <c r="B294" t="s">
        <v>2726</v>
      </c>
      <c r="C294">
        <v>3.55</v>
      </c>
      <c r="D294" t="s">
        <v>3152</v>
      </c>
      <c r="E294" t="s">
        <v>942</v>
      </c>
      <c r="F294">
        <v>75</v>
      </c>
      <c r="G294" t="b">
        <v>0</v>
      </c>
      <c r="H294">
        <v>1</v>
      </c>
    </row>
    <row r="295" spans="1:8" x14ac:dyDescent="0.25">
      <c r="A295" t="s">
        <v>3018</v>
      </c>
      <c r="B295" t="s">
        <v>2728</v>
      </c>
      <c r="C295">
        <v>3.55</v>
      </c>
      <c r="D295" t="s">
        <v>3152</v>
      </c>
      <c r="E295" t="s">
        <v>942</v>
      </c>
      <c r="F295">
        <v>75</v>
      </c>
      <c r="G295" t="b">
        <v>0</v>
      </c>
      <c r="H295">
        <v>1</v>
      </c>
    </row>
    <row r="296" spans="1:8" x14ac:dyDescent="0.25">
      <c r="A296" t="s">
        <v>3018</v>
      </c>
      <c r="B296" t="s">
        <v>2730</v>
      </c>
      <c r="C296">
        <v>3.55</v>
      </c>
      <c r="D296" t="s">
        <v>3152</v>
      </c>
      <c r="E296" t="s">
        <v>942</v>
      </c>
      <c r="F296">
        <v>75</v>
      </c>
      <c r="G296" t="b">
        <v>0</v>
      </c>
      <c r="H296">
        <v>1</v>
      </c>
    </row>
    <row r="297" spans="1:8" x14ac:dyDescent="0.25">
      <c r="A297" t="s">
        <v>3018</v>
      </c>
      <c r="B297" t="s">
        <v>2732</v>
      </c>
      <c r="C297">
        <v>3.55</v>
      </c>
      <c r="D297" t="s">
        <v>3152</v>
      </c>
      <c r="E297" t="s">
        <v>942</v>
      </c>
      <c r="F297">
        <v>75</v>
      </c>
      <c r="G297" t="b">
        <v>0</v>
      </c>
      <c r="H297">
        <v>1</v>
      </c>
    </row>
    <row r="298" spans="1:8" x14ac:dyDescent="0.25">
      <c r="A298" t="s">
        <v>3018</v>
      </c>
      <c r="B298" t="s">
        <v>2734</v>
      </c>
      <c r="C298">
        <v>3.55</v>
      </c>
      <c r="D298" t="s">
        <v>3152</v>
      </c>
      <c r="E298" t="s">
        <v>942</v>
      </c>
      <c r="F298">
        <v>75</v>
      </c>
      <c r="G298" t="b">
        <v>0</v>
      </c>
      <c r="H298">
        <v>1</v>
      </c>
    </row>
    <row r="299" spans="1:8" x14ac:dyDescent="0.25">
      <c r="A299" t="s">
        <v>3018</v>
      </c>
      <c r="B299" t="s">
        <v>2736</v>
      </c>
      <c r="C299">
        <v>3.55</v>
      </c>
      <c r="D299" t="s">
        <v>3152</v>
      </c>
      <c r="E299" t="s">
        <v>942</v>
      </c>
      <c r="F299">
        <v>75</v>
      </c>
      <c r="G299" t="b">
        <v>0</v>
      </c>
      <c r="H299">
        <v>1</v>
      </c>
    </row>
    <row r="300" spans="1:8" x14ac:dyDescent="0.25">
      <c r="A300" t="s">
        <v>3018</v>
      </c>
      <c r="B300" t="s">
        <v>2738</v>
      </c>
      <c r="C300">
        <v>3.55</v>
      </c>
      <c r="D300" t="s">
        <v>3152</v>
      </c>
      <c r="E300" t="s">
        <v>942</v>
      </c>
      <c r="F300">
        <v>75</v>
      </c>
      <c r="G300" t="b">
        <v>0</v>
      </c>
      <c r="H300">
        <v>1</v>
      </c>
    </row>
    <row r="301" spans="1:8" x14ac:dyDescent="0.25">
      <c r="A301" t="s">
        <v>3018</v>
      </c>
      <c r="B301" t="s">
        <v>2740</v>
      </c>
      <c r="C301">
        <v>3.55</v>
      </c>
      <c r="D301" t="s">
        <v>3152</v>
      </c>
      <c r="E301" t="s">
        <v>942</v>
      </c>
      <c r="F301">
        <v>75</v>
      </c>
      <c r="G301" t="b">
        <v>0</v>
      </c>
      <c r="H301">
        <v>1</v>
      </c>
    </row>
    <row r="302" spans="1:8" x14ac:dyDescent="0.25">
      <c r="A302" t="s">
        <v>3018</v>
      </c>
      <c r="B302" t="s">
        <v>2706</v>
      </c>
      <c r="C302">
        <v>3.55</v>
      </c>
      <c r="D302" t="s">
        <v>3152</v>
      </c>
      <c r="E302" t="s">
        <v>942</v>
      </c>
      <c r="F302">
        <v>75</v>
      </c>
      <c r="G302" t="b">
        <v>0</v>
      </c>
      <c r="H302">
        <v>1</v>
      </c>
    </row>
    <row r="303" spans="1:8" x14ac:dyDescent="0.25">
      <c r="A303" t="s">
        <v>3018</v>
      </c>
      <c r="B303" t="s">
        <v>2742</v>
      </c>
      <c r="C303">
        <v>3.55</v>
      </c>
      <c r="D303" t="s">
        <v>3152</v>
      </c>
      <c r="E303" t="s">
        <v>942</v>
      </c>
      <c r="F303">
        <v>75</v>
      </c>
      <c r="G303" t="b">
        <v>0</v>
      </c>
      <c r="H303">
        <v>1</v>
      </c>
    </row>
    <row r="304" spans="1:8" x14ac:dyDescent="0.25">
      <c r="A304" t="s">
        <v>3018</v>
      </c>
      <c r="B304" t="s">
        <v>2702</v>
      </c>
      <c r="C304">
        <v>3.55</v>
      </c>
      <c r="D304" t="s">
        <v>3152</v>
      </c>
      <c r="E304" t="s">
        <v>942</v>
      </c>
      <c r="F304">
        <v>75</v>
      </c>
      <c r="G304" t="b">
        <v>0</v>
      </c>
      <c r="H304">
        <v>1</v>
      </c>
    </row>
    <row r="305" spans="1:8" x14ac:dyDescent="0.25">
      <c r="A305" t="s">
        <v>3018</v>
      </c>
      <c r="B305" t="s">
        <v>2722</v>
      </c>
      <c r="C305">
        <v>3.55</v>
      </c>
      <c r="D305" t="s">
        <v>3152</v>
      </c>
      <c r="E305" t="s">
        <v>942</v>
      </c>
      <c r="F305">
        <v>75</v>
      </c>
      <c r="G305" t="b">
        <v>0</v>
      </c>
      <c r="H305">
        <v>1</v>
      </c>
    </row>
    <row r="306" spans="1:8" x14ac:dyDescent="0.25">
      <c r="A306" t="s">
        <v>3018</v>
      </c>
      <c r="B306" t="s">
        <v>2744</v>
      </c>
      <c r="C306">
        <v>3.55</v>
      </c>
      <c r="D306" t="s">
        <v>3152</v>
      </c>
      <c r="E306" t="s">
        <v>942</v>
      </c>
      <c r="F306">
        <v>75</v>
      </c>
      <c r="G306" t="b">
        <v>0</v>
      </c>
      <c r="H306">
        <v>1</v>
      </c>
    </row>
    <row r="307" spans="1:8" x14ac:dyDescent="0.25">
      <c r="A307" t="s">
        <v>3173</v>
      </c>
      <c r="B307" t="s">
        <v>1729</v>
      </c>
      <c r="C307">
        <v>19.8</v>
      </c>
      <c r="D307" t="s">
        <v>3152</v>
      </c>
      <c r="E307" t="s">
        <v>942</v>
      </c>
      <c r="F307">
        <v>75</v>
      </c>
      <c r="G307" t="b">
        <v>0</v>
      </c>
      <c r="H307">
        <v>1</v>
      </c>
    </row>
    <row r="308" spans="1:8" x14ac:dyDescent="0.25">
      <c r="A308" t="s">
        <v>3173</v>
      </c>
      <c r="B308" t="s">
        <v>1738</v>
      </c>
      <c r="C308">
        <v>10.050000000000001</v>
      </c>
      <c r="D308" t="s">
        <v>3152</v>
      </c>
      <c r="E308" t="s">
        <v>942</v>
      </c>
      <c r="F308">
        <v>75</v>
      </c>
      <c r="G308" t="b">
        <v>0</v>
      </c>
      <c r="H308">
        <v>1</v>
      </c>
    </row>
    <row r="309" spans="1:8" x14ac:dyDescent="0.25">
      <c r="A309" t="s">
        <v>3173</v>
      </c>
      <c r="B309" t="s">
        <v>1732</v>
      </c>
      <c r="C309">
        <v>3.55</v>
      </c>
      <c r="D309" t="s">
        <v>3152</v>
      </c>
      <c r="E309" t="s">
        <v>942</v>
      </c>
      <c r="F309">
        <v>75</v>
      </c>
      <c r="G309" t="b">
        <v>0</v>
      </c>
      <c r="H309">
        <v>1</v>
      </c>
    </row>
    <row r="310" spans="1:8" x14ac:dyDescent="0.25">
      <c r="A310" t="s">
        <v>3174</v>
      </c>
      <c r="B310" t="s">
        <v>1200</v>
      </c>
      <c r="C310">
        <v>20.65</v>
      </c>
      <c r="D310" t="s">
        <v>3152</v>
      </c>
      <c r="E310" t="s">
        <v>942</v>
      </c>
      <c r="F310">
        <v>75</v>
      </c>
      <c r="G310" t="b">
        <v>0</v>
      </c>
      <c r="H310">
        <v>1</v>
      </c>
    </row>
    <row r="311" spans="1:8" x14ac:dyDescent="0.25">
      <c r="A311" t="s">
        <v>3174</v>
      </c>
      <c r="B311" t="s">
        <v>2752</v>
      </c>
      <c r="C311">
        <v>14.75</v>
      </c>
      <c r="D311" t="s">
        <v>3152</v>
      </c>
      <c r="E311" t="s">
        <v>942</v>
      </c>
      <c r="F311">
        <v>75</v>
      </c>
      <c r="G311" t="b">
        <v>0</v>
      </c>
      <c r="H311">
        <v>1</v>
      </c>
    </row>
    <row r="312" spans="1:8" x14ac:dyDescent="0.25">
      <c r="A312" t="s">
        <v>3020</v>
      </c>
      <c r="B312" t="s">
        <v>2780</v>
      </c>
      <c r="C312">
        <v>14.45</v>
      </c>
      <c r="D312" t="s">
        <v>3152</v>
      </c>
      <c r="E312" t="s">
        <v>942</v>
      </c>
      <c r="F312">
        <v>75</v>
      </c>
      <c r="G312" t="b">
        <v>0</v>
      </c>
      <c r="H312">
        <v>1</v>
      </c>
    </row>
    <row r="313" spans="1:8" x14ac:dyDescent="0.25">
      <c r="A313" t="s">
        <v>3020</v>
      </c>
      <c r="B313" t="s">
        <v>2774</v>
      </c>
      <c r="C313">
        <v>9.5</v>
      </c>
      <c r="D313" t="s">
        <v>3152</v>
      </c>
      <c r="E313" t="s">
        <v>942</v>
      </c>
      <c r="F313">
        <v>75</v>
      </c>
      <c r="G313" t="b">
        <v>0</v>
      </c>
      <c r="H313">
        <v>1</v>
      </c>
    </row>
    <row r="314" spans="1:8" x14ac:dyDescent="0.25">
      <c r="A314" t="s">
        <v>3020</v>
      </c>
      <c r="B314" t="s">
        <v>3021</v>
      </c>
      <c r="C314">
        <v>9.5</v>
      </c>
      <c r="D314" t="s">
        <v>3152</v>
      </c>
      <c r="E314" t="s">
        <v>942</v>
      </c>
      <c r="F314">
        <v>75</v>
      </c>
      <c r="G314" t="b">
        <v>0</v>
      </c>
      <c r="H314">
        <v>1</v>
      </c>
    </row>
    <row r="315" spans="1:8" x14ac:dyDescent="0.25">
      <c r="A315" t="s">
        <v>3020</v>
      </c>
      <c r="B315" t="s">
        <v>2776</v>
      </c>
      <c r="C315">
        <v>9.5</v>
      </c>
      <c r="D315" t="s">
        <v>3152</v>
      </c>
      <c r="E315" t="s">
        <v>942</v>
      </c>
      <c r="F315">
        <v>75</v>
      </c>
      <c r="G315" t="b">
        <v>0</v>
      </c>
      <c r="H315">
        <v>1</v>
      </c>
    </row>
    <row r="316" spans="1:8" x14ac:dyDescent="0.25">
      <c r="A316" t="s">
        <v>3020</v>
      </c>
      <c r="B316" t="s">
        <v>2778</v>
      </c>
      <c r="C316">
        <v>9.5</v>
      </c>
      <c r="D316" t="s">
        <v>3152</v>
      </c>
      <c r="E316" t="s">
        <v>942</v>
      </c>
      <c r="F316">
        <v>75</v>
      </c>
      <c r="G316" t="b">
        <v>0</v>
      </c>
      <c r="H316">
        <v>1</v>
      </c>
    </row>
    <row r="317" spans="1:8" x14ac:dyDescent="0.25">
      <c r="A317" t="s">
        <v>3020</v>
      </c>
      <c r="B317" t="s">
        <v>2782</v>
      </c>
      <c r="C317">
        <v>10.050000000000001</v>
      </c>
      <c r="D317" t="s">
        <v>3152</v>
      </c>
      <c r="E317" t="s">
        <v>942</v>
      </c>
      <c r="F317">
        <v>75</v>
      </c>
      <c r="G317" t="b">
        <v>0</v>
      </c>
      <c r="H317">
        <v>1</v>
      </c>
    </row>
    <row r="318" spans="1:8" x14ac:dyDescent="0.25">
      <c r="A318" t="s">
        <v>3020</v>
      </c>
      <c r="B318" t="s">
        <v>1367</v>
      </c>
      <c r="C318">
        <v>10.050000000000001</v>
      </c>
      <c r="D318" t="s">
        <v>3152</v>
      </c>
      <c r="E318" t="s">
        <v>942</v>
      </c>
      <c r="F318">
        <v>75</v>
      </c>
      <c r="G318" t="b">
        <v>0</v>
      </c>
      <c r="H318">
        <v>1</v>
      </c>
    </row>
    <row r="319" spans="1:8" x14ac:dyDescent="0.25">
      <c r="A319" t="s">
        <v>3020</v>
      </c>
      <c r="B319" t="s">
        <v>1363</v>
      </c>
      <c r="C319">
        <v>8.5500000000000007</v>
      </c>
      <c r="D319" t="s">
        <v>3152</v>
      </c>
      <c r="E319" t="s">
        <v>942</v>
      </c>
      <c r="F319">
        <v>75</v>
      </c>
      <c r="G319" t="b">
        <v>0</v>
      </c>
      <c r="H319">
        <v>1</v>
      </c>
    </row>
    <row r="320" spans="1:8" x14ac:dyDescent="0.25">
      <c r="A320" t="s">
        <v>3020</v>
      </c>
      <c r="B320" t="s">
        <v>2762</v>
      </c>
      <c r="C320">
        <v>8.5500000000000007</v>
      </c>
      <c r="D320" t="s">
        <v>3152</v>
      </c>
      <c r="E320" t="s">
        <v>942</v>
      </c>
      <c r="F320">
        <v>75</v>
      </c>
      <c r="G320" t="b">
        <v>0</v>
      </c>
      <c r="H320">
        <v>1</v>
      </c>
    </row>
    <row r="321" spans="1:8" x14ac:dyDescent="0.25">
      <c r="A321" t="s">
        <v>3020</v>
      </c>
      <c r="B321" t="s">
        <v>2764</v>
      </c>
      <c r="C321">
        <v>8.5500000000000007</v>
      </c>
      <c r="D321" t="s">
        <v>3152</v>
      </c>
      <c r="E321" t="s">
        <v>942</v>
      </c>
      <c r="F321">
        <v>75</v>
      </c>
      <c r="G321" t="b">
        <v>0</v>
      </c>
      <c r="H321">
        <v>1</v>
      </c>
    </row>
    <row r="322" spans="1:8" x14ac:dyDescent="0.25">
      <c r="A322" t="s">
        <v>3020</v>
      </c>
      <c r="B322" t="s">
        <v>2766</v>
      </c>
      <c r="C322">
        <v>8.5500000000000007</v>
      </c>
      <c r="D322" t="s">
        <v>3152</v>
      </c>
      <c r="E322" t="s">
        <v>942</v>
      </c>
      <c r="F322">
        <v>75</v>
      </c>
      <c r="G322" t="b">
        <v>0</v>
      </c>
      <c r="H322">
        <v>1</v>
      </c>
    </row>
    <row r="323" spans="1:8" x14ac:dyDescent="0.25">
      <c r="A323" t="s">
        <v>3020</v>
      </c>
      <c r="B323" t="s">
        <v>2768</v>
      </c>
      <c r="C323">
        <v>8.5500000000000007</v>
      </c>
      <c r="D323" t="s">
        <v>3152</v>
      </c>
      <c r="E323" t="s">
        <v>942</v>
      </c>
      <c r="F323">
        <v>75</v>
      </c>
      <c r="G323" t="b">
        <v>0</v>
      </c>
      <c r="H323">
        <v>1</v>
      </c>
    </row>
    <row r="324" spans="1:8" x14ac:dyDescent="0.25">
      <c r="A324" t="s">
        <v>3020</v>
      </c>
      <c r="B324" t="s">
        <v>2770</v>
      </c>
      <c r="C324">
        <v>8.5500000000000007</v>
      </c>
      <c r="D324" t="s">
        <v>3152</v>
      </c>
      <c r="E324" t="s">
        <v>942</v>
      </c>
      <c r="F324">
        <v>75</v>
      </c>
      <c r="G324" t="b">
        <v>0</v>
      </c>
      <c r="H324">
        <v>1</v>
      </c>
    </row>
    <row r="325" spans="1:8" x14ac:dyDescent="0.25">
      <c r="A325" t="s">
        <v>3020</v>
      </c>
      <c r="B325" t="s">
        <v>2772</v>
      </c>
      <c r="C325">
        <v>8.5500000000000007</v>
      </c>
      <c r="D325" t="s">
        <v>3152</v>
      </c>
      <c r="E325" t="s">
        <v>942</v>
      </c>
      <c r="F325">
        <v>75</v>
      </c>
      <c r="G325" t="b">
        <v>0</v>
      </c>
      <c r="H325">
        <v>1</v>
      </c>
    </row>
    <row r="326" spans="1:8" x14ac:dyDescent="0.25">
      <c r="A326" t="s">
        <v>3020</v>
      </c>
      <c r="B326" t="s">
        <v>1373</v>
      </c>
      <c r="C326">
        <v>14.45</v>
      </c>
      <c r="D326" t="s">
        <v>3152</v>
      </c>
      <c r="E326" t="s">
        <v>942</v>
      </c>
      <c r="F326">
        <v>75</v>
      </c>
      <c r="G326" t="b">
        <v>0</v>
      </c>
      <c r="H326">
        <v>1</v>
      </c>
    </row>
    <row r="327" spans="1:8" x14ac:dyDescent="0.25">
      <c r="A327" t="s">
        <v>3020</v>
      </c>
      <c r="B327" t="s">
        <v>2784</v>
      </c>
      <c r="C327">
        <v>9.5</v>
      </c>
      <c r="D327" t="s">
        <v>3152</v>
      </c>
      <c r="E327" t="s">
        <v>942</v>
      </c>
      <c r="F327">
        <v>75</v>
      </c>
      <c r="G327" t="b">
        <v>0</v>
      </c>
      <c r="H327">
        <v>1</v>
      </c>
    </row>
    <row r="328" spans="1:8" x14ac:dyDescent="0.25">
      <c r="A328" t="s">
        <v>3020</v>
      </c>
      <c r="B328" t="s">
        <v>2786</v>
      </c>
      <c r="C328">
        <v>9.5</v>
      </c>
      <c r="D328" t="s">
        <v>3152</v>
      </c>
      <c r="E328" t="s">
        <v>942</v>
      </c>
      <c r="F328">
        <v>75</v>
      </c>
      <c r="G328" t="b">
        <v>0</v>
      </c>
      <c r="H328">
        <v>1</v>
      </c>
    </row>
    <row r="329" spans="1:8" x14ac:dyDescent="0.25">
      <c r="A329" t="s">
        <v>3020</v>
      </c>
      <c r="B329" t="s">
        <v>2788</v>
      </c>
      <c r="C329">
        <v>9.5</v>
      </c>
      <c r="D329" t="s">
        <v>3152</v>
      </c>
      <c r="E329" t="s">
        <v>942</v>
      </c>
      <c r="F329">
        <v>75</v>
      </c>
      <c r="G329" t="b">
        <v>0</v>
      </c>
      <c r="H329">
        <v>1</v>
      </c>
    </row>
    <row r="330" spans="1:8" x14ac:dyDescent="0.25">
      <c r="A330" t="s">
        <v>3020</v>
      </c>
      <c r="B330" t="s">
        <v>2790</v>
      </c>
      <c r="C330">
        <v>10.3</v>
      </c>
      <c r="D330" t="s">
        <v>3152</v>
      </c>
      <c r="E330" t="s">
        <v>942</v>
      </c>
      <c r="F330">
        <v>75</v>
      </c>
      <c r="G330" t="b">
        <v>0</v>
      </c>
      <c r="H330">
        <v>1</v>
      </c>
    </row>
    <row r="331" spans="1:8" x14ac:dyDescent="0.25">
      <c r="A331" t="s">
        <v>3020</v>
      </c>
      <c r="B331" t="s">
        <v>2792</v>
      </c>
      <c r="C331">
        <v>20.6</v>
      </c>
      <c r="D331" t="s">
        <v>3152</v>
      </c>
      <c r="E331" t="s">
        <v>942</v>
      </c>
      <c r="F331">
        <v>75</v>
      </c>
      <c r="G331" t="b">
        <v>0</v>
      </c>
      <c r="H331">
        <v>1</v>
      </c>
    </row>
    <row r="332" spans="1:8" x14ac:dyDescent="0.25">
      <c r="A332" t="s">
        <v>3020</v>
      </c>
      <c r="B332" t="s">
        <v>2794</v>
      </c>
      <c r="C332">
        <v>20.6</v>
      </c>
      <c r="D332" t="s">
        <v>3152</v>
      </c>
      <c r="E332" t="s">
        <v>942</v>
      </c>
      <c r="F332">
        <v>75</v>
      </c>
      <c r="G332" t="b">
        <v>0</v>
      </c>
      <c r="H332">
        <v>1</v>
      </c>
    </row>
    <row r="333" spans="1:8" x14ac:dyDescent="0.25">
      <c r="A333" t="s">
        <v>3177</v>
      </c>
      <c r="B333" t="s">
        <v>2000</v>
      </c>
      <c r="C333">
        <v>17.399999999999999</v>
      </c>
      <c r="D333" t="s">
        <v>3152</v>
      </c>
      <c r="E333" t="s">
        <v>942</v>
      </c>
      <c r="F333">
        <v>75</v>
      </c>
      <c r="G333" t="b">
        <v>0</v>
      </c>
      <c r="H333">
        <v>1</v>
      </c>
    </row>
    <row r="334" spans="1:8" x14ac:dyDescent="0.25">
      <c r="A334" t="s">
        <v>3177</v>
      </c>
      <c r="B334" t="s">
        <v>2796</v>
      </c>
      <c r="C334">
        <v>17.399999999999999</v>
      </c>
      <c r="D334" t="s">
        <v>3152</v>
      </c>
      <c r="E334" t="s">
        <v>942</v>
      </c>
      <c r="F334">
        <v>75</v>
      </c>
      <c r="G334" t="b">
        <v>0</v>
      </c>
      <c r="H334">
        <v>1</v>
      </c>
    </row>
    <row r="335" spans="1:8" x14ac:dyDescent="0.25">
      <c r="A335" t="s">
        <v>3177</v>
      </c>
      <c r="B335" t="s">
        <v>2798</v>
      </c>
      <c r="C335">
        <v>17.399999999999999</v>
      </c>
      <c r="D335" t="s">
        <v>3152</v>
      </c>
      <c r="E335" t="s">
        <v>942</v>
      </c>
      <c r="F335">
        <v>75</v>
      </c>
      <c r="G335" t="b">
        <v>0</v>
      </c>
      <c r="H335">
        <v>1</v>
      </c>
    </row>
    <row r="336" spans="1:8" x14ac:dyDescent="0.25">
      <c r="A336" t="s">
        <v>3022</v>
      </c>
      <c r="B336" t="s">
        <v>1951</v>
      </c>
      <c r="C336">
        <v>23.9</v>
      </c>
      <c r="D336" t="s">
        <v>3152</v>
      </c>
      <c r="E336" t="s">
        <v>942</v>
      </c>
      <c r="F336">
        <v>75</v>
      </c>
      <c r="G336" t="b">
        <v>0</v>
      </c>
      <c r="H336">
        <v>1</v>
      </c>
    </row>
    <row r="337" spans="1:8" x14ac:dyDescent="0.25">
      <c r="A337" t="s">
        <v>3022</v>
      </c>
      <c r="B337" t="s">
        <v>1949</v>
      </c>
      <c r="C337">
        <v>5.35</v>
      </c>
      <c r="D337" t="s">
        <v>3152</v>
      </c>
      <c r="E337" t="s">
        <v>942</v>
      </c>
      <c r="F337">
        <v>75</v>
      </c>
      <c r="G337" t="b">
        <v>0</v>
      </c>
      <c r="H337">
        <v>1</v>
      </c>
    </row>
    <row r="338" spans="1:8" x14ac:dyDescent="0.25">
      <c r="A338" t="s">
        <v>3022</v>
      </c>
      <c r="B338" t="s">
        <v>1943</v>
      </c>
      <c r="C338">
        <v>5.6</v>
      </c>
      <c r="D338" t="s">
        <v>3152</v>
      </c>
      <c r="E338" t="s">
        <v>942</v>
      </c>
      <c r="F338">
        <v>75</v>
      </c>
      <c r="G338" t="b">
        <v>0</v>
      </c>
      <c r="H338">
        <v>1</v>
      </c>
    </row>
    <row r="339" spans="1:8" x14ac:dyDescent="0.25">
      <c r="A339" t="s">
        <v>3022</v>
      </c>
      <c r="B339" t="s">
        <v>2810</v>
      </c>
      <c r="C339">
        <v>5.35</v>
      </c>
      <c r="D339" t="s">
        <v>3152</v>
      </c>
      <c r="E339" t="s">
        <v>942</v>
      </c>
      <c r="F339">
        <v>75</v>
      </c>
      <c r="G339" t="b">
        <v>0</v>
      </c>
      <c r="H339">
        <v>1</v>
      </c>
    </row>
    <row r="340" spans="1:8" x14ac:dyDescent="0.25">
      <c r="A340" t="s">
        <v>3022</v>
      </c>
      <c r="B340" t="s">
        <v>1946</v>
      </c>
      <c r="C340">
        <v>14</v>
      </c>
      <c r="D340" t="s">
        <v>3152</v>
      </c>
      <c r="E340" t="s">
        <v>942</v>
      </c>
      <c r="F340">
        <v>75</v>
      </c>
      <c r="G340" t="b">
        <v>0</v>
      </c>
      <c r="H340">
        <v>1</v>
      </c>
    </row>
    <row r="341" spans="1:8" x14ac:dyDescent="0.25">
      <c r="A341" t="s">
        <v>3022</v>
      </c>
      <c r="B341" t="s">
        <v>2814</v>
      </c>
      <c r="C341">
        <v>4.1500000000000004</v>
      </c>
      <c r="D341" t="s">
        <v>3152</v>
      </c>
      <c r="E341" t="s">
        <v>942</v>
      </c>
      <c r="F341">
        <v>75</v>
      </c>
      <c r="G341" t="b">
        <v>0</v>
      </c>
      <c r="H341">
        <v>1</v>
      </c>
    </row>
    <row r="342" spans="1:8" x14ac:dyDescent="0.25">
      <c r="A342" t="s">
        <v>3022</v>
      </c>
      <c r="B342" t="s">
        <v>2816</v>
      </c>
      <c r="C342">
        <v>9.0500000000000007</v>
      </c>
      <c r="D342" t="s">
        <v>3152</v>
      </c>
      <c r="E342" t="s">
        <v>942</v>
      </c>
      <c r="F342">
        <v>75</v>
      </c>
      <c r="G342" t="b">
        <v>0</v>
      </c>
      <c r="H342">
        <v>1</v>
      </c>
    </row>
    <row r="343" spans="1:8" x14ac:dyDescent="0.25">
      <c r="A343" t="s">
        <v>3022</v>
      </c>
      <c r="B343" t="s">
        <v>2812</v>
      </c>
      <c r="C343">
        <v>14</v>
      </c>
      <c r="D343" t="s">
        <v>3152</v>
      </c>
      <c r="E343" t="s">
        <v>942</v>
      </c>
      <c r="F343">
        <v>75</v>
      </c>
      <c r="G343" t="b">
        <v>0</v>
      </c>
      <c r="H343">
        <v>1</v>
      </c>
    </row>
    <row r="344" spans="1:8" x14ac:dyDescent="0.25">
      <c r="A344" t="s">
        <v>3022</v>
      </c>
      <c r="B344" t="s">
        <v>3023</v>
      </c>
      <c r="C344">
        <v>0.5</v>
      </c>
      <c r="D344" t="s">
        <v>3152</v>
      </c>
      <c r="E344" t="s">
        <v>942</v>
      </c>
      <c r="F344">
        <v>75</v>
      </c>
      <c r="G344" t="b">
        <v>0</v>
      </c>
      <c r="H344">
        <v>1</v>
      </c>
    </row>
    <row r="345" spans="1:8" x14ac:dyDescent="0.25">
      <c r="A345" t="s">
        <v>3178</v>
      </c>
      <c r="B345" t="s">
        <v>2834</v>
      </c>
      <c r="C345">
        <v>6.25</v>
      </c>
      <c r="D345" t="s">
        <v>3152</v>
      </c>
      <c r="E345" t="s">
        <v>942</v>
      </c>
      <c r="F345">
        <v>75</v>
      </c>
      <c r="G345" t="b">
        <v>0</v>
      </c>
      <c r="H345">
        <v>1</v>
      </c>
    </row>
    <row r="346" spans="1:8" x14ac:dyDescent="0.25">
      <c r="A346" t="s">
        <v>3178</v>
      </c>
      <c r="B346" t="s">
        <v>2836</v>
      </c>
      <c r="C346">
        <v>6.25</v>
      </c>
      <c r="D346" t="s">
        <v>3152</v>
      </c>
      <c r="E346" t="s">
        <v>942</v>
      </c>
      <c r="F346">
        <v>75</v>
      </c>
      <c r="G346" t="b">
        <v>0</v>
      </c>
      <c r="H346">
        <v>1</v>
      </c>
    </row>
    <row r="347" spans="1:8" x14ac:dyDescent="0.25">
      <c r="A347" t="s">
        <v>3178</v>
      </c>
      <c r="B347" t="s">
        <v>2818</v>
      </c>
      <c r="C347">
        <v>3.55</v>
      </c>
      <c r="D347" t="s">
        <v>3152</v>
      </c>
      <c r="E347" t="s">
        <v>942</v>
      </c>
      <c r="F347">
        <v>75</v>
      </c>
      <c r="G347" t="b">
        <v>0</v>
      </c>
      <c r="H347">
        <v>1</v>
      </c>
    </row>
    <row r="348" spans="1:8" x14ac:dyDescent="0.25">
      <c r="A348" t="s">
        <v>3178</v>
      </c>
      <c r="B348" t="s">
        <v>2820</v>
      </c>
      <c r="C348">
        <v>47.8</v>
      </c>
      <c r="D348" t="s">
        <v>3152</v>
      </c>
      <c r="E348" t="s">
        <v>942</v>
      </c>
      <c r="F348">
        <v>75</v>
      </c>
      <c r="G348" t="b">
        <v>0</v>
      </c>
      <c r="H348">
        <v>1</v>
      </c>
    </row>
    <row r="349" spans="1:8" x14ac:dyDescent="0.25">
      <c r="A349" t="s">
        <v>3178</v>
      </c>
      <c r="B349" t="s">
        <v>2822</v>
      </c>
      <c r="C349">
        <v>153.25</v>
      </c>
      <c r="D349" t="s">
        <v>3152</v>
      </c>
      <c r="E349" t="s">
        <v>942</v>
      </c>
      <c r="F349">
        <v>75</v>
      </c>
      <c r="G349" t="b">
        <v>0</v>
      </c>
      <c r="H349">
        <v>1</v>
      </c>
    </row>
    <row r="350" spans="1:8" x14ac:dyDescent="0.25">
      <c r="A350" t="s">
        <v>3178</v>
      </c>
      <c r="B350" t="s">
        <v>2824</v>
      </c>
      <c r="C350">
        <v>19.8</v>
      </c>
      <c r="D350" t="s">
        <v>3152</v>
      </c>
      <c r="E350" t="s">
        <v>942</v>
      </c>
      <c r="F350">
        <v>75</v>
      </c>
      <c r="G350" t="b">
        <v>0</v>
      </c>
      <c r="H350">
        <v>1</v>
      </c>
    </row>
    <row r="351" spans="1:8" x14ac:dyDescent="0.25">
      <c r="A351" t="s">
        <v>3178</v>
      </c>
      <c r="B351" t="s">
        <v>2826</v>
      </c>
      <c r="C351">
        <v>47.8</v>
      </c>
      <c r="D351" t="s">
        <v>3152</v>
      </c>
      <c r="E351" t="s">
        <v>942</v>
      </c>
      <c r="F351">
        <v>75</v>
      </c>
      <c r="G351" t="b">
        <v>0</v>
      </c>
      <c r="H351">
        <v>1</v>
      </c>
    </row>
    <row r="352" spans="1:8" x14ac:dyDescent="0.25">
      <c r="A352" t="s">
        <v>3178</v>
      </c>
      <c r="B352" t="s">
        <v>2832</v>
      </c>
      <c r="C352">
        <v>33.049999999999997</v>
      </c>
      <c r="D352" t="s">
        <v>3152</v>
      </c>
      <c r="E352" t="s">
        <v>942</v>
      </c>
      <c r="F352">
        <v>75</v>
      </c>
      <c r="G352" t="b">
        <v>0</v>
      </c>
      <c r="H352">
        <v>1</v>
      </c>
    </row>
    <row r="353" spans="1:8" x14ac:dyDescent="0.25">
      <c r="A353" t="s">
        <v>3178</v>
      </c>
      <c r="B353" t="s">
        <v>2299</v>
      </c>
      <c r="C353">
        <v>11.55</v>
      </c>
      <c r="D353" t="s">
        <v>3152</v>
      </c>
      <c r="E353" t="s">
        <v>942</v>
      </c>
      <c r="F353">
        <v>75</v>
      </c>
      <c r="G353" t="b">
        <v>0</v>
      </c>
      <c r="H353">
        <v>1</v>
      </c>
    </row>
    <row r="354" spans="1:8" x14ac:dyDescent="0.25">
      <c r="A354" t="s">
        <v>3178</v>
      </c>
      <c r="B354" t="s">
        <v>2828</v>
      </c>
      <c r="C354">
        <v>67.849999999999994</v>
      </c>
      <c r="D354" t="s">
        <v>3152</v>
      </c>
      <c r="E354" t="s">
        <v>942</v>
      </c>
      <c r="F354">
        <v>75</v>
      </c>
      <c r="G354" t="b">
        <v>0</v>
      </c>
      <c r="H354">
        <v>1</v>
      </c>
    </row>
    <row r="355" spans="1:8" x14ac:dyDescent="0.25">
      <c r="A355" t="s">
        <v>3178</v>
      </c>
      <c r="B355" t="s">
        <v>2830</v>
      </c>
      <c r="C355">
        <v>73.7</v>
      </c>
      <c r="D355" t="s">
        <v>3152</v>
      </c>
      <c r="E355" t="s">
        <v>942</v>
      </c>
      <c r="F355">
        <v>75</v>
      </c>
      <c r="G355" t="b">
        <v>0</v>
      </c>
      <c r="H355">
        <v>1</v>
      </c>
    </row>
    <row r="356" spans="1:8" x14ac:dyDescent="0.25">
      <c r="A356" t="s">
        <v>3178</v>
      </c>
      <c r="B356" t="s">
        <v>2838</v>
      </c>
      <c r="C356">
        <v>6.25</v>
      </c>
      <c r="D356" t="s">
        <v>3152</v>
      </c>
      <c r="E356" t="s">
        <v>942</v>
      </c>
      <c r="F356">
        <v>75</v>
      </c>
      <c r="G356" t="b">
        <v>0</v>
      </c>
      <c r="H356">
        <v>1</v>
      </c>
    </row>
    <row r="357" spans="1:8" x14ac:dyDescent="0.25">
      <c r="A357" t="s">
        <v>3178</v>
      </c>
      <c r="B357" t="s">
        <v>2840</v>
      </c>
      <c r="C357">
        <v>33.049999999999997</v>
      </c>
      <c r="D357" t="s">
        <v>3152</v>
      </c>
      <c r="E357" t="s">
        <v>942</v>
      </c>
      <c r="F357">
        <v>75</v>
      </c>
      <c r="G357" t="b">
        <v>0</v>
      </c>
      <c r="H357">
        <v>1</v>
      </c>
    </row>
    <row r="358" spans="1:8" x14ac:dyDescent="0.25">
      <c r="A358" t="s">
        <v>3179</v>
      </c>
      <c r="B358" t="s">
        <v>2847</v>
      </c>
      <c r="C358">
        <v>10.050000000000001</v>
      </c>
      <c r="D358" t="s">
        <v>3152</v>
      </c>
      <c r="E358" t="s">
        <v>942</v>
      </c>
      <c r="F358">
        <v>75</v>
      </c>
      <c r="G358" t="b">
        <v>0</v>
      </c>
      <c r="H358">
        <v>1</v>
      </c>
    </row>
    <row r="359" spans="1:8" x14ac:dyDescent="0.25">
      <c r="A359" t="s">
        <v>3179</v>
      </c>
      <c r="B359" t="s">
        <v>2849</v>
      </c>
      <c r="C359">
        <v>22.75</v>
      </c>
      <c r="D359" t="s">
        <v>3152</v>
      </c>
      <c r="E359" t="s">
        <v>942</v>
      </c>
      <c r="F359">
        <v>75</v>
      </c>
      <c r="G359" t="b">
        <v>0</v>
      </c>
      <c r="H359">
        <v>1</v>
      </c>
    </row>
    <row r="360" spans="1:8" x14ac:dyDescent="0.25">
      <c r="A360" t="s">
        <v>3179</v>
      </c>
      <c r="B360" t="s">
        <v>2851</v>
      </c>
      <c r="C360">
        <v>23</v>
      </c>
      <c r="D360" t="s">
        <v>3152</v>
      </c>
      <c r="E360" t="s">
        <v>942</v>
      </c>
      <c r="F360">
        <v>75</v>
      </c>
      <c r="G360" t="b">
        <v>0</v>
      </c>
      <c r="H360">
        <v>1</v>
      </c>
    </row>
    <row r="361" spans="1:8" x14ac:dyDescent="0.25">
      <c r="A361" t="s">
        <v>3179</v>
      </c>
      <c r="B361" t="s">
        <v>2842</v>
      </c>
      <c r="C361">
        <v>41</v>
      </c>
      <c r="D361" t="s">
        <v>3152</v>
      </c>
      <c r="E361" t="s">
        <v>942</v>
      </c>
      <c r="F361">
        <v>75</v>
      </c>
      <c r="G361" t="b">
        <v>0</v>
      </c>
      <c r="H361">
        <v>1</v>
      </c>
    </row>
    <row r="362" spans="1:8" x14ac:dyDescent="0.25">
      <c r="A362" t="s">
        <v>3179</v>
      </c>
      <c r="B362" t="s">
        <v>2402</v>
      </c>
      <c r="C362">
        <v>18.600000000000001</v>
      </c>
      <c r="D362" t="s">
        <v>3152</v>
      </c>
      <c r="E362" t="s">
        <v>942</v>
      </c>
      <c r="F362">
        <v>75</v>
      </c>
      <c r="G362" t="b">
        <v>0</v>
      </c>
      <c r="H362">
        <v>1</v>
      </c>
    </row>
    <row r="363" spans="1:8" x14ac:dyDescent="0.25">
      <c r="A363" t="s">
        <v>3179</v>
      </c>
      <c r="B363" t="s">
        <v>2845</v>
      </c>
      <c r="C363">
        <v>6.5</v>
      </c>
      <c r="D363" t="s">
        <v>3152</v>
      </c>
      <c r="E363" t="s">
        <v>942</v>
      </c>
      <c r="F363">
        <v>75</v>
      </c>
      <c r="G363" t="b">
        <v>0</v>
      </c>
      <c r="H363">
        <v>1</v>
      </c>
    </row>
    <row r="364" spans="1:8" x14ac:dyDescent="0.25">
      <c r="A364" t="s">
        <v>3180</v>
      </c>
      <c r="B364" t="s">
        <v>2406</v>
      </c>
      <c r="C364">
        <v>15.95</v>
      </c>
      <c r="D364" t="s">
        <v>3152</v>
      </c>
      <c r="E364" t="s">
        <v>942</v>
      </c>
      <c r="F364">
        <v>75</v>
      </c>
      <c r="G364" t="b">
        <v>0</v>
      </c>
      <c r="H364">
        <v>1</v>
      </c>
    </row>
    <row r="365" spans="1:8" x14ac:dyDescent="0.25">
      <c r="A365" t="s">
        <v>3180</v>
      </c>
      <c r="B365" t="s">
        <v>2408</v>
      </c>
      <c r="C365">
        <v>7.4</v>
      </c>
      <c r="D365" t="s">
        <v>3152</v>
      </c>
      <c r="E365" t="s">
        <v>942</v>
      </c>
      <c r="F365">
        <v>75</v>
      </c>
      <c r="G365" t="b">
        <v>0</v>
      </c>
      <c r="H365">
        <v>1</v>
      </c>
    </row>
    <row r="366" spans="1:8" x14ac:dyDescent="0.25">
      <c r="A366" t="s">
        <v>3180</v>
      </c>
      <c r="B366" t="s">
        <v>2853</v>
      </c>
      <c r="C366">
        <v>7.4</v>
      </c>
      <c r="D366" t="s">
        <v>3152</v>
      </c>
      <c r="E366" t="s">
        <v>942</v>
      </c>
      <c r="F366">
        <v>75</v>
      </c>
      <c r="G366" t="b">
        <v>0</v>
      </c>
      <c r="H366">
        <v>1</v>
      </c>
    </row>
    <row r="367" spans="1:8" x14ac:dyDescent="0.25">
      <c r="A367" t="s">
        <v>3180</v>
      </c>
      <c r="B367" t="s">
        <v>2855</v>
      </c>
      <c r="C367">
        <v>7.4</v>
      </c>
      <c r="D367" t="s">
        <v>3152</v>
      </c>
      <c r="E367" t="s">
        <v>942</v>
      </c>
      <c r="F367">
        <v>75</v>
      </c>
      <c r="G367" t="b">
        <v>0</v>
      </c>
      <c r="H367">
        <v>1</v>
      </c>
    </row>
    <row r="368" spans="1:8" x14ac:dyDescent="0.25">
      <c r="A368" t="s">
        <v>3180</v>
      </c>
      <c r="B368" t="s">
        <v>2857</v>
      </c>
      <c r="C368">
        <v>7.4</v>
      </c>
      <c r="D368" t="s">
        <v>3152</v>
      </c>
      <c r="E368" t="s">
        <v>942</v>
      </c>
      <c r="F368">
        <v>75</v>
      </c>
      <c r="G368" t="b">
        <v>0</v>
      </c>
      <c r="H368">
        <v>1</v>
      </c>
    </row>
    <row r="369" spans="1:8" x14ac:dyDescent="0.25">
      <c r="A369" t="s">
        <v>3180</v>
      </c>
      <c r="B369" t="s">
        <v>2859</v>
      </c>
      <c r="C369">
        <v>7.4</v>
      </c>
      <c r="D369" t="s">
        <v>3152</v>
      </c>
      <c r="E369" t="s">
        <v>942</v>
      </c>
      <c r="F369">
        <v>75</v>
      </c>
      <c r="G369" t="b">
        <v>0</v>
      </c>
      <c r="H369">
        <v>1</v>
      </c>
    </row>
    <row r="370" spans="1:8" x14ac:dyDescent="0.25">
      <c r="A370" t="s">
        <v>3180</v>
      </c>
      <c r="B370" t="s">
        <v>2411</v>
      </c>
      <c r="C370">
        <v>12.65</v>
      </c>
      <c r="D370" t="s">
        <v>3152</v>
      </c>
      <c r="E370" t="s">
        <v>942</v>
      </c>
      <c r="F370">
        <v>75</v>
      </c>
      <c r="G370" t="b">
        <v>0</v>
      </c>
      <c r="H370">
        <v>1</v>
      </c>
    </row>
    <row r="371" spans="1:8" x14ac:dyDescent="0.25">
      <c r="A371" t="s">
        <v>3180</v>
      </c>
      <c r="B371" t="s">
        <v>2861</v>
      </c>
      <c r="C371">
        <v>12.65</v>
      </c>
      <c r="D371" t="s">
        <v>3152</v>
      </c>
      <c r="E371" t="s">
        <v>942</v>
      </c>
      <c r="F371">
        <v>75</v>
      </c>
      <c r="G371" t="b">
        <v>0</v>
      </c>
      <c r="H371">
        <v>1</v>
      </c>
    </row>
    <row r="372" spans="1:8" x14ac:dyDescent="0.25">
      <c r="A372" t="s">
        <v>3180</v>
      </c>
      <c r="B372" t="s">
        <v>2863</v>
      </c>
      <c r="C372">
        <v>12.65</v>
      </c>
      <c r="D372" t="s">
        <v>3152</v>
      </c>
      <c r="E372" t="s">
        <v>942</v>
      </c>
      <c r="F372">
        <v>75</v>
      </c>
      <c r="G372" t="b">
        <v>0</v>
      </c>
      <c r="H372">
        <v>1</v>
      </c>
    </row>
    <row r="373" spans="1:8" x14ac:dyDescent="0.25">
      <c r="A373" t="s">
        <v>3180</v>
      </c>
      <c r="B373" t="s">
        <v>2865</v>
      </c>
      <c r="C373">
        <v>12.65</v>
      </c>
      <c r="D373" t="s">
        <v>3152</v>
      </c>
      <c r="E373" t="s">
        <v>942</v>
      </c>
      <c r="F373">
        <v>75</v>
      </c>
      <c r="G373" t="b">
        <v>0</v>
      </c>
      <c r="H373">
        <v>1</v>
      </c>
    </row>
    <row r="374" spans="1:8" x14ac:dyDescent="0.25">
      <c r="A374" t="s">
        <v>3180</v>
      </c>
      <c r="B374" t="s">
        <v>2867</v>
      </c>
      <c r="C374">
        <v>12.65</v>
      </c>
      <c r="D374" t="s">
        <v>3152</v>
      </c>
      <c r="E374" t="s">
        <v>942</v>
      </c>
      <c r="F374">
        <v>75</v>
      </c>
      <c r="G374" t="b">
        <v>0</v>
      </c>
      <c r="H374">
        <v>1</v>
      </c>
    </row>
    <row r="375" spans="1:8" x14ac:dyDescent="0.25">
      <c r="A375" t="s">
        <v>3180</v>
      </c>
      <c r="B375" t="s">
        <v>2414</v>
      </c>
      <c r="C375">
        <v>2.7</v>
      </c>
      <c r="D375" t="s">
        <v>3152</v>
      </c>
      <c r="E375" t="s">
        <v>942</v>
      </c>
      <c r="F375">
        <v>75</v>
      </c>
      <c r="G375" t="b">
        <v>0</v>
      </c>
      <c r="H375">
        <v>1</v>
      </c>
    </row>
    <row r="376" spans="1:8" x14ac:dyDescent="0.25">
      <c r="A376" t="s">
        <v>3181</v>
      </c>
      <c r="B376" t="s">
        <v>1848</v>
      </c>
      <c r="C376">
        <v>12.65</v>
      </c>
      <c r="D376" t="s">
        <v>3152</v>
      </c>
      <c r="E376" t="s">
        <v>942</v>
      </c>
      <c r="F376">
        <v>75</v>
      </c>
      <c r="G376" t="b">
        <v>0</v>
      </c>
      <c r="H376">
        <v>1</v>
      </c>
    </row>
    <row r="377" spans="1:8" x14ac:dyDescent="0.25">
      <c r="A377" t="s">
        <v>3181</v>
      </c>
      <c r="B377" t="s">
        <v>1845</v>
      </c>
      <c r="C377">
        <v>12.65</v>
      </c>
      <c r="D377" t="s">
        <v>3152</v>
      </c>
      <c r="E377" t="s">
        <v>942</v>
      </c>
      <c r="F377">
        <v>75</v>
      </c>
      <c r="G377" t="b">
        <v>0</v>
      </c>
      <c r="H377">
        <v>1</v>
      </c>
    </row>
    <row r="378" spans="1:8" x14ac:dyDescent="0.25">
      <c r="A378" t="s">
        <v>3181</v>
      </c>
      <c r="B378" t="s">
        <v>2869</v>
      </c>
      <c r="C378">
        <v>12.65</v>
      </c>
      <c r="D378" t="s">
        <v>3152</v>
      </c>
      <c r="E378" t="s">
        <v>942</v>
      </c>
      <c r="F378">
        <v>75</v>
      </c>
      <c r="G378" t="b">
        <v>0</v>
      </c>
      <c r="H378">
        <v>1</v>
      </c>
    </row>
    <row r="379" spans="1:8" x14ac:dyDescent="0.25">
      <c r="A379" t="s">
        <v>3181</v>
      </c>
      <c r="B379" t="s">
        <v>2871</v>
      </c>
      <c r="C379">
        <v>12.65</v>
      </c>
      <c r="D379" t="s">
        <v>3152</v>
      </c>
      <c r="E379" t="s">
        <v>942</v>
      </c>
      <c r="F379">
        <v>75</v>
      </c>
      <c r="G379" t="b">
        <v>0</v>
      </c>
      <c r="H379">
        <v>1</v>
      </c>
    </row>
    <row r="380" spans="1:8" x14ac:dyDescent="0.25">
      <c r="A380" t="s">
        <v>3181</v>
      </c>
      <c r="B380" t="s">
        <v>1850</v>
      </c>
      <c r="C380">
        <v>6.5</v>
      </c>
      <c r="D380" t="s">
        <v>3152</v>
      </c>
      <c r="E380" t="s">
        <v>942</v>
      </c>
      <c r="F380">
        <v>75</v>
      </c>
      <c r="G380" t="b">
        <v>0</v>
      </c>
      <c r="H380">
        <v>1</v>
      </c>
    </row>
    <row r="381" spans="1:8" x14ac:dyDescent="0.25">
      <c r="A381" t="s">
        <v>3181</v>
      </c>
      <c r="B381" t="s">
        <v>2873</v>
      </c>
      <c r="C381">
        <v>6.5</v>
      </c>
      <c r="D381" t="s">
        <v>3152</v>
      </c>
      <c r="E381" t="s">
        <v>942</v>
      </c>
      <c r="F381">
        <v>75</v>
      </c>
      <c r="G381" t="b">
        <v>0</v>
      </c>
      <c r="H381">
        <v>1</v>
      </c>
    </row>
    <row r="382" spans="1:8" x14ac:dyDescent="0.25">
      <c r="A382" t="s">
        <v>3181</v>
      </c>
      <c r="B382" t="s">
        <v>1852</v>
      </c>
      <c r="C382">
        <v>4.1500000000000004</v>
      </c>
      <c r="D382" t="s">
        <v>3152</v>
      </c>
      <c r="E382" t="s">
        <v>942</v>
      </c>
      <c r="F382">
        <v>75</v>
      </c>
      <c r="G382" t="b">
        <v>0</v>
      </c>
      <c r="H382">
        <v>1</v>
      </c>
    </row>
    <row r="383" spans="1:8" x14ac:dyDescent="0.25">
      <c r="A383" t="s">
        <v>3181</v>
      </c>
      <c r="B383" t="s">
        <v>2875</v>
      </c>
      <c r="C383">
        <v>4.1500000000000004</v>
      </c>
      <c r="D383" t="s">
        <v>3152</v>
      </c>
      <c r="E383" t="s">
        <v>942</v>
      </c>
      <c r="F383">
        <v>75</v>
      </c>
      <c r="G383" t="b">
        <v>0</v>
      </c>
      <c r="H383">
        <v>1</v>
      </c>
    </row>
    <row r="384" spans="1:8" x14ac:dyDescent="0.25">
      <c r="A384" t="s">
        <v>3181</v>
      </c>
      <c r="B384" t="s">
        <v>2877</v>
      </c>
      <c r="C384">
        <v>4.1500000000000004</v>
      </c>
      <c r="D384" t="s">
        <v>3152</v>
      </c>
      <c r="E384" t="s">
        <v>942</v>
      </c>
      <c r="F384">
        <v>75</v>
      </c>
      <c r="G384" t="b">
        <v>0</v>
      </c>
      <c r="H384">
        <v>1</v>
      </c>
    </row>
    <row r="385" spans="1:8" x14ac:dyDescent="0.25">
      <c r="A385" t="s">
        <v>3181</v>
      </c>
      <c r="B385" t="s">
        <v>2879</v>
      </c>
      <c r="C385">
        <v>4.1500000000000004</v>
      </c>
      <c r="D385" t="s">
        <v>3152</v>
      </c>
      <c r="E385" t="s">
        <v>942</v>
      </c>
      <c r="F385">
        <v>75</v>
      </c>
      <c r="G385" t="b">
        <v>0</v>
      </c>
      <c r="H385">
        <v>1</v>
      </c>
    </row>
    <row r="386" spans="1:8" x14ac:dyDescent="0.25">
      <c r="A386" t="s">
        <v>3181</v>
      </c>
      <c r="B386" t="s">
        <v>1840</v>
      </c>
      <c r="C386">
        <v>14.45</v>
      </c>
      <c r="D386" t="s">
        <v>3152</v>
      </c>
      <c r="E386" t="s">
        <v>942</v>
      </c>
      <c r="F386">
        <v>75</v>
      </c>
      <c r="G386" t="b">
        <v>0</v>
      </c>
      <c r="H386">
        <v>1</v>
      </c>
    </row>
    <row r="387" spans="1:8" x14ac:dyDescent="0.25">
      <c r="A387" t="s">
        <v>3181</v>
      </c>
      <c r="B387" t="s">
        <v>1855</v>
      </c>
      <c r="C387">
        <v>13.9</v>
      </c>
      <c r="D387" t="s">
        <v>3152</v>
      </c>
      <c r="E387" t="s">
        <v>942</v>
      </c>
      <c r="F387">
        <v>75</v>
      </c>
      <c r="G387" t="b">
        <v>0</v>
      </c>
      <c r="H387">
        <v>1</v>
      </c>
    </row>
    <row r="388" spans="1:8" x14ac:dyDescent="0.25">
      <c r="A388" t="s">
        <v>3181</v>
      </c>
      <c r="B388" t="s">
        <v>1858</v>
      </c>
      <c r="C388">
        <v>18.600000000000001</v>
      </c>
      <c r="D388" t="s">
        <v>3152</v>
      </c>
      <c r="E388" t="s">
        <v>942</v>
      </c>
      <c r="F388">
        <v>75</v>
      </c>
      <c r="G388" t="b">
        <v>0</v>
      </c>
      <c r="H388">
        <v>1</v>
      </c>
    </row>
    <row r="389" spans="1:8" x14ac:dyDescent="0.25">
      <c r="A389" t="s">
        <v>3181</v>
      </c>
      <c r="B389" t="s">
        <v>1843</v>
      </c>
      <c r="C389">
        <v>13.9</v>
      </c>
      <c r="D389" t="s">
        <v>3152</v>
      </c>
      <c r="E389" t="s">
        <v>942</v>
      </c>
      <c r="F389">
        <v>75</v>
      </c>
      <c r="G389" t="b">
        <v>0</v>
      </c>
      <c r="H389">
        <v>1</v>
      </c>
    </row>
    <row r="390" spans="1:8" x14ac:dyDescent="0.25">
      <c r="A390" t="s">
        <v>3181</v>
      </c>
      <c r="B390" t="s">
        <v>2881</v>
      </c>
      <c r="C390">
        <v>13.9</v>
      </c>
      <c r="D390" t="s">
        <v>3152</v>
      </c>
      <c r="E390" t="s">
        <v>942</v>
      </c>
      <c r="F390">
        <v>75</v>
      </c>
      <c r="G390" t="b">
        <v>0</v>
      </c>
      <c r="H390">
        <v>1</v>
      </c>
    </row>
    <row r="391" spans="1:8" x14ac:dyDescent="0.25">
      <c r="A391" t="s">
        <v>3182</v>
      </c>
      <c r="B391" t="s">
        <v>2885</v>
      </c>
      <c r="C391">
        <v>10.050000000000001</v>
      </c>
      <c r="D391" t="s">
        <v>3152</v>
      </c>
      <c r="E391" t="s">
        <v>942</v>
      </c>
      <c r="F391">
        <v>75</v>
      </c>
      <c r="G391" t="b">
        <v>0</v>
      </c>
      <c r="H391">
        <v>1</v>
      </c>
    </row>
    <row r="392" spans="1:8" x14ac:dyDescent="0.25">
      <c r="A392" t="s">
        <v>3182</v>
      </c>
      <c r="B392" t="s">
        <v>2883</v>
      </c>
      <c r="C392">
        <v>49.3</v>
      </c>
      <c r="D392" t="s">
        <v>3152</v>
      </c>
      <c r="E392" t="s">
        <v>942</v>
      </c>
      <c r="F392">
        <v>75</v>
      </c>
      <c r="G392" t="b">
        <v>0</v>
      </c>
      <c r="H392">
        <v>1</v>
      </c>
    </row>
    <row r="393" spans="1:8" x14ac:dyDescent="0.25">
      <c r="A393" t="s">
        <v>3182</v>
      </c>
      <c r="B393" t="s">
        <v>2895</v>
      </c>
      <c r="C393">
        <v>7.65</v>
      </c>
      <c r="D393" t="s">
        <v>3152</v>
      </c>
      <c r="E393" t="s">
        <v>942</v>
      </c>
      <c r="F393">
        <v>75</v>
      </c>
      <c r="G393" t="b">
        <v>0</v>
      </c>
      <c r="H393">
        <v>1</v>
      </c>
    </row>
    <row r="394" spans="1:8" x14ac:dyDescent="0.25">
      <c r="A394" t="s">
        <v>3182</v>
      </c>
      <c r="B394" t="s">
        <v>2897</v>
      </c>
      <c r="C394">
        <v>7.65</v>
      </c>
      <c r="D394" t="s">
        <v>3152</v>
      </c>
      <c r="E394" t="s">
        <v>942</v>
      </c>
      <c r="F394">
        <v>75</v>
      </c>
      <c r="G394" t="b">
        <v>0</v>
      </c>
      <c r="H394">
        <v>1</v>
      </c>
    </row>
    <row r="395" spans="1:8" x14ac:dyDescent="0.25">
      <c r="A395" t="s">
        <v>3182</v>
      </c>
      <c r="B395" t="s">
        <v>2899</v>
      </c>
      <c r="C395">
        <v>7.65</v>
      </c>
      <c r="D395" t="s">
        <v>3152</v>
      </c>
      <c r="E395" t="s">
        <v>942</v>
      </c>
      <c r="F395">
        <v>75</v>
      </c>
      <c r="G395" t="b">
        <v>0</v>
      </c>
      <c r="H395">
        <v>1</v>
      </c>
    </row>
    <row r="396" spans="1:8" x14ac:dyDescent="0.25">
      <c r="A396" t="s">
        <v>3182</v>
      </c>
      <c r="B396" t="s">
        <v>2901</v>
      </c>
      <c r="C396">
        <v>7.65</v>
      </c>
      <c r="D396" t="s">
        <v>3152</v>
      </c>
      <c r="E396" t="s">
        <v>942</v>
      </c>
      <c r="F396">
        <v>75</v>
      </c>
      <c r="G396" t="b">
        <v>0</v>
      </c>
      <c r="H396">
        <v>1</v>
      </c>
    </row>
    <row r="397" spans="1:8" x14ac:dyDescent="0.25">
      <c r="A397" t="s">
        <v>3182</v>
      </c>
      <c r="B397" t="s">
        <v>2903</v>
      </c>
      <c r="C397">
        <v>7.65</v>
      </c>
      <c r="D397" t="s">
        <v>3152</v>
      </c>
      <c r="E397" t="s">
        <v>942</v>
      </c>
      <c r="F397">
        <v>75</v>
      </c>
      <c r="G397" t="b">
        <v>0</v>
      </c>
      <c r="H397">
        <v>1</v>
      </c>
    </row>
    <row r="398" spans="1:8" x14ac:dyDescent="0.25">
      <c r="A398" t="s">
        <v>3182</v>
      </c>
      <c r="B398" t="s">
        <v>2905</v>
      </c>
      <c r="C398">
        <v>7.65</v>
      </c>
      <c r="D398" t="s">
        <v>3152</v>
      </c>
      <c r="E398" t="s">
        <v>942</v>
      </c>
      <c r="F398">
        <v>75</v>
      </c>
      <c r="G398" t="b">
        <v>0</v>
      </c>
      <c r="H398">
        <v>1</v>
      </c>
    </row>
    <row r="399" spans="1:8" x14ac:dyDescent="0.25">
      <c r="A399" t="s">
        <v>3182</v>
      </c>
      <c r="B399" t="s">
        <v>2907</v>
      </c>
      <c r="C399">
        <v>7.65</v>
      </c>
      <c r="D399" t="s">
        <v>3152</v>
      </c>
      <c r="E399" t="s">
        <v>942</v>
      </c>
      <c r="F399">
        <v>75</v>
      </c>
      <c r="G399" t="b">
        <v>0</v>
      </c>
      <c r="H399">
        <v>1</v>
      </c>
    </row>
    <row r="400" spans="1:8" x14ac:dyDescent="0.25">
      <c r="A400" t="s">
        <v>3182</v>
      </c>
      <c r="B400" t="s">
        <v>2909</v>
      </c>
      <c r="C400">
        <v>7.65</v>
      </c>
      <c r="D400" t="s">
        <v>3152</v>
      </c>
      <c r="E400" t="s">
        <v>942</v>
      </c>
      <c r="F400">
        <v>75</v>
      </c>
      <c r="G400" t="b">
        <v>0</v>
      </c>
      <c r="H400">
        <v>1</v>
      </c>
    </row>
    <row r="401" spans="1:8" x14ac:dyDescent="0.25">
      <c r="A401" t="s">
        <v>3182</v>
      </c>
      <c r="B401" t="s">
        <v>2911</v>
      </c>
      <c r="C401">
        <v>7.65</v>
      </c>
      <c r="D401" t="s">
        <v>3152</v>
      </c>
      <c r="E401" t="s">
        <v>942</v>
      </c>
      <c r="F401">
        <v>75</v>
      </c>
      <c r="G401" t="b">
        <v>0</v>
      </c>
      <c r="H401">
        <v>1</v>
      </c>
    </row>
    <row r="402" spans="1:8" x14ac:dyDescent="0.25">
      <c r="A402" t="s">
        <v>3182</v>
      </c>
      <c r="B402" t="s">
        <v>2887</v>
      </c>
      <c r="C402">
        <v>10.050000000000001</v>
      </c>
      <c r="D402" t="s">
        <v>3152</v>
      </c>
      <c r="E402" t="s">
        <v>942</v>
      </c>
      <c r="F402">
        <v>75</v>
      </c>
      <c r="G402" t="b">
        <v>0</v>
      </c>
      <c r="H402">
        <v>1</v>
      </c>
    </row>
    <row r="403" spans="1:8" x14ac:dyDescent="0.25">
      <c r="A403" t="s">
        <v>3182</v>
      </c>
      <c r="B403" t="s">
        <v>2913</v>
      </c>
      <c r="C403">
        <v>7.65</v>
      </c>
      <c r="D403" t="s">
        <v>3152</v>
      </c>
      <c r="E403" t="s">
        <v>942</v>
      </c>
      <c r="F403">
        <v>75</v>
      </c>
      <c r="G403" t="b">
        <v>0</v>
      </c>
      <c r="H403">
        <v>1</v>
      </c>
    </row>
    <row r="404" spans="1:8" x14ac:dyDescent="0.25">
      <c r="A404" t="s">
        <v>3182</v>
      </c>
      <c r="B404" t="s">
        <v>2915</v>
      </c>
      <c r="C404">
        <v>7.65</v>
      </c>
      <c r="D404" t="s">
        <v>3152</v>
      </c>
      <c r="E404" t="s">
        <v>942</v>
      </c>
      <c r="F404">
        <v>75</v>
      </c>
      <c r="G404" t="b">
        <v>0</v>
      </c>
      <c r="H404">
        <v>1</v>
      </c>
    </row>
    <row r="405" spans="1:8" x14ac:dyDescent="0.25">
      <c r="A405" t="s">
        <v>3182</v>
      </c>
      <c r="B405" t="s">
        <v>2917</v>
      </c>
      <c r="C405">
        <v>7.65</v>
      </c>
      <c r="D405" t="s">
        <v>3152</v>
      </c>
      <c r="E405" t="s">
        <v>942</v>
      </c>
      <c r="F405">
        <v>75</v>
      </c>
      <c r="G405" t="b">
        <v>0</v>
      </c>
      <c r="H405">
        <v>1</v>
      </c>
    </row>
    <row r="406" spans="1:8" x14ac:dyDescent="0.25">
      <c r="A406" t="s">
        <v>3182</v>
      </c>
      <c r="B406" t="s">
        <v>2919</v>
      </c>
      <c r="C406">
        <v>7.65</v>
      </c>
      <c r="D406" t="s">
        <v>3152</v>
      </c>
      <c r="E406" t="s">
        <v>942</v>
      </c>
      <c r="F406">
        <v>75</v>
      </c>
      <c r="G406" t="b">
        <v>0</v>
      </c>
      <c r="H406">
        <v>1</v>
      </c>
    </row>
    <row r="407" spans="1:8" x14ac:dyDescent="0.25">
      <c r="A407" t="s">
        <v>3182</v>
      </c>
      <c r="B407" t="s">
        <v>2893</v>
      </c>
      <c r="C407">
        <v>15.1</v>
      </c>
      <c r="D407" t="s">
        <v>3152</v>
      </c>
      <c r="E407" t="s">
        <v>942</v>
      </c>
      <c r="F407">
        <v>75</v>
      </c>
      <c r="G407" t="b">
        <v>0</v>
      </c>
      <c r="H407">
        <v>1</v>
      </c>
    </row>
    <row r="408" spans="1:8" x14ac:dyDescent="0.25">
      <c r="A408" t="s">
        <v>3182</v>
      </c>
      <c r="B408" t="s">
        <v>1787</v>
      </c>
      <c r="C408">
        <v>31.9</v>
      </c>
      <c r="D408" t="s">
        <v>3152</v>
      </c>
      <c r="E408" t="s">
        <v>942</v>
      </c>
      <c r="F408">
        <v>75</v>
      </c>
      <c r="G408" t="b">
        <v>0</v>
      </c>
      <c r="H408">
        <v>1</v>
      </c>
    </row>
    <row r="409" spans="1:8" x14ac:dyDescent="0.25">
      <c r="A409" t="s">
        <v>3182</v>
      </c>
      <c r="B409" t="s">
        <v>2889</v>
      </c>
      <c r="C409">
        <v>10.050000000000001</v>
      </c>
      <c r="D409" t="s">
        <v>3152</v>
      </c>
      <c r="E409" t="s">
        <v>942</v>
      </c>
      <c r="F409">
        <v>75</v>
      </c>
      <c r="G409" t="b">
        <v>0</v>
      </c>
      <c r="H409">
        <v>1</v>
      </c>
    </row>
    <row r="410" spans="1:8" x14ac:dyDescent="0.25">
      <c r="A410" t="s">
        <v>3182</v>
      </c>
      <c r="B410" t="s">
        <v>2891</v>
      </c>
      <c r="C410">
        <v>10.050000000000001</v>
      </c>
      <c r="D410" t="s">
        <v>3152</v>
      </c>
      <c r="E410" t="s">
        <v>942</v>
      </c>
      <c r="F410">
        <v>75</v>
      </c>
      <c r="G410" t="b">
        <v>0</v>
      </c>
      <c r="H410">
        <v>1</v>
      </c>
    </row>
    <row r="411" spans="1:8" x14ac:dyDescent="0.25">
      <c r="A411" t="s">
        <v>3183</v>
      </c>
      <c r="B411" t="s">
        <v>1926</v>
      </c>
      <c r="C411">
        <v>43.95</v>
      </c>
      <c r="D411" t="s">
        <v>3152</v>
      </c>
      <c r="E411" t="s">
        <v>942</v>
      </c>
      <c r="F411">
        <v>75</v>
      </c>
      <c r="G411" t="b">
        <v>0</v>
      </c>
      <c r="H411">
        <v>1</v>
      </c>
    </row>
    <row r="412" spans="1:8" x14ac:dyDescent="0.25">
      <c r="A412" t="s">
        <v>3183</v>
      </c>
      <c r="B412" t="s">
        <v>1923</v>
      </c>
      <c r="C412">
        <v>31.55</v>
      </c>
      <c r="D412" t="s">
        <v>3152</v>
      </c>
      <c r="E412" t="s">
        <v>942</v>
      </c>
      <c r="F412">
        <v>75</v>
      </c>
      <c r="G412" t="b">
        <v>0</v>
      </c>
      <c r="H412">
        <v>1</v>
      </c>
    </row>
    <row r="413" spans="1:8" x14ac:dyDescent="0.25">
      <c r="A413" t="s">
        <v>3184</v>
      </c>
      <c r="B413" t="s">
        <v>2921</v>
      </c>
      <c r="C413">
        <v>47.8</v>
      </c>
      <c r="D413" t="s">
        <v>3152</v>
      </c>
      <c r="E413" t="s">
        <v>942</v>
      </c>
      <c r="F413">
        <v>75</v>
      </c>
      <c r="G413" t="b">
        <v>0</v>
      </c>
      <c r="H413">
        <v>1</v>
      </c>
    </row>
    <row r="414" spans="1:8" x14ac:dyDescent="0.25">
      <c r="A414" t="s">
        <v>3184</v>
      </c>
      <c r="B414" t="s">
        <v>1818</v>
      </c>
      <c r="C414">
        <v>22.4</v>
      </c>
      <c r="D414" t="s">
        <v>3152</v>
      </c>
      <c r="E414" t="s">
        <v>942</v>
      </c>
      <c r="F414">
        <v>75</v>
      </c>
      <c r="G414" t="b">
        <v>0</v>
      </c>
      <c r="H414">
        <v>1</v>
      </c>
    </row>
    <row r="415" spans="1:8" x14ac:dyDescent="0.25">
      <c r="A415" t="s">
        <v>3184</v>
      </c>
      <c r="B415" t="s">
        <v>1820</v>
      </c>
      <c r="C415">
        <v>27.15</v>
      </c>
      <c r="D415" t="s">
        <v>3152</v>
      </c>
      <c r="E415" t="s">
        <v>942</v>
      </c>
      <c r="F415">
        <v>75</v>
      </c>
      <c r="G415" t="b">
        <v>0</v>
      </c>
      <c r="H415">
        <v>1</v>
      </c>
    </row>
    <row r="416" spans="1:8" x14ac:dyDescent="0.25">
      <c r="A416" t="s">
        <v>3184</v>
      </c>
      <c r="B416" t="s">
        <v>1822</v>
      </c>
      <c r="C416">
        <v>35.700000000000003</v>
      </c>
      <c r="D416" t="s">
        <v>3152</v>
      </c>
      <c r="E416" t="s">
        <v>942</v>
      </c>
      <c r="F416">
        <v>75</v>
      </c>
      <c r="G416" t="b">
        <v>0</v>
      </c>
      <c r="H416">
        <v>1</v>
      </c>
    </row>
    <row r="417" spans="1:8" x14ac:dyDescent="0.25">
      <c r="A417" t="s">
        <v>3185</v>
      </c>
      <c r="B417" t="s">
        <v>2168</v>
      </c>
      <c r="C417">
        <v>10.050000000000001</v>
      </c>
      <c r="D417" t="s">
        <v>3152</v>
      </c>
      <c r="E417" t="s">
        <v>942</v>
      </c>
      <c r="F417">
        <v>75</v>
      </c>
      <c r="G417" t="b">
        <v>0</v>
      </c>
      <c r="H417">
        <v>1</v>
      </c>
    </row>
    <row r="418" spans="1:8" x14ac:dyDescent="0.25">
      <c r="A418" t="s">
        <v>3185</v>
      </c>
      <c r="B418" t="s">
        <v>2054</v>
      </c>
      <c r="C418">
        <v>10.050000000000001</v>
      </c>
      <c r="D418" t="s">
        <v>3152</v>
      </c>
      <c r="E418" t="s">
        <v>942</v>
      </c>
      <c r="F418">
        <v>75</v>
      </c>
      <c r="G418" t="b">
        <v>0</v>
      </c>
      <c r="H418">
        <v>1</v>
      </c>
    </row>
    <row r="419" spans="1:8" x14ac:dyDescent="0.25">
      <c r="A419" t="s">
        <v>3185</v>
      </c>
      <c r="B419" t="s">
        <v>2923</v>
      </c>
      <c r="C419">
        <v>10.050000000000001</v>
      </c>
      <c r="D419" t="s">
        <v>3152</v>
      </c>
      <c r="E419" t="s">
        <v>942</v>
      </c>
      <c r="F419">
        <v>75</v>
      </c>
      <c r="G419" t="b">
        <v>0</v>
      </c>
      <c r="H419">
        <v>1</v>
      </c>
    </row>
    <row r="420" spans="1:8" x14ac:dyDescent="0.25">
      <c r="A420" t="s">
        <v>3185</v>
      </c>
      <c r="B420" t="s">
        <v>2925</v>
      </c>
      <c r="C420">
        <v>10.050000000000001</v>
      </c>
      <c r="D420" t="s">
        <v>3152</v>
      </c>
      <c r="E420" t="s">
        <v>942</v>
      </c>
      <c r="F420">
        <v>75</v>
      </c>
      <c r="G420" t="b">
        <v>0</v>
      </c>
      <c r="H420">
        <v>1</v>
      </c>
    </row>
    <row r="421" spans="1:8" x14ac:dyDescent="0.25">
      <c r="A421" t="s">
        <v>3185</v>
      </c>
      <c r="B421" t="s">
        <v>2927</v>
      </c>
      <c r="C421">
        <v>10.050000000000001</v>
      </c>
      <c r="D421" t="s">
        <v>3152</v>
      </c>
      <c r="E421" t="s">
        <v>942</v>
      </c>
      <c r="F421">
        <v>75</v>
      </c>
      <c r="G421" t="b">
        <v>0</v>
      </c>
      <c r="H421">
        <v>1</v>
      </c>
    </row>
    <row r="422" spans="1:8" x14ac:dyDescent="0.25">
      <c r="A422" t="s">
        <v>3185</v>
      </c>
      <c r="B422" t="s">
        <v>2929</v>
      </c>
      <c r="C422">
        <v>10.050000000000001</v>
      </c>
      <c r="D422" t="s">
        <v>3152</v>
      </c>
      <c r="E422" t="s">
        <v>942</v>
      </c>
      <c r="F422">
        <v>75</v>
      </c>
      <c r="G422" t="b">
        <v>0</v>
      </c>
      <c r="H422">
        <v>1</v>
      </c>
    </row>
    <row r="423" spans="1:8" x14ac:dyDescent="0.25">
      <c r="A423" t="s">
        <v>3185</v>
      </c>
      <c r="B423" t="s">
        <v>2931</v>
      </c>
      <c r="C423">
        <v>10.050000000000001</v>
      </c>
      <c r="D423" t="s">
        <v>3152</v>
      </c>
      <c r="E423" t="s">
        <v>942</v>
      </c>
      <c r="F423">
        <v>75</v>
      </c>
      <c r="G423" t="b">
        <v>0</v>
      </c>
      <c r="H423">
        <v>1</v>
      </c>
    </row>
    <row r="424" spans="1:8" x14ac:dyDescent="0.25">
      <c r="A424" t="s">
        <v>3185</v>
      </c>
      <c r="B424" t="s">
        <v>2933</v>
      </c>
      <c r="C424">
        <v>10.050000000000001</v>
      </c>
      <c r="D424" t="s">
        <v>3152</v>
      </c>
      <c r="E424" t="s">
        <v>942</v>
      </c>
      <c r="F424">
        <v>75</v>
      </c>
      <c r="G424" t="b">
        <v>0</v>
      </c>
      <c r="H424">
        <v>1</v>
      </c>
    </row>
    <row r="425" spans="1:8" x14ac:dyDescent="0.25">
      <c r="A425" t="s">
        <v>3185</v>
      </c>
      <c r="B425" t="s">
        <v>2935</v>
      </c>
      <c r="C425">
        <v>48.95</v>
      </c>
      <c r="D425" t="s">
        <v>3152</v>
      </c>
      <c r="E425" t="s">
        <v>942</v>
      </c>
      <c r="F425">
        <v>75</v>
      </c>
      <c r="G425" t="b">
        <v>0</v>
      </c>
      <c r="H425">
        <v>1</v>
      </c>
    </row>
    <row r="426" spans="1:8" x14ac:dyDescent="0.25">
      <c r="A426" t="s">
        <v>3185</v>
      </c>
      <c r="B426" t="s">
        <v>2937</v>
      </c>
      <c r="C426">
        <v>55.45</v>
      </c>
      <c r="D426" t="s">
        <v>3152</v>
      </c>
      <c r="E426" t="s">
        <v>942</v>
      </c>
      <c r="F426">
        <v>75</v>
      </c>
      <c r="G426" t="b">
        <v>0</v>
      </c>
      <c r="H426">
        <v>1</v>
      </c>
    </row>
    <row r="427" spans="1:8" x14ac:dyDescent="0.25">
      <c r="A427" t="s">
        <v>3185</v>
      </c>
      <c r="B427" t="s">
        <v>2050</v>
      </c>
      <c r="C427">
        <v>12.1</v>
      </c>
      <c r="D427" t="s">
        <v>3152</v>
      </c>
      <c r="E427" t="s">
        <v>942</v>
      </c>
      <c r="F427">
        <v>75</v>
      </c>
      <c r="G427" t="b">
        <v>0</v>
      </c>
      <c r="H427">
        <v>1</v>
      </c>
    </row>
    <row r="428" spans="1:8" x14ac:dyDescent="0.25">
      <c r="A428" t="s">
        <v>3185</v>
      </c>
      <c r="B428" t="s">
        <v>2939</v>
      </c>
      <c r="C428">
        <v>12.1</v>
      </c>
      <c r="D428" t="s">
        <v>3152</v>
      </c>
      <c r="E428" t="s">
        <v>942</v>
      </c>
      <c r="F428">
        <v>75</v>
      </c>
      <c r="G428" t="b">
        <v>0</v>
      </c>
      <c r="H428">
        <v>1</v>
      </c>
    </row>
    <row r="429" spans="1:8" x14ac:dyDescent="0.25">
      <c r="A429" t="s">
        <v>3024</v>
      </c>
      <c r="B429" t="s">
        <v>2951</v>
      </c>
      <c r="C429">
        <v>18.850000000000001</v>
      </c>
      <c r="D429" t="s">
        <v>3152</v>
      </c>
      <c r="E429" t="s">
        <v>942</v>
      </c>
      <c r="F429">
        <v>75</v>
      </c>
      <c r="G429" t="b">
        <v>0</v>
      </c>
      <c r="H429">
        <v>1</v>
      </c>
    </row>
    <row r="430" spans="1:8" x14ac:dyDescent="0.25">
      <c r="A430" t="s">
        <v>3024</v>
      </c>
      <c r="B430" t="s">
        <v>2949</v>
      </c>
      <c r="C430">
        <v>13.3</v>
      </c>
      <c r="D430" t="s">
        <v>3152</v>
      </c>
      <c r="E430" t="s">
        <v>942</v>
      </c>
      <c r="F430">
        <v>75</v>
      </c>
      <c r="G430" t="b">
        <v>0</v>
      </c>
      <c r="H430">
        <v>1</v>
      </c>
    </row>
    <row r="431" spans="1:8" x14ac:dyDescent="0.25">
      <c r="A431" t="s">
        <v>3024</v>
      </c>
      <c r="B431" t="s">
        <v>2047</v>
      </c>
      <c r="C431">
        <v>14.45</v>
      </c>
      <c r="D431" t="s">
        <v>3152</v>
      </c>
      <c r="E431" t="s">
        <v>942</v>
      </c>
      <c r="F431">
        <v>75</v>
      </c>
      <c r="G431" t="b">
        <v>0</v>
      </c>
      <c r="H431">
        <v>1</v>
      </c>
    </row>
    <row r="432" spans="1:8" x14ac:dyDescent="0.25">
      <c r="A432" t="s">
        <v>3024</v>
      </c>
      <c r="B432" t="s">
        <v>2003</v>
      </c>
      <c r="C432">
        <v>8.0500000000000007</v>
      </c>
      <c r="D432" t="s">
        <v>3152</v>
      </c>
      <c r="E432" t="s">
        <v>942</v>
      </c>
      <c r="F432">
        <v>75</v>
      </c>
      <c r="G432" t="b">
        <v>0</v>
      </c>
      <c r="H432">
        <v>1</v>
      </c>
    </row>
    <row r="433" spans="1:8" x14ac:dyDescent="0.25">
      <c r="A433" t="s">
        <v>3024</v>
      </c>
      <c r="B433" t="s">
        <v>2007</v>
      </c>
      <c r="C433">
        <v>3.55</v>
      </c>
      <c r="D433" t="s">
        <v>3152</v>
      </c>
      <c r="E433" t="s">
        <v>942</v>
      </c>
      <c r="F433">
        <v>75</v>
      </c>
      <c r="G433" t="b">
        <v>0</v>
      </c>
      <c r="H433">
        <v>1</v>
      </c>
    </row>
    <row r="434" spans="1:8" x14ac:dyDescent="0.25">
      <c r="A434" t="s">
        <v>3024</v>
      </c>
      <c r="B434" t="s">
        <v>2009</v>
      </c>
      <c r="C434">
        <v>4.1500000000000004</v>
      </c>
      <c r="D434" t="s">
        <v>3152</v>
      </c>
      <c r="E434" t="s">
        <v>942</v>
      </c>
      <c r="F434">
        <v>75</v>
      </c>
      <c r="G434" t="b">
        <v>0</v>
      </c>
      <c r="H434">
        <v>1</v>
      </c>
    </row>
    <row r="435" spans="1:8" x14ac:dyDescent="0.25">
      <c r="A435" t="s">
        <v>3024</v>
      </c>
      <c r="B435" t="s">
        <v>2015</v>
      </c>
      <c r="C435">
        <v>2.7</v>
      </c>
      <c r="D435" t="s">
        <v>3152</v>
      </c>
      <c r="E435" t="s">
        <v>942</v>
      </c>
      <c r="F435">
        <v>75</v>
      </c>
      <c r="G435" t="b">
        <v>0</v>
      </c>
      <c r="H435">
        <v>1</v>
      </c>
    </row>
    <row r="436" spans="1:8" x14ac:dyDescent="0.25">
      <c r="A436" t="s">
        <v>3024</v>
      </c>
      <c r="B436" t="s">
        <v>2013</v>
      </c>
      <c r="C436">
        <v>8.0500000000000007</v>
      </c>
      <c r="D436" t="s">
        <v>3152</v>
      </c>
      <c r="E436" t="s">
        <v>942</v>
      </c>
      <c r="F436">
        <v>75</v>
      </c>
      <c r="G436" t="b">
        <v>0</v>
      </c>
      <c r="H436">
        <v>1</v>
      </c>
    </row>
    <row r="437" spans="1:8" x14ac:dyDescent="0.25">
      <c r="A437" t="s">
        <v>3024</v>
      </c>
      <c r="B437" t="s">
        <v>2011</v>
      </c>
      <c r="C437">
        <v>4.1500000000000004</v>
      </c>
      <c r="D437" t="s">
        <v>3152</v>
      </c>
      <c r="E437" t="s">
        <v>942</v>
      </c>
      <c r="F437">
        <v>75</v>
      </c>
      <c r="G437" t="b">
        <v>0</v>
      </c>
      <c r="H437">
        <v>1</v>
      </c>
    </row>
    <row r="438" spans="1:8" x14ac:dyDescent="0.25">
      <c r="A438" t="s">
        <v>3024</v>
      </c>
      <c r="B438" t="s">
        <v>2017</v>
      </c>
      <c r="C438">
        <v>5.35</v>
      </c>
      <c r="D438" t="s">
        <v>3152</v>
      </c>
      <c r="E438" t="s">
        <v>942</v>
      </c>
      <c r="F438">
        <v>75</v>
      </c>
      <c r="G438" t="b">
        <v>0</v>
      </c>
      <c r="H438">
        <v>1</v>
      </c>
    </row>
    <row r="439" spans="1:8" x14ac:dyDescent="0.25">
      <c r="A439" t="s">
        <v>3024</v>
      </c>
      <c r="B439" t="s">
        <v>2020</v>
      </c>
      <c r="C439">
        <v>6.5</v>
      </c>
      <c r="D439" t="s">
        <v>3152</v>
      </c>
      <c r="E439" t="s">
        <v>942</v>
      </c>
      <c r="F439">
        <v>75</v>
      </c>
      <c r="G439" t="b">
        <v>0</v>
      </c>
      <c r="H439">
        <v>1</v>
      </c>
    </row>
    <row r="440" spans="1:8" x14ac:dyDescent="0.25">
      <c r="A440" t="s">
        <v>3024</v>
      </c>
      <c r="B440" t="s">
        <v>2023</v>
      </c>
      <c r="C440">
        <v>8.0500000000000007</v>
      </c>
      <c r="D440" t="s">
        <v>3152</v>
      </c>
      <c r="E440" t="s">
        <v>942</v>
      </c>
      <c r="F440">
        <v>75</v>
      </c>
      <c r="G440" t="b">
        <v>0</v>
      </c>
      <c r="H440">
        <v>1</v>
      </c>
    </row>
    <row r="441" spans="1:8" x14ac:dyDescent="0.25">
      <c r="A441" t="s">
        <v>3024</v>
      </c>
      <c r="B441" t="s">
        <v>2026</v>
      </c>
      <c r="C441">
        <v>13.3</v>
      </c>
      <c r="D441" t="s">
        <v>3152</v>
      </c>
      <c r="E441" t="s">
        <v>942</v>
      </c>
      <c r="F441">
        <v>75</v>
      </c>
      <c r="G441" t="b">
        <v>0</v>
      </c>
      <c r="H441">
        <v>1</v>
      </c>
    </row>
    <row r="442" spans="1:8" x14ac:dyDescent="0.25">
      <c r="A442" t="s">
        <v>3024</v>
      </c>
      <c r="B442" t="s">
        <v>2029</v>
      </c>
      <c r="C442">
        <v>13.3</v>
      </c>
      <c r="D442" t="s">
        <v>3152</v>
      </c>
      <c r="E442" t="s">
        <v>942</v>
      </c>
      <c r="F442">
        <v>75</v>
      </c>
      <c r="G442" t="b">
        <v>0</v>
      </c>
      <c r="H442">
        <v>1</v>
      </c>
    </row>
    <row r="443" spans="1:8" x14ac:dyDescent="0.25">
      <c r="A443" t="s">
        <v>3024</v>
      </c>
      <c r="B443" t="s">
        <v>2032</v>
      </c>
      <c r="C443">
        <v>13.3</v>
      </c>
      <c r="D443" t="s">
        <v>3152</v>
      </c>
      <c r="E443" t="s">
        <v>942</v>
      </c>
      <c r="F443">
        <v>75</v>
      </c>
      <c r="G443" t="b">
        <v>0</v>
      </c>
      <c r="H443">
        <v>1</v>
      </c>
    </row>
    <row r="444" spans="1:8" x14ac:dyDescent="0.25">
      <c r="A444" t="s">
        <v>3024</v>
      </c>
      <c r="B444" t="s">
        <v>2037</v>
      </c>
      <c r="C444">
        <v>10.050000000000001</v>
      </c>
      <c r="D444" t="s">
        <v>3152</v>
      </c>
      <c r="E444" t="s">
        <v>942</v>
      </c>
      <c r="F444">
        <v>75</v>
      </c>
      <c r="G444" t="b">
        <v>0</v>
      </c>
      <c r="H444">
        <v>1</v>
      </c>
    </row>
    <row r="445" spans="1:8" x14ac:dyDescent="0.25">
      <c r="A445" t="s">
        <v>3024</v>
      </c>
      <c r="B445" t="s">
        <v>2042</v>
      </c>
      <c r="C445">
        <v>2.7</v>
      </c>
      <c r="D445" t="s">
        <v>3152</v>
      </c>
      <c r="E445" t="s">
        <v>942</v>
      </c>
      <c r="F445">
        <v>75</v>
      </c>
      <c r="G445" t="b">
        <v>0</v>
      </c>
      <c r="H445">
        <v>1</v>
      </c>
    </row>
    <row r="446" spans="1:8" x14ac:dyDescent="0.25">
      <c r="A446" t="s">
        <v>3024</v>
      </c>
      <c r="B446" t="s">
        <v>2040</v>
      </c>
      <c r="C446">
        <v>2.7</v>
      </c>
      <c r="D446" t="s">
        <v>3152</v>
      </c>
      <c r="E446" t="s">
        <v>942</v>
      </c>
      <c r="F446">
        <v>75</v>
      </c>
      <c r="G446" t="b">
        <v>0</v>
      </c>
      <c r="H446">
        <v>1</v>
      </c>
    </row>
    <row r="447" spans="1:8" x14ac:dyDescent="0.25">
      <c r="A447" t="s">
        <v>3024</v>
      </c>
      <c r="B447" t="s">
        <v>2170</v>
      </c>
      <c r="C447">
        <v>1.5</v>
      </c>
      <c r="D447" t="s">
        <v>3152</v>
      </c>
      <c r="E447" t="s">
        <v>942</v>
      </c>
      <c r="F447">
        <v>75</v>
      </c>
      <c r="G447" t="b">
        <v>0</v>
      </c>
      <c r="H447">
        <v>1</v>
      </c>
    </row>
    <row r="448" spans="1:8" x14ac:dyDescent="0.25">
      <c r="A448" t="s">
        <v>3024</v>
      </c>
      <c r="B448" t="s">
        <v>2044</v>
      </c>
      <c r="C448">
        <v>14.45</v>
      </c>
      <c r="D448" t="s">
        <v>3152</v>
      </c>
      <c r="E448" t="s">
        <v>942</v>
      </c>
      <c r="F448">
        <v>75</v>
      </c>
      <c r="G448" t="b">
        <v>0</v>
      </c>
      <c r="H448">
        <v>1</v>
      </c>
    </row>
    <row r="449" spans="1:8" x14ac:dyDescent="0.25">
      <c r="A449" t="s">
        <v>3024</v>
      </c>
      <c r="B449" t="s">
        <v>2057</v>
      </c>
      <c r="C449">
        <v>20.65</v>
      </c>
      <c r="D449" t="s">
        <v>3152</v>
      </c>
      <c r="E449" t="s">
        <v>942</v>
      </c>
      <c r="F449">
        <v>75</v>
      </c>
      <c r="G449" t="b">
        <v>0</v>
      </c>
      <c r="H449">
        <v>1</v>
      </c>
    </row>
    <row r="450" spans="1:8" x14ac:dyDescent="0.25">
      <c r="A450" t="s">
        <v>3024</v>
      </c>
      <c r="B450" t="s">
        <v>2035</v>
      </c>
      <c r="C450">
        <v>28.35</v>
      </c>
      <c r="D450" t="s">
        <v>3152</v>
      </c>
      <c r="E450" t="s">
        <v>942</v>
      </c>
      <c r="F450">
        <v>75</v>
      </c>
      <c r="G450" t="b">
        <v>0</v>
      </c>
      <c r="H450">
        <v>1</v>
      </c>
    </row>
    <row r="451" spans="1:8" x14ac:dyDescent="0.25">
      <c r="A451" t="s">
        <v>3024</v>
      </c>
      <c r="B451" t="s">
        <v>2955</v>
      </c>
      <c r="C451">
        <v>5.15</v>
      </c>
      <c r="D451" t="s">
        <v>3152</v>
      </c>
      <c r="E451" t="s">
        <v>942</v>
      </c>
      <c r="F451">
        <v>75</v>
      </c>
      <c r="G451" t="b">
        <v>0</v>
      </c>
      <c r="H451">
        <v>1</v>
      </c>
    </row>
    <row r="452" spans="1:8" x14ac:dyDescent="0.25">
      <c r="A452" t="s">
        <v>3024</v>
      </c>
      <c r="B452" t="s">
        <v>3025</v>
      </c>
      <c r="C452">
        <v>5.15</v>
      </c>
      <c r="D452" t="s">
        <v>3152</v>
      </c>
      <c r="E452" t="s">
        <v>942</v>
      </c>
      <c r="F452">
        <v>75</v>
      </c>
      <c r="G452" t="b">
        <v>0</v>
      </c>
      <c r="H452">
        <v>1</v>
      </c>
    </row>
    <row r="453" spans="1:8" x14ac:dyDescent="0.25">
      <c r="A453" t="s">
        <v>3024</v>
      </c>
      <c r="B453" t="s">
        <v>3026</v>
      </c>
      <c r="C453">
        <v>5.15</v>
      </c>
      <c r="D453" t="s">
        <v>3152</v>
      </c>
      <c r="E453" t="s">
        <v>942</v>
      </c>
      <c r="F453">
        <v>75</v>
      </c>
      <c r="G453" t="b">
        <v>0</v>
      </c>
      <c r="H453">
        <v>1</v>
      </c>
    </row>
    <row r="454" spans="1:8" x14ac:dyDescent="0.25">
      <c r="A454" t="s">
        <v>3024</v>
      </c>
      <c r="B454" t="s">
        <v>3027</v>
      </c>
      <c r="C454">
        <v>5.15</v>
      </c>
      <c r="D454" t="s">
        <v>3152</v>
      </c>
      <c r="E454" t="s">
        <v>942</v>
      </c>
      <c r="F454">
        <v>75</v>
      </c>
      <c r="G454" t="b">
        <v>0</v>
      </c>
      <c r="H454">
        <v>1</v>
      </c>
    </row>
    <row r="455" spans="1:8" x14ac:dyDescent="0.25">
      <c r="A455" t="s">
        <v>3024</v>
      </c>
      <c r="B455" t="s">
        <v>3028</v>
      </c>
      <c r="C455">
        <v>5.15</v>
      </c>
      <c r="D455" t="s">
        <v>3152</v>
      </c>
      <c r="E455" t="s">
        <v>942</v>
      </c>
      <c r="F455">
        <v>75</v>
      </c>
      <c r="G455" t="b">
        <v>0</v>
      </c>
      <c r="H455">
        <v>1</v>
      </c>
    </row>
    <row r="456" spans="1:8" x14ac:dyDescent="0.25">
      <c r="A456" t="s">
        <v>3024</v>
      </c>
      <c r="B456" t="s">
        <v>3029</v>
      </c>
      <c r="C456">
        <v>5.15</v>
      </c>
      <c r="D456" t="s">
        <v>3152</v>
      </c>
      <c r="E456" t="s">
        <v>942</v>
      </c>
      <c r="F456">
        <v>75</v>
      </c>
      <c r="G456" t="b">
        <v>0</v>
      </c>
      <c r="H456">
        <v>1</v>
      </c>
    </row>
    <row r="457" spans="1:8" x14ac:dyDescent="0.25">
      <c r="A457" t="s">
        <v>3024</v>
      </c>
      <c r="B457" t="s">
        <v>3030</v>
      </c>
      <c r="C457">
        <v>5.15</v>
      </c>
      <c r="D457" t="s">
        <v>3152</v>
      </c>
      <c r="E457" t="s">
        <v>942</v>
      </c>
      <c r="F457">
        <v>75</v>
      </c>
      <c r="G457" t="b">
        <v>0</v>
      </c>
      <c r="H457">
        <v>1</v>
      </c>
    </row>
    <row r="458" spans="1:8" x14ac:dyDescent="0.25">
      <c r="A458" t="s">
        <v>3024</v>
      </c>
      <c r="B458" t="s">
        <v>3031</v>
      </c>
      <c r="C458">
        <v>5.15</v>
      </c>
      <c r="D458" t="s">
        <v>3152</v>
      </c>
      <c r="E458" t="s">
        <v>942</v>
      </c>
      <c r="F458">
        <v>75</v>
      </c>
      <c r="G458" t="b">
        <v>0</v>
      </c>
      <c r="H458">
        <v>1</v>
      </c>
    </row>
    <row r="459" spans="1:8" x14ac:dyDescent="0.25">
      <c r="A459" t="s">
        <v>3024</v>
      </c>
      <c r="B459" t="s">
        <v>3032</v>
      </c>
      <c r="C459">
        <v>5.15</v>
      </c>
      <c r="D459" t="s">
        <v>3152</v>
      </c>
      <c r="E459" t="s">
        <v>942</v>
      </c>
      <c r="F459">
        <v>75</v>
      </c>
      <c r="G459" t="b">
        <v>0</v>
      </c>
      <c r="H459">
        <v>1</v>
      </c>
    </row>
    <row r="460" spans="1:8" x14ac:dyDescent="0.25">
      <c r="A460" t="s">
        <v>3024</v>
      </c>
      <c r="B460" t="s">
        <v>3033</v>
      </c>
      <c r="C460">
        <v>5.15</v>
      </c>
      <c r="D460" t="s">
        <v>3152</v>
      </c>
      <c r="E460" t="s">
        <v>942</v>
      </c>
      <c r="F460">
        <v>75</v>
      </c>
      <c r="G460" t="b">
        <v>0</v>
      </c>
      <c r="H460">
        <v>1</v>
      </c>
    </row>
    <row r="461" spans="1:8" x14ac:dyDescent="0.25">
      <c r="A461" t="s">
        <v>3024</v>
      </c>
      <c r="B461" t="s">
        <v>3034</v>
      </c>
      <c r="C461">
        <v>5.15</v>
      </c>
      <c r="D461" t="s">
        <v>3152</v>
      </c>
      <c r="E461" t="s">
        <v>942</v>
      </c>
      <c r="F461">
        <v>75</v>
      </c>
      <c r="G461" t="b">
        <v>0</v>
      </c>
      <c r="H461">
        <v>1</v>
      </c>
    </row>
    <row r="462" spans="1:8" x14ac:dyDescent="0.25">
      <c r="A462" t="s">
        <v>3024</v>
      </c>
      <c r="B462" t="s">
        <v>3035</v>
      </c>
      <c r="C462">
        <v>5.15</v>
      </c>
      <c r="D462" t="s">
        <v>3152</v>
      </c>
      <c r="E462" t="s">
        <v>942</v>
      </c>
      <c r="F462">
        <v>75</v>
      </c>
      <c r="G462" t="b">
        <v>0</v>
      </c>
      <c r="H462">
        <v>1</v>
      </c>
    </row>
    <row r="463" spans="1:8" x14ac:dyDescent="0.25">
      <c r="A463" t="s">
        <v>3024</v>
      </c>
      <c r="B463" t="s">
        <v>3036</v>
      </c>
      <c r="C463">
        <v>5.15</v>
      </c>
      <c r="D463" t="s">
        <v>3152</v>
      </c>
      <c r="E463" t="s">
        <v>942</v>
      </c>
      <c r="F463">
        <v>75</v>
      </c>
      <c r="G463" t="b">
        <v>0</v>
      </c>
      <c r="H463">
        <v>1</v>
      </c>
    </row>
    <row r="464" spans="1:8" x14ac:dyDescent="0.25">
      <c r="A464" t="s">
        <v>3024</v>
      </c>
      <c r="B464" t="s">
        <v>3037</v>
      </c>
      <c r="C464">
        <v>5.15</v>
      </c>
      <c r="D464" t="s">
        <v>3152</v>
      </c>
      <c r="E464" t="s">
        <v>942</v>
      </c>
      <c r="F464">
        <v>75</v>
      </c>
      <c r="G464" t="b">
        <v>0</v>
      </c>
      <c r="H464">
        <v>1</v>
      </c>
    </row>
    <row r="465" spans="1:8" x14ac:dyDescent="0.25">
      <c r="A465" t="s">
        <v>3024</v>
      </c>
      <c r="B465" t="s">
        <v>3038</v>
      </c>
      <c r="C465">
        <v>5.15</v>
      </c>
      <c r="D465" t="s">
        <v>3152</v>
      </c>
      <c r="E465" t="s">
        <v>942</v>
      </c>
      <c r="F465">
        <v>75</v>
      </c>
      <c r="G465" t="b">
        <v>0</v>
      </c>
      <c r="H465">
        <v>1</v>
      </c>
    </row>
    <row r="466" spans="1:8" x14ac:dyDescent="0.25">
      <c r="A466" t="s">
        <v>3024</v>
      </c>
      <c r="B466" t="s">
        <v>3039</v>
      </c>
      <c r="C466">
        <v>5.15</v>
      </c>
      <c r="D466" t="s">
        <v>3152</v>
      </c>
      <c r="E466" t="s">
        <v>942</v>
      </c>
      <c r="F466">
        <v>75</v>
      </c>
      <c r="G466" t="b">
        <v>0</v>
      </c>
      <c r="H466">
        <v>1</v>
      </c>
    </row>
    <row r="467" spans="1:8" x14ac:dyDescent="0.25">
      <c r="A467" t="s">
        <v>3024</v>
      </c>
      <c r="B467" t="s">
        <v>3040</v>
      </c>
      <c r="C467">
        <v>10.050000000000001</v>
      </c>
      <c r="D467" t="s">
        <v>3152</v>
      </c>
      <c r="E467" t="s">
        <v>942</v>
      </c>
      <c r="F467">
        <v>75</v>
      </c>
      <c r="G467" t="b">
        <v>0</v>
      </c>
      <c r="H467">
        <v>1</v>
      </c>
    </row>
    <row r="468" spans="1:8" x14ac:dyDescent="0.25">
      <c r="A468" t="s">
        <v>3024</v>
      </c>
      <c r="B468" t="s">
        <v>3041</v>
      </c>
      <c r="C468">
        <v>15</v>
      </c>
      <c r="D468" t="s">
        <v>3152</v>
      </c>
      <c r="E468" t="s">
        <v>942</v>
      </c>
      <c r="F468">
        <v>75</v>
      </c>
      <c r="G468" t="b">
        <v>0</v>
      </c>
      <c r="H468">
        <v>1</v>
      </c>
    </row>
    <row r="469" spans="1:8" x14ac:dyDescent="0.25">
      <c r="A469" t="s">
        <v>3024</v>
      </c>
      <c r="B469" t="s">
        <v>2943</v>
      </c>
      <c r="C469">
        <v>13.3</v>
      </c>
      <c r="D469" t="s">
        <v>3152</v>
      </c>
      <c r="E469" t="s">
        <v>942</v>
      </c>
      <c r="F469">
        <v>75</v>
      </c>
      <c r="G469" t="b">
        <v>0</v>
      </c>
      <c r="H469">
        <v>1</v>
      </c>
    </row>
    <row r="470" spans="1:8" x14ac:dyDescent="0.25">
      <c r="A470" t="s">
        <v>3024</v>
      </c>
      <c r="B470" t="s">
        <v>2945</v>
      </c>
      <c r="C470">
        <v>10.050000000000001</v>
      </c>
      <c r="D470" t="s">
        <v>3152</v>
      </c>
      <c r="E470" t="s">
        <v>942</v>
      </c>
      <c r="F470">
        <v>75</v>
      </c>
      <c r="G470" t="b">
        <v>0</v>
      </c>
      <c r="H470">
        <v>1</v>
      </c>
    </row>
    <row r="471" spans="1:8" x14ac:dyDescent="0.25">
      <c r="A471" t="s">
        <v>3024</v>
      </c>
      <c r="B471" t="s">
        <v>2953</v>
      </c>
      <c r="C471">
        <v>7.75</v>
      </c>
      <c r="D471" t="s">
        <v>3152</v>
      </c>
      <c r="E471" t="s">
        <v>942</v>
      </c>
      <c r="F471">
        <v>75</v>
      </c>
      <c r="G471" t="b">
        <v>0</v>
      </c>
      <c r="H471">
        <v>1</v>
      </c>
    </row>
    <row r="472" spans="1:8" x14ac:dyDescent="0.25">
      <c r="A472" t="s">
        <v>3024</v>
      </c>
      <c r="B472" t="s">
        <v>2947</v>
      </c>
      <c r="C472">
        <v>7.5</v>
      </c>
      <c r="D472" t="s">
        <v>3152</v>
      </c>
      <c r="E472" t="s">
        <v>942</v>
      </c>
      <c r="F472">
        <v>75</v>
      </c>
      <c r="G472" t="b">
        <v>0</v>
      </c>
      <c r="H472">
        <v>1</v>
      </c>
    </row>
    <row r="473" spans="1:8" x14ac:dyDescent="0.25">
      <c r="A473" t="s">
        <v>3024</v>
      </c>
      <c r="B473" t="s">
        <v>2941</v>
      </c>
      <c r="C473">
        <v>8.0500000000000007</v>
      </c>
      <c r="D473" t="s">
        <v>3152</v>
      </c>
      <c r="E473" t="s">
        <v>942</v>
      </c>
      <c r="F473">
        <v>75</v>
      </c>
      <c r="G473" t="b">
        <v>0</v>
      </c>
      <c r="H473">
        <v>1</v>
      </c>
    </row>
    <row r="474" spans="1:8" x14ac:dyDescent="0.25">
      <c r="A474" t="s">
        <v>3220</v>
      </c>
      <c r="B474" t="s">
        <v>2212</v>
      </c>
      <c r="C474">
        <v>41.6</v>
      </c>
      <c r="D474" t="s">
        <v>3152</v>
      </c>
      <c r="E474" t="s">
        <v>942</v>
      </c>
      <c r="F474">
        <v>75</v>
      </c>
      <c r="G474" t="b">
        <v>0</v>
      </c>
      <c r="H474">
        <v>1</v>
      </c>
    </row>
    <row r="475" spans="1:8" x14ac:dyDescent="0.25">
      <c r="A475" t="s">
        <v>3220</v>
      </c>
      <c r="B475" t="s">
        <v>2957</v>
      </c>
      <c r="C475">
        <v>14.15</v>
      </c>
      <c r="D475" t="s">
        <v>3152</v>
      </c>
      <c r="E475" t="s">
        <v>942</v>
      </c>
      <c r="F475">
        <v>75</v>
      </c>
      <c r="G475" t="b">
        <v>0</v>
      </c>
      <c r="H475">
        <v>1</v>
      </c>
    </row>
    <row r="476" spans="1:8" x14ac:dyDescent="0.25">
      <c r="A476" t="s">
        <v>3220</v>
      </c>
      <c r="B476" t="s">
        <v>2959</v>
      </c>
      <c r="C476">
        <v>5.55</v>
      </c>
      <c r="D476" t="s">
        <v>3152</v>
      </c>
      <c r="E476" t="s">
        <v>942</v>
      </c>
      <c r="F476">
        <v>75</v>
      </c>
      <c r="G476" t="b">
        <v>0</v>
      </c>
      <c r="H476">
        <v>1</v>
      </c>
    </row>
    <row r="477" spans="1:8" x14ac:dyDescent="0.25">
      <c r="A477" t="s">
        <v>3221</v>
      </c>
      <c r="B477" t="s">
        <v>2243</v>
      </c>
      <c r="C477">
        <v>126.25</v>
      </c>
      <c r="D477" t="s">
        <v>3152</v>
      </c>
      <c r="E477" t="s">
        <v>942</v>
      </c>
      <c r="F477">
        <v>75</v>
      </c>
      <c r="G477" t="b">
        <v>0</v>
      </c>
      <c r="H477">
        <v>1</v>
      </c>
    </row>
    <row r="478" spans="1:8" x14ac:dyDescent="0.25">
      <c r="A478" t="s">
        <v>3221</v>
      </c>
      <c r="B478" t="s">
        <v>2240</v>
      </c>
      <c r="C478">
        <v>189.25</v>
      </c>
      <c r="D478" t="s">
        <v>3152</v>
      </c>
      <c r="E478" t="s">
        <v>942</v>
      </c>
      <c r="F478">
        <v>75</v>
      </c>
      <c r="G478" t="b">
        <v>0</v>
      </c>
      <c r="H478">
        <v>1</v>
      </c>
    </row>
    <row r="479" spans="1:8" x14ac:dyDescent="0.25">
      <c r="A479" t="s">
        <v>3221</v>
      </c>
      <c r="B479" t="s">
        <v>2983</v>
      </c>
      <c r="C479">
        <v>13.3</v>
      </c>
      <c r="D479" t="s">
        <v>3152</v>
      </c>
      <c r="E479" t="s">
        <v>942</v>
      </c>
      <c r="F479">
        <v>75</v>
      </c>
      <c r="G479" t="b">
        <v>0</v>
      </c>
      <c r="H479">
        <v>1</v>
      </c>
    </row>
    <row r="480" spans="1:8" x14ac:dyDescent="0.25">
      <c r="A480" t="s">
        <v>3221</v>
      </c>
      <c r="B480" t="s">
        <v>2219</v>
      </c>
      <c r="C480">
        <v>3.55</v>
      </c>
      <c r="D480" t="s">
        <v>3152</v>
      </c>
      <c r="E480" t="s">
        <v>942</v>
      </c>
      <c r="F480">
        <v>75</v>
      </c>
      <c r="G480" t="b">
        <v>0</v>
      </c>
      <c r="H480">
        <v>1</v>
      </c>
    </row>
    <row r="481" spans="1:8" x14ac:dyDescent="0.25">
      <c r="A481" t="s">
        <v>3221</v>
      </c>
      <c r="B481" t="s">
        <v>2226</v>
      </c>
      <c r="C481">
        <v>5.85</v>
      </c>
      <c r="D481" t="s">
        <v>3152</v>
      </c>
      <c r="E481" t="s">
        <v>942</v>
      </c>
      <c r="F481">
        <v>75</v>
      </c>
      <c r="G481" t="b">
        <v>0</v>
      </c>
      <c r="H481">
        <v>1</v>
      </c>
    </row>
    <row r="482" spans="1:8" x14ac:dyDescent="0.25">
      <c r="A482" t="s">
        <v>3221</v>
      </c>
      <c r="B482" t="s">
        <v>2223</v>
      </c>
      <c r="C482">
        <v>13.3</v>
      </c>
      <c r="D482" t="s">
        <v>3152</v>
      </c>
      <c r="E482" t="s">
        <v>942</v>
      </c>
      <c r="F482">
        <v>75</v>
      </c>
      <c r="G482" t="b">
        <v>0</v>
      </c>
      <c r="H482">
        <v>1</v>
      </c>
    </row>
    <row r="483" spans="1:8" x14ac:dyDescent="0.25">
      <c r="A483" t="s">
        <v>3221</v>
      </c>
      <c r="B483" t="s">
        <v>2985</v>
      </c>
      <c r="C483">
        <v>59.6</v>
      </c>
      <c r="D483" t="s">
        <v>3152</v>
      </c>
      <c r="E483" t="s">
        <v>942</v>
      </c>
      <c r="F483">
        <v>75</v>
      </c>
      <c r="G483" t="b">
        <v>0</v>
      </c>
      <c r="H483">
        <v>1</v>
      </c>
    </row>
    <row r="484" spans="1:8" x14ac:dyDescent="0.25">
      <c r="A484" t="s">
        <v>3221</v>
      </c>
      <c r="B484" t="s">
        <v>2235</v>
      </c>
      <c r="C484">
        <v>26.5</v>
      </c>
      <c r="D484" t="s">
        <v>3152</v>
      </c>
      <c r="E484" t="s">
        <v>942</v>
      </c>
      <c r="F484">
        <v>75</v>
      </c>
      <c r="G484" t="b">
        <v>0</v>
      </c>
      <c r="H484">
        <v>1</v>
      </c>
    </row>
    <row r="485" spans="1:8" x14ac:dyDescent="0.25">
      <c r="A485" t="s">
        <v>3221</v>
      </c>
      <c r="B485" t="s">
        <v>2233</v>
      </c>
      <c r="C485">
        <v>12.1</v>
      </c>
      <c r="D485" t="s">
        <v>3152</v>
      </c>
      <c r="E485" t="s">
        <v>942</v>
      </c>
      <c r="F485">
        <v>75</v>
      </c>
      <c r="G485" t="b">
        <v>0</v>
      </c>
      <c r="H485">
        <v>1</v>
      </c>
    </row>
    <row r="486" spans="1:8" x14ac:dyDescent="0.25">
      <c r="A486" t="s">
        <v>3221</v>
      </c>
      <c r="B486" t="s">
        <v>2987</v>
      </c>
      <c r="C486">
        <v>10</v>
      </c>
      <c r="D486" t="s">
        <v>3152</v>
      </c>
      <c r="E486" t="s">
        <v>942</v>
      </c>
      <c r="F486">
        <v>75</v>
      </c>
      <c r="G486" t="b">
        <v>0</v>
      </c>
      <c r="H486">
        <v>1</v>
      </c>
    </row>
    <row r="487" spans="1:8" x14ac:dyDescent="0.25">
      <c r="A487" t="s">
        <v>3222</v>
      </c>
      <c r="B487" t="s">
        <v>2991</v>
      </c>
      <c r="C487">
        <v>16.2</v>
      </c>
      <c r="D487" t="s">
        <v>3152</v>
      </c>
      <c r="E487" t="s">
        <v>942</v>
      </c>
      <c r="F487">
        <v>75</v>
      </c>
      <c r="G487" t="b">
        <v>0</v>
      </c>
      <c r="H487">
        <v>1</v>
      </c>
    </row>
    <row r="488" spans="1:8" x14ac:dyDescent="0.25">
      <c r="A488" t="s">
        <v>3222</v>
      </c>
      <c r="B488" t="s">
        <v>2989</v>
      </c>
      <c r="C488">
        <v>7.65</v>
      </c>
      <c r="D488" t="s">
        <v>3152</v>
      </c>
      <c r="E488" t="s">
        <v>942</v>
      </c>
      <c r="F488">
        <v>75</v>
      </c>
      <c r="G488" t="b">
        <v>0</v>
      </c>
      <c r="H488">
        <v>1</v>
      </c>
    </row>
    <row r="489" spans="1:8" x14ac:dyDescent="0.25">
      <c r="A489" t="s">
        <v>3222</v>
      </c>
      <c r="B489" t="s">
        <v>2255</v>
      </c>
      <c r="C489">
        <v>22.4</v>
      </c>
      <c r="D489" t="s">
        <v>3152</v>
      </c>
      <c r="E489" t="s">
        <v>942</v>
      </c>
      <c r="F489">
        <v>75</v>
      </c>
      <c r="G489" t="b">
        <v>0</v>
      </c>
      <c r="H489">
        <v>1</v>
      </c>
    </row>
    <row r="490" spans="1:8" x14ac:dyDescent="0.25">
      <c r="A490" t="s">
        <v>3222</v>
      </c>
      <c r="B490" t="s">
        <v>2246</v>
      </c>
      <c r="C490">
        <v>18.600000000000001</v>
      </c>
      <c r="D490" t="s">
        <v>3152</v>
      </c>
      <c r="E490" t="s">
        <v>942</v>
      </c>
      <c r="F490">
        <v>75</v>
      </c>
      <c r="G490" t="b">
        <v>0</v>
      </c>
      <c r="H490">
        <v>1</v>
      </c>
    </row>
    <row r="491" spans="1:8" x14ac:dyDescent="0.25">
      <c r="A491" t="s">
        <v>3222</v>
      </c>
      <c r="B491" t="s">
        <v>2250</v>
      </c>
      <c r="C491">
        <v>6.5</v>
      </c>
      <c r="D491" t="s">
        <v>3152</v>
      </c>
      <c r="E491" t="s">
        <v>942</v>
      </c>
      <c r="F491">
        <v>75</v>
      </c>
      <c r="G491" t="b">
        <v>0</v>
      </c>
      <c r="H491">
        <v>1</v>
      </c>
    </row>
    <row r="492" spans="1:8" x14ac:dyDescent="0.25">
      <c r="A492" t="s">
        <v>3222</v>
      </c>
      <c r="B492" t="s">
        <v>2252</v>
      </c>
      <c r="C492">
        <v>18.600000000000001</v>
      </c>
      <c r="D492" t="s">
        <v>3152</v>
      </c>
      <c r="E492" t="s">
        <v>942</v>
      </c>
      <c r="F492">
        <v>75</v>
      </c>
      <c r="G492" t="b">
        <v>0</v>
      </c>
      <c r="H492">
        <v>1</v>
      </c>
    </row>
    <row r="493" spans="1:8" x14ac:dyDescent="0.25">
      <c r="A493" t="s">
        <v>3222</v>
      </c>
      <c r="B493" t="s">
        <v>2261</v>
      </c>
      <c r="C493">
        <v>37.15</v>
      </c>
      <c r="D493" t="s">
        <v>3152</v>
      </c>
      <c r="E493" t="s">
        <v>942</v>
      </c>
      <c r="F493">
        <v>75</v>
      </c>
      <c r="G493" t="b">
        <v>0</v>
      </c>
      <c r="H493">
        <v>1</v>
      </c>
    </row>
    <row r="494" spans="1:8" x14ac:dyDescent="0.25">
      <c r="A494" t="s">
        <v>3222</v>
      </c>
      <c r="B494" t="s">
        <v>2258</v>
      </c>
      <c r="C494">
        <v>39.799999999999997</v>
      </c>
      <c r="D494" t="s">
        <v>3152</v>
      </c>
      <c r="E494" t="s">
        <v>942</v>
      </c>
      <c r="F494">
        <v>75</v>
      </c>
      <c r="G494" t="b">
        <v>0</v>
      </c>
      <c r="H494">
        <v>1</v>
      </c>
    </row>
    <row r="495" spans="1:8" x14ac:dyDescent="0.25">
      <c r="A495" t="s">
        <v>3222</v>
      </c>
      <c r="B495" t="s">
        <v>2270</v>
      </c>
      <c r="C495">
        <v>21.25</v>
      </c>
      <c r="D495" t="s">
        <v>3152</v>
      </c>
      <c r="E495" t="s">
        <v>942</v>
      </c>
      <c r="F495">
        <v>75</v>
      </c>
      <c r="G495" t="b">
        <v>0</v>
      </c>
      <c r="H495">
        <v>1</v>
      </c>
    </row>
    <row r="496" spans="1:8" x14ac:dyDescent="0.25">
      <c r="A496" t="s">
        <v>3222</v>
      </c>
      <c r="B496" t="s">
        <v>2267</v>
      </c>
      <c r="C496">
        <v>26.5</v>
      </c>
      <c r="D496" t="s">
        <v>3152</v>
      </c>
      <c r="E496" t="s">
        <v>942</v>
      </c>
      <c r="F496">
        <v>75</v>
      </c>
      <c r="G496" t="b">
        <v>0</v>
      </c>
      <c r="H496">
        <v>1</v>
      </c>
    </row>
    <row r="497" spans="1:8" x14ac:dyDescent="0.25">
      <c r="A497" t="s">
        <v>3222</v>
      </c>
      <c r="B497" t="s">
        <v>2264</v>
      </c>
      <c r="C497">
        <v>31.9</v>
      </c>
      <c r="D497" t="s">
        <v>3152</v>
      </c>
      <c r="E497" t="s">
        <v>942</v>
      </c>
      <c r="F497">
        <v>75</v>
      </c>
      <c r="G497" t="b">
        <v>0</v>
      </c>
      <c r="H497">
        <v>1</v>
      </c>
    </row>
    <row r="498" spans="1:8" x14ac:dyDescent="0.25">
      <c r="A498" t="s">
        <v>3222</v>
      </c>
      <c r="B498" t="s">
        <v>2273</v>
      </c>
      <c r="C498">
        <v>59.6</v>
      </c>
      <c r="D498" t="s">
        <v>3152</v>
      </c>
      <c r="E498" t="s">
        <v>942</v>
      </c>
      <c r="F498">
        <v>75</v>
      </c>
      <c r="G498" t="b">
        <v>0</v>
      </c>
      <c r="H498">
        <v>1</v>
      </c>
    </row>
    <row r="499" spans="1:8" x14ac:dyDescent="0.25">
      <c r="A499" t="s">
        <v>3222</v>
      </c>
      <c r="B499" t="s">
        <v>2276</v>
      </c>
      <c r="C499">
        <v>7.4</v>
      </c>
      <c r="D499" t="s">
        <v>3152</v>
      </c>
      <c r="E499" t="s">
        <v>942</v>
      </c>
      <c r="F499">
        <v>75</v>
      </c>
      <c r="G499" t="b">
        <v>0</v>
      </c>
      <c r="H499">
        <v>1</v>
      </c>
    </row>
    <row r="500" spans="1:8" x14ac:dyDescent="0.25">
      <c r="A500" t="s">
        <v>3222</v>
      </c>
      <c r="B500" t="s">
        <v>2279</v>
      </c>
      <c r="C500">
        <v>15.95</v>
      </c>
      <c r="D500" t="s">
        <v>3152</v>
      </c>
      <c r="E500" t="s">
        <v>942</v>
      </c>
      <c r="F500">
        <v>75</v>
      </c>
      <c r="G500" t="b">
        <v>0</v>
      </c>
      <c r="H500">
        <v>1</v>
      </c>
    </row>
    <row r="501" spans="1:8" x14ac:dyDescent="0.25">
      <c r="A501" t="s">
        <v>3222</v>
      </c>
      <c r="B501" t="s">
        <v>2282</v>
      </c>
      <c r="C501">
        <v>22.4</v>
      </c>
      <c r="D501" t="s">
        <v>3152</v>
      </c>
      <c r="E501" t="s">
        <v>942</v>
      </c>
      <c r="F501">
        <v>75</v>
      </c>
      <c r="G501" t="b">
        <v>0</v>
      </c>
      <c r="H501">
        <v>1</v>
      </c>
    </row>
    <row r="502" spans="1:8" x14ac:dyDescent="0.25">
      <c r="A502" t="s">
        <v>3222</v>
      </c>
      <c r="B502" t="s">
        <v>2284</v>
      </c>
      <c r="C502">
        <v>22.4</v>
      </c>
      <c r="D502" t="s">
        <v>3152</v>
      </c>
      <c r="E502" t="s">
        <v>942</v>
      </c>
      <c r="F502">
        <v>75</v>
      </c>
      <c r="G502" t="b">
        <v>0</v>
      </c>
      <c r="H502">
        <v>1</v>
      </c>
    </row>
    <row r="503" spans="1:8" x14ac:dyDescent="0.25">
      <c r="A503" t="s">
        <v>3223</v>
      </c>
      <c r="B503" t="s">
        <v>1550</v>
      </c>
      <c r="C503">
        <v>26.5</v>
      </c>
      <c r="D503" t="s">
        <v>3152</v>
      </c>
      <c r="E503" t="s">
        <v>942</v>
      </c>
      <c r="F503">
        <v>75</v>
      </c>
      <c r="G503" t="b">
        <v>0</v>
      </c>
      <c r="H503">
        <v>1</v>
      </c>
    </row>
    <row r="504" spans="1:8" x14ac:dyDescent="0.25">
      <c r="A504" t="s">
        <v>3223</v>
      </c>
      <c r="B504" t="s">
        <v>1548</v>
      </c>
      <c r="C504">
        <v>53.05</v>
      </c>
      <c r="D504" t="s">
        <v>3152</v>
      </c>
      <c r="E504" t="s">
        <v>942</v>
      </c>
      <c r="F504">
        <v>75</v>
      </c>
      <c r="G504" t="b">
        <v>0</v>
      </c>
      <c r="H504">
        <v>1</v>
      </c>
    </row>
    <row r="505" spans="1:8" x14ac:dyDescent="0.25">
      <c r="A505" t="s">
        <v>3223</v>
      </c>
      <c r="B505" t="s">
        <v>1552</v>
      </c>
      <c r="C505">
        <v>53.05</v>
      </c>
      <c r="D505" t="s">
        <v>3152</v>
      </c>
      <c r="E505" t="s">
        <v>942</v>
      </c>
      <c r="F505">
        <v>75</v>
      </c>
      <c r="G505" t="b">
        <v>0</v>
      </c>
      <c r="H505">
        <v>1</v>
      </c>
    </row>
    <row r="506" spans="1:8" x14ac:dyDescent="0.25">
      <c r="A506" t="s">
        <v>3223</v>
      </c>
      <c r="B506" t="s">
        <v>1554</v>
      </c>
      <c r="C506">
        <v>28.95</v>
      </c>
      <c r="D506" t="s">
        <v>3152</v>
      </c>
      <c r="E506" t="s">
        <v>942</v>
      </c>
      <c r="F506">
        <v>75</v>
      </c>
      <c r="G506" t="b">
        <v>0</v>
      </c>
      <c r="H506">
        <v>1</v>
      </c>
    </row>
    <row r="507" spans="1:8" x14ac:dyDescent="0.25">
      <c r="A507" t="s">
        <v>3223</v>
      </c>
      <c r="B507" t="s">
        <v>1556</v>
      </c>
      <c r="C507">
        <v>28.35</v>
      </c>
      <c r="D507" t="s">
        <v>3152</v>
      </c>
      <c r="E507" t="s">
        <v>942</v>
      </c>
      <c r="F507">
        <v>75</v>
      </c>
      <c r="G507" t="b">
        <v>0</v>
      </c>
      <c r="H507">
        <v>1</v>
      </c>
    </row>
    <row r="508" spans="1:8" x14ac:dyDescent="0.25">
      <c r="A508" t="s">
        <v>3223</v>
      </c>
      <c r="B508" t="s">
        <v>1558</v>
      </c>
      <c r="C508">
        <v>28.35</v>
      </c>
      <c r="D508" t="s">
        <v>3152</v>
      </c>
      <c r="E508" t="s">
        <v>942</v>
      </c>
      <c r="F508">
        <v>75</v>
      </c>
      <c r="G508" t="b">
        <v>0</v>
      </c>
      <c r="H508">
        <v>1</v>
      </c>
    </row>
    <row r="509" spans="1:8" x14ac:dyDescent="0.25">
      <c r="A509" t="s">
        <v>3223</v>
      </c>
      <c r="B509" t="s">
        <v>1561</v>
      </c>
      <c r="C509">
        <v>22.4</v>
      </c>
      <c r="D509" t="s">
        <v>3152</v>
      </c>
      <c r="E509" t="s">
        <v>942</v>
      </c>
      <c r="F509">
        <v>75</v>
      </c>
      <c r="G509" t="b">
        <v>0</v>
      </c>
      <c r="H509">
        <v>1</v>
      </c>
    </row>
    <row r="510" spans="1:8" x14ac:dyDescent="0.25">
      <c r="A510" t="s">
        <v>3224</v>
      </c>
      <c r="B510" t="s">
        <v>2995</v>
      </c>
      <c r="C510">
        <v>26.5</v>
      </c>
      <c r="D510" t="s">
        <v>3152</v>
      </c>
      <c r="E510" t="s">
        <v>942</v>
      </c>
      <c r="F510">
        <v>75</v>
      </c>
      <c r="G510" t="b">
        <v>0</v>
      </c>
      <c r="H510">
        <v>1</v>
      </c>
    </row>
    <row r="511" spans="1:8" x14ac:dyDescent="0.25">
      <c r="A511" t="s">
        <v>3224</v>
      </c>
      <c r="B511" t="s">
        <v>1494</v>
      </c>
      <c r="C511">
        <v>8.0500000000000007</v>
      </c>
      <c r="D511" t="s">
        <v>3152</v>
      </c>
      <c r="E511" t="s">
        <v>942</v>
      </c>
      <c r="F511">
        <v>75</v>
      </c>
      <c r="G511" t="b">
        <v>0</v>
      </c>
      <c r="H511">
        <v>1</v>
      </c>
    </row>
    <row r="512" spans="1:8" x14ac:dyDescent="0.25">
      <c r="A512" t="s">
        <v>3224</v>
      </c>
      <c r="B512" t="s">
        <v>2993</v>
      </c>
      <c r="C512">
        <v>12.65</v>
      </c>
      <c r="D512" t="s">
        <v>3152</v>
      </c>
      <c r="E512" t="s">
        <v>942</v>
      </c>
      <c r="F512">
        <v>75</v>
      </c>
      <c r="G512" t="b">
        <v>0</v>
      </c>
      <c r="H512">
        <v>1</v>
      </c>
    </row>
    <row r="513" spans="1:8" x14ac:dyDescent="0.25">
      <c r="A513" t="s">
        <v>3224</v>
      </c>
      <c r="B513" t="s">
        <v>1491</v>
      </c>
      <c r="C513">
        <v>18.05</v>
      </c>
      <c r="D513" t="s">
        <v>3152</v>
      </c>
      <c r="E513" t="s">
        <v>942</v>
      </c>
      <c r="F513">
        <v>75</v>
      </c>
      <c r="G513" t="b">
        <v>0</v>
      </c>
      <c r="H513">
        <v>1</v>
      </c>
    </row>
    <row r="514" spans="1:8" x14ac:dyDescent="0.25">
      <c r="A514" t="s">
        <v>3224</v>
      </c>
      <c r="B514" t="s">
        <v>1497</v>
      </c>
      <c r="C514">
        <v>22.4</v>
      </c>
      <c r="D514" t="s">
        <v>3152</v>
      </c>
      <c r="E514" t="s">
        <v>942</v>
      </c>
      <c r="F514">
        <v>75</v>
      </c>
      <c r="G514" t="b">
        <v>0</v>
      </c>
      <c r="H514">
        <v>1</v>
      </c>
    </row>
    <row r="515" spans="1:8" x14ac:dyDescent="0.25">
      <c r="A515" t="s">
        <v>3224</v>
      </c>
      <c r="B515" t="s">
        <v>1500</v>
      </c>
      <c r="C515">
        <v>27.15</v>
      </c>
      <c r="D515" t="s">
        <v>3152</v>
      </c>
      <c r="E515" t="s">
        <v>942</v>
      </c>
      <c r="F515">
        <v>75</v>
      </c>
      <c r="G515" t="b">
        <v>0</v>
      </c>
      <c r="H515">
        <v>1</v>
      </c>
    </row>
    <row r="516" spans="1:8" x14ac:dyDescent="0.25">
      <c r="A516" t="s">
        <v>3224</v>
      </c>
      <c r="B516" t="s">
        <v>1627</v>
      </c>
      <c r="C516">
        <v>17.399999999999999</v>
      </c>
      <c r="D516" t="s">
        <v>3152</v>
      </c>
      <c r="E516" t="s">
        <v>942</v>
      </c>
      <c r="F516">
        <v>75</v>
      </c>
      <c r="G516" t="b">
        <v>0</v>
      </c>
      <c r="H516">
        <v>1</v>
      </c>
    </row>
    <row r="517" spans="1:8" x14ac:dyDescent="0.25">
      <c r="A517" t="s">
        <v>3224</v>
      </c>
      <c r="B517" t="s">
        <v>1481</v>
      </c>
      <c r="C517">
        <v>15.95</v>
      </c>
      <c r="D517" t="s">
        <v>3152</v>
      </c>
      <c r="E517" t="s">
        <v>942</v>
      </c>
      <c r="F517">
        <v>75</v>
      </c>
      <c r="G517" t="b">
        <v>0</v>
      </c>
      <c r="H517">
        <v>1</v>
      </c>
    </row>
    <row r="518" spans="1:8" x14ac:dyDescent="0.25">
      <c r="A518" t="s">
        <v>3224</v>
      </c>
      <c r="B518" t="s">
        <v>1484</v>
      </c>
      <c r="C518">
        <v>22.4</v>
      </c>
      <c r="D518" t="s">
        <v>3152</v>
      </c>
      <c r="E518" t="s">
        <v>942</v>
      </c>
      <c r="F518">
        <v>75</v>
      </c>
      <c r="G518" t="b">
        <v>0</v>
      </c>
      <c r="H518">
        <v>1</v>
      </c>
    </row>
    <row r="519" spans="1:8" x14ac:dyDescent="0.25">
      <c r="A519" t="s">
        <v>3224</v>
      </c>
      <c r="B519" t="s">
        <v>1478</v>
      </c>
      <c r="C519">
        <v>15.1</v>
      </c>
      <c r="D519" t="s">
        <v>3152</v>
      </c>
      <c r="E519" t="s">
        <v>942</v>
      </c>
      <c r="F519">
        <v>75</v>
      </c>
      <c r="G519" t="b">
        <v>0</v>
      </c>
      <c r="H519">
        <v>1</v>
      </c>
    </row>
    <row r="520" spans="1:8" x14ac:dyDescent="0.25">
      <c r="A520" t="s">
        <v>3224</v>
      </c>
      <c r="B520" t="s">
        <v>1515</v>
      </c>
      <c r="C520">
        <v>23.9</v>
      </c>
      <c r="D520" t="s">
        <v>3152</v>
      </c>
      <c r="E520" t="s">
        <v>942</v>
      </c>
      <c r="F520">
        <v>75</v>
      </c>
      <c r="G520" t="b">
        <v>0</v>
      </c>
      <c r="H520">
        <v>1</v>
      </c>
    </row>
    <row r="521" spans="1:8" x14ac:dyDescent="0.25">
      <c r="A521" t="s">
        <v>3224</v>
      </c>
      <c r="B521" t="s">
        <v>2997</v>
      </c>
      <c r="C521">
        <v>34.5</v>
      </c>
      <c r="D521" t="s">
        <v>3152</v>
      </c>
      <c r="E521" t="s">
        <v>942</v>
      </c>
      <c r="F521">
        <v>75</v>
      </c>
      <c r="G521" t="b">
        <v>0</v>
      </c>
      <c r="H521">
        <v>1</v>
      </c>
    </row>
    <row r="522" spans="1:8" x14ac:dyDescent="0.25">
      <c r="A522" t="s">
        <v>3225</v>
      </c>
      <c r="B522" t="s">
        <v>1475</v>
      </c>
      <c r="C522">
        <v>7.4</v>
      </c>
      <c r="D522" t="s">
        <v>3152</v>
      </c>
      <c r="E522" t="s">
        <v>942</v>
      </c>
      <c r="F522">
        <v>75</v>
      </c>
      <c r="G522" t="b">
        <v>0</v>
      </c>
      <c r="H522">
        <v>1</v>
      </c>
    </row>
    <row r="523" spans="1:8" x14ac:dyDescent="0.25">
      <c r="A523" t="s">
        <v>3225</v>
      </c>
      <c r="B523" t="s">
        <v>2999</v>
      </c>
      <c r="C523">
        <v>7.4</v>
      </c>
      <c r="D523" t="s">
        <v>3152</v>
      </c>
      <c r="E523" t="s">
        <v>942</v>
      </c>
      <c r="F523">
        <v>75</v>
      </c>
      <c r="G523" t="b">
        <v>0</v>
      </c>
      <c r="H523">
        <v>1</v>
      </c>
    </row>
    <row r="524" spans="1:8" x14ac:dyDescent="0.25">
      <c r="A524" t="s">
        <v>3225</v>
      </c>
      <c r="B524" t="s">
        <v>3001</v>
      </c>
      <c r="C524">
        <v>7.4</v>
      </c>
      <c r="D524" t="s">
        <v>3152</v>
      </c>
      <c r="E524" t="s">
        <v>942</v>
      </c>
      <c r="F524">
        <v>75</v>
      </c>
      <c r="G524" t="b">
        <v>0</v>
      </c>
      <c r="H524">
        <v>1</v>
      </c>
    </row>
    <row r="525" spans="1:8" x14ac:dyDescent="0.25">
      <c r="A525" t="s">
        <v>3225</v>
      </c>
      <c r="B525" t="s">
        <v>3003</v>
      </c>
      <c r="C525">
        <v>7.4</v>
      </c>
      <c r="D525" t="s">
        <v>3152</v>
      </c>
      <c r="E525" t="s">
        <v>942</v>
      </c>
      <c r="F525">
        <v>75</v>
      </c>
      <c r="G525" t="b">
        <v>0</v>
      </c>
      <c r="H525">
        <v>1</v>
      </c>
    </row>
    <row r="526" spans="1:8" x14ac:dyDescent="0.25">
      <c r="A526" t="s">
        <v>3225</v>
      </c>
      <c r="B526" t="s">
        <v>3005</v>
      </c>
      <c r="C526">
        <v>14.45</v>
      </c>
      <c r="D526" t="s">
        <v>3152</v>
      </c>
      <c r="E526" t="s">
        <v>942</v>
      </c>
      <c r="F526">
        <v>75</v>
      </c>
      <c r="G526" t="b">
        <v>0</v>
      </c>
      <c r="H526">
        <v>1</v>
      </c>
    </row>
    <row r="527" spans="1:8" x14ac:dyDescent="0.25">
      <c r="A527" t="s">
        <v>3225</v>
      </c>
      <c r="B527" t="s">
        <v>3007</v>
      </c>
      <c r="C527">
        <v>7.4</v>
      </c>
      <c r="D527" t="s">
        <v>3152</v>
      </c>
      <c r="E527" t="s">
        <v>942</v>
      </c>
      <c r="F527">
        <v>75</v>
      </c>
      <c r="G527" t="b">
        <v>0</v>
      </c>
      <c r="H527">
        <v>1</v>
      </c>
    </row>
    <row r="528" spans="1:8" x14ac:dyDescent="0.25">
      <c r="A528" t="s">
        <v>3225</v>
      </c>
      <c r="B528" t="s">
        <v>3009</v>
      </c>
      <c r="C528">
        <v>7.4</v>
      </c>
      <c r="D528" t="s">
        <v>3152</v>
      </c>
      <c r="E528" t="s">
        <v>942</v>
      </c>
      <c r="F528">
        <v>75</v>
      </c>
      <c r="G528" t="b">
        <v>0</v>
      </c>
      <c r="H528">
        <v>1</v>
      </c>
    </row>
    <row r="529" spans="1:8" x14ac:dyDescent="0.25">
      <c r="A529" t="s">
        <v>3225</v>
      </c>
      <c r="B529" t="s">
        <v>3011</v>
      </c>
      <c r="C529">
        <v>7.4</v>
      </c>
      <c r="D529" t="s">
        <v>3152</v>
      </c>
      <c r="E529" t="s">
        <v>942</v>
      </c>
      <c r="F529">
        <v>75</v>
      </c>
      <c r="G529" t="b">
        <v>0</v>
      </c>
      <c r="H529">
        <v>1</v>
      </c>
    </row>
    <row r="530" spans="1:8" x14ac:dyDescent="0.25">
      <c r="A530" t="s">
        <v>3225</v>
      </c>
      <c r="B530" t="s">
        <v>3013</v>
      </c>
      <c r="C530">
        <v>7.4</v>
      </c>
      <c r="D530" t="s">
        <v>3152</v>
      </c>
      <c r="E530" t="s">
        <v>942</v>
      </c>
      <c r="F530">
        <v>75</v>
      </c>
      <c r="G530" t="b">
        <v>0</v>
      </c>
      <c r="H530">
        <v>1</v>
      </c>
    </row>
    <row r="531" spans="1:8" x14ac:dyDescent="0.25">
      <c r="A531" t="s">
        <v>3225</v>
      </c>
      <c r="B531" t="s">
        <v>3015</v>
      </c>
      <c r="C531">
        <v>14.45</v>
      </c>
      <c r="D531" t="s">
        <v>3152</v>
      </c>
      <c r="E531" t="s">
        <v>942</v>
      </c>
      <c r="F531">
        <v>75</v>
      </c>
      <c r="G531" t="b">
        <v>0</v>
      </c>
      <c r="H531">
        <v>1</v>
      </c>
    </row>
    <row r="532" spans="1:8" x14ac:dyDescent="0.25">
      <c r="A532" t="s">
        <v>3225</v>
      </c>
      <c r="B532" t="s">
        <v>3017</v>
      </c>
      <c r="C532">
        <v>14.45</v>
      </c>
      <c r="D532" t="s">
        <v>3152</v>
      </c>
      <c r="E532" t="s">
        <v>942</v>
      </c>
      <c r="F532">
        <v>75</v>
      </c>
      <c r="G532" t="b">
        <v>0</v>
      </c>
      <c r="H532">
        <v>1</v>
      </c>
    </row>
    <row r="533" spans="1:8" x14ac:dyDescent="0.25">
      <c r="A533" t="s">
        <v>3225</v>
      </c>
      <c r="B533" t="s">
        <v>1376</v>
      </c>
      <c r="C533">
        <v>20.65</v>
      </c>
      <c r="D533" t="s">
        <v>3152</v>
      </c>
      <c r="E533" t="s">
        <v>942</v>
      </c>
      <c r="F533">
        <v>75</v>
      </c>
      <c r="G533" t="b">
        <v>0</v>
      </c>
      <c r="H533">
        <v>1</v>
      </c>
    </row>
    <row r="534" spans="1:8" x14ac:dyDescent="0.25">
      <c r="A534" t="s">
        <v>3226</v>
      </c>
      <c r="B534" t="s">
        <v>1652</v>
      </c>
      <c r="C534">
        <v>13.3</v>
      </c>
      <c r="D534" t="s">
        <v>3152</v>
      </c>
      <c r="E534" t="s">
        <v>942</v>
      </c>
      <c r="F534">
        <v>75</v>
      </c>
      <c r="G534" t="b">
        <v>0</v>
      </c>
      <c r="H534">
        <v>1</v>
      </c>
    </row>
    <row r="535" spans="1:8" x14ac:dyDescent="0.25">
      <c r="A535" t="s">
        <v>3226</v>
      </c>
      <c r="B535" t="s">
        <v>1654</v>
      </c>
      <c r="C535">
        <v>15.95</v>
      </c>
      <c r="D535" t="s">
        <v>3152</v>
      </c>
      <c r="E535" t="s">
        <v>942</v>
      </c>
      <c r="F535">
        <v>75</v>
      </c>
      <c r="G535" t="b">
        <v>0</v>
      </c>
      <c r="H535">
        <v>1</v>
      </c>
    </row>
    <row r="536" spans="1:8" x14ac:dyDescent="0.25">
      <c r="A536" t="s">
        <v>3226</v>
      </c>
      <c r="B536" t="s">
        <v>1640</v>
      </c>
      <c r="C536">
        <v>13.3</v>
      </c>
      <c r="D536" t="s">
        <v>3152</v>
      </c>
      <c r="E536" t="s">
        <v>942</v>
      </c>
      <c r="F536">
        <v>75</v>
      </c>
      <c r="G536" t="b">
        <v>0</v>
      </c>
      <c r="H536">
        <v>1</v>
      </c>
    </row>
    <row r="537" spans="1:8" x14ac:dyDescent="0.25">
      <c r="A537" t="s">
        <v>3226</v>
      </c>
      <c r="B537" t="s">
        <v>3227</v>
      </c>
      <c r="C537">
        <v>24.45</v>
      </c>
      <c r="D537" t="s">
        <v>3152</v>
      </c>
      <c r="E537" t="s">
        <v>942</v>
      </c>
      <c r="F537">
        <v>75</v>
      </c>
      <c r="G537" t="b">
        <v>0</v>
      </c>
      <c r="H537">
        <v>1</v>
      </c>
    </row>
    <row r="538" spans="1:8" x14ac:dyDescent="0.25">
      <c r="A538" t="s">
        <v>3226</v>
      </c>
      <c r="B538" t="s">
        <v>3228</v>
      </c>
      <c r="C538">
        <v>23.9</v>
      </c>
      <c r="D538" t="s">
        <v>3152</v>
      </c>
      <c r="E538" t="s">
        <v>942</v>
      </c>
      <c r="F538">
        <v>75</v>
      </c>
      <c r="G538" t="b">
        <v>0</v>
      </c>
      <c r="H538">
        <v>1</v>
      </c>
    </row>
    <row r="539" spans="1:8" x14ac:dyDescent="0.25">
      <c r="A539" t="s">
        <v>3226</v>
      </c>
      <c r="B539" t="s">
        <v>1379</v>
      </c>
      <c r="C539">
        <v>23.9</v>
      </c>
      <c r="D539" t="s">
        <v>3152</v>
      </c>
      <c r="E539" t="s">
        <v>942</v>
      </c>
      <c r="F539">
        <v>75</v>
      </c>
      <c r="G539" t="b">
        <v>0</v>
      </c>
      <c r="H539">
        <v>1</v>
      </c>
    </row>
    <row r="540" spans="1:8" x14ac:dyDescent="0.25">
      <c r="A540" t="s">
        <v>3226</v>
      </c>
      <c r="B540" t="s">
        <v>3229</v>
      </c>
      <c r="C540">
        <v>23.9</v>
      </c>
      <c r="D540" t="s">
        <v>3152</v>
      </c>
      <c r="E540" t="s">
        <v>942</v>
      </c>
      <c r="F540">
        <v>75</v>
      </c>
      <c r="G540" t="b">
        <v>0</v>
      </c>
      <c r="H540">
        <v>1</v>
      </c>
    </row>
    <row r="541" spans="1:8" x14ac:dyDescent="0.25">
      <c r="A541" t="s">
        <v>3226</v>
      </c>
      <c r="B541" t="s">
        <v>3230</v>
      </c>
      <c r="C541">
        <v>27.75</v>
      </c>
      <c r="D541" t="s">
        <v>3152</v>
      </c>
      <c r="E541" t="s">
        <v>942</v>
      </c>
      <c r="F541">
        <v>75</v>
      </c>
      <c r="G541" t="b">
        <v>0</v>
      </c>
      <c r="H541">
        <v>1</v>
      </c>
    </row>
    <row r="542" spans="1:8" x14ac:dyDescent="0.25">
      <c r="A542" t="s">
        <v>3042</v>
      </c>
      <c r="B542" t="s">
        <v>3043</v>
      </c>
      <c r="C542">
        <v>14.15</v>
      </c>
      <c r="D542" t="s">
        <v>3152</v>
      </c>
      <c r="E542" t="s">
        <v>942</v>
      </c>
      <c r="F542">
        <v>75</v>
      </c>
      <c r="G542" t="b">
        <v>0</v>
      </c>
      <c r="H542">
        <v>1</v>
      </c>
    </row>
    <row r="543" spans="1:8" x14ac:dyDescent="0.25">
      <c r="A543" t="s">
        <v>3233</v>
      </c>
      <c r="B543" t="s">
        <v>1381</v>
      </c>
      <c r="C543">
        <v>11.1</v>
      </c>
      <c r="D543" t="s">
        <v>3152</v>
      </c>
      <c r="E543" t="s">
        <v>942</v>
      </c>
      <c r="F543">
        <v>75</v>
      </c>
      <c r="G543" t="b">
        <v>0</v>
      </c>
      <c r="H543">
        <v>1</v>
      </c>
    </row>
    <row r="544" spans="1:8" x14ac:dyDescent="0.25">
      <c r="A544" t="s">
        <v>3044</v>
      </c>
      <c r="B544" t="s">
        <v>2093</v>
      </c>
      <c r="C544">
        <v>14.45</v>
      </c>
      <c r="D544" t="s">
        <v>3152</v>
      </c>
      <c r="E544" t="s">
        <v>942</v>
      </c>
      <c r="F544">
        <v>75</v>
      </c>
      <c r="G544" t="b">
        <v>0</v>
      </c>
      <c r="H544">
        <v>1</v>
      </c>
    </row>
    <row r="545" spans="1:8" x14ac:dyDescent="0.25">
      <c r="A545" t="s">
        <v>3044</v>
      </c>
      <c r="B545" t="s">
        <v>2090</v>
      </c>
      <c r="C545">
        <v>6.5</v>
      </c>
      <c r="D545" t="s">
        <v>3152</v>
      </c>
      <c r="E545" t="s">
        <v>942</v>
      </c>
      <c r="F545">
        <v>75</v>
      </c>
      <c r="G545" t="b">
        <v>0</v>
      </c>
      <c r="H545">
        <v>1</v>
      </c>
    </row>
    <row r="546" spans="1:8" x14ac:dyDescent="0.25">
      <c r="A546" t="s">
        <v>3044</v>
      </c>
      <c r="B546" t="s">
        <v>2967</v>
      </c>
      <c r="C546">
        <v>10.6</v>
      </c>
      <c r="D546" t="s">
        <v>3152</v>
      </c>
      <c r="E546" t="s">
        <v>942</v>
      </c>
      <c r="F546">
        <v>75</v>
      </c>
      <c r="G546" t="b">
        <v>0</v>
      </c>
      <c r="H546">
        <v>1</v>
      </c>
    </row>
    <row r="547" spans="1:8" x14ac:dyDescent="0.25">
      <c r="A547" t="s">
        <v>3044</v>
      </c>
      <c r="B547" t="s">
        <v>2969</v>
      </c>
      <c r="C547">
        <v>25.35</v>
      </c>
      <c r="D547" t="s">
        <v>3152</v>
      </c>
      <c r="E547" t="s">
        <v>942</v>
      </c>
      <c r="F547">
        <v>75</v>
      </c>
      <c r="G547" t="b">
        <v>0</v>
      </c>
      <c r="H547">
        <v>1</v>
      </c>
    </row>
    <row r="548" spans="1:8" x14ac:dyDescent="0.25">
      <c r="A548" t="s">
        <v>3044</v>
      </c>
      <c r="B548" t="s">
        <v>2961</v>
      </c>
      <c r="C548">
        <v>18.649999999999999</v>
      </c>
      <c r="D548" t="s">
        <v>3152</v>
      </c>
      <c r="E548" t="s">
        <v>942</v>
      </c>
      <c r="F548">
        <v>75</v>
      </c>
      <c r="G548" t="b">
        <v>0</v>
      </c>
      <c r="H548">
        <v>1</v>
      </c>
    </row>
    <row r="549" spans="1:8" x14ac:dyDescent="0.25">
      <c r="A549" t="s">
        <v>3044</v>
      </c>
      <c r="B549" t="s">
        <v>2162</v>
      </c>
      <c r="C549">
        <v>18.649999999999999</v>
      </c>
      <c r="D549" t="s">
        <v>3152</v>
      </c>
      <c r="E549" t="s">
        <v>942</v>
      </c>
      <c r="F549">
        <v>75</v>
      </c>
      <c r="G549" t="b">
        <v>0</v>
      </c>
      <c r="H549">
        <v>1</v>
      </c>
    </row>
    <row r="550" spans="1:8" x14ac:dyDescent="0.25">
      <c r="A550" t="s">
        <v>3044</v>
      </c>
      <c r="B550" t="s">
        <v>2164</v>
      </c>
      <c r="C550">
        <v>25.35</v>
      </c>
      <c r="D550" t="s">
        <v>3152</v>
      </c>
      <c r="E550" t="s">
        <v>942</v>
      </c>
      <c r="F550">
        <v>75</v>
      </c>
      <c r="G550" t="b">
        <v>0</v>
      </c>
      <c r="H550">
        <v>1</v>
      </c>
    </row>
    <row r="551" spans="1:8" x14ac:dyDescent="0.25">
      <c r="A551" t="s">
        <v>3044</v>
      </c>
      <c r="B551" t="s">
        <v>2101</v>
      </c>
      <c r="C551">
        <v>4.75</v>
      </c>
      <c r="D551" t="s">
        <v>3152</v>
      </c>
      <c r="E551" t="s">
        <v>942</v>
      </c>
      <c r="F551">
        <v>75</v>
      </c>
      <c r="G551" t="b">
        <v>0</v>
      </c>
      <c r="H551">
        <v>1</v>
      </c>
    </row>
    <row r="552" spans="1:8" x14ac:dyDescent="0.25">
      <c r="A552" t="s">
        <v>3044</v>
      </c>
      <c r="B552" t="s">
        <v>2104</v>
      </c>
      <c r="C552">
        <v>4.75</v>
      </c>
      <c r="D552" t="s">
        <v>3152</v>
      </c>
      <c r="E552" t="s">
        <v>942</v>
      </c>
      <c r="F552">
        <v>75</v>
      </c>
      <c r="G552" t="b">
        <v>0</v>
      </c>
      <c r="H552">
        <v>1</v>
      </c>
    </row>
    <row r="553" spans="1:8" x14ac:dyDescent="0.25">
      <c r="A553" t="s">
        <v>3044</v>
      </c>
      <c r="B553" t="s">
        <v>2107</v>
      </c>
      <c r="C553">
        <v>4.75</v>
      </c>
      <c r="D553" t="s">
        <v>3152</v>
      </c>
      <c r="E553" t="s">
        <v>942</v>
      </c>
      <c r="F553">
        <v>75</v>
      </c>
      <c r="G553" t="b">
        <v>0</v>
      </c>
      <c r="H553">
        <v>1</v>
      </c>
    </row>
    <row r="554" spans="1:8" x14ac:dyDescent="0.25">
      <c r="A554" t="s">
        <v>3044</v>
      </c>
      <c r="B554" t="s">
        <v>2110</v>
      </c>
      <c r="C554">
        <v>4.75</v>
      </c>
      <c r="D554" t="s">
        <v>3152</v>
      </c>
      <c r="E554" t="s">
        <v>942</v>
      </c>
      <c r="F554">
        <v>75</v>
      </c>
      <c r="G554" t="b">
        <v>0</v>
      </c>
      <c r="H554">
        <v>1</v>
      </c>
    </row>
    <row r="555" spans="1:8" x14ac:dyDescent="0.25">
      <c r="A555" t="s">
        <v>3044</v>
      </c>
      <c r="B555" t="s">
        <v>2965</v>
      </c>
      <c r="C555">
        <v>19.8</v>
      </c>
      <c r="D555" t="s">
        <v>3152</v>
      </c>
      <c r="E555" t="s">
        <v>942</v>
      </c>
      <c r="F555">
        <v>75</v>
      </c>
      <c r="G555" t="b">
        <v>0</v>
      </c>
      <c r="H555">
        <v>1</v>
      </c>
    </row>
    <row r="556" spans="1:8" x14ac:dyDescent="0.25">
      <c r="A556" t="s">
        <v>3044</v>
      </c>
      <c r="B556" t="s">
        <v>2074</v>
      </c>
      <c r="C556">
        <v>5.6</v>
      </c>
      <c r="D556" t="s">
        <v>3152</v>
      </c>
      <c r="E556" t="s">
        <v>942</v>
      </c>
      <c r="F556">
        <v>75</v>
      </c>
      <c r="G556" t="b">
        <v>0</v>
      </c>
      <c r="H556">
        <v>1</v>
      </c>
    </row>
    <row r="557" spans="1:8" x14ac:dyDescent="0.25">
      <c r="A557" t="s">
        <v>3044</v>
      </c>
      <c r="B557" t="s">
        <v>2078</v>
      </c>
      <c r="C557">
        <v>5.6</v>
      </c>
      <c r="D557" t="s">
        <v>3152</v>
      </c>
      <c r="E557" t="s">
        <v>942</v>
      </c>
      <c r="F557">
        <v>75</v>
      </c>
      <c r="G557" t="b">
        <v>0</v>
      </c>
      <c r="H557">
        <v>1</v>
      </c>
    </row>
    <row r="558" spans="1:8" x14ac:dyDescent="0.25">
      <c r="A558" t="s">
        <v>3044</v>
      </c>
      <c r="B558" t="s">
        <v>2081</v>
      </c>
      <c r="C558">
        <v>5.6</v>
      </c>
      <c r="D558" t="s">
        <v>3152</v>
      </c>
      <c r="E558" t="s">
        <v>942</v>
      </c>
      <c r="F558">
        <v>75</v>
      </c>
      <c r="G558" t="b">
        <v>0</v>
      </c>
      <c r="H558">
        <v>1</v>
      </c>
    </row>
    <row r="559" spans="1:8" x14ac:dyDescent="0.25">
      <c r="A559" t="s">
        <v>3044</v>
      </c>
      <c r="B559" t="s">
        <v>2084</v>
      </c>
      <c r="C559">
        <v>5.6</v>
      </c>
      <c r="D559" t="s">
        <v>3152</v>
      </c>
      <c r="E559" t="s">
        <v>942</v>
      </c>
      <c r="F559">
        <v>75</v>
      </c>
      <c r="G559" t="b">
        <v>0</v>
      </c>
      <c r="H559">
        <v>1</v>
      </c>
    </row>
    <row r="560" spans="1:8" x14ac:dyDescent="0.25">
      <c r="A560" t="s">
        <v>3044</v>
      </c>
      <c r="B560" t="s">
        <v>2087</v>
      </c>
      <c r="C560">
        <v>5.6</v>
      </c>
      <c r="D560" t="s">
        <v>3152</v>
      </c>
      <c r="E560" t="s">
        <v>942</v>
      </c>
      <c r="F560">
        <v>75</v>
      </c>
      <c r="G560" t="b">
        <v>0</v>
      </c>
      <c r="H560">
        <v>1</v>
      </c>
    </row>
    <row r="561" spans="1:8" x14ac:dyDescent="0.25">
      <c r="A561" t="s">
        <v>3044</v>
      </c>
      <c r="B561" t="s">
        <v>2139</v>
      </c>
      <c r="C561">
        <v>15.95</v>
      </c>
      <c r="D561" t="s">
        <v>3152</v>
      </c>
      <c r="E561" t="s">
        <v>942</v>
      </c>
      <c r="F561">
        <v>75</v>
      </c>
      <c r="G561" t="b">
        <v>0</v>
      </c>
      <c r="H561">
        <v>1</v>
      </c>
    </row>
    <row r="562" spans="1:8" x14ac:dyDescent="0.25">
      <c r="A562" t="s">
        <v>3044</v>
      </c>
      <c r="B562" t="s">
        <v>2142</v>
      </c>
      <c r="C562">
        <v>15.95</v>
      </c>
      <c r="D562" t="s">
        <v>3152</v>
      </c>
      <c r="E562" t="s">
        <v>942</v>
      </c>
      <c r="F562">
        <v>75</v>
      </c>
      <c r="G562" t="b">
        <v>0</v>
      </c>
      <c r="H562">
        <v>1</v>
      </c>
    </row>
    <row r="563" spans="1:8" x14ac:dyDescent="0.25">
      <c r="A563" t="s">
        <v>3044</v>
      </c>
      <c r="B563" t="s">
        <v>2971</v>
      </c>
      <c r="C563">
        <v>15.95</v>
      </c>
      <c r="D563" t="s">
        <v>3152</v>
      </c>
      <c r="E563" t="s">
        <v>942</v>
      </c>
      <c r="F563">
        <v>75</v>
      </c>
      <c r="G563" t="b">
        <v>0</v>
      </c>
      <c r="H563">
        <v>1</v>
      </c>
    </row>
    <row r="564" spans="1:8" x14ac:dyDescent="0.25">
      <c r="A564" t="s">
        <v>3044</v>
      </c>
      <c r="B564" t="s">
        <v>2148</v>
      </c>
      <c r="C564">
        <v>15.95</v>
      </c>
      <c r="D564" t="s">
        <v>3152</v>
      </c>
      <c r="E564" t="s">
        <v>942</v>
      </c>
      <c r="F564">
        <v>75</v>
      </c>
      <c r="G564" t="b">
        <v>0</v>
      </c>
      <c r="H564">
        <v>1</v>
      </c>
    </row>
    <row r="565" spans="1:8" x14ac:dyDescent="0.25">
      <c r="A565" t="s">
        <v>3044</v>
      </c>
      <c r="B565" t="s">
        <v>2150</v>
      </c>
      <c r="C565">
        <v>19.8</v>
      </c>
      <c r="D565" t="s">
        <v>3152</v>
      </c>
      <c r="E565" t="s">
        <v>942</v>
      </c>
      <c r="F565">
        <v>75</v>
      </c>
      <c r="G565" t="b">
        <v>0</v>
      </c>
      <c r="H565">
        <v>1</v>
      </c>
    </row>
    <row r="566" spans="1:8" x14ac:dyDescent="0.25">
      <c r="A566" t="s">
        <v>3044</v>
      </c>
      <c r="B566" t="s">
        <v>2145</v>
      </c>
      <c r="C566">
        <v>15.95</v>
      </c>
      <c r="D566" t="s">
        <v>3152</v>
      </c>
      <c r="E566" t="s">
        <v>942</v>
      </c>
      <c r="F566">
        <v>75</v>
      </c>
      <c r="G566" t="b">
        <v>0</v>
      </c>
      <c r="H566">
        <v>1</v>
      </c>
    </row>
    <row r="567" spans="1:8" x14ac:dyDescent="0.25">
      <c r="A567" t="s">
        <v>3044</v>
      </c>
      <c r="B567" t="s">
        <v>2973</v>
      </c>
      <c r="C567">
        <v>15.95</v>
      </c>
      <c r="D567" t="s">
        <v>3152</v>
      </c>
      <c r="E567" t="s">
        <v>942</v>
      </c>
      <c r="F567">
        <v>75</v>
      </c>
      <c r="G567" t="b">
        <v>0</v>
      </c>
      <c r="H567">
        <v>1</v>
      </c>
    </row>
    <row r="568" spans="1:8" x14ac:dyDescent="0.25">
      <c r="A568" t="s">
        <v>3044</v>
      </c>
      <c r="B568" t="s">
        <v>2152</v>
      </c>
      <c r="C568">
        <v>40.450000000000003</v>
      </c>
      <c r="D568" t="s">
        <v>3152</v>
      </c>
      <c r="E568" t="s">
        <v>942</v>
      </c>
      <c r="F568">
        <v>75</v>
      </c>
      <c r="G568" t="b">
        <v>0</v>
      </c>
      <c r="H568">
        <v>1</v>
      </c>
    </row>
    <row r="569" spans="1:8" x14ac:dyDescent="0.25">
      <c r="A569" t="s">
        <v>3044</v>
      </c>
      <c r="B569" t="s">
        <v>2977</v>
      </c>
      <c r="C569">
        <v>0.9</v>
      </c>
      <c r="D569" t="s">
        <v>3152</v>
      </c>
      <c r="E569" t="s">
        <v>942</v>
      </c>
      <c r="F569">
        <v>75</v>
      </c>
      <c r="G569" t="b">
        <v>0</v>
      </c>
      <c r="H569">
        <v>1</v>
      </c>
    </row>
    <row r="570" spans="1:8" x14ac:dyDescent="0.25">
      <c r="A570" t="s">
        <v>3044</v>
      </c>
      <c r="B570" t="s">
        <v>2173</v>
      </c>
      <c r="C570">
        <v>5.6</v>
      </c>
      <c r="D570" t="s">
        <v>3152</v>
      </c>
      <c r="E570" t="s">
        <v>942</v>
      </c>
      <c r="F570">
        <v>75</v>
      </c>
      <c r="G570" t="b">
        <v>0</v>
      </c>
      <c r="H570">
        <v>1</v>
      </c>
    </row>
    <row r="571" spans="1:8" x14ac:dyDescent="0.25">
      <c r="A571" t="s">
        <v>3044</v>
      </c>
      <c r="B571" t="s">
        <v>2183</v>
      </c>
      <c r="C571">
        <v>15.95</v>
      </c>
      <c r="D571" t="s">
        <v>3152</v>
      </c>
      <c r="E571" t="s">
        <v>942</v>
      </c>
      <c r="F571">
        <v>75</v>
      </c>
      <c r="G571" t="b">
        <v>0</v>
      </c>
      <c r="H571">
        <v>1</v>
      </c>
    </row>
    <row r="572" spans="1:8" x14ac:dyDescent="0.25">
      <c r="A572" t="s">
        <v>3044</v>
      </c>
      <c r="B572" t="s">
        <v>2175</v>
      </c>
      <c r="C572">
        <v>3.75</v>
      </c>
      <c r="D572" t="s">
        <v>3152</v>
      </c>
      <c r="E572" t="s">
        <v>942</v>
      </c>
      <c r="F572">
        <v>75</v>
      </c>
      <c r="G572" t="b">
        <v>0</v>
      </c>
      <c r="H572">
        <v>1</v>
      </c>
    </row>
    <row r="573" spans="1:8" x14ac:dyDescent="0.25">
      <c r="A573" t="s">
        <v>3044</v>
      </c>
      <c r="B573" t="s">
        <v>2178</v>
      </c>
      <c r="C573">
        <v>9.15</v>
      </c>
      <c r="D573" t="s">
        <v>3152</v>
      </c>
      <c r="E573" t="s">
        <v>942</v>
      </c>
      <c r="F573">
        <v>75</v>
      </c>
      <c r="G573" t="b">
        <v>0</v>
      </c>
      <c r="H573">
        <v>1</v>
      </c>
    </row>
    <row r="574" spans="1:8" x14ac:dyDescent="0.25">
      <c r="A574" t="s">
        <v>3044</v>
      </c>
      <c r="B574" t="s">
        <v>2180</v>
      </c>
      <c r="C574">
        <v>9.6999999999999993</v>
      </c>
      <c r="D574" t="s">
        <v>3152</v>
      </c>
      <c r="E574" t="s">
        <v>942</v>
      </c>
      <c r="F574">
        <v>75</v>
      </c>
      <c r="G574" t="b">
        <v>0</v>
      </c>
      <c r="H574">
        <v>1</v>
      </c>
    </row>
    <row r="575" spans="1:8" x14ac:dyDescent="0.25">
      <c r="A575" t="s">
        <v>3044</v>
      </c>
      <c r="B575" t="s">
        <v>2981</v>
      </c>
      <c r="C575">
        <v>3.55</v>
      </c>
      <c r="D575" t="s">
        <v>3152</v>
      </c>
      <c r="E575" t="s">
        <v>942</v>
      </c>
      <c r="F575">
        <v>75</v>
      </c>
      <c r="G575" t="b">
        <v>0</v>
      </c>
      <c r="H575">
        <v>1</v>
      </c>
    </row>
    <row r="576" spans="1:8" x14ac:dyDescent="0.25">
      <c r="A576" t="s">
        <v>3044</v>
      </c>
      <c r="B576" t="s">
        <v>3045</v>
      </c>
      <c r="C576">
        <v>41.25</v>
      </c>
      <c r="D576" t="s">
        <v>3152</v>
      </c>
      <c r="E576" t="s">
        <v>942</v>
      </c>
      <c r="F576">
        <v>75</v>
      </c>
      <c r="G576" t="b">
        <v>0</v>
      </c>
      <c r="H576">
        <v>1</v>
      </c>
    </row>
    <row r="577" spans="1:8" x14ac:dyDescent="0.25">
      <c r="A577" t="s">
        <v>3044</v>
      </c>
      <c r="B577" t="s">
        <v>2975</v>
      </c>
      <c r="C577">
        <v>15.95</v>
      </c>
      <c r="D577" t="s">
        <v>3152</v>
      </c>
      <c r="E577" t="s">
        <v>942</v>
      </c>
      <c r="F577">
        <v>75</v>
      </c>
      <c r="G577" t="b">
        <v>0</v>
      </c>
      <c r="H577">
        <v>1</v>
      </c>
    </row>
    <row r="578" spans="1:8" x14ac:dyDescent="0.25">
      <c r="A578" t="s">
        <v>3044</v>
      </c>
      <c r="B578" t="s">
        <v>2096</v>
      </c>
      <c r="C578">
        <v>19.05</v>
      </c>
      <c r="D578" t="s">
        <v>3152</v>
      </c>
      <c r="E578" t="s">
        <v>942</v>
      </c>
      <c r="F578">
        <v>75</v>
      </c>
      <c r="G578" t="b">
        <v>0</v>
      </c>
      <c r="H578">
        <v>1</v>
      </c>
    </row>
    <row r="579" spans="1:8" x14ac:dyDescent="0.25">
      <c r="A579" t="s">
        <v>3044</v>
      </c>
      <c r="B579" t="s">
        <v>2099</v>
      </c>
      <c r="C579">
        <v>36.049999999999997</v>
      </c>
      <c r="D579" t="s">
        <v>3152</v>
      </c>
      <c r="E579" t="s">
        <v>942</v>
      </c>
      <c r="F579">
        <v>75</v>
      </c>
      <c r="G579" t="b">
        <v>0</v>
      </c>
      <c r="H579">
        <v>1</v>
      </c>
    </row>
    <row r="580" spans="1:8" x14ac:dyDescent="0.25">
      <c r="A580" t="s">
        <v>3044</v>
      </c>
      <c r="B580" t="s">
        <v>2979</v>
      </c>
      <c r="C580">
        <v>10</v>
      </c>
      <c r="D580" t="s">
        <v>3152</v>
      </c>
      <c r="E580" t="s">
        <v>942</v>
      </c>
      <c r="F580">
        <v>75</v>
      </c>
      <c r="G580" t="b">
        <v>0</v>
      </c>
      <c r="H580">
        <v>1</v>
      </c>
    </row>
    <row r="581" spans="1:8" x14ac:dyDescent="0.25">
      <c r="A581" t="s">
        <v>3044</v>
      </c>
      <c r="B581" t="s">
        <v>2963</v>
      </c>
      <c r="C581">
        <v>18.649999999999999</v>
      </c>
      <c r="D581" t="s">
        <v>3152</v>
      </c>
      <c r="E581" t="s">
        <v>942</v>
      </c>
      <c r="F581">
        <v>75</v>
      </c>
      <c r="G581" t="b">
        <v>0</v>
      </c>
      <c r="H581">
        <v>1</v>
      </c>
    </row>
    <row r="582" spans="1:8" x14ac:dyDescent="0.25">
      <c r="A582" t="s">
        <v>3044</v>
      </c>
      <c r="B582" t="s">
        <v>3046</v>
      </c>
      <c r="C582">
        <v>5</v>
      </c>
      <c r="D582" t="s">
        <v>3152</v>
      </c>
      <c r="E582" t="s">
        <v>942</v>
      </c>
      <c r="F582">
        <v>75</v>
      </c>
      <c r="G582" t="b">
        <v>0</v>
      </c>
      <c r="H582">
        <v>1</v>
      </c>
    </row>
    <row r="583" spans="1:8" x14ac:dyDescent="0.25">
      <c r="A583" t="s">
        <v>733</v>
      </c>
      <c r="B583" t="s">
        <v>734</v>
      </c>
      <c r="C583">
        <v>26.5</v>
      </c>
      <c r="D583" t="s">
        <v>3074</v>
      </c>
      <c r="E583" t="s">
        <v>818</v>
      </c>
      <c r="F583">
        <v>75</v>
      </c>
      <c r="G583" t="b">
        <v>1</v>
      </c>
      <c r="H583">
        <v>1</v>
      </c>
    </row>
    <row r="584" spans="1:8" x14ac:dyDescent="0.25">
      <c r="A584" t="s">
        <v>815</v>
      </c>
      <c r="B584" t="s">
        <v>816</v>
      </c>
      <c r="C584">
        <v>26.5</v>
      </c>
      <c r="D584" t="s">
        <v>3074</v>
      </c>
      <c r="E584" t="s">
        <v>818</v>
      </c>
      <c r="F584">
        <v>75</v>
      </c>
      <c r="G584" t="b">
        <v>1</v>
      </c>
      <c r="H584">
        <v>1</v>
      </c>
    </row>
    <row r="585" spans="1:8" x14ac:dyDescent="0.25">
      <c r="A585" t="s">
        <v>738</v>
      </c>
      <c r="B585" t="s">
        <v>739</v>
      </c>
      <c r="C585">
        <v>64.849999999999994</v>
      </c>
      <c r="D585" t="s">
        <v>3074</v>
      </c>
      <c r="E585" t="s">
        <v>818</v>
      </c>
      <c r="F585">
        <v>75</v>
      </c>
      <c r="G585" t="b">
        <v>1</v>
      </c>
      <c r="H585">
        <v>1</v>
      </c>
    </row>
    <row r="586" spans="1:8" x14ac:dyDescent="0.25">
      <c r="A586" t="s">
        <v>741</v>
      </c>
      <c r="B586" t="s">
        <v>742</v>
      </c>
      <c r="C586">
        <v>64.849999999999994</v>
      </c>
      <c r="D586" t="s">
        <v>3074</v>
      </c>
      <c r="E586" t="s">
        <v>818</v>
      </c>
      <c r="F586">
        <v>75</v>
      </c>
      <c r="G586" t="b">
        <v>1</v>
      </c>
      <c r="H586">
        <v>1</v>
      </c>
    </row>
    <row r="587" spans="1:8" x14ac:dyDescent="0.25">
      <c r="A587" t="s">
        <v>819</v>
      </c>
      <c r="B587" t="s">
        <v>820</v>
      </c>
      <c r="C587">
        <v>64.849999999999994</v>
      </c>
      <c r="D587" t="s">
        <v>3074</v>
      </c>
      <c r="E587" t="s">
        <v>818</v>
      </c>
      <c r="F587">
        <v>75</v>
      </c>
      <c r="G587" t="b">
        <v>1</v>
      </c>
      <c r="H587">
        <v>1</v>
      </c>
    </row>
    <row r="588" spans="1:8" x14ac:dyDescent="0.25">
      <c r="A588" t="s">
        <v>821</v>
      </c>
      <c r="B588" t="s">
        <v>822</v>
      </c>
      <c r="C588">
        <v>83.45</v>
      </c>
      <c r="D588" t="s">
        <v>3074</v>
      </c>
      <c r="E588" t="s">
        <v>818</v>
      </c>
      <c r="F588">
        <v>75</v>
      </c>
      <c r="G588" t="b">
        <v>1</v>
      </c>
      <c r="H588">
        <v>1</v>
      </c>
    </row>
    <row r="589" spans="1:8" x14ac:dyDescent="0.25">
      <c r="A589" t="s">
        <v>823</v>
      </c>
      <c r="B589" t="s">
        <v>824</v>
      </c>
      <c r="C589">
        <v>99.65</v>
      </c>
      <c r="D589" t="s">
        <v>3074</v>
      </c>
      <c r="E589" t="s">
        <v>818</v>
      </c>
      <c r="F589">
        <v>75</v>
      </c>
      <c r="G589" t="b">
        <v>1</v>
      </c>
      <c r="H589">
        <v>1</v>
      </c>
    </row>
    <row r="590" spans="1:8" x14ac:dyDescent="0.25">
      <c r="A590" t="s">
        <v>755</v>
      </c>
      <c r="B590" t="s">
        <v>756</v>
      </c>
      <c r="C590">
        <v>99.65</v>
      </c>
      <c r="D590" t="s">
        <v>3074</v>
      </c>
      <c r="E590" t="s">
        <v>818</v>
      </c>
      <c r="F590">
        <v>75</v>
      </c>
      <c r="G590" t="b">
        <v>1</v>
      </c>
      <c r="H590">
        <v>1</v>
      </c>
    </row>
    <row r="591" spans="1:8" x14ac:dyDescent="0.25">
      <c r="A591" t="s">
        <v>825</v>
      </c>
      <c r="B591" t="s">
        <v>826</v>
      </c>
      <c r="C591">
        <v>99.65</v>
      </c>
      <c r="D591" t="s">
        <v>3074</v>
      </c>
      <c r="E591" t="s">
        <v>818</v>
      </c>
      <c r="F591">
        <v>75</v>
      </c>
      <c r="G591" t="b">
        <v>1</v>
      </c>
      <c r="H591">
        <v>1</v>
      </c>
    </row>
    <row r="592" spans="1:8" x14ac:dyDescent="0.25">
      <c r="A592" t="s">
        <v>827</v>
      </c>
      <c r="B592" t="s">
        <v>828</v>
      </c>
      <c r="C592">
        <v>99.65</v>
      </c>
      <c r="D592" t="s">
        <v>3074</v>
      </c>
      <c r="E592" t="s">
        <v>818</v>
      </c>
      <c r="F592">
        <v>75</v>
      </c>
      <c r="G592" t="b">
        <v>1</v>
      </c>
      <c r="H592">
        <v>1</v>
      </c>
    </row>
    <row r="593" spans="1:8" x14ac:dyDescent="0.25">
      <c r="A593" t="s">
        <v>827</v>
      </c>
      <c r="B593" t="s">
        <v>756</v>
      </c>
      <c r="C593">
        <v>99.65</v>
      </c>
      <c r="D593" t="s">
        <v>3074</v>
      </c>
      <c r="E593" t="s">
        <v>818</v>
      </c>
      <c r="F593">
        <v>75</v>
      </c>
      <c r="G593" t="b">
        <v>1</v>
      </c>
      <c r="H593">
        <v>1</v>
      </c>
    </row>
    <row r="594" spans="1:8" x14ac:dyDescent="0.25">
      <c r="A594" t="s">
        <v>752</v>
      </c>
      <c r="B594" t="s">
        <v>753</v>
      </c>
      <c r="C594">
        <v>85.8</v>
      </c>
      <c r="D594" t="s">
        <v>3074</v>
      </c>
      <c r="E594" t="s">
        <v>818</v>
      </c>
      <c r="F594">
        <v>75</v>
      </c>
      <c r="G594" t="b">
        <v>1</v>
      </c>
      <c r="H594">
        <v>1</v>
      </c>
    </row>
    <row r="595" spans="1:8" x14ac:dyDescent="0.25">
      <c r="A595" t="s">
        <v>744</v>
      </c>
      <c r="B595" t="s">
        <v>745</v>
      </c>
      <c r="C595">
        <v>105.7</v>
      </c>
      <c r="D595" t="s">
        <v>3074</v>
      </c>
      <c r="E595" t="s">
        <v>818</v>
      </c>
      <c r="F595">
        <v>75</v>
      </c>
      <c r="G595" t="b">
        <v>1</v>
      </c>
      <c r="H595">
        <v>1</v>
      </c>
    </row>
    <row r="596" spans="1:8" x14ac:dyDescent="0.25">
      <c r="A596" t="s">
        <v>802</v>
      </c>
      <c r="B596" t="s">
        <v>803</v>
      </c>
      <c r="C596">
        <v>74</v>
      </c>
      <c r="D596" t="s">
        <v>3074</v>
      </c>
      <c r="E596" t="s">
        <v>810</v>
      </c>
      <c r="F596">
        <v>75</v>
      </c>
      <c r="G596" t="b">
        <v>1</v>
      </c>
      <c r="H596">
        <v>1</v>
      </c>
    </row>
    <row r="597" spans="1:8" x14ac:dyDescent="0.25">
      <c r="A597" t="s">
        <v>829</v>
      </c>
      <c r="B597" t="s">
        <v>746</v>
      </c>
      <c r="C597">
        <v>105.7</v>
      </c>
      <c r="D597" t="s">
        <v>3074</v>
      </c>
      <c r="E597" t="s">
        <v>818</v>
      </c>
      <c r="F597">
        <v>75</v>
      </c>
      <c r="G597" t="b">
        <v>1</v>
      </c>
      <c r="H597">
        <v>1</v>
      </c>
    </row>
    <row r="598" spans="1:8" x14ac:dyDescent="0.25">
      <c r="A598" t="s">
        <v>805</v>
      </c>
      <c r="B598" t="s">
        <v>806</v>
      </c>
      <c r="C598">
        <v>53.05</v>
      </c>
      <c r="D598" t="s">
        <v>3074</v>
      </c>
      <c r="E598" t="s">
        <v>810</v>
      </c>
      <c r="F598">
        <v>75</v>
      </c>
      <c r="G598" t="b">
        <v>1</v>
      </c>
      <c r="H598">
        <v>1</v>
      </c>
    </row>
    <row r="599" spans="1:8" x14ac:dyDescent="0.25">
      <c r="A599" t="s">
        <v>807</v>
      </c>
      <c r="B599" t="s">
        <v>808</v>
      </c>
      <c r="C599">
        <v>50</v>
      </c>
      <c r="D599" t="s">
        <v>3074</v>
      </c>
      <c r="E599" t="s">
        <v>810</v>
      </c>
      <c r="F599">
        <v>75</v>
      </c>
      <c r="G599" t="b">
        <v>1</v>
      </c>
      <c r="H599">
        <v>1</v>
      </c>
    </row>
    <row r="600" spans="1:8" x14ac:dyDescent="0.25">
      <c r="A600" t="s">
        <v>811</v>
      </c>
      <c r="B600" t="s">
        <v>812</v>
      </c>
      <c r="C600">
        <v>129.15</v>
      </c>
      <c r="D600" t="s">
        <v>3074</v>
      </c>
      <c r="E600" t="s">
        <v>774</v>
      </c>
      <c r="F600">
        <v>75</v>
      </c>
      <c r="G600" t="b">
        <v>1</v>
      </c>
      <c r="H600">
        <v>1</v>
      </c>
    </row>
    <row r="601" spans="1:8" x14ac:dyDescent="0.25">
      <c r="A601" t="s">
        <v>778</v>
      </c>
      <c r="B601" t="s">
        <v>779</v>
      </c>
      <c r="C601">
        <v>108.5</v>
      </c>
      <c r="D601" t="s">
        <v>3074</v>
      </c>
      <c r="E601" t="s">
        <v>774</v>
      </c>
      <c r="F601">
        <v>75</v>
      </c>
      <c r="G601" t="b">
        <v>1</v>
      </c>
      <c r="H601">
        <v>1</v>
      </c>
    </row>
    <row r="602" spans="1:8" x14ac:dyDescent="0.25">
      <c r="A602" t="s">
        <v>780</v>
      </c>
      <c r="B602" t="s">
        <v>781</v>
      </c>
      <c r="C602">
        <v>135.05000000000001</v>
      </c>
      <c r="D602" t="s">
        <v>3074</v>
      </c>
      <c r="E602" t="s">
        <v>774</v>
      </c>
      <c r="F602">
        <v>75</v>
      </c>
      <c r="G602" t="b">
        <v>1</v>
      </c>
      <c r="H602">
        <v>1</v>
      </c>
    </row>
    <row r="603" spans="1:8" x14ac:dyDescent="0.25">
      <c r="A603" t="s">
        <v>786</v>
      </c>
      <c r="B603" t="s">
        <v>787</v>
      </c>
      <c r="C603">
        <v>194.55</v>
      </c>
      <c r="D603" t="s">
        <v>3074</v>
      </c>
      <c r="E603" t="s">
        <v>774</v>
      </c>
      <c r="F603">
        <v>75</v>
      </c>
      <c r="G603" t="b">
        <v>1</v>
      </c>
      <c r="H603">
        <v>1</v>
      </c>
    </row>
    <row r="604" spans="1:8" x14ac:dyDescent="0.25">
      <c r="A604" t="s">
        <v>783</v>
      </c>
      <c r="B604" t="s">
        <v>784</v>
      </c>
      <c r="C604">
        <v>223.4</v>
      </c>
      <c r="D604" t="s">
        <v>3074</v>
      </c>
      <c r="E604" t="s">
        <v>774</v>
      </c>
      <c r="F604">
        <v>75</v>
      </c>
      <c r="G604" t="b">
        <v>1</v>
      </c>
      <c r="H604">
        <v>1</v>
      </c>
    </row>
    <row r="605" spans="1:8" x14ac:dyDescent="0.25">
      <c r="A605" t="s">
        <v>796</v>
      </c>
      <c r="B605" t="s">
        <v>797</v>
      </c>
      <c r="C605">
        <v>82</v>
      </c>
      <c r="D605" t="s">
        <v>3074</v>
      </c>
      <c r="E605" t="s">
        <v>942</v>
      </c>
      <c r="F605">
        <v>75</v>
      </c>
      <c r="G605" t="b">
        <v>1</v>
      </c>
      <c r="H605">
        <v>1</v>
      </c>
    </row>
    <row r="606" spans="1:8" x14ac:dyDescent="0.25">
      <c r="A606" t="s">
        <v>813</v>
      </c>
      <c r="B606" t="s">
        <v>814</v>
      </c>
      <c r="C606">
        <v>82</v>
      </c>
      <c r="D606" t="s">
        <v>3074</v>
      </c>
      <c r="E606" t="s">
        <v>942</v>
      </c>
      <c r="F606">
        <v>75</v>
      </c>
      <c r="G606" t="b">
        <v>1</v>
      </c>
      <c r="H606">
        <v>1</v>
      </c>
    </row>
    <row r="607" spans="1:8" x14ac:dyDescent="0.25">
      <c r="A607" t="s">
        <v>747</v>
      </c>
      <c r="B607" t="s">
        <v>748</v>
      </c>
      <c r="C607">
        <v>79.55</v>
      </c>
      <c r="D607" t="s">
        <v>3074</v>
      </c>
      <c r="E607" t="s">
        <v>818</v>
      </c>
      <c r="F607">
        <v>75</v>
      </c>
      <c r="G607" t="b">
        <v>1</v>
      </c>
      <c r="H607">
        <v>1</v>
      </c>
    </row>
    <row r="608" spans="1:8" x14ac:dyDescent="0.25">
      <c r="A608" t="s">
        <v>750</v>
      </c>
      <c r="B608" t="s">
        <v>751</v>
      </c>
      <c r="C608">
        <v>120.3</v>
      </c>
      <c r="D608" t="s">
        <v>3074</v>
      </c>
      <c r="E608" t="s">
        <v>818</v>
      </c>
      <c r="F608">
        <v>75</v>
      </c>
      <c r="G608" t="b">
        <v>1</v>
      </c>
      <c r="H608">
        <v>1</v>
      </c>
    </row>
    <row r="609" spans="1:8" x14ac:dyDescent="0.25">
      <c r="A609" t="s">
        <v>766</v>
      </c>
      <c r="B609" t="s">
        <v>767</v>
      </c>
      <c r="C609">
        <v>128.25</v>
      </c>
      <c r="D609" t="s">
        <v>3074</v>
      </c>
      <c r="E609" t="s">
        <v>3254</v>
      </c>
      <c r="F609">
        <v>75</v>
      </c>
      <c r="G609" t="b">
        <v>1</v>
      </c>
      <c r="H609">
        <v>1</v>
      </c>
    </row>
    <row r="610" spans="1:8" x14ac:dyDescent="0.25">
      <c r="A610" t="s">
        <v>764</v>
      </c>
      <c r="B610" t="s">
        <v>765</v>
      </c>
      <c r="C610">
        <v>133.9</v>
      </c>
      <c r="D610" t="s">
        <v>3074</v>
      </c>
      <c r="E610" t="s">
        <v>3254</v>
      </c>
      <c r="F610">
        <v>75</v>
      </c>
      <c r="G610" t="b">
        <v>1</v>
      </c>
      <c r="H610">
        <v>1</v>
      </c>
    </row>
    <row r="611" spans="1:8" x14ac:dyDescent="0.25">
      <c r="A611" t="s">
        <v>758</v>
      </c>
      <c r="B611" t="s">
        <v>759</v>
      </c>
      <c r="C611">
        <v>61.65</v>
      </c>
      <c r="D611" t="s">
        <v>3074</v>
      </c>
      <c r="E611" t="s">
        <v>3254</v>
      </c>
      <c r="F611">
        <v>75</v>
      </c>
      <c r="G611" t="b">
        <v>1</v>
      </c>
      <c r="H611">
        <v>1</v>
      </c>
    </row>
    <row r="612" spans="1:8" x14ac:dyDescent="0.25">
      <c r="A612" t="s">
        <v>762</v>
      </c>
      <c r="B612" t="s">
        <v>763</v>
      </c>
      <c r="C612">
        <v>94.35</v>
      </c>
      <c r="D612" t="s">
        <v>3074</v>
      </c>
      <c r="E612" t="s">
        <v>3254</v>
      </c>
      <c r="F612">
        <v>75</v>
      </c>
      <c r="G612" t="b">
        <v>1</v>
      </c>
      <c r="H612">
        <v>1</v>
      </c>
    </row>
    <row r="613" spans="1:8" x14ac:dyDescent="0.25">
      <c r="A613" t="s">
        <v>771</v>
      </c>
      <c r="B613" t="s">
        <v>772</v>
      </c>
      <c r="C613">
        <v>222.6</v>
      </c>
      <c r="D613" t="s">
        <v>3074</v>
      </c>
      <c r="E613" t="s">
        <v>942</v>
      </c>
      <c r="F613">
        <v>75</v>
      </c>
      <c r="G613" t="b">
        <v>1</v>
      </c>
      <c r="H613">
        <v>1</v>
      </c>
    </row>
    <row r="614" spans="1:8" x14ac:dyDescent="0.25">
      <c r="A614" t="s">
        <v>775</v>
      </c>
      <c r="B614" t="s">
        <v>776</v>
      </c>
      <c r="C614">
        <v>88.45</v>
      </c>
      <c r="D614" t="s">
        <v>3074</v>
      </c>
      <c r="E614" t="s">
        <v>942</v>
      </c>
      <c r="F614">
        <v>75</v>
      </c>
      <c r="G614" t="b">
        <v>1</v>
      </c>
      <c r="H614">
        <v>1</v>
      </c>
    </row>
    <row r="615" spans="1:8" x14ac:dyDescent="0.25">
      <c r="A615" t="s">
        <v>788</v>
      </c>
      <c r="B615" t="s">
        <v>789</v>
      </c>
      <c r="C615">
        <v>193.3</v>
      </c>
      <c r="D615" t="s">
        <v>3074</v>
      </c>
      <c r="E615" t="s">
        <v>774</v>
      </c>
      <c r="F615">
        <v>75</v>
      </c>
      <c r="G615" t="b">
        <v>1</v>
      </c>
      <c r="H615">
        <v>1</v>
      </c>
    </row>
    <row r="616" spans="1:8" x14ac:dyDescent="0.25">
      <c r="A616" t="s">
        <v>792</v>
      </c>
      <c r="B616" t="s">
        <v>793</v>
      </c>
      <c r="C616">
        <v>315.45</v>
      </c>
      <c r="D616" t="s">
        <v>3074</v>
      </c>
      <c r="E616" t="s">
        <v>774</v>
      </c>
      <c r="F616">
        <v>75</v>
      </c>
      <c r="G616" t="b">
        <v>1</v>
      </c>
      <c r="H616">
        <v>1</v>
      </c>
    </row>
    <row r="617" spans="1:8" x14ac:dyDescent="0.25">
      <c r="A617" t="s">
        <v>790</v>
      </c>
      <c r="B617" t="s">
        <v>791</v>
      </c>
      <c r="C617">
        <v>362.15</v>
      </c>
      <c r="D617" t="s">
        <v>3074</v>
      </c>
      <c r="E617" t="s">
        <v>774</v>
      </c>
      <c r="F617">
        <v>75</v>
      </c>
      <c r="G617" t="b">
        <v>1</v>
      </c>
      <c r="H617">
        <v>1</v>
      </c>
    </row>
    <row r="618" spans="1:8" x14ac:dyDescent="0.25">
      <c r="A618" t="s">
        <v>794</v>
      </c>
      <c r="B618" t="s">
        <v>795</v>
      </c>
      <c r="C618">
        <v>252.35</v>
      </c>
      <c r="D618" t="s">
        <v>3074</v>
      </c>
      <c r="E618" t="s">
        <v>774</v>
      </c>
      <c r="F618">
        <v>75</v>
      </c>
      <c r="G618" t="b">
        <v>1</v>
      </c>
      <c r="H618">
        <v>1</v>
      </c>
    </row>
    <row r="619" spans="1:8" x14ac:dyDescent="0.25">
      <c r="A619" t="s">
        <v>3167</v>
      </c>
      <c r="B619" t="s">
        <v>2642</v>
      </c>
      <c r="C619">
        <v>23.35</v>
      </c>
      <c r="D619" t="s">
        <v>3255</v>
      </c>
      <c r="E619" t="s">
        <v>942</v>
      </c>
      <c r="F619">
        <v>75</v>
      </c>
      <c r="G619" t="b">
        <v>1</v>
      </c>
      <c r="H619">
        <v>1</v>
      </c>
    </row>
    <row r="620" spans="1:8" x14ac:dyDescent="0.25">
      <c r="A620" t="s">
        <v>3167</v>
      </c>
      <c r="B620" t="s">
        <v>769</v>
      </c>
      <c r="C620">
        <v>15.95</v>
      </c>
      <c r="D620" t="s">
        <v>3255</v>
      </c>
      <c r="E620" t="s">
        <v>942</v>
      </c>
      <c r="F620">
        <v>75</v>
      </c>
      <c r="G620" t="b">
        <v>1</v>
      </c>
      <c r="H620">
        <v>1</v>
      </c>
    </row>
    <row r="621" spans="1:8" x14ac:dyDescent="0.25">
      <c r="A621" t="s">
        <v>3167</v>
      </c>
      <c r="B621" t="s">
        <v>800</v>
      </c>
      <c r="C621">
        <v>12.1</v>
      </c>
      <c r="D621" t="s">
        <v>3255</v>
      </c>
      <c r="E621" t="s">
        <v>942</v>
      </c>
      <c r="F621">
        <v>75</v>
      </c>
      <c r="G621" t="b">
        <v>1</v>
      </c>
      <c r="H621">
        <v>1</v>
      </c>
    </row>
    <row r="622" spans="1:8" x14ac:dyDescent="0.25">
      <c r="A622" t="s">
        <v>3167</v>
      </c>
      <c r="B622" t="s">
        <v>2646</v>
      </c>
      <c r="C622">
        <v>11.8</v>
      </c>
      <c r="D622" t="s">
        <v>3255</v>
      </c>
      <c r="E622" t="s">
        <v>942</v>
      </c>
      <c r="F622">
        <v>75</v>
      </c>
      <c r="G622" t="b">
        <v>1</v>
      </c>
      <c r="H622">
        <v>1</v>
      </c>
    </row>
    <row r="623" spans="1:8" x14ac:dyDescent="0.25">
      <c r="A623" t="s">
        <v>3167</v>
      </c>
      <c r="B623" t="s">
        <v>2680</v>
      </c>
      <c r="C623">
        <v>15.95</v>
      </c>
      <c r="D623" t="s">
        <v>3255</v>
      </c>
      <c r="E623" t="s">
        <v>942</v>
      </c>
      <c r="F623">
        <v>75</v>
      </c>
      <c r="G623" t="b">
        <v>1</v>
      </c>
      <c r="H623">
        <v>1</v>
      </c>
    </row>
    <row r="624" spans="1:8" x14ac:dyDescent="0.25">
      <c r="A624" t="s">
        <v>3167</v>
      </c>
      <c r="B624" t="s">
        <v>2648</v>
      </c>
      <c r="C624">
        <v>62.5</v>
      </c>
      <c r="D624" t="s">
        <v>3255</v>
      </c>
      <c r="E624" t="s">
        <v>942</v>
      </c>
      <c r="F624">
        <v>75</v>
      </c>
      <c r="G624" t="b">
        <v>1</v>
      </c>
      <c r="H624">
        <v>1</v>
      </c>
    </row>
    <row r="625" spans="1:8" x14ac:dyDescent="0.25">
      <c r="A625" t="s">
        <v>921</v>
      </c>
      <c r="B625" t="s">
        <v>922</v>
      </c>
      <c r="C625">
        <v>62.25</v>
      </c>
      <c r="D625" t="s">
        <v>3078</v>
      </c>
      <c r="E625" t="s">
        <v>833</v>
      </c>
      <c r="F625">
        <v>75</v>
      </c>
      <c r="G625" t="b">
        <v>1</v>
      </c>
      <c r="H625">
        <v>1</v>
      </c>
    </row>
    <row r="626" spans="1:8" x14ac:dyDescent="0.25">
      <c r="A626" t="s">
        <v>924</v>
      </c>
      <c r="B626" t="s">
        <v>925</v>
      </c>
      <c r="C626">
        <v>59.6</v>
      </c>
      <c r="D626" t="s">
        <v>3078</v>
      </c>
      <c r="E626" t="s">
        <v>833</v>
      </c>
      <c r="F626">
        <v>75</v>
      </c>
      <c r="G626" t="b">
        <v>1</v>
      </c>
      <c r="H626">
        <v>1</v>
      </c>
    </row>
    <row r="627" spans="1:8" x14ac:dyDescent="0.25">
      <c r="A627" t="s">
        <v>930</v>
      </c>
      <c r="B627" t="s">
        <v>931</v>
      </c>
      <c r="C627">
        <v>87.3</v>
      </c>
      <c r="D627" t="s">
        <v>3078</v>
      </c>
      <c r="E627" t="s">
        <v>833</v>
      </c>
      <c r="F627">
        <v>75</v>
      </c>
      <c r="G627" t="b">
        <v>1</v>
      </c>
      <c r="H627">
        <v>1</v>
      </c>
    </row>
    <row r="628" spans="1:8" x14ac:dyDescent="0.25">
      <c r="A628" t="s">
        <v>830</v>
      </c>
      <c r="B628" t="s">
        <v>831</v>
      </c>
      <c r="C628">
        <v>59.6</v>
      </c>
      <c r="D628" t="s">
        <v>3078</v>
      </c>
      <c r="E628" t="s">
        <v>833</v>
      </c>
      <c r="F628">
        <v>75</v>
      </c>
      <c r="G628" t="b">
        <v>1</v>
      </c>
      <c r="H628">
        <v>1</v>
      </c>
    </row>
    <row r="629" spans="1:8" x14ac:dyDescent="0.25">
      <c r="A629" t="s">
        <v>934</v>
      </c>
      <c r="B629" t="s">
        <v>935</v>
      </c>
      <c r="C629">
        <v>215.8</v>
      </c>
      <c r="D629" t="s">
        <v>3078</v>
      </c>
      <c r="E629" t="s">
        <v>833</v>
      </c>
      <c r="F629">
        <v>75</v>
      </c>
      <c r="G629" t="b">
        <v>1</v>
      </c>
      <c r="H629">
        <v>1</v>
      </c>
    </row>
    <row r="630" spans="1:8" x14ac:dyDescent="0.25">
      <c r="A630" t="s">
        <v>932</v>
      </c>
      <c r="B630" t="s">
        <v>933</v>
      </c>
      <c r="C630">
        <v>161.55000000000001</v>
      </c>
      <c r="D630" t="s">
        <v>3078</v>
      </c>
      <c r="E630" t="s">
        <v>833</v>
      </c>
      <c r="F630">
        <v>75</v>
      </c>
      <c r="G630" t="b">
        <v>1</v>
      </c>
      <c r="H630">
        <v>1</v>
      </c>
    </row>
    <row r="631" spans="1:8" x14ac:dyDescent="0.25">
      <c r="A631" t="s">
        <v>937</v>
      </c>
      <c r="B631" t="s">
        <v>938</v>
      </c>
      <c r="C631">
        <v>113.8</v>
      </c>
      <c r="D631" t="s">
        <v>3078</v>
      </c>
      <c r="E631" t="s">
        <v>833</v>
      </c>
      <c r="F631">
        <v>75</v>
      </c>
      <c r="G631" t="b">
        <v>1</v>
      </c>
      <c r="H631">
        <v>1</v>
      </c>
    </row>
    <row r="632" spans="1:8" x14ac:dyDescent="0.25">
      <c r="A632" t="s">
        <v>834</v>
      </c>
      <c r="B632" t="s">
        <v>835</v>
      </c>
      <c r="C632">
        <v>200</v>
      </c>
      <c r="D632" t="s">
        <v>3078</v>
      </c>
      <c r="E632" t="s">
        <v>833</v>
      </c>
      <c r="F632">
        <v>75</v>
      </c>
      <c r="G632" t="b">
        <v>1</v>
      </c>
      <c r="H632">
        <v>1</v>
      </c>
    </row>
    <row r="633" spans="1:8" x14ac:dyDescent="0.25">
      <c r="A633" t="s">
        <v>909</v>
      </c>
      <c r="B633" t="s">
        <v>910</v>
      </c>
      <c r="C633">
        <v>51.6</v>
      </c>
      <c r="D633" t="s">
        <v>3078</v>
      </c>
      <c r="E633" t="s">
        <v>838</v>
      </c>
      <c r="F633">
        <v>75</v>
      </c>
      <c r="G633" t="b">
        <v>1</v>
      </c>
      <c r="H633">
        <v>1</v>
      </c>
    </row>
    <row r="634" spans="1:8" x14ac:dyDescent="0.25">
      <c r="A634" t="s">
        <v>905</v>
      </c>
      <c r="B634" t="s">
        <v>906</v>
      </c>
      <c r="C634">
        <v>58.4</v>
      </c>
      <c r="D634" t="s">
        <v>3078</v>
      </c>
      <c r="E634" t="s">
        <v>838</v>
      </c>
      <c r="F634">
        <v>75</v>
      </c>
      <c r="G634" t="b">
        <v>1</v>
      </c>
      <c r="H634">
        <v>1</v>
      </c>
    </row>
    <row r="635" spans="1:8" x14ac:dyDescent="0.25">
      <c r="A635" t="s">
        <v>903</v>
      </c>
      <c r="B635" t="s">
        <v>904</v>
      </c>
      <c r="C635">
        <v>42.2</v>
      </c>
      <c r="D635" t="s">
        <v>3078</v>
      </c>
      <c r="E635" t="s">
        <v>838</v>
      </c>
      <c r="F635">
        <v>75</v>
      </c>
      <c r="G635" t="b">
        <v>1</v>
      </c>
      <c r="H635">
        <v>1</v>
      </c>
    </row>
    <row r="636" spans="1:8" x14ac:dyDescent="0.25">
      <c r="A636" t="s">
        <v>836</v>
      </c>
      <c r="B636" t="s">
        <v>837</v>
      </c>
      <c r="C636">
        <v>117.95</v>
      </c>
      <c r="D636" t="s">
        <v>3078</v>
      </c>
      <c r="E636" t="s">
        <v>838</v>
      </c>
      <c r="F636">
        <v>75</v>
      </c>
      <c r="G636" t="b">
        <v>1</v>
      </c>
      <c r="H636">
        <v>1</v>
      </c>
    </row>
    <row r="637" spans="1:8" x14ac:dyDescent="0.25">
      <c r="A637" t="s">
        <v>899</v>
      </c>
      <c r="B637" t="s">
        <v>900</v>
      </c>
      <c r="C637">
        <v>117.95</v>
      </c>
      <c r="D637" t="s">
        <v>3078</v>
      </c>
      <c r="E637" t="s">
        <v>838</v>
      </c>
      <c r="F637">
        <v>75</v>
      </c>
      <c r="G637" t="b">
        <v>1</v>
      </c>
      <c r="H637">
        <v>1</v>
      </c>
    </row>
    <row r="638" spans="1:8" x14ac:dyDescent="0.25">
      <c r="A638" t="s">
        <v>885</v>
      </c>
      <c r="B638" t="s">
        <v>886</v>
      </c>
      <c r="C638">
        <v>51.6</v>
      </c>
      <c r="D638" t="s">
        <v>3078</v>
      </c>
      <c r="E638" t="s">
        <v>513</v>
      </c>
      <c r="F638">
        <v>75</v>
      </c>
      <c r="G638" t="b">
        <v>1</v>
      </c>
      <c r="H638">
        <v>1</v>
      </c>
    </row>
    <row r="639" spans="1:8" x14ac:dyDescent="0.25">
      <c r="A639" t="s">
        <v>887</v>
      </c>
      <c r="B639" t="s">
        <v>888</v>
      </c>
      <c r="C639">
        <v>62.25</v>
      </c>
      <c r="D639" t="s">
        <v>3078</v>
      </c>
      <c r="E639" t="s">
        <v>513</v>
      </c>
      <c r="F639">
        <v>75</v>
      </c>
      <c r="G639" t="b">
        <v>1</v>
      </c>
      <c r="H639">
        <v>1</v>
      </c>
    </row>
    <row r="640" spans="1:8" x14ac:dyDescent="0.25">
      <c r="A640" t="s">
        <v>874</v>
      </c>
      <c r="B640" t="s">
        <v>875</v>
      </c>
      <c r="C640">
        <v>192.2</v>
      </c>
      <c r="D640" t="s">
        <v>3078</v>
      </c>
      <c r="E640" t="s">
        <v>513</v>
      </c>
      <c r="F640">
        <v>75</v>
      </c>
      <c r="G640" t="b">
        <v>1</v>
      </c>
      <c r="H640">
        <v>1</v>
      </c>
    </row>
    <row r="641" spans="1:8" x14ac:dyDescent="0.25">
      <c r="A641" t="s">
        <v>843</v>
      </c>
      <c r="B641" t="s">
        <v>844</v>
      </c>
      <c r="C641">
        <v>192.2</v>
      </c>
      <c r="D641" t="s">
        <v>3078</v>
      </c>
      <c r="E641" t="s">
        <v>513</v>
      </c>
      <c r="F641">
        <v>75</v>
      </c>
      <c r="G641" t="b">
        <v>1</v>
      </c>
      <c r="H641">
        <v>1</v>
      </c>
    </row>
    <row r="642" spans="1:8" x14ac:dyDescent="0.25">
      <c r="A642" t="s">
        <v>845</v>
      </c>
      <c r="B642" t="s">
        <v>846</v>
      </c>
      <c r="C642">
        <v>192.2</v>
      </c>
      <c r="D642" t="s">
        <v>3078</v>
      </c>
      <c r="E642" t="s">
        <v>513</v>
      </c>
      <c r="F642">
        <v>75</v>
      </c>
      <c r="G642" t="b">
        <v>1</v>
      </c>
      <c r="H642">
        <v>1</v>
      </c>
    </row>
    <row r="643" spans="1:8" x14ac:dyDescent="0.25">
      <c r="A643" t="s">
        <v>847</v>
      </c>
      <c r="B643" t="s">
        <v>848</v>
      </c>
      <c r="C643">
        <v>192.2</v>
      </c>
      <c r="D643" t="s">
        <v>3078</v>
      </c>
      <c r="E643" t="s">
        <v>513</v>
      </c>
      <c r="F643">
        <v>75</v>
      </c>
      <c r="G643" t="b">
        <v>1</v>
      </c>
      <c r="H643">
        <v>1</v>
      </c>
    </row>
    <row r="644" spans="1:8" x14ac:dyDescent="0.25">
      <c r="A644" t="s">
        <v>847</v>
      </c>
      <c r="B644" t="s">
        <v>846</v>
      </c>
      <c r="C644">
        <v>192.2</v>
      </c>
      <c r="D644" t="s">
        <v>3078</v>
      </c>
      <c r="E644" t="s">
        <v>513</v>
      </c>
      <c r="F644">
        <v>75</v>
      </c>
      <c r="G644" t="b">
        <v>1</v>
      </c>
      <c r="H644">
        <v>1</v>
      </c>
    </row>
    <row r="645" spans="1:8" x14ac:dyDescent="0.25">
      <c r="A645" t="s">
        <v>847</v>
      </c>
      <c r="B645" t="s">
        <v>849</v>
      </c>
      <c r="C645">
        <v>250.3</v>
      </c>
      <c r="D645" t="s">
        <v>3078</v>
      </c>
      <c r="E645" t="s">
        <v>513</v>
      </c>
      <c r="F645">
        <v>75</v>
      </c>
      <c r="G645" t="b">
        <v>1</v>
      </c>
      <c r="H645">
        <v>1</v>
      </c>
    </row>
    <row r="646" spans="1:8" x14ac:dyDescent="0.25">
      <c r="A646" t="s">
        <v>847</v>
      </c>
      <c r="B646" t="s">
        <v>844</v>
      </c>
      <c r="C646">
        <v>192.2</v>
      </c>
      <c r="D646" t="s">
        <v>3078</v>
      </c>
      <c r="E646" t="s">
        <v>513</v>
      </c>
      <c r="F646">
        <v>75</v>
      </c>
      <c r="G646" t="b">
        <v>1</v>
      </c>
      <c r="H646">
        <v>1</v>
      </c>
    </row>
    <row r="647" spans="1:8" x14ac:dyDescent="0.25">
      <c r="A647" t="s">
        <v>879</v>
      </c>
      <c r="B647" t="s">
        <v>880</v>
      </c>
      <c r="C647">
        <v>211.4</v>
      </c>
      <c r="D647" t="s">
        <v>3078</v>
      </c>
      <c r="E647" t="s">
        <v>513</v>
      </c>
      <c r="F647">
        <v>75</v>
      </c>
      <c r="G647" t="b">
        <v>1</v>
      </c>
      <c r="H647">
        <v>1</v>
      </c>
    </row>
    <row r="648" spans="1:8" x14ac:dyDescent="0.25">
      <c r="A648" t="s">
        <v>889</v>
      </c>
      <c r="B648" t="s">
        <v>890</v>
      </c>
      <c r="C648">
        <v>30.7</v>
      </c>
      <c r="D648" t="s">
        <v>3078</v>
      </c>
      <c r="E648" t="s">
        <v>513</v>
      </c>
      <c r="F648">
        <v>75</v>
      </c>
      <c r="G648" t="b">
        <v>1</v>
      </c>
      <c r="H648">
        <v>1</v>
      </c>
    </row>
    <row r="649" spans="1:8" x14ac:dyDescent="0.25">
      <c r="A649" t="s">
        <v>891</v>
      </c>
      <c r="B649" t="s">
        <v>892</v>
      </c>
      <c r="C649">
        <v>43.95</v>
      </c>
      <c r="D649" t="s">
        <v>3078</v>
      </c>
      <c r="E649" t="s">
        <v>513</v>
      </c>
      <c r="F649">
        <v>75</v>
      </c>
      <c r="G649" t="b">
        <v>1</v>
      </c>
      <c r="H649">
        <v>1</v>
      </c>
    </row>
    <row r="650" spans="1:8" x14ac:dyDescent="0.25">
      <c r="A650" t="s">
        <v>850</v>
      </c>
      <c r="B650" t="s">
        <v>851</v>
      </c>
      <c r="C650">
        <v>43.95</v>
      </c>
      <c r="D650" t="s">
        <v>3078</v>
      </c>
      <c r="E650" t="s">
        <v>513</v>
      </c>
      <c r="F650">
        <v>75</v>
      </c>
      <c r="G650" t="b">
        <v>1</v>
      </c>
      <c r="H650">
        <v>1</v>
      </c>
    </row>
    <row r="651" spans="1:8" x14ac:dyDescent="0.25">
      <c r="A651" t="s">
        <v>893</v>
      </c>
      <c r="B651" t="s">
        <v>894</v>
      </c>
      <c r="C651">
        <v>43.95</v>
      </c>
      <c r="D651" t="s">
        <v>3078</v>
      </c>
      <c r="E651" t="s">
        <v>513</v>
      </c>
      <c r="F651">
        <v>75</v>
      </c>
      <c r="G651" t="b">
        <v>1</v>
      </c>
      <c r="H651">
        <v>1</v>
      </c>
    </row>
    <row r="652" spans="1:8" x14ac:dyDescent="0.25">
      <c r="A652" t="s">
        <v>852</v>
      </c>
      <c r="B652" t="s">
        <v>853</v>
      </c>
      <c r="C652">
        <v>150</v>
      </c>
      <c r="D652" t="s">
        <v>3078</v>
      </c>
      <c r="E652" t="s">
        <v>513</v>
      </c>
      <c r="F652">
        <v>75</v>
      </c>
      <c r="G652" t="b">
        <v>1</v>
      </c>
      <c r="H652">
        <v>1</v>
      </c>
    </row>
    <row r="653" spans="1:8" x14ac:dyDescent="0.25">
      <c r="A653" t="s">
        <v>854</v>
      </c>
      <c r="B653" t="s">
        <v>855</v>
      </c>
      <c r="C653">
        <v>50</v>
      </c>
      <c r="D653" t="s">
        <v>3078</v>
      </c>
      <c r="E653" t="s">
        <v>513</v>
      </c>
      <c r="F653">
        <v>75</v>
      </c>
      <c r="G653" t="b">
        <v>1</v>
      </c>
      <c r="H653">
        <v>1</v>
      </c>
    </row>
    <row r="654" spans="1:8" x14ac:dyDescent="0.25">
      <c r="A654" t="s">
        <v>856</v>
      </c>
      <c r="B654" t="s">
        <v>857</v>
      </c>
      <c r="C654">
        <v>50</v>
      </c>
      <c r="D654" t="s">
        <v>3078</v>
      </c>
      <c r="E654" t="s">
        <v>513</v>
      </c>
      <c r="F654">
        <v>75</v>
      </c>
      <c r="G654" t="b">
        <v>1</v>
      </c>
      <c r="H654">
        <v>1</v>
      </c>
    </row>
    <row r="655" spans="1:8" x14ac:dyDescent="0.25">
      <c r="A655" t="s">
        <v>858</v>
      </c>
      <c r="B655" t="s">
        <v>859</v>
      </c>
      <c r="C655">
        <v>25.35</v>
      </c>
      <c r="D655" t="s">
        <v>3078</v>
      </c>
      <c r="E655" t="s">
        <v>838</v>
      </c>
      <c r="F655">
        <v>75</v>
      </c>
      <c r="G655" t="b">
        <v>1</v>
      </c>
      <c r="H655">
        <v>1</v>
      </c>
    </row>
    <row r="656" spans="1:8" x14ac:dyDescent="0.25">
      <c r="A656" t="s">
        <v>862</v>
      </c>
      <c r="B656" t="s">
        <v>863</v>
      </c>
      <c r="C656">
        <v>30.7</v>
      </c>
      <c r="D656" t="s">
        <v>3078</v>
      </c>
      <c r="E656" t="s">
        <v>838</v>
      </c>
      <c r="F656">
        <v>75</v>
      </c>
      <c r="G656" t="b">
        <v>1</v>
      </c>
      <c r="H656">
        <v>1</v>
      </c>
    </row>
    <row r="657" spans="1:8" x14ac:dyDescent="0.25">
      <c r="A657" t="s">
        <v>871</v>
      </c>
      <c r="B657" t="s">
        <v>872</v>
      </c>
      <c r="C657">
        <v>302.8</v>
      </c>
      <c r="D657" t="s">
        <v>3078</v>
      </c>
      <c r="E657" t="s">
        <v>838</v>
      </c>
      <c r="F657">
        <v>75</v>
      </c>
      <c r="G657" t="b">
        <v>1</v>
      </c>
      <c r="H657">
        <v>1</v>
      </c>
    </row>
    <row r="658" spans="1:8" x14ac:dyDescent="0.25">
      <c r="A658" t="s">
        <v>867</v>
      </c>
      <c r="B658" t="s">
        <v>868</v>
      </c>
      <c r="C658">
        <v>119.1</v>
      </c>
      <c r="D658" t="s">
        <v>3078</v>
      </c>
      <c r="E658" t="s">
        <v>838</v>
      </c>
      <c r="F658">
        <v>75</v>
      </c>
      <c r="G658" t="b">
        <v>1</v>
      </c>
      <c r="H658">
        <v>1</v>
      </c>
    </row>
    <row r="659" spans="1:8" x14ac:dyDescent="0.25">
      <c r="A659" t="s">
        <v>869</v>
      </c>
      <c r="B659" t="s">
        <v>870</v>
      </c>
      <c r="C659">
        <v>239.7</v>
      </c>
      <c r="D659" t="s">
        <v>3078</v>
      </c>
      <c r="E659" t="s">
        <v>838</v>
      </c>
      <c r="F659">
        <v>75</v>
      </c>
      <c r="G659" t="b">
        <v>1</v>
      </c>
      <c r="H659">
        <v>1</v>
      </c>
    </row>
    <row r="660" spans="1:8" x14ac:dyDescent="0.25">
      <c r="A660" t="s">
        <v>865</v>
      </c>
      <c r="B660" t="s">
        <v>866</v>
      </c>
      <c r="C660">
        <v>112</v>
      </c>
      <c r="D660" t="s">
        <v>3078</v>
      </c>
      <c r="E660" t="s">
        <v>838</v>
      </c>
      <c r="F660">
        <v>75</v>
      </c>
      <c r="G660" t="b">
        <v>1</v>
      </c>
      <c r="H660">
        <v>1</v>
      </c>
    </row>
    <row r="661" spans="1:8" x14ac:dyDescent="0.25">
      <c r="A661" t="s">
        <v>907</v>
      </c>
      <c r="B661" t="s">
        <v>908</v>
      </c>
      <c r="C661">
        <v>55.45</v>
      </c>
      <c r="D661" t="s">
        <v>3078</v>
      </c>
      <c r="E661" t="s">
        <v>838</v>
      </c>
      <c r="F661">
        <v>75</v>
      </c>
      <c r="G661" t="b">
        <v>1</v>
      </c>
      <c r="H661">
        <v>1</v>
      </c>
    </row>
    <row r="662" spans="1:8" x14ac:dyDescent="0.25">
      <c r="A662" t="s">
        <v>916</v>
      </c>
      <c r="B662" t="s">
        <v>917</v>
      </c>
      <c r="C662">
        <v>341.95</v>
      </c>
      <c r="D662" t="s">
        <v>3078</v>
      </c>
      <c r="E662" t="s">
        <v>838</v>
      </c>
      <c r="F662">
        <v>75</v>
      </c>
      <c r="G662" t="b">
        <v>1</v>
      </c>
      <c r="H662">
        <v>1</v>
      </c>
    </row>
    <row r="663" spans="1:8" x14ac:dyDescent="0.25">
      <c r="A663" t="s">
        <v>839</v>
      </c>
      <c r="B663" t="s">
        <v>840</v>
      </c>
      <c r="C663">
        <v>53.05</v>
      </c>
      <c r="D663" t="s">
        <v>3078</v>
      </c>
      <c r="E663" t="s">
        <v>838</v>
      </c>
      <c r="F663">
        <v>75</v>
      </c>
      <c r="G663" t="b">
        <v>1</v>
      </c>
      <c r="H663">
        <v>1</v>
      </c>
    </row>
    <row r="664" spans="1:8" x14ac:dyDescent="0.25">
      <c r="A664" t="s">
        <v>895</v>
      </c>
      <c r="B664" t="s">
        <v>896</v>
      </c>
      <c r="C664">
        <v>233.5</v>
      </c>
      <c r="D664" t="s">
        <v>3078</v>
      </c>
      <c r="E664" t="s">
        <v>838</v>
      </c>
      <c r="F664">
        <v>75</v>
      </c>
      <c r="G664" t="b">
        <v>1</v>
      </c>
      <c r="H664">
        <v>1</v>
      </c>
    </row>
    <row r="665" spans="1:8" x14ac:dyDescent="0.25">
      <c r="A665" t="s">
        <v>878</v>
      </c>
      <c r="B665" t="s">
        <v>849</v>
      </c>
      <c r="C665">
        <v>250.3</v>
      </c>
      <c r="D665" t="s">
        <v>3078</v>
      </c>
      <c r="E665" t="s">
        <v>838</v>
      </c>
      <c r="F665">
        <v>75</v>
      </c>
      <c r="G665" t="b">
        <v>1</v>
      </c>
      <c r="H665">
        <v>1</v>
      </c>
    </row>
    <row r="666" spans="1:8" x14ac:dyDescent="0.25">
      <c r="A666" t="s">
        <v>882</v>
      </c>
      <c r="B666" t="s">
        <v>883</v>
      </c>
      <c r="C666">
        <v>178</v>
      </c>
      <c r="D666" t="s">
        <v>3078</v>
      </c>
      <c r="E666" t="s">
        <v>838</v>
      </c>
      <c r="F666">
        <v>75</v>
      </c>
      <c r="G666" t="b">
        <v>1</v>
      </c>
      <c r="H666">
        <v>1</v>
      </c>
    </row>
    <row r="667" spans="1:8" x14ac:dyDescent="0.25">
      <c r="A667" t="s">
        <v>841</v>
      </c>
      <c r="B667" t="s">
        <v>842</v>
      </c>
      <c r="C667">
        <v>500</v>
      </c>
      <c r="D667" t="s">
        <v>3078</v>
      </c>
      <c r="E667" t="s">
        <v>838</v>
      </c>
      <c r="F667">
        <v>75</v>
      </c>
      <c r="G667" t="b">
        <v>1</v>
      </c>
      <c r="H667">
        <v>1</v>
      </c>
    </row>
    <row r="668" spans="1:8" x14ac:dyDescent="0.25">
      <c r="A668" t="s">
        <v>1295</v>
      </c>
      <c r="B668" t="s">
        <v>1296</v>
      </c>
      <c r="C668">
        <v>117.95</v>
      </c>
      <c r="D668" t="s">
        <v>3081</v>
      </c>
      <c r="E668" t="s">
        <v>1297</v>
      </c>
      <c r="F668">
        <v>75</v>
      </c>
      <c r="G668" t="b">
        <v>1</v>
      </c>
      <c r="H668">
        <v>1</v>
      </c>
    </row>
    <row r="669" spans="1:8" x14ac:dyDescent="0.25">
      <c r="A669" t="s">
        <v>1308</v>
      </c>
      <c r="B669" t="s">
        <v>1309</v>
      </c>
      <c r="C669">
        <v>97.85</v>
      </c>
      <c r="D669" t="s">
        <v>3081</v>
      </c>
      <c r="E669" t="s">
        <v>1297</v>
      </c>
      <c r="F669">
        <v>75</v>
      </c>
      <c r="G669" t="b">
        <v>1</v>
      </c>
      <c r="H669">
        <v>1</v>
      </c>
    </row>
    <row r="670" spans="1:8" x14ac:dyDescent="0.25">
      <c r="A670" t="s">
        <v>1315</v>
      </c>
      <c r="B670" t="s">
        <v>1316</v>
      </c>
      <c r="C670">
        <v>79.55</v>
      </c>
      <c r="D670" t="s">
        <v>3081</v>
      </c>
      <c r="E670" t="s">
        <v>1253</v>
      </c>
      <c r="F670">
        <v>75</v>
      </c>
      <c r="G670" t="b">
        <v>1</v>
      </c>
      <c r="H670">
        <v>1</v>
      </c>
    </row>
    <row r="671" spans="1:8" x14ac:dyDescent="0.25">
      <c r="A671" t="s">
        <v>1250</v>
      </c>
      <c r="B671" t="s">
        <v>1251</v>
      </c>
      <c r="C671">
        <v>79.55</v>
      </c>
      <c r="D671" t="s">
        <v>3081</v>
      </c>
      <c r="E671" t="s">
        <v>1253</v>
      </c>
      <c r="F671">
        <v>75</v>
      </c>
      <c r="G671" t="b">
        <v>1</v>
      </c>
      <c r="H671">
        <v>1</v>
      </c>
    </row>
    <row r="672" spans="1:8" x14ac:dyDescent="0.25">
      <c r="A672" t="s">
        <v>1317</v>
      </c>
      <c r="B672" t="s">
        <v>1318</v>
      </c>
      <c r="C672">
        <v>113.8</v>
      </c>
      <c r="D672" t="s">
        <v>3081</v>
      </c>
      <c r="E672" t="s">
        <v>1253</v>
      </c>
      <c r="F672">
        <v>75</v>
      </c>
      <c r="G672" t="b">
        <v>1</v>
      </c>
      <c r="H672">
        <v>1</v>
      </c>
    </row>
    <row r="673" spans="1:8" x14ac:dyDescent="0.25">
      <c r="A673" t="s">
        <v>1319</v>
      </c>
      <c r="B673" t="s">
        <v>1320</v>
      </c>
      <c r="C673">
        <v>128.85</v>
      </c>
      <c r="D673" t="s">
        <v>3081</v>
      </c>
      <c r="E673" t="s">
        <v>1253</v>
      </c>
      <c r="F673">
        <v>75</v>
      </c>
      <c r="G673" t="b">
        <v>1</v>
      </c>
      <c r="H673">
        <v>1</v>
      </c>
    </row>
    <row r="674" spans="1:8" x14ac:dyDescent="0.25">
      <c r="A674" t="s">
        <v>1321</v>
      </c>
      <c r="B674" t="s">
        <v>1322</v>
      </c>
      <c r="C674">
        <v>144.6</v>
      </c>
      <c r="D674" t="s">
        <v>3081</v>
      </c>
      <c r="E674" t="s">
        <v>1253</v>
      </c>
      <c r="F674">
        <v>75</v>
      </c>
      <c r="G674" t="b">
        <v>1</v>
      </c>
      <c r="H674">
        <v>1</v>
      </c>
    </row>
    <row r="675" spans="1:8" x14ac:dyDescent="0.25">
      <c r="A675" t="s">
        <v>1298</v>
      </c>
      <c r="B675" t="s">
        <v>1299</v>
      </c>
      <c r="C675">
        <v>23.9</v>
      </c>
      <c r="D675" t="s">
        <v>3081</v>
      </c>
      <c r="E675" t="s">
        <v>1297</v>
      </c>
      <c r="F675">
        <v>75</v>
      </c>
      <c r="G675" t="b">
        <v>1</v>
      </c>
      <c r="H675">
        <v>1</v>
      </c>
    </row>
    <row r="676" spans="1:8" x14ac:dyDescent="0.25">
      <c r="A676" t="s">
        <v>1300</v>
      </c>
      <c r="B676" t="s">
        <v>1301</v>
      </c>
      <c r="C676">
        <v>35.700000000000003</v>
      </c>
      <c r="D676" t="s">
        <v>3081</v>
      </c>
      <c r="E676" t="s">
        <v>1297</v>
      </c>
      <c r="F676">
        <v>75</v>
      </c>
      <c r="G676" t="b">
        <v>1</v>
      </c>
      <c r="H676">
        <v>1</v>
      </c>
    </row>
    <row r="677" spans="1:8" x14ac:dyDescent="0.25">
      <c r="A677" t="s">
        <v>1302</v>
      </c>
      <c r="B677" t="s">
        <v>1303</v>
      </c>
      <c r="C677">
        <v>71.650000000000006</v>
      </c>
      <c r="D677" t="s">
        <v>3081</v>
      </c>
      <c r="E677" t="s">
        <v>1297</v>
      </c>
      <c r="F677">
        <v>75</v>
      </c>
      <c r="G677" t="b">
        <v>1</v>
      </c>
      <c r="H677">
        <v>1</v>
      </c>
    </row>
    <row r="678" spans="1:8" x14ac:dyDescent="0.25">
      <c r="A678" t="s">
        <v>1305</v>
      </c>
      <c r="B678" t="s">
        <v>1306</v>
      </c>
      <c r="C678">
        <v>74</v>
      </c>
      <c r="D678" t="s">
        <v>3081</v>
      </c>
      <c r="E678" t="s">
        <v>1297</v>
      </c>
      <c r="F678">
        <v>75</v>
      </c>
      <c r="G678" t="b">
        <v>1</v>
      </c>
      <c r="H678">
        <v>1</v>
      </c>
    </row>
    <row r="679" spans="1:8" x14ac:dyDescent="0.25">
      <c r="A679" t="s">
        <v>1008</v>
      </c>
      <c r="B679" t="s">
        <v>1009</v>
      </c>
      <c r="C679">
        <v>55.35</v>
      </c>
      <c r="D679" t="s">
        <v>3084</v>
      </c>
      <c r="E679" t="s">
        <v>989</v>
      </c>
      <c r="F679">
        <v>75</v>
      </c>
      <c r="G679" t="b">
        <v>1</v>
      </c>
      <c r="H679">
        <v>1</v>
      </c>
    </row>
    <row r="680" spans="1:8" x14ac:dyDescent="0.25">
      <c r="A680" t="s">
        <v>1006</v>
      </c>
      <c r="B680" t="s">
        <v>1007</v>
      </c>
      <c r="C680">
        <v>55.35</v>
      </c>
      <c r="D680" t="s">
        <v>3084</v>
      </c>
      <c r="E680" t="s">
        <v>989</v>
      </c>
      <c r="F680">
        <v>75</v>
      </c>
      <c r="G680" t="b">
        <v>1</v>
      </c>
      <c r="H680">
        <v>1</v>
      </c>
    </row>
    <row r="681" spans="1:8" x14ac:dyDescent="0.25">
      <c r="A681" t="s">
        <v>997</v>
      </c>
      <c r="B681" t="s">
        <v>998</v>
      </c>
      <c r="C681">
        <v>34.200000000000003</v>
      </c>
      <c r="D681" t="s">
        <v>3084</v>
      </c>
      <c r="E681" t="s">
        <v>989</v>
      </c>
      <c r="F681">
        <v>75</v>
      </c>
      <c r="G681" t="b">
        <v>1</v>
      </c>
      <c r="H681">
        <v>1</v>
      </c>
    </row>
    <row r="682" spans="1:8" x14ac:dyDescent="0.25">
      <c r="A682" t="s">
        <v>987</v>
      </c>
      <c r="B682" t="s">
        <v>988</v>
      </c>
      <c r="C682">
        <v>41.25</v>
      </c>
      <c r="D682" t="s">
        <v>3084</v>
      </c>
      <c r="E682" t="s">
        <v>989</v>
      </c>
      <c r="F682">
        <v>75</v>
      </c>
      <c r="G682" t="b">
        <v>1</v>
      </c>
      <c r="H682">
        <v>1</v>
      </c>
    </row>
    <row r="683" spans="1:8" x14ac:dyDescent="0.25">
      <c r="A683" t="s">
        <v>999</v>
      </c>
      <c r="B683" t="s">
        <v>1000</v>
      </c>
      <c r="C683">
        <v>15.95</v>
      </c>
      <c r="D683" t="s">
        <v>3084</v>
      </c>
      <c r="E683" t="s">
        <v>989</v>
      </c>
      <c r="F683">
        <v>75</v>
      </c>
      <c r="G683" t="b">
        <v>1</v>
      </c>
      <c r="H683">
        <v>1</v>
      </c>
    </row>
    <row r="684" spans="1:8" x14ac:dyDescent="0.25">
      <c r="A684" t="s">
        <v>1018</v>
      </c>
      <c r="B684" t="s">
        <v>1019</v>
      </c>
      <c r="C684">
        <v>66.5</v>
      </c>
      <c r="D684" t="s">
        <v>3084</v>
      </c>
      <c r="E684" t="s">
        <v>989</v>
      </c>
      <c r="F684">
        <v>75</v>
      </c>
      <c r="G684" t="b">
        <v>1</v>
      </c>
      <c r="H684">
        <v>1</v>
      </c>
    </row>
    <row r="685" spans="1:8" x14ac:dyDescent="0.25">
      <c r="A685" t="s">
        <v>1001</v>
      </c>
      <c r="B685" t="s">
        <v>1002</v>
      </c>
      <c r="C685">
        <v>18.899999999999999</v>
      </c>
      <c r="D685" t="s">
        <v>3084</v>
      </c>
      <c r="E685" t="s">
        <v>989</v>
      </c>
      <c r="F685">
        <v>75</v>
      </c>
      <c r="G685" t="b">
        <v>1</v>
      </c>
      <c r="H685">
        <v>1</v>
      </c>
    </row>
    <row r="686" spans="1:8" x14ac:dyDescent="0.25">
      <c r="A686" t="s">
        <v>1010</v>
      </c>
      <c r="B686" t="s">
        <v>1011</v>
      </c>
      <c r="C686">
        <v>19.45</v>
      </c>
      <c r="D686" t="s">
        <v>3084</v>
      </c>
      <c r="E686" t="s">
        <v>989</v>
      </c>
      <c r="F686">
        <v>75</v>
      </c>
      <c r="G686" t="b">
        <v>1</v>
      </c>
      <c r="H686">
        <v>1</v>
      </c>
    </row>
    <row r="687" spans="1:8" x14ac:dyDescent="0.25">
      <c r="A687" t="s">
        <v>1012</v>
      </c>
      <c r="B687" t="s">
        <v>1013</v>
      </c>
      <c r="C687">
        <v>22.15</v>
      </c>
      <c r="D687" t="s">
        <v>3084</v>
      </c>
      <c r="E687" t="s">
        <v>989</v>
      </c>
      <c r="F687">
        <v>75</v>
      </c>
      <c r="G687" t="b">
        <v>1</v>
      </c>
      <c r="H687">
        <v>1</v>
      </c>
    </row>
    <row r="688" spans="1:8" x14ac:dyDescent="0.25">
      <c r="A688" t="s">
        <v>990</v>
      </c>
      <c r="B688" t="s">
        <v>991</v>
      </c>
      <c r="C688">
        <v>34.200000000000003</v>
      </c>
      <c r="D688" t="s">
        <v>3084</v>
      </c>
      <c r="E688" t="s">
        <v>989</v>
      </c>
      <c r="F688">
        <v>75</v>
      </c>
      <c r="G688" t="b">
        <v>1</v>
      </c>
      <c r="H688">
        <v>1</v>
      </c>
    </row>
    <row r="689" spans="1:8" x14ac:dyDescent="0.25">
      <c r="A689" t="s">
        <v>1004</v>
      </c>
      <c r="B689" t="s">
        <v>947</v>
      </c>
      <c r="C689">
        <v>15.35</v>
      </c>
      <c r="D689" t="s">
        <v>3084</v>
      </c>
      <c r="E689" t="s">
        <v>942</v>
      </c>
      <c r="F689">
        <v>75</v>
      </c>
      <c r="G689" t="b">
        <v>1</v>
      </c>
      <c r="H689">
        <v>1</v>
      </c>
    </row>
    <row r="690" spans="1:8" x14ac:dyDescent="0.25">
      <c r="A690" t="s">
        <v>939</v>
      </c>
      <c r="B690" t="s">
        <v>940</v>
      </c>
      <c r="C690">
        <v>25.7</v>
      </c>
      <c r="D690" t="s">
        <v>3084</v>
      </c>
      <c r="E690" t="s">
        <v>942</v>
      </c>
      <c r="F690">
        <v>75</v>
      </c>
      <c r="G690" t="b">
        <v>1</v>
      </c>
      <c r="H690">
        <v>1</v>
      </c>
    </row>
    <row r="691" spans="1:8" x14ac:dyDescent="0.25">
      <c r="A691" t="s">
        <v>1015</v>
      </c>
      <c r="B691" t="s">
        <v>1016</v>
      </c>
      <c r="C691">
        <v>15.35</v>
      </c>
      <c r="D691" t="s">
        <v>3084</v>
      </c>
      <c r="E691" t="s">
        <v>942</v>
      </c>
      <c r="F691">
        <v>75</v>
      </c>
      <c r="G691" t="b">
        <v>1</v>
      </c>
      <c r="H691">
        <v>1</v>
      </c>
    </row>
    <row r="692" spans="1:8" x14ac:dyDescent="0.25">
      <c r="A692" t="s">
        <v>943</v>
      </c>
      <c r="B692" t="s">
        <v>944</v>
      </c>
      <c r="C692">
        <v>14.45</v>
      </c>
      <c r="D692" t="s">
        <v>3084</v>
      </c>
      <c r="E692" t="s">
        <v>942</v>
      </c>
      <c r="F692">
        <v>75</v>
      </c>
      <c r="G692" t="b">
        <v>1</v>
      </c>
      <c r="H692">
        <v>1</v>
      </c>
    </row>
    <row r="693" spans="1:8" x14ac:dyDescent="0.25">
      <c r="A693" t="s">
        <v>1052</v>
      </c>
      <c r="B693" t="s">
        <v>1053</v>
      </c>
      <c r="C693">
        <v>54.3</v>
      </c>
      <c r="D693" t="s">
        <v>3084</v>
      </c>
      <c r="E693" t="s">
        <v>966</v>
      </c>
      <c r="F693">
        <v>75</v>
      </c>
      <c r="G693" t="b">
        <v>1</v>
      </c>
      <c r="H693">
        <v>1</v>
      </c>
    </row>
    <row r="694" spans="1:8" x14ac:dyDescent="0.25">
      <c r="A694" t="s">
        <v>945</v>
      </c>
      <c r="B694" t="s">
        <v>946</v>
      </c>
      <c r="C694">
        <v>15.35</v>
      </c>
      <c r="D694" t="s">
        <v>3084</v>
      </c>
      <c r="E694" t="s">
        <v>942</v>
      </c>
      <c r="F694">
        <v>75</v>
      </c>
      <c r="G694" t="b">
        <v>1</v>
      </c>
      <c r="H694">
        <v>1</v>
      </c>
    </row>
    <row r="695" spans="1:8" x14ac:dyDescent="0.25">
      <c r="A695" t="s">
        <v>945</v>
      </c>
      <c r="B695" t="s">
        <v>947</v>
      </c>
      <c r="C695">
        <v>15.35</v>
      </c>
      <c r="D695" t="s">
        <v>3084</v>
      </c>
      <c r="E695" t="s">
        <v>942</v>
      </c>
      <c r="F695">
        <v>75</v>
      </c>
      <c r="G695" t="b">
        <v>1</v>
      </c>
      <c r="H695">
        <v>1</v>
      </c>
    </row>
    <row r="696" spans="1:8" x14ac:dyDescent="0.25">
      <c r="A696" t="s">
        <v>948</v>
      </c>
      <c r="B696" t="s">
        <v>949</v>
      </c>
      <c r="C696">
        <v>15.35</v>
      </c>
      <c r="D696" t="s">
        <v>3084</v>
      </c>
      <c r="E696" t="s">
        <v>942</v>
      </c>
      <c r="F696">
        <v>75</v>
      </c>
      <c r="G696" t="b">
        <v>1</v>
      </c>
      <c r="H696">
        <v>1</v>
      </c>
    </row>
    <row r="697" spans="1:8" x14ac:dyDescent="0.25">
      <c r="A697" t="s">
        <v>985</v>
      </c>
      <c r="B697" t="s">
        <v>986</v>
      </c>
      <c r="C697">
        <v>15.35</v>
      </c>
      <c r="D697" t="s">
        <v>3084</v>
      </c>
      <c r="E697" t="s">
        <v>942</v>
      </c>
      <c r="F697">
        <v>75</v>
      </c>
      <c r="G697" t="b">
        <v>1</v>
      </c>
      <c r="H697">
        <v>1</v>
      </c>
    </row>
    <row r="698" spans="1:8" x14ac:dyDescent="0.25">
      <c r="A698" t="s">
        <v>1050</v>
      </c>
      <c r="B698" t="s">
        <v>1051</v>
      </c>
      <c r="C698">
        <v>67.5</v>
      </c>
      <c r="D698" t="s">
        <v>3084</v>
      </c>
      <c r="E698" t="s">
        <v>966</v>
      </c>
      <c r="F698">
        <v>75</v>
      </c>
      <c r="G698" t="b">
        <v>1</v>
      </c>
      <c r="H698">
        <v>1</v>
      </c>
    </row>
    <row r="699" spans="1:8" x14ac:dyDescent="0.25">
      <c r="A699" t="s">
        <v>964</v>
      </c>
      <c r="B699" t="s">
        <v>965</v>
      </c>
      <c r="C699">
        <v>41.25</v>
      </c>
      <c r="D699" t="s">
        <v>3084</v>
      </c>
      <c r="E699" t="s">
        <v>966</v>
      </c>
      <c r="F699">
        <v>75</v>
      </c>
      <c r="G699" t="b">
        <v>1</v>
      </c>
      <c r="H699">
        <v>1</v>
      </c>
    </row>
    <row r="700" spans="1:8" x14ac:dyDescent="0.25">
      <c r="A700" t="s">
        <v>1066</v>
      </c>
      <c r="B700" t="s">
        <v>1067</v>
      </c>
      <c r="C700">
        <v>61.1</v>
      </c>
      <c r="D700" t="s">
        <v>3084</v>
      </c>
      <c r="E700" t="s">
        <v>966</v>
      </c>
      <c r="F700">
        <v>75</v>
      </c>
      <c r="G700" t="b">
        <v>1</v>
      </c>
      <c r="H700">
        <v>1</v>
      </c>
    </row>
    <row r="701" spans="1:8" x14ac:dyDescent="0.25">
      <c r="A701" t="s">
        <v>1131</v>
      </c>
      <c r="B701" t="s">
        <v>1132</v>
      </c>
      <c r="C701">
        <v>66.75</v>
      </c>
      <c r="D701" t="s">
        <v>3084</v>
      </c>
      <c r="E701" t="s">
        <v>966</v>
      </c>
      <c r="F701">
        <v>75</v>
      </c>
      <c r="G701" t="b">
        <v>1</v>
      </c>
      <c r="H701">
        <v>1</v>
      </c>
    </row>
    <row r="702" spans="1:8" x14ac:dyDescent="0.25">
      <c r="A702" t="s">
        <v>1020</v>
      </c>
      <c r="B702" t="s">
        <v>1021</v>
      </c>
      <c r="C702">
        <v>47.5</v>
      </c>
      <c r="D702" t="s">
        <v>3084</v>
      </c>
      <c r="E702" t="s">
        <v>966</v>
      </c>
      <c r="F702">
        <v>75</v>
      </c>
      <c r="G702" t="b">
        <v>1</v>
      </c>
      <c r="H702">
        <v>1</v>
      </c>
    </row>
    <row r="703" spans="1:8" x14ac:dyDescent="0.25">
      <c r="A703" t="s">
        <v>967</v>
      </c>
      <c r="B703" t="s">
        <v>968</v>
      </c>
      <c r="C703">
        <v>64.849999999999994</v>
      </c>
      <c r="D703" t="s">
        <v>3084</v>
      </c>
      <c r="E703" t="s">
        <v>966</v>
      </c>
      <c r="F703">
        <v>75</v>
      </c>
      <c r="G703" t="b">
        <v>1</v>
      </c>
      <c r="H703">
        <v>1</v>
      </c>
    </row>
    <row r="704" spans="1:8" x14ac:dyDescent="0.25">
      <c r="A704" t="s">
        <v>969</v>
      </c>
      <c r="B704" t="s">
        <v>970</v>
      </c>
      <c r="C704">
        <v>80</v>
      </c>
      <c r="D704" t="s">
        <v>3084</v>
      </c>
      <c r="E704" t="s">
        <v>966</v>
      </c>
      <c r="F704">
        <v>75</v>
      </c>
      <c r="G704" t="b">
        <v>1</v>
      </c>
      <c r="H704">
        <v>1</v>
      </c>
    </row>
    <row r="705" spans="1:8" x14ac:dyDescent="0.25">
      <c r="A705" t="s">
        <v>1029</v>
      </c>
      <c r="B705" t="s">
        <v>1030</v>
      </c>
      <c r="C705">
        <v>116.8</v>
      </c>
      <c r="D705" t="s">
        <v>3084</v>
      </c>
      <c r="E705" t="s">
        <v>966</v>
      </c>
      <c r="F705">
        <v>75</v>
      </c>
      <c r="G705" t="b">
        <v>1</v>
      </c>
      <c r="H705">
        <v>1</v>
      </c>
    </row>
    <row r="706" spans="1:8" x14ac:dyDescent="0.25">
      <c r="A706" t="s">
        <v>1024</v>
      </c>
      <c r="B706" t="s">
        <v>1025</v>
      </c>
      <c r="C706">
        <v>25.35</v>
      </c>
      <c r="D706" t="s">
        <v>3084</v>
      </c>
      <c r="E706" t="s">
        <v>966</v>
      </c>
      <c r="F706">
        <v>75</v>
      </c>
      <c r="G706" t="b">
        <v>1</v>
      </c>
      <c r="H706">
        <v>1</v>
      </c>
    </row>
    <row r="707" spans="1:8" x14ac:dyDescent="0.25">
      <c r="A707" t="s">
        <v>971</v>
      </c>
      <c r="B707" t="s">
        <v>972</v>
      </c>
      <c r="C707">
        <v>80</v>
      </c>
      <c r="D707" t="s">
        <v>3084</v>
      </c>
      <c r="E707" t="s">
        <v>966</v>
      </c>
      <c r="F707">
        <v>75</v>
      </c>
      <c r="G707" t="b">
        <v>1</v>
      </c>
      <c r="H707">
        <v>1</v>
      </c>
    </row>
    <row r="708" spans="1:8" x14ac:dyDescent="0.25">
      <c r="A708" t="s">
        <v>1043</v>
      </c>
      <c r="B708" t="s">
        <v>1044</v>
      </c>
      <c r="C708">
        <v>149.30000000000001</v>
      </c>
      <c r="D708" t="s">
        <v>3084</v>
      </c>
      <c r="E708" t="s">
        <v>966</v>
      </c>
      <c r="F708">
        <v>75</v>
      </c>
      <c r="G708" t="b">
        <v>1</v>
      </c>
      <c r="H708">
        <v>1</v>
      </c>
    </row>
    <row r="709" spans="1:8" x14ac:dyDescent="0.25">
      <c r="A709" t="s">
        <v>973</v>
      </c>
      <c r="B709" t="s">
        <v>974</v>
      </c>
      <c r="C709">
        <v>26</v>
      </c>
      <c r="D709" t="s">
        <v>3084</v>
      </c>
      <c r="E709" t="s">
        <v>966</v>
      </c>
      <c r="F709">
        <v>75</v>
      </c>
      <c r="G709" t="b">
        <v>1</v>
      </c>
      <c r="H709">
        <v>1</v>
      </c>
    </row>
    <row r="710" spans="1:8" x14ac:dyDescent="0.25">
      <c r="A710" t="s">
        <v>1045</v>
      </c>
      <c r="B710" t="s">
        <v>1046</v>
      </c>
      <c r="C710">
        <v>130.05000000000001</v>
      </c>
      <c r="D710" t="s">
        <v>3084</v>
      </c>
      <c r="E710" t="s">
        <v>966</v>
      </c>
      <c r="F710">
        <v>75</v>
      </c>
      <c r="G710" t="b">
        <v>1</v>
      </c>
      <c r="H710">
        <v>1</v>
      </c>
    </row>
    <row r="711" spans="1:8" x14ac:dyDescent="0.25">
      <c r="A711" t="s">
        <v>1041</v>
      </c>
      <c r="B711" t="s">
        <v>1042</v>
      </c>
      <c r="C711">
        <v>107.35</v>
      </c>
      <c r="D711" t="s">
        <v>3084</v>
      </c>
      <c r="E711" t="s">
        <v>966</v>
      </c>
      <c r="F711">
        <v>75</v>
      </c>
      <c r="G711" t="b">
        <v>1</v>
      </c>
      <c r="H711">
        <v>1</v>
      </c>
    </row>
    <row r="712" spans="1:8" x14ac:dyDescent="0.25">
      <c r="A712" t="s">
        <v>1062</v>
      </c>
      <c r="B712" t="s">
        <v>1063</v>
      </c>
      <c r="C712">
        <v>107.35</v>
      </c>
      <c r="D712" t="s">
        <v>3084</v>
      </c>
      <c r="E712" t="s">
        <v>966</v>
      </c>
      <c r="F712">
        <v>75</v>
      </c>
      <c r="G712" t="b">
        <v>1</v>
      </c>
      <c r="H712">
        <v>1</v>
      </c>
    </row>
    <row r="713" spans="1:8" x14ac:dyDescent="0.25">
      <c r="A713" t="s">
        <v>1064</v>
      </c>
      <c r="B713" t="s">
        <v>1065</v>
      </c>
      <c r="C713">
        <v>20.65</v>
      </c>
      <c r="D713" t="s">
        <v>3084</v>
      </c>
      <c r="E713" t="s">
        <v>966</v>
      </c>
      <c r="F713">
        <v>75</v>
      </c>
      <c r="G713" t="b">
        <v>1</v>
      </c>
      <c r="H713">
        <v>1</v>
      </c>
    </row>
    <row r="714" spans="1:8" x14ac:dyDescent="0.25">
      <c r="A714" t="s">
        <v>1070</v>
      </c>
      <c r="B714" t="s">
        <v>1071</v>
      </c>
      <c r="C714">
        <v>92.9</v>
      </c>
      <c r="D714" t="s">
        <v>3084</v>
      </c>
      <c r="E714" t="s">
        <v>966</v>
      </c>
      <c r="F714">
        <v>75</v>
      </c>
      <c r="G714" t="b">
        <v>1</v>
      </c>
      <c r="H714">
        <v>1</v>
      </c>
    </row>
    <row r="715" spans="1:8" x14ac:dyDescent="0.25">
      <c r="A715" t="s">
        <v>1027</v>
      </c>
      <c r="B715" t="s">
        <v>1028</v>
      </c>
      <c r="C715">
        <v>65.099999999999994</v>
      </c>
      <c r="D715" t="s">
        <v>3084</v>
      </c>
      <c r="E715" t="s">
        <v>966</v>
      </c>
      <c r="F715">
        <v>75</v>
      </c>
      <c r="G715" t="b">
        <v>1</v>
      </c>
      <c r="H715">
        <v>1</v>
      </c>
    </row>
    <row r="716" spans="1:8" x14ac:dyDescent="0.25">
      <c r="A716" t="s">
        <v>1060</v>
      </c>
      <c r="B716" t="s">
        <v>1061</v>
      </c>
      <c r="C716">
        <v>80.8</v>
      </c>
      <c r="D716" t="s">
        <v>3084</v>
      </c>
      <c r="E716" t="s">
        <v>966</v>
      </c>
      <c r="F716">
        <v>75</v>
      </c>
      <c r="G716" t="b">
        <v>1</v>
      </c>
      <c r="H716">
        <v>1</v>
      </c>
    </row>
    <row r="717" spans="1:8" x14ac:dyDescent="0.25">
      <c r="A717" t="s">
        <v>1047</v>
      </c>
      <c r="B717" t="s">
        <v>1048</v>
      </c>
      <c r="C717">
        <v>176.6</v>
      </c>
      <c r="D717" t="s">
        <v>3084</v>
      </c>
      <c r="E717" t="s">
        <v>966</v>
      </c>
      <c r="F717">
        <v>75</v>
      </c>
      <c r="G717" t="b">
        <v>1</v>
      </c>
      <c r="H717">
        <v>1</v>
      </c>
    </row>
    <row r="718" spans="1:8" x14ac:dyDescent="0.25">
      <c r="A718" t="s">
        <v>975</v>
      </c>
      <c r="B718" t="s">
        <v>976</v>
      </c>
      <c r="C718">
        <v>191.65</v>
      </c>
      <c r="D718" t="s">
        <v>3084</v>
      </c>
      <c r="E718" t="s">
        <v>966</v>
      </c>
      <c r="F718">
        <v>75</v>
      </c>
      <c r="G718" t="b">
        <v>1</v>
      </c>
      <c r="H718">
        <v>1</v>
      </c>
    </row>
    <row r="719" spans="1:8" x14ac:dyDescent="0.25">
      <c r="A719" t="s">
        <v>977</v>
      </c>
      <c r="B719" t="s">
        <v>978</v>
      </c>
      <c r="C719">
        <v>204.6</v>
      </c>
      <c r="D719" t="s">
        <v>3084</v>
      </c>
      <c r="E719" t="s">
        <v>966</v>
      </c>
      <c r="F719">
        <v>75</v>
      </c>
      <c r="G719" t="b">
        <v>1</v>
      </c>
      <c r="H719">
        <v>1</v>
      </c>
    </row>
    <row r="720" spans="1:8" x14ac:dyDescent="0.25">
      <c r="A720" t="s">
        <v>1038</v>
      </c>
      <c r="B720" t="s">
        <v>1039</v>
      </c>
      <c r="C720">
        <v>122.1</v>
      </c>
      <c r="D720" t="s">
        <v>3084</v>
      </c>
      <c r="E720" t="s">
        <v>966</v>
      </c>
      <c r="F720">
        <v>75</v>
      </c>
      <c r="G720" t="b">
        <v>1</v>
      </c>
      <c r="H720">
        <v>1</v>
      </c>
    </row>
    <row r="721" spans="1:8" x14ac:dyDescent="0.25">
      <c r="A721" t="s">
        <v>1088</v>
      </c>
      <c r="B721" t="s">
        <v>1089</v>
      </c>
      <c r="C721">
        <v>25.35</v>
      </c>
      <c r="D721" t="s">
        <v>3084</v>
      </c>
      <c r="E721" t="s">
        <v>966</v>
      </c>
      <c r="F721">
        <v>75</v>
      </c>
      <c r="G721" t="b">
        <v>1</v>
      </c>
      <c r="H721">
        <v>1</v>
      </c>
    </row>
    <row r="722" spans="1:8" x14ac:dyDescent="0.25">
      <c r="A722" t="s">
        <v>1079</v>
      </c>
      <c r="B722" t="s">
        <v>1080</v>
      </c>
      <c r="C722">
        <v>55.45</v>
      </c>
      <c r="D722" t="s">
        <v>3084</v>
      </c>
      <c r="E722" t="s">
        <v>966</v>
      </c>
      <c r="F722">
        <v>75</v>
      </c>
      <c r="G722" t="b">
        <v>1</v>
      </c>
      <c r="H722">
        <v>1</v>
      </c>
    </row>
    <row r="723" spans="1:8" x14ac:dyDescent="0.25">
      <c r="A723" t="s">
        <v>1082</v>
      </c>
      <c r="B723" t="s">
        <v>1083</v>
      </c>
      <c r="C723">
        <v>69.3</v>
      </c>
      <c r="D723" t="s">
        <v>3084</v>
      </c>
      <c r="E723" t="s">
        <v>966</v>
      </c>
      <c r="F723">
        <v>75</v>
      </c>
      <c r="G723" t="b">
        <v>1</v>
      </c>
      <c r="H723">
        <v>1</v>
      </c>
    </row>
    <row r="724" spans="1:8" x14ac:dyDescent="0.25">
      <c r="A724" t="s">
        <v>1085</v>
      </c>
      <c r="B724" t="s">
        <v>1086</v>
      </c>
      <c r="C724">
        <v>54.3</v>
      </c>
      <c r="D724" t="s">
        <v>3084</v>
      </c>
      <c r="E724" t="s">
        <v>966</v>
      </c>
      <c r="F724">
        <v>75</v>
      </c>
      <c r="G724" t="b">
        <v>1</v>
      </c>
      <c r="H724">
        <v>1</v>
      </c>
    </row>
    <row r="725" spans="1:8" x14ac:dyDescent="0.25">
      <c r="A725" t="s">
        <v>1160</v>
      </c>
      <c r="B725" t="s">
        <v>1161</v>
      </c>
      <c r="C725">
        <v>30.4</v>
      </c>
      <c r="D725" t="s">
        <v>3084</v>
      </c>
      <c r="E725" t="s">
        <v>966</v>
      </c>
      <c r="F725">
        <v>75</v>
      </c>
      <c r="G725" t="b">
        <v>1</v>
      </c>
      <c r="H725">
        <v>1</v>
      </c>
    </row>
    <row r="726" spans="1:8" x14ac:dyDescent="0.25">
      <c r="A726" t="s">
        <v>1057</v>
      </c>
      <c r="B726" t="s">
        <v>1058</v>
      </c>
      <c r="C726">
        <v>26.5</v>
      </c>
      <c r="D726" t="s">
        <v>3084</v>
      </c>
      <c r="E726" t="s">
        <v>966</v>
      </c>
      <c r="F726">
        <v>75</v>
      </c>
      <c r="G726" t="b">
        <v>1</v>
      </c>
      <c r="H726">
        <v>1</v>
      </c>
    </row>
    <row r="727" spans="1:8" x14ac:dyDescent="0.25">
      <c r="A727" t="s">
        <v>979</v>
      </c>
      <c r="B727" t="s">
        <v>980</v>
      </c>
      <c r="C727">
        <v>61.8</v>
      </c>
      <c r="D727" t="s">
        <v>3084</v>
      </c>
      <c r="E727" t="s">
        <v>966</v>
      </c>
      <c r="F727">
        <v>75</v>
      </c>
      <c r="G727" t="b">
        <v>1</v>
      </c>
      <c r="H727">
        <v>1</v>
      </c>
    </row>
    <row r="728" spans="1:8" x14ac:dyDescent="0.25">
      <c r="A728" t="s">
        <v>1076</v>
      </c>
      <c r="B728" t="s">
        <v>1077</v>
      </c>
      <c r="C728">
        <v>84.9</v>
      </c>
      <c r="D728" t="s">
        <v>3084</v>
      </c>
      <c r="E728" t="s">
        <v>966</v>
      </c>
      <c r="F728">
        <v>75</v>
      </c>
      <c r="G728" t="b">
        <v>1</v>
      </c>
      <c r="H728">
        <v>1</v>
      </c>
    </row>
    <row r="729" spans="1:8" x14ac:dyDescent="0.25">
      <c r="A729" t="s">
        <v>1073</v>
      </c>
      <c r="B729" t="s">
        <v>1074</v>
      </c>
      <c r="C729">
        <v>58.4</v>
      </c>
      <c r="D729" t="s">
        <v>3084</v>
      </c>
      <c r="E729" t="s">
        <v>966</v>
      </c>
      <c r="F729">
        <v>75</v>
      </c>
      <c r="G729" t="b">
        <v>1</v>
      </c>
      <c r="H729">
        <v>1</v>
      </c>
    </row>
    <row r="730" spans="1:8" x14ac:dyDescent="0.25">
      <c r="A730" t="s">
        <v>1128</v>
      </c>
      <c r="B730" t="s">
        <v>1129</v>
      </c>
      <c r="C730">
        <v>165.7</v>
      </c>
      <c r="D730" t="s">
        <v>3084</v>
      </c>
      <c r="E730" t="s">
        <v>966</v>
      </c>
      <c r="F730">
        <v>75</v>
      </c>
      <c r="G730" t="b">
        <v>1</v>
      </c>
      <c r="H730">
        <v>1</v>
      </c>
    </row>
    <row r="731" spans="1:8" x14ac:dyDescent="0.25">
      <c r="A731" t="s">
        <v>1031</v>
      </c>
      <c r="B731" t="s">
        <v>1032</v>
      </c>
      <c r="C731">
        <v>76.349999999999994</v>
      </c>
      <c r="D731" t="s">
        <v>3084</v>
      </c>
      <c r="E731" t="s">
        <v>966</v>
      </c>
      <c r="F731">
        <v>75</v>
      </c>
      <c r="G731" t="b">
        <v>1</v>
      </c>
      <c r="H731">
        <v>1</v>
      </c>
    </row>
    <row r="732" spans="1:8" x14ac:dyDescent="0.25">
      <c r="A732" t="s">
        <v>1036</v>
      </c>
      <c r="B732" t="s">
        <v>1037</v>
      </c>
      <c r="C732">
        <v>121.2</v>
      </c>
      <c r="D732" t="s">
        <v>3084</v>
      </c>
      <c r="E732" t="s">
        <v>966</v>
      </c>
      <c r="F732">
        <v>75</v>
      </c>
      <c r="G732" t="b">
        <v>1</v>
      </c>
      <c r="H732">
        <v>1</v>
      </c>
    </row>
    <row r="733" spans="1:8" x14ac:dyDescent="0.25">
      <c r="A733" t="s">
        <v>1034</v>
      </c>
      <c r="B733" t="s">
        <v>1035</v>
      </c>
      <c r="C733">
        <v>142.1</v>
      </c>
      <c r="D733" t="s">
        <v>3084</v>
      </c>
      <c r="E733" t="s">
        <v>966</v>
      </c>
      <c r="F733">
        <v>75</v>
      </c>
      <c r="G733" t="b">
        <v>1</v>
      </c>
      <c r="H733">
        <v>1</v>
      </c>
    </row>
    <row r="734" spans="1:8" x14ac:dyDescent="0.25">
      <c r="A734" t="s">
        <v>1136</v>
      </c>
      <c r="B734" t="s">
        <v>1137</v>
      </c>
      <c r="C734">
        <v>163.5</v>
      </c>
      <c r="D734" t="s">
        <v>3084</v>
      </c>
      <c r="E734" t="s">
        <v>966</v>
      </c>
      <c r="F734">
        <v>75</v>
      </c>
      <c r="G734" t="b">
        <v>1</v>
      </c>
      <c r="H734">
        <v>1</v>
      </c>
    </row>
    <row r="735" spans="1:8" x14ac:dyDescent="0.25">
      <c r="A735" t="s">
        <v>1138</v>
      </c>
      <c r="B735" t="s">
        <v>1139</v>
      </c>
      <c r="C735">
        <v>180.15</v>
      </c>
      <c r="D735" t="s">
        <v>3084</v>
      </c>
      <c r="E735" t="s">
        <v>966</v>
      </c>
      <c r="F735">
        <v>75</v>
      </c>
      <c r="G735" t="b">
        <v>1</v>
      </c>
      <c r="H735">
        <v>1</v>
      </c>
    </row>
    <row r="736" spans="1:8" x14ac:dyDescent="0.25">
      <c r="A736" t="s">
        <v>981</v>
      </c>
      <c r="B736" t="s">
        <v>982</v>
      </c>
      <c r="C736">
        <v>163.5</v>
      </c>
      <c r="D736" t="s">
        <v>3084</v>
      </c>
      <c r="E736" t="s">
        <v>966</v>
      </c>
      <c r="F736">
        <v>75</v>
      </c>
      <c r="G736" t="b">
        <v>1</v>
      </c>
      <c r="H736">
        <v>1</v>
      </c>
    </row>
    <row r="737" spans="1:8" x14ac:dyDescent="0.25">
      <c r="A737" t="s">
        <v>983</v>
      </c>
      <c r="B737" t="s">
        <v>984</v>
      </c>
      <c r="C737">
        <v>51.5</v>
      </c>
      <c r="D737" t="s">
        <v>3084</v>
      </c>
      <c r="E737" t="s">
        <v>966</v>
      </c>
      <c r="F737">
        <v>75</v>
      </c>
      <c r="G737" t="b">
        <v>1</v>
      </c>
      <c r="H737">
        <v>1</v>
      </c>
    </row>
    <row r="738" spans="1:8" x14ac:dyDescent="0.25">
      <c r="A738" t="s">
        <v>578</v>
      </c>
      <c r="B738" t="s">
        <v>579</v>
      </c>
      <c r="C738">
        <v>53.05</v>
      </c>
      <c r="D738" t="s">
        <v>590</v>
      </c>
      <c r="E738" t="s">
        <v>574</v>
      </c>
      <c r="F738">
        <v>75</v>
      </c>
      <c r="G738" t="b">
        <v>1</v>
      </c>
      <c r="H738">
        <v>1</v>
      </c>
    </row>
    <row r="739" spans="1:8" x14ac:dyDescent="0.25">
      <c r="A739" t="s">
        <v>689</v>
      </c>
      <c r="B739" t="s">
        <v>690</v>
      </c>
      <c r="C739">
        <v>61</v>
      </c>
      <c r="D739" t="s">
        <v>590</v>
      </c>
      <c r="E739" t="s">
        <v>574</v>
      </c>
      <c r="F739">
        <v>75</v>
      </c>
      <c r="G739" t="b">
        <v>1</v>
      </c>
      <c r="H739">
        <v>1</v>
      </c>
    </row>
    <row r="740" spans="1:8" x14ac:dyDescent="0.25">
      <c r="A740" t="s">
        <v>581</v>
      </c>
      <c r="B740" t="s">
        <v>582</v>
      </c>
      <c r="C740">
        <v>58.4</v>
      </c>
      <c r="D740" t="s">
        <v>590</v>
      </c>
      <c r="E740" t="s">
        <v>574</v>
      </c>
      <c r="F740">
        <v>75</v>
      </c>
      <c r="G740" t="b">
        <v>1</v>
      </c>
      <c r="H740">
        <v>1</v>
      </c>
    </row>
    <row r="741" spans="1:8" x14ac:dyDescent="0.25">
      <c r="A741" t="s">
        <v>691</v>
      </c>
      <c r="B741" t="s">
        <v>692</v>
      </c>
      <c r="C741">
        <v>65</v>
      </c>
      <c r="D741" t="s">
        <v>590</v>
      </c>
      <c r="E741" t="s">
        <v>574</v>
      </c>
      <c r="F741">
        <v>75</v>
      </c>
      <c r="G741" t="b">
        <v>1</v>
      </c>
      <c r="H741">
        <v>1</v>
      </c>
    </row>
    <row r="742" spans="1:8" x14ac:dyDescent="0.25">
      <c r="A742" t="s">
        <v>693</v>
      </c>
      <c r="B742" t="s">
        <v>694</v>
      </c>
      <c r="C742">
        <v>74.95</v>
      </c>
      <c r="D742" t="s">
        <v>590</v>
      </c>
      <c r="E742" t="s">
        <v>574</v>
      </c>
      <c r="F742">
        <v>75</v>
      </c>
      <c r="G742" t="b">
        <v>1</v>
      </c>
      <c r="H742">
        <v>1</v>
      </c>
    </row>
    <row r="743" spans="1:8" x14ac:dyDescent="0.25">
      <c r="A743" t="s">
        <v>584</v>
      </c>
      <c r="B743" t="s">
        <v>585</v>
      </c>
      <c r="C743">
        <v>74.95</v>
      </c>
      <c r="D743" t="s">
        <v>590</v>
      </c>
      <c r="E743" t="s">
        <v>574</v>
      </c>
      <c r="F743">
        <v>75</v>
      </c>
      <c r="G743" t="b">
        <v>1</v>
      </c>
      <c r="H743">
        <v>1</v>
      </c>
    </row>
    <row r="744" spans="1:8" x14ac:dyDescent="0.25">
      <c r="A744" t="s">
        <v>571</v>
      </c>
      <c r="B744" t="s">
        <v>572</v>
      </c>
      <c r="C744">
        <v>56.9</v>
      </c>
      <c r="D744" t="s">
        <v>590</v>
      </c>
      <c r="E744" t="s">
        <v>574</v>
      </c>
      <c r="F744">
        <v>75</v>
      </c>
      <c r="G744" t="b">
        <v>1</v>
      </c>
      <c r="H744">
        <v>1</v>
      </c>
    </row>
    <row r="745" spans="1:8" x14ac:dyDescent="0.25">
      <c r="A745" t="s">
        <v>603</v>
      </c>
      <c r="B745" t="s">
        <v>604</v>
      </c>
      <c r="C745">
        <v>47.8</v>
      </c>
      <c r="D745" t="s">
        <v>590</v>
      </c>
      <c r="E745" t="s">
        <v>1414</v>
      </c>
      <c r="F745">
        <v>75</v>
      </c>
      <c r="G745" t="b">
        <v>1</v>
      </c>
      <c r="H745">
        <v>1</v>
      </c>
    </row>
    <row r="746" spans="1:8" x14ac:dyDescent="0.25">
      <c r="A746" t="s">
        <v>617</v>
      </c>
      <c r="B746" t="s">
        <v>618</v>
      </c>
      <c r="C746">
        <v>49.85</v>
      </c>
      <c r="D746" t="s">
        <v>590</v>
      </c>
      <c r="E746" t="s">
        <v>1414</v>
      </c>
      <c r="F746">
        <v>75</v>
      </c>
      <c r="G746" t="b">
        <v>1</v>
      </c>
      <c r="H746">
        <v>1</v>
      </c>
    </row>
    <row r="747" spans="1:8" x14ac:dyDescent="0.25">
      <c r="A747" t="s">
        <v>612</v>
      </c>
      <c r="B747" t="s">
        <v>613</v>
      </c>
      <c r="C747">
        <v>28.35</v>
      </c>
      <c r="D747" t="s">
        <v>590</v>
      </c>
      <c r="E747" t="s">
        <v>1414</v>
      </c>
      <c r="F747">
        <v>75</v>
      </c>
      <c r="G747" t="b">
        <v>1</v>
      </c>
      <c r="H747">
        <v>1</v>
      </c>
    </row>
    <row r="748" spans="1:8" x14ac:dyDescent="0.25">
      <c r="A748" t="s">
        <v>705</v>
      </c>
      <c r="B748" t="s">
        <v>706</v>
      </c>
      <c r="C748">
        <v>47.8</v>
      </c>
      <c r="D748" t="s">
        <v>590</v>
      </c>
      <c r="E748" t="s">
        <v>1414</v>
      </c>
      <c r="F748">
        <v>75</v>
      </c>
      <c r="G748" t="b">
        <v>1</v>
      </c>
      <c r="H748">
        <v>1</v>
      </c>
    </row>
    <row r="749" spans="1:8" x14ac:dyDescent="0.25">
      <c r="A749" t="s">
        <v>622</v>
      </c>
      <c r="B749" t="s">
        <v>623</v>
      </c>
      <c r="C749">
        <v>54.3</v>
      </c>
      <c r="D749" t="s">
        <v>590</v>
      </c>
      <c r="E749" t="s">
        <v>1414</v>
      </c>
      <c r="F749">
        <v>75</v>
      </c>
      <c r="G749" t="b">
        <v>1</v>
      </c>
      <c r="H749">
        <v>1</v>
      </c>
    </row>
    <row r="750" spans="1:8" x14ac:dyDescent="0.25">
      <c r="A750" t="s">
        <v>625</v>
      </c>
      <c r="B750" t="s">
        <v>626</v>
      </c>
      <c r="C750">
        <v>58.15</v>
      </c>
      <c r="D750" t="s">
        <v>590</v>
      </c>
      <c r="E750" t="s">
        <v>1414</v>
      </c>
      <c r="F750">
        <v>75</v>
      </c>
      <c r="G750" t="b">
        <v>1</v>
      </c>
      <c r="H750">
        <v>1</v>
      </c>
    </row>
    <row r="751" spans="1:8" x14ac:dyDescent="0.25">
      <c r="A751" t="s">
        <v>628</v>
      </c>
      <c r="B751" t="s">
        <v>629</v>
      </c>
      <c r="C751">
        <v>63.7</v>
      </c>
      <c r="D751" t="s">
        <v>590</v>
      </c>
      <c r="E751" t="s">
        <v>1414</v>
      </c>
      <c r="F751">
        <v>75</v>
      </c>
      <c r="G751" t="b">
        <v>1</v>
      </c>
      <c r="H751">
        <v>1</v>
      </c>
    </row>
    <row r="752" spans="1:8" x14ac:dyDescent="0.25">
      <c r="A752" t="s">
        <v>710</v>
      </c>
      <c r="B752" t="s">
        <v>711</v>
      </c>
      <c r="C752">
        <v>13.3</v>
      </c>
      <c r="D752" t="s">
        <v>590</v>
      </c>
      <c r="E752" t="s">
        <v>1414</v>
      </c>
      <c r="F752">
        <v>75</v>
      </c>
      <c r="G752" t="b">
        <v>1</v>
      </c>
      <c r="H752">
        <v>1</v>
      </c>
    </row>
    <row r="753" spans="1:8" x14ac:dyDescent="0.25">
      <c r="A753" t="s">
        <v>695</v>
      </c>
      <c r="B753" t="s">
        <v>696</v>
      </c>
      <c r="C753">
        <v>33.35</v>
      </c>
      <c r="D753" t="s">
        <v>590</v>
      </c>
      <c r="E753" t="s">
        <v>1414</v>
      </c>
      <c r="F753">
        <v>75</v>
      </c>
      <c r="G753" t="b">
        <v>1</v>
      </c>
      <c r="H753">
        <v>1</v>
      </c>
    </row>
    <row r="754" spans="1:8" x14ac:dyDescent="0.25">
      <c r="A754" t="s">
        <v>599</v>
      </c>
      <c r="B754" t="s">
        <v>600</v>
      </c>
      <c r="C754">
        <v>43.95</v>
      </c>
      <c r="D754" t="s">
        <v>590</v>
      </c>
      <c r="E754" t="s">
        <v>1414</v>
      </c>
      <c r="F754">
        <v>75</v>
      </c>
      <c r="G754" t="b">
        <v>1</v>
      </c>
      <c r="H754">
        <v>1</v>
      </c>
    </row>
    <row r="755" spans="1:8" x14ac:dyDescent="0.25">
      <c r="A755" t="s">
        <v>697</v>
      </c>
      <c r="B755" t="s">
        <v>698</v>
      </c>
      <c r="C755">
        <v>63.7</v>
      </c>
      <c r="D755" t="s">
        <v>590</v>
      </c>
      <c r="E755" t="s">
        <v>1414</v>
      </c>
      <c r="F755">
        <v>75</v>
      </c>
      <c r="G755" t="b">
        <v>1</v>
      </c>
      <c r="H755">
        <v>1</v>
      </c>
    </row>
    <row r="756" spans="1:8" x14ac:dyDescent="0.25">
      <c r="A756" t="s">
        <v>699</v>
      </c>
      <c r="B756" t="s">
        <v>700</v>
      </c>
      <c r="C756">
        <v>43.95</v>
      </c>
      <c r="D756" t="s">
        <v>590</v>
      </c>
      <c r="E756" t="s">
        <v>1414</v>
      </c>
      <c r="F756">
        <v>75</v>
      </c>
      <c r="G756" t="b">
        <v>1</v>
      </c>
      <c r="H756">
        <v>1</v>
      </c>
    </row>
    <row r="757" spans="1:8" x14ac:dyDescent="0.25">
      <c r="A757" t="s">
        <v>601</v>
      </c>
      <c r="B757" t="s">
        <v>602</v>
      </c>
      <c r="C757">
        <v>45.1</v>
      </c>
      <c r="D757" t="s">
        <v>590</v>
      </c>
      <c r="E757" t="s">
        <v>1414</v>
      </c>
      <c r="F757">
        <v>75</v>
      </c>
      <c r="G757" t="b">
        <v>1</v>
      </c>
      <c r="H757">
        <v>1</v>
      </c>
    </row>
    <row r="758" spans="1:8" x14ac:dyDescent="0.25">
      <c r="A758" t="s">
        <v>597</v>
      </c>
      <c r="B758" t="s">
        <v>598</v>
      </c>
      <c r="C758">
        <v>23.9</v>
      </c>
      <c r="D758" t="s">
        <v>590</v>
      </c>
      <c r="E758" t="s">
        <v>1414</v>
      </c>
      <c r="F758">
        <v>75</v>
      </c>
      <c r="G758" t="b">
        <v>1</v>
      </c>
      <c r="H758">
        <v>1</v>
      </c>
    </row>
    <row r="759" spans="1:8" x14ac:dyDescent="0.25">
      <c r="A759" t="s">
        <v>644</v>
      </c>
      <c r="B759" t="s">
        <v>645</v>
      </c>
      <c r="C759">
        <v>48.95</v>
      </c>
      <c r="D759" t="s">
        <v>590</v>
      </c>
      <c r="E759" t="s">
        <v>1414</v>
      </c>
      <c r="F759">
        <v>75</v>
      </c>
      <c r="G759" t="b">
        <v>1</v>
      </c>
      <c r="H759">
        <v>1</v>
      </c>
    </row>
    <row r="760" spans="1:8" x14ac:dyDescent="0.25">
      <c r="A760" t="s">
        <v>653</v>
      </c>
      <c r="B760" t="s">
        <v>654</v>
      </c>
      <c r="C760">
        <v>110.85</v>
      </c>
      <c r="D760" t="s">
        <v>590</v>
      </c>
      <c r="E760" t="s">
        <v>1414</v>
      </c>
      <c r="F760">
        <v>75</v>
      </c>
      <c r="G760" t="b">
        <v>1</v>
      </c>
      <c r="H760">
        <v>1</v>
      </c>
    </row>
    <row r="761" spans="1:8" x14ac:dyDescent="0.25">
      <c r="A761" t="s">
        <v>659</v>
      </c>
      <c r="B761" t="s">
        <v>660</v>
      </c>
      <c r="C761">
        <v>263.89999999999998</v>
      </c>
      <c r="D761" t="s">
        <v>590</v>
      </c>
      <c r="E761" t="s">
        <v>1414</v>
      </c>
      <c r="F761">
        <v>75</v>
      </c>
      <c r="G761" t="b">
        <v>1</v>
      </c>
      <c r="H761">
        <v>1</v>
      </c>
    </row>
    <row r="762" spans="1:8" x14ac:dyDescent="0.25">
      <c r="A762" t="s">
        <v>647</v>
      </c>
      <c r="B762" t="s">
        <v>648</v>
      </c>
      <c r="C762">
        <v>100.2</v>
      </c>
      <c r="D762" t="s">
        <v>590</v>
      </c>
      <c r="E762" t="s">
        <v>1414</v>
      </c>
      <c r="F762">
        <v>75</v>
      </c>
      <c r="G762" t="b">
        <v>1</v>
      </c>
      <c r="H762">
        <v>1</v>
      </c>
    </row>
    <row r="763" spans="1:8" x14ac:dyDescent="0.25">
      <c r="A763" t="s">
        <v>650</v>
      </c>
      <c r="B763" t="s">
        <v>651</v>
      </c>
      <c r="C763">
        <v>76.650000000000006</v>
      </c>
      <c r="D763" t="s">
        <v>590</v>
      </c>
      <c r="E763" t="s">
        <v>1414</v>
      </c>
      <c r="F763">
        <v>75</v>
      </c>
      <c r="G763" t="b">
        <v>1</v>
      </c>
      <c r="H763">
        <v>1</v>
      </c>
    </row>
    <row r="764" spans="1:8" x14ac:dyDescent="0.25">
      <c r="A764" t="s">
        <v>665</v>
      </c>
      <c r="B764" t="s">
        <v>666</v>
      </c>
      <c r="C764">
        <v>23.5</v>
      </c>
      <c r="D764" t="s">
        <v>590</v>
      </c>
      <c r="E764" t="s">
        <v>1414</v>
      </c>
      <c r="F764">
        <v>75</v>
      </c>
      <c r="G764" t="b">
        <v>1</v>
      </c>
      <c r="H764">
        <v>1</v>
      </c>
    </row>
    <row r="765" spans="1:8" x14ac:dyDescent="0.25">
      <c r="A765" t="s">
        <v>720</v>
      </c>
      <c r="B765" t="s">
        <v>721</v>
      </c>
      <c r="C765">
        <v>263.89999999999998</v>
      </c>
      <c r="D765" t="s">
        <v>590</v>
      </c>
      <c r="E765" t="s">
        <v>1414</v>
      </c>
      <c r="F765">
        <v>75</v>
      </c>
      <c r="G765" t="b">
        <v>1</v>
      </c>
      <c r="H765">
        <v>1</v>
      </c>
    </row>
    <row r="766" spans="1:8" x14ac:dyDescent="0.25">
      <c r="A766" t="s">
        <v>723</v>
      </c>
      <c r="B766" t="s">
        <v>724</v>
      </c>
      <c r="C766">
        <v>100.2</v>
      </c>
      <c r="D766" t="s">
        <v>590</v>
      </c>
      <c r="E766" t="s">
        <v>1414</v>
      </c>
      <c r="F766">
        <v>75</v>
      </c>
      <c r="G766" t="b">
        <v>1</v>
      </c>
      <c r="H766">
        <v>1</v>
      </c>
    </row>
    <row r="767" spans="1:8" x14ac:dyDescent="0.25">
      <c r="A767" t="s">
        <v>725</v>
      </c>
      <c r="B767" t="s">
        <v>726</v>
      </c>
      <c r="C767">
        <v>76.75</v>
      </c>
      <c r="D767" t="s">
        <v>590</v>
      </c>
      <c r="E767" t="s">
        <v>1414</v>
      </c>
      <c r="F767">
        <v>75</v>
      </c>
      <c r="G767" t="b">
        <v>1</v>
      </c>
      <c r="H767">
        <v>1</v>
      </c>
    </row>
    <row r="768" spans="1:8" x14ac:dyDescent="0.25">
      <c r="A768" t="s">
        <v>727</v>
      </c>
      <c r="B768" t="s">
        <v>728</v>
      </c>
      <c r="C768">
        <v>200</v>
      </c>
      <c r="D768" t="s">
        <v>590</v>
      </c>
      <c r="E768" t="s">
        <v>1414</v>
      </c>
      <c r="F768">
        <v>75</v>
      </c>
      <c r="G768" t="b">
        <v>1</v>
      </c>
      <c r="H768">
        <v>1</v>
      </c>
    </row>
    <row r="769" spans="1:8" x14ac:dyDescent="0.25">
      <c r="A769" t="s">
        <v>729</v>
      </c>
      <c r="B769" t="s">
        <v>730</v>
      </c>
      <c r="C769">
        <v>100</v>
      </c>
      <c r="D769" t="s">
        <v>590</v>
      </c>
      <c r="E769" t="s">
        <v>1414</v>
      </c>
      <c r="F769">
        <v>75</v>
      </c>
      <c r="G769" t="b">
        <v>1</v>
      </c>
      <c r="H769">
        <v>1</v>
      </c>
    </row>
    <row r="770" spans="1:8" x14ac:dyDescent="0.25">
      <c r="A770" t="s">
        <v>707</v>
      </c>
      <c r="B770" t="s">
        <v>708</v>
      </c>
      <c r="C770">
        <v>37.15</v>
      </c>
      <c r="D770" t="s">
        <v>590</v>
      </c>
      <c r="E770" t="s">
        <v>1414</v>
      </c>
      <c r="F770">
        <v>75</v>
      </c>
      <c r="G770" t="b">
        <v>1</v>
      </c>
      <c r="H770">
        <v>1</v>
      </c>
    </row>
    <row r="771" spans="1:8" x14ac:dyDescent="0.25">
      <c r="A771" t="s">
        <v>633</v>
      </c>
      <c r="B771" t="s">
        <v>634</v>
      </c>
      <c r="C771">
        <v>39.200000000000003</v>
      </c>
      <c r="D771" t="s">
        <v>590</v>
      </c>
      <c r="E771" t="s">
        <v>1414</v>
      </c>
      <c r="F771">
        <v>75</v>
      </c>
      <c r="G771" t="b">
        <v>1</v>
      </c>
      <c r="H771">
        <v>1</v>
      </c>
    </row>
    <row r="772" spans="1:8" x14ac:dyDescent="0.25">
      <c r="A772" t="s">
        <v>668</v>
      </c>
      <c r="B772" t="s">
        <v>669</v>
      </c>
      <c r="C772">
        <v>117.95</v>
      </c>
      <c r="D772" t="s">
        <v>590</v>
      </c>
      <c r="E772" t="s">
        <v>1414</v>
      </c>
      <c r="F772">
        <v>75</v>
      </c>
      <c r="G772" t="b">
        <v>1</v>
      </c>
      <c r="H772">
        <v>1</v>
      </c>
    </row>
    <row r="773" spans="1:8" x14ac:dyDescent="0.25">
      <c r="A773" t="s">
        <v>670</v>
      </c>
      <c r="B773" t="s">
        <v>671</v>
      </c>
      <c r="C773">
        <v>138.9</v>
      </c>
      <c r="D773" t="s">
        <v>590</v>
      </c>
      <c r="E773" t="s">
        <v>1414</v>
      </c>
      <c r="F773">
        <v>75</v>
      </c>
      <c r="G773" t="b">
        <v>1</v>
      </c>
      <c r="H773">
        <v>1</v>
      </c>
    </row>
    <row r="774" spans="1:8" x14ac:dyDescent="0.25">
      <c r="A774" t="s">
        <v>731</v>
      </c>
      <c r="B774" t="s">
        <v>732</v>
      </c>
      <c r="C774">
        <v>189</v>
      </c>
      <c r="D774" t="s">
        <v>590</v>
      </c>
      <c r="E774" t="s">
        <v>1414</v>
      </c>
      <c r="F774">
        <v>75</v>
      </c>
      <c r="G774" t="b">
        <v>1</v>
      </c>
      <c r="H774">
        <v>1</v>
      </c>
    </row>
    <row r="775" spans="1:8" x14ac:dyDescent="0.25">
      <c r="A775" t="s">
        <v>639</v>
      </c>
      <c r="B775" t="s">
        <v>640</v>
      </c>
      <c r="C775">
        <v>54.3</v>
      </c>
      <c r="D775" t="s">
        <v>590</v>
      </c>
      <c r="E775" t="s">
        <v>1414</v>
      </c>
      <c r="F775">
        <v>75</v>
      </c>
      <c r="G775" t="b">
        <v>1</v>
      </c>
      <c r="H775">
        <v>1</v>
      </c>
    </row>
    <row r="776" spans="1:8" x14ac:dyDescent="0.25">
      <c r="A776" t="s">
        <v>636</v>
      </c>
      <c r="B776" t="s">
        <v>637</v>
      </c>
      <c r="C776">
        <v>47.15</v>
      </c>
      <c r="D776" t="s">
        <v>590</v>
      </c>
      <c r="E776" t="s">
        <v>1414</v>
      </c>
      <c r="F776">
        <v>75</v>
      </c>
      <c r="G776" t="b">
        <v>1</v>
      </c>
      <c r="H776">
        <v>1</v>
      </c>
    </row>
    <row r="777" spans="1:8" x14ac:dyDescent="0.25">
      <c r="A777" t="s">
        <v>701</v>
      </c>
      <c r="B777" t="s">
        <v>702</v>
      </c>
      <c r="C777">
        <v>66</v>
      </c>
      <c r="D777" t="s">
        <v>590</v>
      </c>
      <c r="E777" t="s">
        <v>1414</v>
      </c>
      <c r="F777">
        <v>75</v>
      </c>
      <c r="G777" t="b">
        <v>1</v>
      </c>
      <c r="H777">
        <v>1</v>
      </c>
    </row>
    <row r="778" spans="1:8" x14ac:dyDescent="0.25">
      <c r="A778" t="s">
        <v>713</v>
      </c>
      <c r="B778" t="s">
        <v>714</v>
      </c>
      <c r="C778">
        <v>13.3</v>
      </c>
      <c r="D778" t="s">
        <v>590</v>
      </c>
      <c r="E778" t="s">
        <v>1414</v>
      </c>
      <c r="F778">
        <v>75</v>
      </c>
      <c r="G778" t="b">
        <v>1</v>
      </c>
      <c r="H778">
        <v>1</v>
      </c>
    </row>
    <row r="779" spans="1:8" x14ac:dyDescent="0.25">
      <c r="A779" t="s">
        <v>715</v>
      </c>
      <c r="B779" t="s">
        <v>716</v>
      </c>
      <c r="C779">
        <v>13.3</v>
      </c>
      <c r="D779" t="s">
        <v>590</v>
      </c>
      <c r="E779" t="s">
        <v>1414</v>
      </c>
      <c r="F779">
        <v>75</v>
      </c>
      <c r="G779" t="b">
        <v>1</v>
      </c>
      <c r="H779">
        <v>1</v>
      </c>
    </row>
    <row r="780" spans="1:8" x14ac:dyDescent="0.25">
      <c r="A780" t="s">
        <v>662</v>
      </c>
      <c r="B780" t="s">
        <v>663</v>
      </c>
      <c r="C780">
        <v>57.2</v>
      </c>
      <c r="D780" t="s">
        <v>590</v>
      </c>
      <c r="E780" t="s">
        <v>1414</v>
      </c>
      <c r="F780">
        <v>75</v>
      </c>
      <c r="G780" t="b">
        <v>1</v>
      </c>
      <c r="H780">
        <v>1</v>
      </c>
    </row>
    <row r="781" spans="1:8" x14ac:dyDescent="0.25">
      <c r="A781" t="s">
        <v>587</v>
      </c>
      <c r="B781" t="s">
        <v>588</v>
      </c>
      <c r="C781">
        <v>63.7</v>
      </c>
      <c r="D781" t="s">
        <v>590</v>
      </c>
      <c r="E781" t="s">
        <v>1414</v>
      </c>
      <c r="F781">
        <v>75</v>
      </c>
      <c r="G781" t="b">
        <v>1</v>
      </c>
      <c r="H781">
        <v>1</v>
      </c>
    </row>
    <row r="782" spans="1:8" x14ac:dyDescent="0.25">
      <c r="A782" t="s">
        <v>609</v>
      </c>
      <c r="B782" t="s">
        <v>610</v>
      </c>
      <c r="C782">
        <v>54.3</v>
      </c>
      <c r="D782" t="s">
        <v>590</v>
      </c>
      <c r="E782" t="s">
        <v>1414</v>
      </c>
      <c r="F782">
        <v>75</v>
      </c>
      <c r="G782" t="b">
        <v>1</v>
      </c>
      <c r="H782">
        <v>1</v>
      </c>
    </row>
    <row r="783" spans="1:8" x14ac:dyDescent="0.25">
      <c r="A783" t="s">
        <v>594</v>
      </c>
      <c r="B783" t="s">
        <v>595</v>
      </c>
      <c r="C783">
        <v>69.8</v>
      </c>
      <c r="D783" t="s">
        <v>590</v>
      </c>
      <c r="E783" t="s">
        <v>1414</v>
      </c>
      <c r="F783">
        <v>75</v>
      </c>
      <c r="G783" t="b">
        <v>1</v>
      </c>
      <c r="H783">
        <v>1</v>
      </c>
    </row>
    <row r="784" spans="1:8" x14ac:dyDescent="0.25">
      <c r="A784" t="s">
        <v>614</v>
      </c>
      <c r="B784" t="s">
        <v>615</v>
      </c>
      <c r="C784">
        <v>35</v>
      </c>
      <c r="D784" t="s">
        <v>590</v>
      </c>
      <c r="E784" t="s">
        <v>1414</v>
      </c>
      <c r="F784">
        <v>75</v>
      </c>
      <c r="G784" t="b">
        <v>1</v>
      </c>
      <c r="H784">
        <v>1</v>
      </c>
    </row>
    <row r="785" spans="1:8" x14ac:dyDescent="0.25">
      <c r="A785" t="s">
        <v>606</v>
      </c>
      <c r="B785" t="s">
        <v>607</v>
      </c>
      <c r="C785">
        <v>54.45</v>
      </c>
      <c r="D785" t="s">
        <v>590</v>
      </c>
      <c r="E785" t="s">
        <v>1414</v>
      </c>
      <c r="F785">
        <v>75</v>
      </c>
      <c r="G785" t="b">
        <v>1</v>
      </c>
      <c r="H785">
        <v>1</v>
      </c>
    </row>
    <row r="786" spans="1:8" x14ac:dyDescent="0.25">
      <c r="A786" t="s">
        <v>591</v>
      </c>
      <c r="B786" t="s">
        <v>592</v>
      </c>
      <c r="C786">
        <v>65.099999999999994</v>
      </c>
      <c r="D786" t="s">
        <v>590</v>
      </c>
      <c r="E786" t="s">
        <v>1414</v>
      </c>
      <c r="F786">
        <v>75</v>
      </c>
      <c r="G786" t="b">
        <v>1</v>
      </c>
      <c r="H786">
        <v>1</v>
      </c>
    </row>
    <row r="787" spans="1:8" x14ac:dyDescent="0.25">
      <c r="A787" t="s">
        <v>703</v>
      </c>
      <c r="B787" t="s">
        <v>704</v>
      </c>
      <c r="C787">
        <v>58.15</v>
      </c>
      <c r="D787" t="s">
        <v>590</v>
      </c>
      <c r="E787" t="s">
        <v>1414</v>
      </c>
      <c r="F787">
        <v>75</v>
      </c>
      <c r="G787" t="b">
        <v>1</v>
      </c>
      <c r="H787">
        <v>1</v>
      </c>
    </row>
    <row r="788" spans="1:8" x14ac:dyDescent="0.25">
      <c r="A788" t="s">
        <v>3157</v>
      </c>
      <c r="B788" t="s">
        <v>2444</v>
      </c>
      <c r="C788">
        <v>3.55</v>
      </c>
      <c r="D788" t="s">
        <v>590</v>
      </c>
      <c r="E788" t="s">
        <v>942</v>
      </c>
      <c r="F788">
        <v>75</v>
      </c>
      <c r="G788" t="b">
        <v>0</v>
      </c>
      <c r="H788">
        <v>1</v>
      </c>
    </row>
    <row r="789" spans="1:8" x14ac:dyDescent="0.25">
      <c r="A789" t="s">
        <v>3157</v>
      </c>
      <c r="B789" t="s">
        <v>657</v>
      </c>
      <c r="C789">
        <v>16.55</v>
      </c>
      <c r="D789" t="s">
        <v>590</v>
      </c>
      <c r="E789" t="s">
        <v>942</v>
      </c>
      <c r="F789">
        <v>75</v>
      </c>
      <c r="G789" t="b">
        <v>0</v>
      </c>
      <c r="H789">
        <v>1</v>
      </c>
    </row>
    <row r="790" spans="1:8" x14ac:dyDescent="0.25">
      <c r="A790" t="s">
        <v>3157</v>
      </c>
      <c r="B790" t="s">
        <v>533</v>
      </c>
      <c r="C790">
        <v>10.6</v>
      </c>
      <c r="D790" t="s">
        <v>590</v>
      </c>
      <c r="E790" t="s">
        <v>942</v>
      </c>
      <c r="F790">
        <v>75</v>
      </c>
      <c r="G790" t="b">
        <v>0</v>
      </c>
      <c r="H790">
        <v>1</v>
      </c>
    </row>
    <row r="791" spans="1:8" x14ac:dyDescent="0.25">
      <c r="A791" t="s">
        <v>3157</v>
      </c>
      <c r="B791" t="s">
        <v>2446</v>
      </c>
      <c r="C791">
        <v>2.7</v>
      </c>
      <c r="D791" t="s">
        <v>590</v>
      </c>
      <c r="E791" t="s">
        <v>942</v>
      </c>
      <c r="F791">
        <v>75</v>
      </c>
      <c r="G791" t="b">
        <v>0</v>
      </c>
      <c r="H791">
        <v>1</v>
      </c>
    </row>
    <row r="792" spans="1:8" x14ac:dyDescent="0.25">
      <c r="A792" t="s">
        <v>3157</v>
      </c>
      <c r="B792" t="s">
        <v>2448</v>
      </c>
      <c r="C792">
        <v>4.1500000000000004</v>
      </c>
      <c r="D792" t="s">
        <v>590</v>
      </c>
      <c r="E792" t="s">
        <v>942</v>
      </c>
      <c r="F792">
        <v>75</v>
      </c>
      <c r="G792" t="b">
        <v>0</v>
      </c>
      <c r="H792">
        <v>1</v>
      </c>
    </row>
    <row r="793" spans="1:8" x14ac:dyDescent="0.25">
      <c r="A793" t="s">
        <v>3157</v>
      </c>
      <c r="B793" t="s">
        <v>2450</v>
      </c>
      <c r="C793">
        <v>3.85</v>
      </c>
      <c r="D793" t="s">
        <v>590</v>
      </c>
      <c r="E793" t="s">
        <v>942</v>
      </c>
      <c r="F793">
        <v>75</v>
      </c>
      <c r="G793" t="b">
        <v>0</v>
      </c>
      <c r="H793">
        <v>1</v>
      </c>
    </row>
    <row r="794" spans="1:8" x14ac:dyDescent="0.25">
      <c r="A794" t="s">
        <v>3157</v>
      </c>
      <c r="B794" t="s">
        <v>2452</v>
      </c>
      <c r="C794">
        <v>3.85</v>
      </c>
      <c r="D794" t="s">
        <v>590</v>
      </c>
      <c r="E794" t="s">
        <v>942</v>
      </c>
      <c r="F794">
        <v>75</v>
      </c>
      <c r="G794" t="b">
        <v>0</v>
      </c>
      <c r="H794">
        <v>1</v>
      </c>
    </row>
    <row r="795" spans="1:8" x14ac:dyDescent="0.25">
      <c r="A795" t="s">
        <v>3157</v>
      </c>
      <c r="B795" t="s">
        <v>2454</v>
      </c>
      <c r="C795">
        <v>3.85</v>
      </c>
      <c r="D795" t="s">
        <v>590</v>
      </c>
      <c r="E795" t="s">
        <v>942</v>
      </c>
      <c r="F795">
        <v>75</v>
      </c>
      <c r="G795" t="b">
        <v>0</v>
      </c>
      <c r="H795">
        <v>1</v>
      </c>
    </row>
    <row r="796" spans="1:8" x14ac:dyDescent="0.25">
      <c r="A796" t="s">
        <v>3157</v>
      </c>
      <c r="B796" t="s">
        <v>2462</v>
      </c>
      <c r="C796">
        <v>18.899999999999999</v>
      </c>
      <c r="D796" t="s">
        <v>590</v>
      </c>
      <c r="E796" t="s">
        <v>942</v>
      </c>
      <c r="F796">
        <v>75</v>
      </c>
      <c r="G796" t="b">
        <v>0</v>
      </c>
      <c r="H796">
        <v>1</v>
      </c>
    </row>
    <row r="797" spans="1:8" x14ac:dyDescent="0.25">
      <c r="A797" t="s">
        <v>3164</v>
      </c>
      <c r="B797" t="s">
        <v>2482</v>
      </c>
      <c r="C797">
        <v>3.55</v>
      </c>
      <c r="D797" t="s">
        <v>590</v>
      </c>
      <c r="E797" t="s">
        <v>942</v>
      </c>
      <c r="F797">
        <v>75</v>
      </c>
      <c r="G797" t="b">
        <v>0</v>
      </c>
      <c r="H797">
        <v>1</v>
      </c>
    </row>
    <row r="798" spans="1:8" x14ac:dyDescent="0.25">
      <c r="A798" t="s">
        <v>3164</v>
      </c>
      <c r="B798" t="s">
        <v>2480</v>
      </c>
      <c r="C798">
        <v>3.55</v>
      </c>
      <c r="D798" t="s">
        <v>590</v>
      </c>
      <c r="E798" t="s">
        <v>942</v>
      </c>
      <c r="F798">
        <v>75</v>
      </c>
      <c r="G798" t="b">
        <v>0</v>
      </c>
      <c r="H798">
        <v>1</v>
      </c>
    </row>
    <row r="799" spans="1:8" x14ac:dyDescent="0.25">
      <c r="A799" t="s">
        <v>3164</v>
      </c>
      <c r="B799" t="s">
        <v>2486</v>
      </c>
      <c r="C799">
        <v>3.55</v>
      </c>
      <c r="D799" t="s">
        <v>590</v>
      </c>
      <c r="E799" t="s">
        <v>942</v>
      </c>
      <c r="F799">
        <v>75</v>
      </c>
      <c r="G799" t="b">
        <v>0</v>
      </c>
      <c r="H799">
        <v>1</v>
      </c>
    </row>
    <row r="800" spans="1:8" x14ac:dyDescent="0.25">
      <c r="A800" t="s">
        <v>3164</v>
      </c>
      <c r="B800" t="s">
        <v>2488</v>
      </c>
      <c r="C800">
        <v>3.55</v>
      </c>
      <c r="D800" t="s">
        <v>590</v>
      </c>
      <c r="E800" t="s">
        <v>942</v>
      </c>
      <c r="F800">
        <v>75</v>
      </c>
      <c r="G800" t="b">
        <v>0</v>
      </c>
      <c r="H800">
        <v>1</v>
      </c>
    </row>
    <row r="801" spans="1:8" x14ac:dyDescent="0.25">
      <c r="A801" t="s">
        <v>3164</v>
      </c>
      <c r="B801" t="s">
        <v>2492</v>
      </c>
      <c r="C801">
        <v>3.55</v>
      </c>
      <c r="D801" t="s">
        <v>590</v>
      </c>
      <c r="E801" t="s">
        <v>942</v>
      </c>
      <c r="F801">
        <v>75</v>
      </c>
      <c r="G801" t="b">
        <v>0</v>
      </c>
      <c r="H801">
        <v>1</v>
      </c>
    </row>
    <row r="802" spans="1:8" x14ac:dyDescent="0.25">
      <c r="A802" t="s">
        <v>3164</v>
      </c>
      <c r="B802" t="s">
        <v>2494</v>
      </c>
      <c r="C802">
        <v>3.55</v>
      </c>
      <c r="D802" t="s">
        <v>590</v>
      </c>
      <c r="E802" t="s">
        <v>942</v>
      </c>
      <c r="F802">
        <v>75</v>
      </c>
      <c r="G802" t="b">
        <v>0</v>
      </c>
      <c r="H802">
        <v>1</v>
      </c>
    </row>
    <row r="803" spans="1:8" x14ac:dyDescent="0.25">
      <c r="A803" t="s">
        <v>3164</v>
      </c>
      <c r="B803" t="s">
        <v>2496</v>
      </c>
      <c r="C803">
        <v>3.55</v>
      </c>
      <c r="D803" t="s">
        <v>590</v>
      </c>
      <c r="E803" t="s">
        <v>942</v>
      </c>
      <c r="F803">
        <v>75</v>
      </c>
      <c r="G803" t="b">
        <v>0</v>
      </c>
      <c r="H803">
        <v>1</v>
      </c>
    </row>
    <row r="804" spans="1:8" x14ac:dyDescent="0.25">
      <c r="A804" t="s">
        <v>3164</v>
      </c>
      <c r="B804" t="s">
        <v>2498</v>
      </c>
      <c r="C804">
        <v>3.55</v>
      </c>
      <c r="D804" t="s">
        <v>590</v>
      </c>
      <c r="E804" t="s">
        <v>942</v>
      </c>
      <c r="F804">
        <v>75</v>
      </c>
      <c r="G804" t="b">
        <v>0</v>
      </c>
      <c r="H804">
        <v>1</v>
      </c>
    </row>
    <row r="805" spans="1:8" x14ac:dyDescent="0.25">
      <c r="A805" t="s">
        <v>3164</v>
      </c>
      <c r="B805" t="s">
        <v>2500</v>
      </c>
      <c r="C805">
        <v>3.55</v>
      </c>
      <c r="D805" t="s">
        <v>590</v>
      </c>
      <c r="E805" t="s">
        <v>942</v>
      </c>
      <c r="F805">
        <v>75</v>
      </c>
      <c r="G805" t="b">
        <v>0</v>
      </c>
      <c r="H805">
        <v>1</v>
      </c>
    </row>
    <row r="806" spans="1:8" x14ac:dyDescent="0.25">
      <c r="A806" t="s">
        <v>3164</v>
      </c>
      <c r="B806" t="s">
        <v>2502</v>
      </c>
      <c r="C806">
        <v>3.55</v>
      </c>
      <c r="D806" t="s">
        <v>590</v>
      </c>
      <c r="E806" t="s">
        <v>942</v>
      </c>
      <c r="F806">
        <v>75</v>
      </c>
      <c r="G806" t="b">
        <v>0</v>
      </c>
      <c r="H806">
        <v>1</v>
      </c>
    </row>
    <row r="807" spans="1:8" x14ac:dyDescent="0.25">
      <c r="A807" t="s">
        <v>3164</v>
      </c>
      <c r="B807" t="s">
        <v>2504</v>
      </c>
      <c r="C807">
        <v>3.55</v>
      </c>
      <c r="D807" t="s">
        <v>590</v>
      </c>
      <c r="E807" t="s">
        <v>942</v>
      </c>
      <c r="F807">
        <v>75</v>
      </c>
      <c r="G807" t="b">
        <v>0</v>
      </c>
      <c r="H807">
        <v>1</v>
      </c>
    </row>
    <row r="808" spans="1:8" x14ac:dyDescent="0.25">
      <c r="A808" t="s">
        <v>3164</v>
      </c>
      <c r="B808" t="s">
        <v>2506</v>
      </c>
      <c r="C808">
        <v>3.55</v>
      </c>
      <c r="D808" t="s">
        <v>590</v>
      </c>
      <c r="E808" t="s">
        <v>942</v>
      </c>
      <c r="F808">
        <v>75</v>
      </c>
      <c r="G808" t="b">
        <v>0</v>
      </c>
      <c r="H808">
        <v>1</v>
      </c>
    </row>
    <row r="809" spans="1:8" x14ac:dyDescent="0.25">
      <c r="A809" t="s">
        <v>3164</v>
      </c>
      <c r="B809" t="s">
        <v>2508</v>
      </c>
      <c r="C809">
        <v>3.55</v>
      </c>
      <c r="D809" t="s">
        <v>590</v>
      </c>
      <c r="E809" t="s">
        <v>942</v>
      </c>
      <c r="F809">
        <v>75</v>
      </c>
      <c r="G809" t="b">
        <v>0</v>
      </c>
      <c r="H809">
        <v>1</v>
      </c>
    </row>
    <row r="810" spans="1:8" x14ac:dyDescent="0.25">
      <c r="A810" t="s">
        <v>3164</v>
      </c>
      <c r="B810" t="s">
        <v>2484</v>
      </c>
      <c r="C810">
        <v>3.55</v>
      </c>
      <c r="D810" t="s">
        <v>590</v>
      </c>
      <c r="E810" t="s">
        <v>942</v>
      </c>
      <c r="F810">
        <v>75</v>
      </c>
      <c r="G810" t="b">
        <v>0</v>
      </c>
      <c r="H810">
        <v>1</v>
      </c>
    </row>
    <row r="811" spans="1:8" x14ac:dyDescent="0.25">
      <c r="A811" t="s">
        <v>3164</v>
      </c>
      <c r="B811" t="s">
        <v>2490</v>
      </c>
      <c r="C811">
        <v>3.55</v>
      </c>
      <c r="D811" t="s">
        <v>590</v>
      </c>
      <c r="E811" t="s">
        <v>942</v>
      </c>
      <c r="F811">
        <v>75</v>
      </c>
      <c r="G811" t="b">
        <v>0</v>
      </c>
      <c r="H811">
        <v>1</v>
      </c>
    </row>
    <row r="812" spans="1:8" x14ac:dyDescent="0.25">
      <c r="A812" t="s">
        <v>3166</v>
      </c>
      <c r="B812" t="s">
        <v>2610</v>
      </c>
      <c r="C812">
        <v>3.55</v>
      </c>
      <c r="D812" t="s">
        <v>590</v>
      </c>
      <c r="E812" t="s">
        <v>942</v>
      </c>
      <c r="F812">
        <v>75</v>
      </c>
      <c r="G812" t="b">
        <v>0</v>
      </c>
      <c r="H812">
        <v>1</v>
      </c>
    </row>
    <row r="813" spans="1:8" x14ac:dyDescent="0.25">
      <c r="A813" t="s">
        <v>3166</v>
      </c>
      <c r="B813" t="s">
        <v>2614</v>
      </c>
      <c r="C813">
        <v>3.55</v>
      </c>
      <c r="D813" t="s">
        <v>590</v>
      </c>
      <c r="E813" t="s">
        <v>942</v>
      </c>
      <c r="F813">
        <v>75</v>
      </c>
      <c r="G813" t="b">
        <v>0</v>
      </c>
      <c r="H813">
        <v>1</v>
      </c>
    </row>
    <row r="814" spans="1:8" x14ac:dyDescent="0.25">
      <c r="A814" t="s">
        <v>3166</v>
      </c>
      <c r="B814" t="s">
        <v>2568</v>
      </c>
      <c r="C814">
        <v>3.55</v>
      </c>
      <c r="D814" t="s">
        <v>590</v>
      </c>
      <c r="E814" t="s">
        <v>942</v>
      </c>
      <c r="F814">
        <v>75</v>
      </c>
      <c r="G814" t="b">
        <v>0</v>
      </c>
      <c r="H814">
        <v>1</v>
      </c>
    </row>
    <row r="815" spans="1:8" x14ac:dyDescent="0.25">
      <c r="A815" t="s">
        <v>3166</v>
      </c>
      <c r="B815" t="s">
        <v>2550</v>
      </c>
      <c r="C815">
        <v>3.55</v>
      </c>
      <c r="D815" t="s">
        <v>590</v>
      </c>
      <c r="E815" t="s">
        <v>942</v>
      </c>
      <c r="F815">
        <v>75</v>
      </c>
      <c r="G815" t="b">
        <v>0</v>
      </c>
      <c r="H815">
        <v>1</v>
      </c>
    </row>
    <row r="816" spans="1:8" x14ac:dyDescent="0.25">
      <c r="A816" t="s">
        <v>3166</v>
      </c>
      <c r="B816" t="s">
        <v>2552</v>
      </c>
      <c r="C816">
        <v>3.55</v>
      </c>
      <c r="D816" t="s">
        <v>590</v>
      </c>
      <c r="E816" t="s">
        <v>942</v>
      </c>
      <c r="F816">
        <v>75</v>
      </c>
      <c r="G816" t="b">
        <v>0</v>
      </c>
      <c r="H816">
        <v>1</v>
      </c>
    </row>
    <row r="817" spans="1:8" x14ac:dyDescent="0.25">
      <c r="A817" t="s">
        <v>3166</v>
      </c>
      <c r="B817" t="s">
        <v>2554</v>
      </c>
      <c r="C817">
        <v>3.55</v>
      </c>
      <c r="D817" t="s">
        <v>590</v>
      </c>
      <c r="E817" t="s">
        <v>942</v>
      </c>
      <c r="F817">
        <v>75</v>
      </c>
      <c r="G817" t="b">
        <v>0</v>
      </c>
      <c r="H817">
        <v>1</v>
      </c>
    </row>
    <row r="818" spans="1:8" x14ac:dyDescent="0.25">
      <c r="A818" t="s">
        <v>3166</v>
      </c>
      <c r="B818" t="s">
        <v>2556</v>
      </c>
      <c r="C818">
        <v>3.55</v>
      </c>
      <c r="D818" t="s">
        <v>590</v>
      </c>
      <c r="E818" t="s">
        <v>942</v>
      </c>
      <c r="F818">
        <v>75</v>
      </c>
      <c r="G818" t="b">
        <v>0</v>
      </c>
      <c r="H818">
        <v>1</v>
      </c>
    </row>
    <row r="819" spans="1:8" x14ac:dyDescent="0.25">
      <c r="A819" t="s">
        <v>3166</v>
      </c>
      <c r="B819" t="s">
        <v>2558</v>
      </c>
      <c r="C819">
        <v>3.55</v>
      </c>
      <c r="D819" t="s">
        <v>590</v>
      </c>
      <c r="E819" t="s">
        <v>942</v>
      </c>
      <c r="F819">
        <v>75</v>
      </c>
      <c r="G819" t="b">
        <v>0</v>
      </c>
      <c r="H819">
        <v>1</v>
      </c>
    </row>
    <row r="820" spans="1:8" x14ac:dyDescent="0.25">
      <c r="A820" t="s">
        <v>3166</v>
      </c>
      <c r="B820" t="s">
        <v>2560</v>
      </c>
      <c r="C820">
        <v>3.55</v>
      </c>
      <c r="D820" t="s">
        <v>590</v>
      </c>
      <c r="E820" t="s">
        <v>942</v>
      </c>
      <c r="F820">
        <v>75</v>
      </c>
      <c r="G820" t="b">
        <v>0</v>
      </c>
      <c r="H820">
        <v>1</v>
      </c>
    </row>
    <row r="821" spans="1:8" x14ac:dyDescent="0.25">
      <c r="A821" t="s">
        <v>3166</v>
      </c>
      <c r="B821" t="s">
        <v>2562</v>
      </c>
      <c r="C821">
        <v>3.55</v>
      </c>
      <c r="D821" t="s">
        <v>590</v>
      </c>
      <c r="E821" t="s">
        <v>942</v>
      </c>
      <c r="F821">
        <v>75</v>
      </c>
      <c r="G821" t="b">
        <v>0</v>
      </c>
      <c r="H821">
        <v>1</v>
      </c>
    </row>
    <row r="822" spans="1:8" x14ac:dyDescent="0.25">
      <c r="A822" t="s">
        <v>3166</v>
      </c>
      <c r="B822" t="s">
        <v>2564</v>
      </c>
      <c r="C822">
        <v>3.55</v>
      </c>
      <c r="D822" t="s">
        <v>590</v>
      </c>
      <c r="E822" t="s">
        <v>942</v>
      </c>
      <c r="F822">
        <v>75</v>
      </c>
      <c r="G822" t="b">
        <v>0</v>
      </c>
      <c r="H822">
        <v>1</v>
      </c>
    </row>
    <row r="823" spans="1:8" x14ac:dyDescent="0.25">
      <c r="A823" t="s">
        <v>3166</v>
      </c>
      <c r="B823" t="s">
        <v>2566</v>
      </c>
      <c r="C823">
        <v>3.55</v>
      </c>
      <c r="D823" t="s">
        <v>590</v>
      </c>
      <c r="E823" t="s">
        <v>942</v>
      </c>
      <c r="F823">
        <v>75</v>
      </c>
      <c r="G823" t="b">
        <v>0</v>
      </c>
      <c r="H823">
        <v>1</v>
      </c>
    </row>
    <row r="824" spans="1:8" x14ac:dyDescent="0.25">
      <c r="A824" t="s">
        <v>3166</v>
      </c>
      <c r="B824" t="s">
        <v>2570</v>
      </c>
      <c r="C824">
        <v>3.55</v>
      </c>
      <c r="D824" t="s">
        <v>590</v>
      </c>
      <c r="E824" t="s">
        <v>942</v>
      </c>
      <c r="F824">
        <v>75</v>
      </c>
      <c r="G824" t="b">
        <v>0</v>
      </c>
      <c r="H824">
        <v>1</v>
      </c>
    </row>
    <row r="825" spans="1:8" x14ac:dyDescent="0.25">
      <c r="A825" t="s">
        <v>3166</v>
      </c>
      <c r="B825" t="s">
        <v>2572</v>
      </c>
      <c r="C825">
        <v>3.55</v>
      </c>
      <c r="D825" t="s">
        <v>590</v>
      </c>
      <c r="E825" t="s">
        <v>942</v>
      </c>
      <c r="F825">
        <v>75</v>
      </c>
      <c r="G825" t="b">
        <v>0</v>
      </c>
      <c r="H825">
        <v>1</v>
      </c>
    </row>
    <row r="826" spans="1:8" x14ac:dyDescent="0.25">
      <c r="A826" t="s">
        <v>3166</v>
      </c>
      <c r="B826" t="s">
        <v>2574</v>
      </c>
      <c r="C826">
        <v>3.55</v>
      </c>
      <c r="D826" t="s">
        <v>590</v>
      </c>
      <c r="E826" t="s">
        <v>942</v>
      </c>
      <c r="F826">
        <v>75</v>
      </c>
      <c r="G826" t="b">
        <v>0</v>
      </c>
      <c r="H826">
        <v>1</v>
      </c>
    </row>
    <row r="827" spans="1:8" x14ac:dyDescent="0.25">
      <c r="A827" t="s">
        <v>3166</v>
      </c>
      <c r="B827" t="s">
        <v>2576</v>
      </c>
      <c r="C827">
        <v>3.55</v>
      </c>
      <c r="D827" t="s">
        <v>590</v>
      </c>
      <c r="E827" t="s">
        <v>942</v>
      </c>
      <c r="F827">
        <v>75</v>
      </c>
      <c r="G827" t="b">
        <v>0</v>
      </c>
      <c r="H827">
        <v>1</v>
      </c>
    </row>
    <row r="828" spans="1:8" x14ac:dyDescent="0.25">
      <c r="A828" t="s">
        <v>3166</v>
      </c>
      <c r="B828" t="s">
        <v>2578</v>
      </c>
      <c r="C828">
        <v>3.55</v>
      </c>
      <c r="D828" t="s">
        <v>590</v>
      </c>
      <c r="E828" t="s">
        <v>942</v>
      </c>
      <c r="F828">
        <v>75</v>
      </c>
      <c r="G828" t="b">
        <v>0</v>
      </c>
      <c r="H828">
        <v>1</v>
      </c>
    </row>
    <row r="829" spans="1:8" x14ac:dyDescent="0.25">
      <c r="A829" t="s">
        <v>3166</v>
      </c>
      <c r="B829" t="s">
        <v>2580</v>
      </c>
      <c r="C829">
        <v>3.55</v>
      </c>
      <c r="D829" t="s">
        <v>590</v>
      </c>
      <c r="E829" t="s">
        <v>942</v>
      </c>
      <c r="F829">
        <v>75</v>
      </c>
      <c r="G829" t="b">
        <v>0</v>
      </c>
      <c r="H829">
        <v>1</v>
      </c>
    </row>
    <row r="830" spans="1:8" x14ac:dyDescent="0.25">
      <c r="A830" t="s">
        <v>3166</v>
      </c>
      <c r="B830" t="s">
        <v>2582</v>
      </c>
      <c r="C830">
        <v>3.55</v>
      </c>
      <c r="D830" t="s">
        <v>590</v>
      </c>
      <c r="E830" t="s">
        <v>942</v>
      </c>
      <c r="F830">
        <v>75</v>
      </c>
      <c r="G830" t="b">
        <v>0</v>
      </c>
      <c r="H830">
        <v>1</v>
      </c>
    </row>
    <row r="831" spans="1:8" x14ac:dyDescent="0.25">
      <c r="A831" t="s">
        <v>3166</v>
      </c>
      <c r="B831" t="s">
        <v>2584</v>
      </c>
      <c r="C831">
        <v>3.55</v>
      </c>
      <c r="D831" t="s">
        <v>590</v>
      </c>
      <c r="E831" t="s">
        <v>942</v>
      </c>
      <c r="F831">
        <v>75</v>
      </c>
      <c r="G831" t="b">
        <v>0</v>
      </c>
      <c r="H831">
        <v>1</v>
      </c>
    </row>
    <row r="832" spans="1:8" x14ac:dyDescent="0.25">
      <c r="A832" t="s">
        <v>3166</v>
      </c>
      <c r="B832" t="s">
        <v>2586</v>
      </c>
      <c r="C832">
        <v>3.55</v>
      </c>
      <c r="D832" t="s">
        <v>590</v>
      </c>
      <c r="E832" t="s">
        <v>942</v>
      </c>
      <c r="F832">
        <v>75</v>
      </c>
      <c r="G832" t="b">
        <v>0</v>
      </c>
      <c r="H832">
        <v>1</v>
      </c>
    </row>
    <row r="833" spans="1:8" x14ac:dyDescent="0.25">
      <c r="A833" t="s">
        <v>3166</v>
      </c>
      <c r="B833" t="s">
        <v>2588</v>
      </c>
      <c r="C833">
        <v>3.55</v>
      </c>
      <c r="D833" t="s">
        <v>590</v>
      </c>
      <c r="E833" t="s">
        <v>942</v>
      </c>
      <c r="F833">
        <v>75</v>
      </c>
      <c r="G833" t="b">
        <v>0</v>
      </c>
      <c r="H833">
        <v>1</v>
      </c>
    </row>
    <row r="834" spans="1:8" x14ac:dyDescent="0.25">
      <c r="A834" t="s">
        <v>3166</v>
      </c>
      <c r="B834" t="s">
        <v>2592</v>
      </c>
      <c r="C834">
        <v>3.55</v>
      </c>
      <c r="D834" t="s">
        <v>590</v>
      </c>
      <c r="E834" t="s">
        <v>942</v>
      </c>
      <c r="F834">
        <v>75</v>
      </c>
      <c r="G834" t="b">
        <v>0</v>
      </c>
      <c r="H834">
        <v>1</v>
      </c>
    </row>
    <row r="835" spans="1:8" x14ac:dyDescent="0.25">
      <c r="A835" t="s">
        <v>3166</v>
      </c>
      <c r="B835" t="s">
        <v>2594</v>
      </c>
      <c r="C835">
        <v>3.55</v>
      </c>
      <c r="D835" t="s">
        <v>590</v>
      </c>
      <c r="E835" t="s">
        <v>942</v>
      </c>
      <c r="F835">
        <v>75</v>
      </c>
      <c r="G835" t="b">
        <v>0</v>
      </c>
      <c r="H835">
        <v>1</v>
      </c>
    </row>
    <row r="836" spans="1:8" x14ac:dyDescent="0.25">
      <c r="A836" t="s">
        <v>3166</v>
      </c>
      <c r="B836" t="s">
        <v>2596</v>
      </c>
      <c r="C836">
        <v>3.55</v>
      </c>
      <c r="D836" t="s">
        <v>590</v>
      </c>
      <c r="E836" t="s">
        <v>942</v>
      </c>
      <c r="F836">
        <v>75</v>
      </c>
      <c r="G836" t="b">
        <v>0</v>
      </c>
      <c r="H836">
        <v>1</v>
      </c>
    </row>
    <row r="837" spans="1:8" x14ac:dyDescent="0.25">
      <c r="A837" t="s">
        <v>3166</v>
      </c>
      <c r="B837" t="s">
        <v>2598</v>
      </c>
      <c r="C837">
        <v>3.55</v>
      </c>
      <c r="D837" t="s">
        <v>590</v>
      </c>
      <c r="E837" t="s">
        <v>942</v>
      </c>
      <c r="F837">
        <v>75</v>
      </c>
      <c r="G837" t="b">
        <v>0</v>
      </c>
      <c r="H837">
        <v>1</v>
      </c>
    </row>
    <row r="838" spans="1:8" x14ac:dyDescent="0.25">
      <c r="A838" t="s">
        <v>3166</v>
      </c>
      <c r="B838" t="s">
        <v>2600</v>
      </c>
      <c r="C838">
        <v>3.55</v>
      </c>
      <c r="D838" t="s">
        <v>590</v>
      </c>
      <c r="E838" t="s">
        <v>942</v>
      </c>
      <c r="F838">
        <v>75</v>
      </c>
      <c r="G838" t="b">
        <v>0</v>
      </c>
      <c r="H838">
        <v>1</v>
      </c>
    </row>
    <row r="839" spans="1:8" x14ac:dyDescent="0.25">
      <c r="A839" t="s">
        <v>3166</v>
      </c>
      <c r="B839" t="s">
        <v>2602</v>
      </c>
      <c r="C839">
        <v>3.55</v>
      </c>
      <c r="D839" t="s">
        <v>590</v>
      </c>
      <c r="E839" t="s">
        <v>942</v>
      </c>
      <c r="F839">
        <v>75</v>
      </c>
      <c r="G839" t="b">
        <v>0</v>
      </c>
      <c r="H839">
        <v>1</v>
      </c>
    </row>
    <row r="840" spans="1:8" x14ac:dyDescent="0.25">
      <c r="A840" t="s">
        <v>3166</v>
      </c>
      <c r="B840" t="s">
        <v>2604</v>
      </c>
      <c r="C840">
        <v>3.55</v>
      </c>
      <c r="D840" t="s">
        <v>590</v>
      </c>
      <c r="E840" t="s">
        <v>942</v>
      </c>
      <c r="F840">
        <v>75</v>
      </c>
      <c r="G840" t="b">
        <v>0</v>
      </c>
      <c r="H840">
        <v>1</v>
      </c>
    </row>
    <row r="841" spans="1:8" x14ac:dyDescent="0.25">
      <c r="A841" t="s">
        <v>3166</v>
      </c>
      <c r="B841" t="s">
        <v>2606</v>
      </c>
      <c r="C841">
        <v>3.55</v>
      </c>
      <c r="D841" t="s">
        <v>590</v>
      </c>
      <c r="E841" t="s">
        <v>942</v>
      </c>
      <c r="F841">
        <v>75</v>
      </c>
      <c r="G841" t="b">
        <v>0</v>
      </c>
      <c r="H841">
        <v>1</v>
      </c>
    </row>
    <row r="842" spans="1:8" x14ac:dyDescent="0.25">
      <c r="A842" t="s">
        <v>3166</v>
      </c>
      <c r="B842" t="s">
        <v>2608</v>
      </c>
      <c r="C842">
        <v>3.55</v>
      </c>
      <c r="D842" t="s">
        <v>590</v>
      </c>
      <c r="E842" t="s">
        <v>942</v>
      </c>
      <c r="F842">
        <v>75</v>
      </c>
      <c r="G842" t="b">
        <v>0</v>
      </c>
      <c r="H842">
        <v>1</v>
      </c>
    </row>
    <row r="843" spans="1:8" x14ac:dyDescent="0.25">
      <c r="A843" t="s">
        <v>3166</v>
      </c>
      <c r="B843" t="s">
        <v>2612</v>
      </c>
      <c r="C843">
        <v>3.55</v>
      </c>
      <c r="D843" t="s">
        <v>590</v>
      </c>
      <c r="E843" t="s">
        <v>942</v>
      </c>
      <c r="F843">
        <v>75</v>
      </c>
      <c r="G843" t="b">
        <v>0</v>
      </c>
      <c r="H843">
        <v>1</v>
      </c>
    </row>
    <row r="844" spans="1:8" x14ac:dyDescent="0.25">
      <c r="A844" t="s">
        <v>3166</v>
      </c>
      <c r="B844" t="s">
        <v>2616</v>
      </c>
      <c r="C844">
        <v>3.55</v>
      </c>
      <c r="D844" t="s">
        <v>590</v>
      </c>
      <c r="E844" t="s">
        <v>942</v>
      </c>
      <c r="F844">
        <v>75</v>
      </c>
      <c r="G844" t="b">
        <v>0</v>
      </c>
      <c r="H844">
        <v>1</v>
      </c>
    </row>
    <row r="845" spans="1:8" x14ac:dyDescent="0.25">
      <c r="A845" t="s">
        <v>3166</v>
      </c>
      <c r="B845" t="s">
        <v>2618</v>
      </c>
      <c r="C845">
        <v>3.55</v>
      </c>
      <c r="D845" t="s">
        <v>590</v>
      </c>
      <c r="E845" t="s">
        <v>942</v>
      </c>
      <c r="F845">
        <v>75</v>
      </c>
      <c r="G845" t="b">
        <v>0</v>
      </c>
      <c r="H845">
        <v>1</v>
      </c>
    </row>
    <row r="846" spans="1:8" x14ac:dyDescent="0.25">
      <c r="A846" t="s">
        <v>3166</v>
      </c>
      <c r="B846" t="s">
        <v>2620</v>
      </c>
      <c r="C846">
        <v>3.55</v>
      </c>
      <c r="D846" t="s">
        <v>590</v>
      </c>
      <c r="E846" t="s">
        <v>942</v>
      </c>
      <c r="F846">
        <v>75</v>
      </c>
      <c r="G846" t="b">
        <v>0</v>
      </c>
      <c r="H846">
        <v>1</v>
      </c>
    </row>
    <row r="847" spans="1:8" x14ac:dyDescent="0.25">
      <c r="A847" t="s">
        <v>3166</v>
      </c>
      <c r="B847" t="s">
        <v>2622</v>
      </c>
      <c r="C847">
        <v>3.55</v>
      </c>
      <c r="D847" t="s">
        <v>590</v>
      </c>
      <c r="E847" t="s">
        <v>942</v>
      </c>
      <c r="F847">
        <v>75</v>
      </c>
      <c r="G847" t="b">
        <v>0</v>
      </c>
      <c r="H847">
        <v>1</v>
      </c>
    </row>
    <row r="848" spans="1:8" x14ac:dyDescent="0.25">
      <c r="A848" t="s">
        <v>3166</v>
      </c>
      <c r="B848" t="s">
        <v>2626</v>
      </c>
      <c r="C848">
        <v>3.55</v>
      </c>
      <c r="D848" t="s">
        <v>590</v>
      </c>
      <c r="E848" t="s">
        <v>942</v>
      </c>
      <c r="F848">
        <v>75</v>
      </c>
      <c r="G848" t="b">
        <v>0</v>
      </c>
      <c r="H848">
        <v>1</v>
      </c>
    </row>
    <row r="849" spans="1:8" x14ac:dyDescent="0.25">
      <c r="A849" t="s">
        <v>3166</v>
      </c>
      <c r="B849" t="s">
        <v>2628</v>
      </c>
      <c r="C849">
        <v>3.55</v>
      </c>
      <c r="D849" t="s">
        <v>590</v>
      </c>
      <c r="E849" t="s">
        <v>942</v>
      </c>
      <c r="F849">
        <v>75</v>
      </c>
      <c r="G849" t="b">
        <v>0</v>
      </c>
      <c r="H849">
        <v>1</v>
      </c>
    </row>
    <row r="850" spans="1:8" x14ac:dyDescent="0.25">
      <c r="A850" t="s">
        <v>3166</v>
      </c>
      <c r="B850" t="s">
        <v>2630</v>
      </c>
      <c r="C850">
        <v>3.55</v>
      </c>
      <c r="D850" t="s">
        <v>590</v>
      </c>
      <c r="E850" t="s">
        <v>942</v>
      </c>
      <c r="F850">
        <v>75</v>
      </c>
      <c r="G850" t="b">
        <v>0</v>
      </c>
      <c r="H850">
        <v>1</v>
      </c>
    </row>
    <row r="851" spans="1:8" x14ac:dyDescent="0.25">
      <c r="A851" t="s">
        <v>3166</v>
      </c>
      <c r="B851" t="s">
        <v>2632</v>
      </c>
      <c r="C851">
        <v>6.5</v>
      </c>
      <c r="D851" t="s">
        <v>590</v>
      </c>
      <c r="E851" t="s">
        <v>942</v>
      </c>
      <c r="F851">
        <v>75</v>
      </c>
      <c r="G851" t="b">
        <v>0</v>
      </c>
      <c r="H851">
        <v>1</v>
      </c>
    </row>
    <row r="852" spans="1:8" x14ac:dyDescent="0.25">
      <c r="A852" t="s">
        <v>3166</v>
      </c>
      <c r="B852" t="s">
        <v>2634</v>
      </c>
      <c r="C852">
        <v>6.5</v>
      </c>
      <c r="D852" t="s">
        <v>590</v>
      </c>
      <c r="E852" t="s">
        <v>942</v>
      </c>
      <c r="F852">
        <v>75</v>
      </c>
      <c r="G852" t="b">
        <v>0</v>
      </c>
      <c r="H852">
        <v>1</v>
      </c>
    </row>
    <row r="853" spans="1:8" x14ac:dyDescent="0.25">
      <c r="A853" t="s">
        <v>3166</v>
      </c>
      <c r="B853" t="s">
        <v>2636</v>
      </c>
      <c r="C853">
        <v>6.5</v>
      </c>
      <c r="D853" t="s">
        <v>590</v>
      </c>
      <c r="E853" t="s">
        <v>942</v>
      </c>
      <c r="F853">
        <v>75</v>
      </c>
      <c r="G853" t="b">
        <v>0</v>
      </c>
      <c r="H853">
        <v>1</v>
      </c>
    </row>
    <row r="854" spans="1:8" x14ac:dyDescent="0.25">
      <c r="A854" t="s">
        <v>3166</v>
      </c>
      <c r="B854" t="s">
        <v>2624</v>
      </c>
      <c r="C854">
        <v>3.55</v>
      </c>
      <c r="D854" t="s">
        <v>590</v>
      </c>
      <c r="E854" t="s">
        <v>942</v>
      </c>
      <c r="F854">
        <v>75</v>
      </c>
      <c r="G854" t="b">
        <v>0</v>
      </c>
      <c r="H854">
        <v>1</v>
      </c>
    </row>
    <row r="855" spans="1:8" x14ac:dyDescent="0.25">
      <c r="A855" t="s">
        <v>3166</v>
      </c>
      <c r="B855" t="s">
        <v>2638</v>
      </c>
      <c r="C855">
        <v>6.5</v>
      </c>
      <c r="D855" t="s">
        <v>590</v>
      </c>
      <c r="E855" t="s">
        <v>942</v>
      </c>
      <c r="F855">
        <v>75</v>
      </c>
      <c r="G855" t="b">
        <v>0</v>
      </c>
      <c r="H855">
        <v>1</v>
      </c>
    </row>
    <row r="856" spans="1:8" x14ac:dyDescent="0.25">
      <c r="A856" t="s">
        <v>3166</v>
      </c>
      <c r="B856" t="s">
        <v>2590</v>
      </c>
      <c r="C856">
        <v>3.55</v>
      </c>
      <c r="D856" t="s">
        <v>590</v>
      </c>
      <c r="E856" t="s">
        <v>942</v>
      </c>
      <c r="F856">
        <v>75</v>
      </c>
      <c r="G856" t="b">
        <v>0</v>
      </c>
      <c r="H856">
        <v>1</v>
      </c>
    </row>
    <row r="857" spans="1:8" x14ac:dyDescent="0.25">
      <c r="A857" t="s">
        <v>1207</v>
      </c>
      <c r="B857" t="s">
        <v>1208</v>
      </c>
      <c r="C857">
        <v>70.45</v>
      </c>
      <c r="D857" t="s">
        <v>3091</v>
      </c>
      <c r="E857" t="s">
        <v>1414</v>
      </c>
      <c r="F857">
        <v>75</v>
      </c>
      <c r="G857" t="b">
        <v>1</v>
      </c>
      <c r="H857">
        <v>1</v>
      </c>
    </row>
    <row r="858" spans="1:8" x14ac:dyDescent="0.25">
      <c r="A858" t="s">
        <v>1181</v>
      </c>
      <c r="B858" t="s">
        <v>1182</v>
      </c>
      <c r="C858">
        <v>70.45</v>
      </c>
      <c r="D858" t="s">
        <v>3091</v>
      </c>
      <c r="E858" t="s">
        <v>1414</v>
      </c>
      <c r="F858">
        <v>75</v>
      </c>
      <c r="G858" t="b">
        <v>1</v>
      </c>
      <c r="H858">
        <v>1</v>
      </c>
    </row>
    <row r="859" spans="1:8" x14ac:dyDescent="0.25">
      <c r="A859" t="s">
        <v>1184</v>
      </c>
      <c r="B859" t="s">
        <v>1185</v>
      </c>
      <c r="C859">
        <v>70.45</v>
      </c>
      <c r="D859" t="s">
        <v>3091</v>
      </c>
      <c r="E859" t="s">
        <v>1414</v>
      </c>
      <c r="F859">
        <v>75</v>
      </c>
      <c r="G859" t="b">
        <v>1</v>
      </c>
      <c r="H859">
        <v>1</v>
      </c>
    </row>
    <row r="860" spans="1:8" x14ac:dyDescent="0.25">
      <c r="A860" t="s">
        <v>1196</v>
      </c>
      <c r="B860" t="s">
        <v>1197</v>
      </c>
      <c r="C860">
        <v>57.3</v>
      </c>
      <c r="D860" t="s">
        <v>3091</v>
      </c>
      <c r="E860" t="s">
        <v>1414</v>
      </c>
      <c r="F860">
        <v>75</v>
      </c>
      <c r="G860" t="b">
        <v>1</v>
      </c>
      <c r="H860">
        <v>1</v>
      </c>
    </row>
    <row r="861" spans="1:8" x14ac:dyDescent="0.25">
      <c r="A861" t="s">
        <v>1186</v>
      </c>
      <c r="B861" t="s">
        <v>1187</v>
      </c>
      <c r="C861">
        <v>57.3</v>
      </c>
      <c r="D861" t="s">
        <v>3091</v>
      </c>
      <c r="E861" t="s">
        <v>1414</v>
      </c>
      <c r="F861">
        <v>75</v>
      </c>
      <c r="G861" t="b">
        <v>1</v>
      </c>
      <c r="H861">
        <v>1</v>
      </c>
    </row>
    <row r="862" spans="1:8" x14ac:dyDescent="0.25">
      <c r="A862" t="s">
        <v>1215</v>
      </c>
      <c r="B862" t="s">
        <v>1216</v>
      </c>
      <c r="C862">
        <v>43.95</v>
      </c>
      <c r="D862" t="s">
        <v>3091</v>
      </c>
      <c r="E862" t="s">
        <v>1414</v>
      </c>
      <c r="F862">
        <v>75</v>
      </c>
      <c r="G862" t="b">
        <v>1</v>
      </c>
      <c r="H862">
        <v>1</v>
      </c>
    </row>
    <row r="863" spans="1:8" x14ac:dyDescent="0.25">
      <c r="A863" t="s">
        <v>1188</v>
      </c>
      <c r="B863" t="s">
        <v>1189</v>
      </c>
      <c r="C863">
        <v>67.5</v>
      </c>
      <c r="D863" t="s">
        <v>3091</v>
      </c>
      <c r="E863" t="s">
        <v>1414</v>
      </c>
      <c r="F863">
        <v>75</v>
      </c>
      <c r="G863" t="b">
        <v>1</v>
      </c>
      <c r="H863">
        <v>1</v>
      </c>
    </row>
    <row r="864" spans="1:8" x14ac:dyDescent="0.25">
      <c r="A864" t="s">
        <v>1213</v>
      </c>
      <c r="B864" t="s">
        <v>1214</v>
      </c>
      <c r="C864">
        <v>67.5</v>
      </c>
      <c r="D864" t="s">
        <v>3091</v>
      </c>
      <c r="E864" t="s">
        <v>1414</v>
      </c>
      <c r="F864">
        <v>75</v>
      </c>
      <c r="G864" t="b">
        <v>1</v>
      </c>
      <c r="H864">
        <v>1</v>
      </c>
    </row>
    <row r="865" spans="1:8" x14ac:dyDescent="0.25">
      <c r="A865" t="s">
        <v>1204</v>
      </c>
      <c r="B865" t="s">
        <v>1205</v>
      </c>
      <c r="C865">
        <v>67.5</v>
      </c>
      <c r="D865" t="s">
        <v>3091</v>
      </c>
      <c r="E865" t="s">
        <v>1414</v>
      </c>
      <c r="F865">
        <v>75</v>
      </c>
      <c r="G865" t="b">
        <v>1</v>
      </c>
      <c r="H865">
        <v>1</v>
      </c>
    </row>
    <row r="866" spans="1:8" x14ac:dyDescent="0.25">
      <c r="A866" t="s">
        <v>1190</v>
      </c>
      <c r="B866" t="s">
        <v>1191</v>
      </c>
      <c r="C866">
        <v>48.95</v>
      </c>
      <c r="D866" t="s">
        <v>3091</v>
      </c>
      <c r="E866" t="s">
        <v>1414</v>
      </c>
      <c r="F866">
        <v>75</v>
      </c>
      <c r="G866" t="b">
        <v>1</v>
      </c>
      <c r="H866">
        <v>1</v>
      </c>
    </row>
    <row r="867" spans="1:8" x14ac:dyDescent="0.25">
      <c r="A867" t="s">
        <v>1218</v>
      </c>
      <c r="B867" t="s">
        <v>1219</v>
      </c>
      <c r="C867">
        <v>54.3</v>
      </c>
      <c r="D867" t="s">
        <v>3091</v>
      </c>
      <c r="E867" t="s">
        <v>1414</v>
      </c>
      <c r="F867">
        <v>75</v>
      </c>
      <c r="G867" t="b">
        <v>1</v>
      </c>
      <c r="H867">
        <v>1</v>
      </c>
    </row>
    <row r="868" spans="1:8" x14ac:dyDescent="0.25">
      <c r="A868" t="s">
        <v>1221</v>
      </c>
      <c r="B868" t="s">
        <v>1222</v>
      </c>
      <c r="C868">
        <v>61.1</v>
      </c>
      <c r="D868" t="s">
        <v>3091</v>
      </c>
      <c r="E868" t="s">
        <v>1414</v>
      </c>
      <c r="F868">
        <v>75</v>
      </c>
      <c r="G868" t="b">
        <v>1</v>
      </c>
      <c r="H868">
        <v>1</v>
      </c>
    </row>
    <row r="869" spans="1:8" x14ac:dyDescent="0.25">
      <c r="A869" t="s">
        <v>1227</v>
      </c>
      <c r="B869" t="s">
        <v>1228</v>
      </c>
      <c r="C869">
        <v>46</v>
      </c>
      <c r="D869" t="s">
        <v>3091</v>
      </c>
      <c r="E869" t="s">
        <v>1414</v>
      </c>
      <c r="F869">
        <v>75</v>
      </c>
      <c r="G869" t="b">
        <v>1</v>
      </c>
      <c r="H869">
        <v>1</v>
      </c>
    </row>
    <row r="870" spans="1:8" x14ac:dyDescent="0.25">
      <c r="A870" t="s">
        <v>1230</v>
      </c>
      <c r="B870" t="s">
        <v>1231</v>
      </c>
      <c r="C870">
        <v>61.35</v>
      </c>
      <c r="D870" t="s">
        <v>3091</v>
      </c>
      <c r="E870" t="s">
        <v>1414</v>
      </c>
      <c r="F870">
        <v>75</v>
      </c>
      <c r="G870" t="b">
        <v>1</v>
      </c>
      <c r="H870">
        <v>1</v>
      </c>
    </row>
    <row r="871" spans="1:8" x14ac:dyDescent="0.25">
      <c r="A871" t="s">
        <v>1175</v>
      </c>
      <c r="B871" t="s">
        <v>1176</v>
      </c>
      <c r="C871">
        <v>50.1</v>
      </c>
      <c r="D871" t="s">
        <v>3091</v>
      </c>
      <c r="E871" t="s">
        <v>1414</v>
      </c>
      <c r="F871">
        <v>75</v>
      </c>
      <c r="G871" t="b">
        <v>1</v>
      </c>
      <c r="H871">
        <v>1</v>
      </c>
    </row>
    <row r="872" spans="1:8" x14ac:dyDescent="0.25">
      <c r="A872" t="s">
        <v>1236</v>
      </c>
      <c r="B872" t="s">
        <v>1237</v>
      </c>
      <c r="C872">
        <v>56.05</v>
      </c>
      <c r="D872" t="s">
        <v>3091</v>
      </c>
      <c r="E872" t="s">
        <v>1414</v>
      </c>
      <c r="F872">
        <v>75</v>
      </c>
      <c r="G872" t="b">
        <v>1</v>
      </c>
      <c r="H872">
        <v>1</v>
      </c>
    </row>
    <row r="873" spans="1:8" x14ac:dyDescent="0.25">
      <c r="A873" t="s">
        <v>1233</v>
      </c>
      <c r="B873" t="s">
        <v>1234</v>
      </c>
      <c r="C873">
        <v>48.95</v>
      </c>
      <c r="D873" t="s">
        <v>3091</v>
      </c>
      <c r="E873" t="s">
        <v>1414</v>
      </c>
      <c r="F873">
        <v>75</v>
      </c>
      <c r="G873" t="b">
        <v>1</v>
      </c>
      <c r="H873">
        <v>1</v>
      </c>
    </row>
    <row r="874" spans="1:8" x14ac:dyDescent="0.25">
      <c r="A874" t="s">
        <v>1242</v>
      </c>
      <c r="B874" t="s">
        <v>1243</v>
      </c>
      <c r="C874">
        <v>35.700000000000003</v>
      </c>
      <c r="D874" t="s">
        <v>3091</v>
      </c>
      <c r="E874" t="s">
        <v>1414</v>
      </c>
      <c r="F874">
        <v>75</v>
      </c>
      <c r="G874" t="b">
        <v>1</v>
      </c>
      <c r="H874">
        <v>1</v>
      </c>
    </row>
    <row r="875" spans="1:8" x14ac:dyDescent="0.25">
      <c r="A875" t="s">
        <v>1179</v>
      </c>
      <c r="B875" t="s">
        <v>1180</v>
      </c>
      <c r="C875">
        <v>50.1</v>
      </c>
      <c r="D875" t="s">
        <v>3091</v>
      </c>
      <c r="E875" t="s">
        <v>1414</v>
      </c>
      <c r="F875">
        <v>75</v>
      </c>
      <c r="G875" t="b">
        <v>1</v>
      </c>
      <c r="H875">
        <v>1</v>
      </c>
    </row>
    <row r="876" spans="1:8" x14ac:dyDescent="0.25">
      <c r="A876" t="s">
        <v>1248</v>
      </c>
      <c r="B876" t="s">
        <v>1249</v>
      </c>
      <c r="C876">
        <v>68.150000000000006</v>
      </c>
      <c r="D876" t="s">
        <v>3091</v>
      </c>
      <c r="E876" t="s">
        <v>1414</v>
      </c>
      <c r="F876">
        <v>75</v>
      </c>
      <c r="G876" t="b">
        <v>1</v>
      </c>
      <c r="H876">
        <v>1</v>
      </c>
    </row>
    <row r="877" spans="1:8" x14ac:dyDescent="0.25">
      <c r="A877" t="s">
        <v>1224</v>
      </c>
      <c r="B877" t="s">
        <v>1225</v>
      </c>
      <c r="C877">
        <v>43.05</v>
      </c>
      <c r="D877" t="s">
        <v>3091</v>
      </c>
      <c r="E877" t="s">
        <v>1414</v>
      </c>
      <c r="F877">
        <v>75</v>
      </c>
      <c r="G877" t="b">
        <v>1</v>
      </c>
      <c r="H877">
        <v>1</v>
      </c>
    </row>
    <row r="878" spans="1:8" x14ac:dyDescent="0.25">
      <c r="A878" t="s">
        <v>1192</v>
      </c>
      <c r="B878" t="s">
        <v>1193</v>
      </c>
      <c r="C878">
        <v>48.65</v>
      </c>
      <c r="D878" t="s">
        <v>3091</v>
      </c>
      <c r="E878" t="s">
        <v>1414</v>
      </c>
      <c r="F878">
        <v>75</v>
      </c>
      <c r="G878" t="b">
        <v>1</v>
      </c>
      <c r="H878">
        <v>1</v>
      </c>
    </row>
    <row r="879" spans="1:8" x14ac:dyDescent="0.25">
      <c r="A879" t="s">
        <v>1201</v>
      </c>
      <c r="B879" t="s">
        <v>1202</v>
      </c>
      <c r="C879">
        <v>77.849999999999994</v>
      </c>
      <c r="D879" t="s">
        <v>3091</v>
      </c>
      <c r="E879" t="s">
        <v>1414</v>
      </c>
      <c r="F879">
        <v>75</v>
      </c>
      <c r="G879" t="b">
        <v>1</v>
      </c>
      <c r="H879">
        <v>1</v>
      </c>
    </row>
    <row r="880" spans="1:8" x14ac:dyDescent="0.25">
      <c r="A880" t="s">
        <v>1194</v>
      </c>
      <c r="B880" t="s">
        <v>1195</v>
      </c>
      <c r="C880">
        <v>77.849999999999994</v>
      </c>
      <c r="D880" t="s">
        <v>3091</v>
      </c>
      <c r="E880" t="s">
        <v>1414</v>
      </c>
      <c r="F880">
        <v>75</v>
      </c>
      <c r="G880" t="b">
        <v>1</v>
      </c>
      <c r="H880">
        <v>1</v>
      </c>
    </row>
    <row r="881" spans="1:8" x14ac:dyDescent="0.25">
      <c r="A881" t="s">
        <v>1239</v>
      </c>
      <c r="B881" t="s">
        <v>1240</v>
      </c>
      <c r="C881">
        <v>65.349999999999994</v>
      </c>
      <c r="D881" t="s">
        <v>3091</v>
      </c>
      <c r="E881" t="s">
        <v>1414</v>
      </c>
      <c r="F881">
        <v>75</v>
      </c>
      <c r="G881" t="b">
        <v>1</v>
      </c>
      <c r="H881">
        <v>1</v>
      </c>
    </row>
    <row r="882" spans="1:8" x14ac:dyDescent="0.25">
      <c r="A882" t="s">
        <v>1245</v>
      </c>
      <c r="B882" t="s">
        <v>1246</v>
      </c>
      <c r="C882">
        <v>68.400000000000006</v>
      </c>
      <c r="D882" t="s">
        <v>3091</v>
      </c>
      <c r="E882" t="s">
        <v>1414</v>
      </c>
      <c r="F882">
        <v>75</v>
      </c>
      <c r="G882" t="b">
        <v>1</v>
      </c>
      <c r="H882">
        <v>1</v>
      </c>
    </row>
    <row r="883" spans="1:8" x14ac:dyDescent="0.25">
      <c r="A883" t="s">
        <v>1311</v>
      </c>
      <c r="B883" t="s">
        <v>1312</v>
      </c>
      <c r="C883">
        <v>88.45</v>
      </c>
      <c r="D883" t="s">
        <v>3093</v>
      </c>
      <c r="E883" t="s">
        <v>1414</v>
      </c>
      <c r="F883">
        <v>75</v>
      </c>
      <c r="G883" t="b">
        <v>1</v>
      </c>
      <c r="H883">
        <v>1</v>
      </c>
    </row>
    <row r="884" spans="1:8" x14ac:dyDescent="0.25">
      <c r="A884" t="s">
        <v>1291</v>
      </c>
      <c r="B884" t="s">
        <v>1292</v>
      </c>
      <c r="C884">
        <v>16.850000000000001</v>
      </c>
      <c r="D884" t="s">
        <v>3093</v>
      </c>
      <c r="E884" t="s">
        <v>1414</v>
      </c>
      <c r="F884">
        <v>75</v>
      </c>
      <c r="G884" t="b">
        <v>1</v>
      </c>
      <c r="H884">
        <v>1</v>
      </c>
    </row>
    <row r="885" spans="1:8" x14ac:dyDescent="0.25">
      <c r="A885" t="s">
        <v>1273</v>
      </c>
      <c r="B885" t="s">
        <v>1274</v>
      </c>
      <c r="C885">
        <v>22.4</v>
      </c>
      <c r="D885" t="s">
        <v>3093</v>
      </c>
      <c r="E885" t="s">
        <v>1414</v>
      </c>
      <c r="F885">
        <v>75</v>
      </c>
      <c r="G885" t="b">
        <v>1</v>
      </c>
      <c r="H885">
        <v>1</v>
      </c>
    </row>
    <row r="886" spans="1:8" x14ac:dyDescent="0.25">
      <c r="A886" t="s">
        <v>1271</v>
      </c>
      <c r="B886" t="s">
        <v>1272</v>
      </c>
      <c r="C886">
        <v>48.95</v>
      </c>
      <c r="D886" t="s">
        <v>3093</v>
      </c>
      <c r="E886" t="s">
        <v>1414</v>
      </c>
      <c r="F886">
        <v>75</v>
      </c>
      <c r="G886" t="b">
        <v>1</v>
      </c>
      <c r="H886">
        <v>1</v>
      </c>
    </row>
    <row r="887" spans="1:8" x14ac:dyDescent="0.25">
      <c r="A887" t="s">
        <v>1293</v>
      </c>
      <c r="B887" t="s">
        <v>1294</v>
      </c>
      <c r="C887">
        <v>16.850000000000001</v>
      </c>
      <c r="D887" t="s">
        <v>3093</v>
      </c>
      <c r="E887" t="s">
        <v>1414</v>
      </c>
      <c r="F887">
        <v>75</v>
      </c>
      <c r="G887" t="b">
        <v>1</v>
      </c>
      <c r="H887">
        <v>1</v>
      </c>
    </row>
    <row r="888" spans="1:8" x14ac:dyDescent="0.25">
      <c r="A888" t="s">
        <v>1286</v>
      </c>
      <c r="B888" t="s">
        <v>1287</v>
      </c>
      <c r="C888">
        <v>35.700000000000003</v>
      </c>
      <c r="D888" t="s">
        <v>3093</v>
      </c>
      <c r="E888" t="s">
        <v>1414</v>
      </c>
      <c r="F888">
        <v>75</v>
      </c>
      <c r="G888" t="b">
        <v>1</v>
      </c>
      <c r="H888">
        <v>1</v>
      </c>
    </row>
    <row r="889" spans="1:8" x14ac:dyDescent="0.25">
      <c r="A889" t="s">
        <v>1254</v>
      </c>
      <c r="B889" t="s">
        <v>1255</v>
      </c>
      <c r="C889">
        <v>35.700000000000003</v>
      </c>
      <c r="D889" t="s">
        <v>3093</v>
      </c>
      <c r="E889" t="s">
        <v>1414</v>
      </c>
      <c r="F889">
        <v>75</v>
      </c>
      <c r="G889" t="b">
        <v>1</v>
      </c>
      <c r="H889">
        <v>1</v>
      </c>
    </row>
    <row r="890" spans="1:8" x14ac:dyDescent="0.25">
      <c r="A890" t="s">
        <v>1289</v>
      </c>
      <c r="B890" t="s">
        <v>1290</v>
      </c>
      <c r="C890">
        <v>104.95</v>
      </c>
      <c r="D890" t="s">
        <v>3093</v>
      </c>
      <c r="E890" t="s">
        <v>1414</v>
      </c>
      <c r="F890">
        <v>75</v>
      </c>
      <c r="G890" t="b">
        <v>1</v>
      </c>
      <c r="H890">
        <v>1</v>
      </c>
    </row>
    <row r="891" spans="1:8" x14ac:dyDescent="0.25">
      <c r="A891" t="s">
        <v>1257</v>
      </c>
      <c r="B891" t="s">
        <v>1258</v>
      </c>
      <c r="C891">
        <v>66.349999999999994</v>
      </c>
      <c r="D891" t="s">
        <v>3093</v>
      </c>
      <c r="E891" t="s">
        <v>1414</v>
      </c>
      <c r="F891">
        <v>75</v>
      </c>
      <c r="G891" t="b">
        <v>1</v>
      </c>
      <c r="H891">
        <v>1</v>
      </c>
    </row>
    <row r="892" spans="1:8" x14ac:dyDescent="0.25">
      <c r="A892" t="s">
        <v>1267</v>
      </c>
      <c r="B892" t="s">
        <v>1268</v>
      </c>
      <c r="C892">
        <v>66.349999999999994</v>
      </c>
      <c r="D892" t="s">
        <v>3093</v>
      </c>
      <c r="E892" t="s">
        <v>1414</v>
      </c>
      <c r="F892">
        <v>75</v>
      </c>
      <c r="G892" t="b">
        <v>1</v>
      </c>
      <c r="H892">
        <v>1</v>
      </c>
    </row>
    <row r="893" spans="1:8" x14ac:dyDescent="0.25">
      <c r="A893" t="s">
        <v>1259</v>
      </c>
      <c r="B893" t="s">
        <v>1260</v>
      </c>
      <c r="C893">
        <v>102</v>
      </c>
      <c r="D893" t="s">
        <v>3093</v>
      </c>
      <c r="E893" t="s">
        <v>1414</v>
      </c>
      <c r="F893">
        <v>75</v>
      </c>
      <c r="G893" t="b">
        <v>1</v>
      </c>
      <c r="H893">
        <v>1</v>
      </c>
    </row>
    <row r="894" spans="1:8" x14ac:dyDescent="0.25">
      <c r="A894" t="s">
        <v>1261</v>
      </c>
      <c r="B894" t="s">
        <v>1262</v>
      </c>
      <c r="C894">
        <v>133.9</v>
      </c>
      <c r="D894" t="s">
        <v>3093</v>
      </c>
      <c r="E894" t="s">
        <v>1414</v>
      </c>
      <c r="F894">
        <v>75</v>
      </c>
      <c r="G894" t="b">
        <v>1</v>
      </c>
      <c r="H894">
        <v>1</v>
      </c>
    </row>
    <row r="895" spans="1:8" x14ac:dyDescent="0.25">
      <c r="A895" t="s">
        <v>1279</v>
      </c>
      <c r="B895" t="s">
        <v>1280</v>
      </c>
      <c r="C895">
        <v>48.95</v>
      </c>
      <c r="D895" t="s">
        <v>3093</v>
      </c>
      <c r="E895" t="s">
        <v>1414</v>
      </c>
      <c r="F895">
        <v>75</v>
      </c>
      <c r="G895" t="b">
        <v>1</v>
      </c>
      <c r="H895">
        <v>1</v>
      </c>
    </row>
    <row r="896" spans="1:8" x14ac:dyDescent="0.25">
      <c r="A896" t="s">
        <v>1283</v>
      </c>
      <c r="B896" t="s">
        <v>1284</v>
      </c>
      <c r="C896">
        <v>61.1</v>
      </c>
      <c r="D896" t="s">
        <v>3093</v>
      </c>
      <c r="E896" t="s">
        <v>1414</v>
      </c>
      <c r="F896">
        <v>75</v>
      </c>
      <c r="G896" t="b">
        <v>1</v>
      </c>
      <c r="H896">
        <v>1</v>
      </c>
    </row>
    <row r="897" spans="1:8" x14ac:dyDescent="0.25">
      <c r="A897" t="s">
        <v>1263</v>
      </c>
      <c r="B897" t="s">
        <v>1264</v>
      </c>
      <c r="C897">
        <v>61.1</v>
      </c>
      <c r="D897" t="s">
        <v>3093</v>
      </c>
      <c r="E897" t="s">
        <v>1414</v>
      </c>
      <c r="F897">
        <v>75</v>
      </c>
      <c r="G897" t="b">
        <v>1</v>
      </c>
      <c r="H897">
        <v>1</v>
      </c>
    </row>
    <row r="898" spans="1:8" x14ac:dyDescent="0.25">
      <c r="A898" t="s">
        <v>1276</v>
      </c>
      <c r="B898" t="s">
        <v>1277</v>
      </c>
      <c r="C898">
        <v>222.5</v>
      </c>
      <c r="D898" t="s">
        <v>3093</v>
      </c>
      <c r="E898" t="s">
        <v>1414</v>
      </c>
      <c r="F898">
        <v>75</v>
      </c>
      <c r="G898" t="b">
        <v>1</v>
      </c>
      <c r="H898">
        <v>1</v>
      </c>
    </row>
    <row r="899" spans="1:8" x14ac:dyDescent="0.25">
      <c r="A899" t="s">
        <v>1265</v>
      </c>
      <c r="B899" t="s">
        <v>1266</v>
      </c>
      <c r="C899">
        <v>133.9</v>
      </c>
      <c r="D899" t="s">
        <v>3093</v>
      </c>
      <c r="E899" t="s">
        <v>1414</v>
      </c>
      <c r="F899">
        <v>75</v>
      </c>
      <c r="G899" t="b">
        <v>1</v>
      </c>
      <c r="H899">
        <v>1</v>
      </c>
    </row>
    <row r="900" spans="1:8" x14ac:dyDescent="0.25">
      <c r="A900" t="s">
        <v>3167</v>
      </c>
      <c r="B900" t="s">
        <v>2676</v>
      </c>
      <c r="C900">
        <v>17.5</v>
      </c>
      <c r="D900" t="s">
        <v>3256</v>
      </c>
      <c r="E900" t="s">
        <v>942</v>
      </c>
      <c r="F900">
        <v>75</v>
      </c>
      <c r="G900" t="b">
        <v>1</v>
      </c>
      <c r="H900">
        <v>1</v>
      </c>
    </row>
    <row r="901" spans="1:8" x14ac:dyDescent="0.25">
      <c r="A901" t="s">
        <v>3047</v>
      </c>
      <c r="B901" t="s">
        <v>3048</v>
      </c>
      <c r="D901" t="s">
        <v>3098</v>
      </c>
      <c r="E901" t="s">
        <v>1414</v>
      </c>
      <c r="F901">
        <v>75</v>
      </c>
      <c r="G901" t="b">
        <v>0</v>
      </c>
      <c r="H901">
        <v>1</v>
      </c>
    </row>
    <row r="902" spans="1:8" x14ac:dyDescent="0.25">
      <c r="A902" t="s">
        <v>3049</v>
      </c>
      <c r="B902" t="s">
        <v>3050</v>
      </c>
      <c r="D902" t="s">
        <v>3098</v>
      </c>
      <c r="E902" t="s">
        <v>1414</v>
      </c>
      <c r="F902">
        <v>75</v>
      </c>
      <c r="G902" t="b">
        <v>0</v>
      </c>
      <c r="H902">
        <v>1</v>
      </c>
    </row>
    <row r="903" spans="1:8" x14ac:dyDescent="0.25">
      <c r="A903" t="s">
        <v>3051</v>
      </c>
      <c r="B903" t="s">
        <v>3052</v>
      </c>
      <c r="D903" t="s">
        <v>3098</v>
      </c>
      <c r="E903" t="s">
        <v>1414</v>
      </c>
      <c r="F903">
        <v>75</v>
      </c>
      <c r="G903" t="b">
        <v>0</v>
      </c>
      <c r="H903">
        <v>1</v>
      </c>
    </row>
    <row r="904" spans="1:8" x14ac:dyDescent="0.25">
      <c r="A904" t="s">
        <v>3053</v>
      </c>
      <c r="B904" t="s">
        <v>3054</v>
      </c>
      <c r="D904" t="s">
        <v>3098</v>
      </c>
      <c r="E904" t="s">
        <v>1414</v>
      </c>
      <c r="F904">
        <v>75</v>
      </c>
      <c r="G904" t="b">
        <v>0</v>
      </c>
      <c r="H904">
        <v>1</v>
      </c>
    </row>
    <row r="905" spans="1:8" x14ac:dyDescent="0.25">
      <c r="A905" t="s">
        <v>3055</v>
      </c>
      <c r="B905" t="s">
        <v>3056</v>
      </c>
      <c r="D905" t="s">
        <v>3098</v>
      </c>
      <c r="E905" t="s">
        <v>1414</v>
      </c>
      <c r="F905">
        <v>75</v>
      </c>
      <c r="G905" t="b">
        <v>0</v>
      </c>
      <c r="H905">
        <v>1</v>
      </c>
    </row>
    <row r="906" spans="1:8" x14ac:dyDescent="0.25">
      <c r="A906" t="s">
        <v>3057</v>
      </c>
      <c r="B906" t="s">
        <v>3058</v>
      </c>
      <c r="D906" t="s">
        <v>3098</v>
      </c>
      <c r="E906" t="s">
        <v>1414</v>
      </c>
      <c r="F906">
        <v>75</v>
      </c>
      <c r="G906" t="b">
        <v>0</v>
      </c>
      <c r="H906">
        <v>1</v>
      </c>
    </row>
    <row r="907" spans="1:8" x14ac:dyDescent="0.25">
      <c r="A907" t="s">
        <v>3059</v>
      </c>
      <c r="B907" t="s">
        <v>3060</v>
      </c>
      <c r="D907" t="s">
        <v>3098</v>
      </c>
      <c r="E907" t="s">
        <v>1414</v>
      </c>
      <c r="F907">
        <v>75</v>
      </c>
      <c r="G907" t="b">
        <v>0</v>
      </c>
      <c r="H907">
        <v>1</v>
      </c>
    </row>
    <row r="908" spans="1:8" x14ac:dyDescent="0.25">
      <c r="A908" t="s">
        <v>3061</v>
      </c>
      <c r="B908" t="s">
        <v>3050</v>
      </c>
      <c r="D908" t="s">
        <v>3098</v>
      </c>
      <c r="E908" t="s">
        <v>1414</v>
      </c>
      <c r="F908">
        <v>75</v>
      </c>
      <c r="G908" t="b">
        <v>0</v>
      </c>
      <c r="H908">
        <v>1</v>
      </c>
    </row>
    <row r="909" spans="1:8" x14ac:dyDescent="0.25">
      <c r="A909" t="s">
        <v>1337</v>
      </c>
      <c r="B909" t="s">
        <v>1338</v>
      </c>
      <c r="C909">
        <v>68.7</v>
      </c>
      <c r="D909" t="s">
        <v>3100</v>
      </c>
      <c r="E909" t="s">
        <v>1414</v>
      </c>
      <c r="F909">
        <v>75</v>
      </c>
      <c r="G909" t="b">
        <v>1</v>
      </c>
      <c r="H909">
        <v>1</v>
      </c>
    </row>
    <row r="910" spans="1:8" x14ac:dyDescent="0.25">
      <c r="A910" t="s">
        <v>1339</v>
      </c>
      <c r="B910" t="s">
        <v>1340</v>
      </c>
      <c r="C910">
        <v>68.7</v>
      </c>
      <c r="D910" t="s">
        <v>3100</v>
      </c>
      <c r="E910" t="s">
        <v>1414</v>
      </c>
      <c r="F910">
        <v>75</v>
      </c>
      <c r="G910" t="b">
        <v>1</v>
      </c>
      <c r="H910">
        <v>1</v>
      </c>
    </row>
    <row r="911" spans="1:8" x14ac:dyDescent="0.25">
      <c r="A911" t="s">
        <v>1358</v>
      </c>
      <c r="B911" t="s">
        <v>1359</v>
      </c>
      <c r="C911">
        <v>18.600000000000001</v>
      </c>
      <c r="D911" t="s">
        <v>3100</v>
      </c>
      <c r="E911" t="s">
        <v>1414</v>
      </c>
      <c r="F911">
        <v>75</v>
      </c>
      <c r="G911" t="b">
        <v>1</v>
      </c>
      <c r="H911">
        <v>1</v>
      </c>
    </row>
    <row r="912" spans="1:8" x14ac:dyDescent="0.25">
      <c r="A912" t="s">
        <v>1348</v>
      </c>
      <c r="B912" t="s">
        <v>1349</v>
      </c>
      <c r="C912">
        <v>68.7</v>
      </c>
      <c r="D912" t="s">
        <v>3100</v>
      </c>
      <c r="E912" t="s">
        <v>1414</v>
      </c>
      <c r="F912">
        <v>75</v>
      </c>
      <c r="G912" t="b">
        <v>1</v>
      </c>
      <c r="H912">
        <v>1</v>
      </c>
    </row>
    <row r="913" spans="1:8" x14ac:dyDescent="0.25">
      <c r="A913" t="s">
        <v>1350</v>
      </c>
      <c r="B913" t="s">
        <v>1351</v>
      </c>
      <c r="C913">
        <v>78.849999999999994</v>
      </c>
      <c r="D913" t="s">
        <v>3100</v>
      </c>
      <c r="E913" t="s">
        <v>1414</v>
      </c>
      <c r="F913">
        <v>75</v>
      </c>
      <c r="G913" t="b">
        <v>1</v>
      </c>
      <c r="H913">
        <v>1</v>
      </c>
    </row>
    <row r="914" spans="1:8" x14ac:dyDescent="0.25">
      <c r="A914" t="s">
        <v>1323</v>
      </c>
      <c r="B914" t="s">
        <v>1324</v>
      </c>
      <c r="C914">
        <v>78.849999999999994</v>
      </c>
      <c r="D914" t="s">
        <v>3100</v>
      </c>
      <c r="E914" t="s">
        <v>1414</v>
      </c>
      <c r="F914">
        <v>75</v>
      </c>
      <c r="G914" t="b">
        <v>1</v>
      </c>
      <c r="H914">
        <v>1</v>
      </c>
    </row>
    <row r="915" spans="1:8" x14ac:dyDescent="0.25">
      <c r="A915" t="s">
        <v>1327</v>
      </c>
      <c r="B915" t="s">
        <v>1328</v>
      </c>
      <c r="C915">
        <v>78.849999999999994</v>
      </c>
      <c r="D915" t="s">
        <v>3100</v>
      </c>
      <c r="E915" t="s">
        <v>1414</v>
      </c>
      <c r="F915">
        <v>75</v>
      </c>
      <c r="G915" t="b">
        <v>1</v>
      </c>
      <c r="H915">
        <v>1</v>
      </c>
    </row>
    <row r="916" spans="1:8" x14ac:dyDescent="0.25">
      <c r="A916" t="s">
        <v>1360</v>
      </c>
      <c r="B916" t="s">
        <v>1361</v>
      </c>
      <c r="C916">
        <v>21.25</v>
      </c>
      <c r="D916" t="s">
        <v>3100</v>
      </c>
      <c r="E916" t="s">
        <v>1414</v>
      </c>
      <c r="F916">
        <v>75</v>
      </c>
      <c r="G916" t="b">
        <v>1</v>
      </c>
      <c r="H916">
        <v>1</v>
      </c>
    </row>
    <row r="917" spans="1:8" x14ac:dyDescent="0.25">
      <c r="A917" t="s">
        <v>1342</v>
      </c>
      <c r="B917" t="s">
        <v>1343</v>
      </c>
      <c r="C917">
        <v>62.25</v>
      </c>
      <c r="D917" t="s">
        <v>3100</v>
      </c>
      <c r="E917" t="s">
        <v>1414</v>
      </c>
      <c r="F917">
        <v>75</v>
      </c>
      <c r="G917" t="b">
        <v>1</v>
      </c>
      <c r="H917">
        <v>1</v>
      </c>
    </row>
    <row r="918" spans="1:8" x14ac:dyDescent="0.25">
      <c r="A918" t="s">
        <v>1346</v>
      </c>
      <c r="B918" t="s">
        <v>1347</v>
      </c>
      <c r="C918">
        <v>70.45</v>
      </c>
      <c r="D918" t="s">
        <v>3100</v>
      </c>
      <c r="E918" t="s">
        <v>1414</v>
      </c>
      <c r="F918">
        <v>75</v>
      </c>
      <c r="G918" t="b">
        <v>1</v>
      </c>
      <c r="H918">
        <v>1</v>
      </c>
    </row>
    <row r="919" spans="1:8" x14ac:dyDescent="0.25">
      <c r="A919" t="s">
        <v>1344</v>
      </c>
      <c r="B919" t="s">
        <v>1345</v>
      </c>
      <c r="C919">
        <v>62.25</v>
      </c>
      <c r="D919" t="s">
        <v>3100</v>
      </c>
      <c r="E919" t="s">
        <v>1414</v>
      </c>
      <c r="F919">
        <v>75</v>
      </c>
      <c r="G919" t="b">
        <v>1</v>
      </c>
      <c r="H919">
        <v>1</v>
      </c>
    </row>
    <row r="920" spans="1:8" x14ac:dyDescent="0.25">
      <c r="A920" t="s">
        <v>1352</v>
      </c>
      <c r="B920" t="s">
        <v>1353</v>
      </c>
      <c r="C920">
        <v>53.05</v>
      </c>
      <c r="D920" t="s">
        <v>3100</v>
      </c>
      <c r="E920" t="s">
        <v>1414</v>
      </c>
      <c r="F920">
        <v>75</v>
      </c>
      <c r="G920" t="b">
        <v>1</v>
      </c>
      <c r="H920">
        <v>1</v>
      </c>
    </row>
    <row r="921" spans="1:8" x14ac:dyDescent="0.25">
      <c r="A921" t="s">
        <v>1334</v>
      </c>
      <c r="B921" t="s">
        <v>1335</v>
      </c>
      <c r="C921">
        <v>172.2</v>
      </c>
      <c r="D921" t="s">
        <v>3100</v>
      </c>
      <c r="E921" t="s">
        <v>1414</v>
      </c>
      <c r="F921">
        <v>75</v>
      </c>
      <c r="G921" t="b">
        <v>1</v>
      </c>
      <c r="H921">
        <v>1</v>
      </c>
    </row>
    <row r="922" spans="1:8" x14ac:dyDescent="0.25">
      <c r="A922" t="s">
        <v>1369</v>
      </c>
      <c r="B922" t="s">
        <v>1370</v>
      </c>
      <c r="C922">
        <v>107.35</v>
      </c>
      <c r="D922" t="s">
        <v>3100</v>
      </c>
      <c r="E922" t="s">
        <v>1414</v>
      </c>
      <c r="F922">
        <v>75</v>
      </c>
      <c r="G922" t="b">
        <v>1</v>
      </c>
      <c r="H922">
        <v>1</v>
      </c>
    </row>
    <row r="923" spans="1:8" x14ac:dyDescent="0.25">
      <c r="A923" t="s">
        <v>1355</v>
      </c>
      <c r="B923" t="s">
        <v>1356</v>
      </c>
      <c r="C923">
        <v>98.15</v>
      </c>
      <c r="D923" t="s">
        <v>3100</v>
      </c>
      <c r="E923" t="s">
        <v>1414</v>
      </c>
      <c r="F923">
        <v>75</v>
      </c>
      <c r="G923" t="b">
        <v>1</v>
      </c>
      <c r="H923">
        <v>1</v>
      </c>
    </row>
    <row r="924" spans="1:8" x14ac:dyDescent="0.25">
      <c r="A924" t="s">
        <v>1331</v>
      </c>
      <c r="B924" t="s">
        <v>1332</v>
      </c>
      <c r="C924">
        <v>95.2</v>
      </c>
      <c r="D924" t="s">
        <v>3100</v>
      </c>
      <c r="E924" t="s">
        <v>1414</v>
      </c>
      <c r="F924">
        <v>75</v>
      </c>
      <c r="G924" t="b">
        <v>1</v>
      </c>
      <c r="H924">
        <v>1</v>
      </c>
    </row>
    <row r="925" spans="1:8" x14ac:dyDescent="0.25">
      <c r="A925" t="s">
        <v>1329</v>
      </c>
      <c r="B925" t="s">
        <v>1330</v>
      </c>
      <c r="C925">
        <v>133.9</v>
      </c>
      <c r="D925" t="s">
        <v>3100</v>
      </c>
      <c r="E925" t="s">
        <v>1414</v>
      </c>
      <c r="F925">
        <v>75</v>
      </c>
      <c r="G925" t="b">
        <v>1</v>
      </c>
      <c r="H925">
        <v>1</v>
      </c>
    </row>
    <row r="926" spans="1:8" x14ac:dyDescent="0.25">
      <c r="A926" t="s">
        <v>1409</v>
      </c>
      <c r="B926" t="s">
        <v>1410</v>
      </c>
      <c r="C926">
        <v>31.9</v>
      </c>
      <c r="D926" t="s">
        <v>3102</v>
      </c>
      <c r="E926" t="s">
        <v>1414</v>
      </c>
      <c r="F926">
        <v>75</v>
      </c>
      <c r="G926" t="b">
        <v>1</v>
      </c>
      <c r="H926">
        <v>1</v>
      </c>
    </row>
    <row r="927" spans="1:8" x14ac:dyDescent="0.25">
      <c r="A927" t="s">
        <v>1382</v>
      </c>
      <c r="B927" t="s">
        <v>1383</v>
      </c>
      <c r="C927">
        <v>44.55</v>
      </c>
      <c r="D927" t="s">
        <v>3102</v>
      </c>
      <c r="E927" t="s">
        <v>1414</v>
      </c>
      <c r="F927">
        <v>75</v>
      </c>
      <c r="G927" t="b">
        <v>1</v>
      </c>
      <c r="H927">
        <v>1</v>
      </c>
    </row>
    <row r="928" spans="1:8" x14ac:dyDescent="0.25">
      <c r="A928" t="s">
        <v>1385</v>
      </c>
      <c r="B928" t="s">
        <v>1386</v>
      </c>
      <c r="C928">
        <v>57.2</v>
      </c>
      <c r="D928" t="s">
        <v>3102</v>
      </c>
      <c r="E928" t="s">
        <v>1414</v>
      </c>
      <c r="F928">
        <v>75</v>
      </c>
      <c r="G928" t="b">
        <v>1</v>
      </c>
      <c r="H928">
        <v>1</v>
      </c>
    </row>
    <row r="929" spans="1:8" x14ac:dyDescent="0.25">
      <c r="A929" t="s">
        <v>1387</v>
      </c>
      <c r="B929" t="s">
        <v>1388</v>
      </c>
      <c r="C929">
        <v>69.599999999999994</v>
      </c>
      <c r="D929" t="s">
        <v>3102</v>
      </c>
      <c r="E929" t="s">
        <v>1414</v>
      </c>
      <c r="F929">
        <v>75</v>
      </c>
      <c r="G929" t="b">
        <v>1</v>
      </c>
      <c r="H929">
        <v>1</v>
      </c>
    </row>
    <row r="930" spans="1:8" x14ac:dyDescent="0.25">
      <c r="A930" t="s">
        <v>1389</v>
      </c>
      <c r="B930" t="s">
        <v>1390</v>
      </c>
      <c r="C930">
        <v>88.45</v>
      </c>
      <c r="D930" t="s">
        <v>3102</v>
      </c>
      <c r="E930" t="s">
        <v>1414</v>
      </c>
      <c r="F930">
        <v>75</v>
      </c>
      <c r="G930" t="b">
        <v>1</v>
      </c>
      <c r="H930">
        <v>1</v>
      </c>
    </row>
    <row r="931" spans="1:8" x14ac:dyDescent="0.25">
      <c r="A931" t="s">
        <v>1463</v>
      </c>
      <c r="B931" t="s">
        <v>1464</v>
      </c>
      <c r="C931">
        <v>45.1</v>
      </c>
      <c r="D931" t="s">
        <v>3102</v>
      </c>
      <c r="E931" t="s">
        <v>1414</v>
      </c>
      <c r="F931">
        <v>75</v>
      </c>
      <c r="G931" t="b">
        <v>1</v>
      </c>
      <c r="H931">
        <v>1</v>
      </c>
    </row>
    <row r="932" spans="1:8" x14ac:dyDescent="0.25">
      <c r="A932" t="s">
        <v>1391</v>
      </c>
      <c r="B932" t="s">
        <v>1392</v>
      </c>
      <c r="C932">
        <v>57.8</v>
      </c>
      <c r="D932" t="s">
        <v>3102</v>
      </c>
      <c r="E932" t="s">
        <v>1414</v>
      </c>
      <c r="F932">
        <v>75</v>
      </c>
      <c r="G932" t="b">
        <v>1</v>
      </c>
      <c r="H932">
        <v>1</v>
      </c>
    </row>
    <row r="933" spans="1:8" x14ac:dyDescent="0.25">
      <c r="A933" t="s">
        <v>1393</v>
      </c>
      <c r="B933" t="s">
        <v>1394</v>
      </c>
      <c r="C933">
        <v>70.45</v>
      </c>
      <c r="D933" t="s">
        <v>3102</v>
      </c>
      <c r="E933" t="s">
        <v>1414</v>
      </c>
      <c r="F933">
        <v>75</v>
      </c>
      <c r="G933" t="b">
        <v>1</v>
      </c>
      <c r="H933">
        <v>1</v>
      </c>
    </row>
    <row r="934" spans="1:8" x14ac:dyDescent="0.25">
      <c r="A934" t="s">
        <v>1395</v>
      </c>
      <c r="B934" t="s">
        <v>1396</v>
      </c>
      <c r="C934">
        <v>82.85</v>
      </c>
      <c r="D934" t="s">
        <v>3102</v>
      </c>
      <c r="E934" t="s">
        <v>1414</v>
      </c>
      <c r="F934">
        <v>75</v>
      </c>
      <c r="G934" t="b">
        <v>1</v>
      </c>
      <c r="H934">
        <v>1</v>
      </c>
    </row>
    <row r="935" spans="1:8" x14ac:dyDescent="0.25">
      <c r="A935" t="s">
        <v>1467</v>
      </c>
      <c r="B935" t="s">
        <v>1468</v>
      </c>
      <c r="C935">
        <v>54.3</v>
      </c>
      <c r="D935" t="s">
        <v>3102</v>
      </c>
      <c r="E935" t="s">
        <v>1414</v>
      </c>
      <c r="F935">
        <v>75</v>
      </c>
      <c r="G935" t="b">
        <v>1</v>
      </c>
      <c r="H935">
        <v>1</v>
      </c>
    </row>
    <row r="936" spans="1:8" x14ac:dyDescent="0.25">
      <c r="A936" t="s">
        <v>1397</v>
      </c>
      <c r="B936" t="s">
        <v>1398</v>
      </c>
      <c r="C936">
        <v>66.95</v>
      </c>
      <c r="D936" t="s">
        <v>3102</v>
      </c>
      <c r="E936" t="s">
        <v>1414</v>
      </c>
      <c r="F936">
        <v>75</v>
      </c>
      <c r="G936" t="b">
        <v>1</v>
      </c>
      <c r="H936">
        <v>1</v>
      </c>
    </row>
    <row r="937" spans="1:8" x14ac:dyDescent="0.25">
      <c r="A937" t="s">
        <v>1399</v>
      </c>
      <c r="B937" t="s">
        <v>1400</v>
      </c>
      <c r="C937">
        <v>83.75</v>
      </c>
      <c r="D937" t="s">
        <v>3102</v>
      </c>
      <c r="E937" t="s">
        <v>1414</v>
      </c>
      <c r="F937">
        <v>75</v>
      </c>
      <c r="G937" t="b">
        <v>1</v>
      </c>
      <c r="H937">
        <v>1</v>
      </c>
    </row>
    <row r="938" spans="1:8" x14ac:dyDescent="0.25">
      <c r="A938" t="s">
        <v>1401</v>
      </c>
      <c r="B938" t="s">
        <v>1402</v>
      </c>
      <c r="C938">
        <v>123.55</v>
      </c>
      <c r="D938" t="s">
        <v>3102</v>
      </c>
      <c r="E938" t="s">
        <v>1414</v>
      </c>
      <c r="F938">
        <v>75</v>
      </c>
      <c r="G938" t="b">
        <v>1</v>
      </c>
      <c r="H938">
        <v>1</v>
      </c>
    </row>
    <row r="939" spans="1:8" x14ac:dyDescent="0.25">
      <c r="A939" t="s">
        <v>1568</v>
      </c>
      <c r="B939" t="s">
        <v>1569</v>
      </c>
      <c r="C939">
        <v>17.399999999999999</v>
      </c>
      <c r="D939" t="s">
        <v>3102</v>
      </c>
      <c r="E939" t="s">
        <v>1414</v>
      </c>
      <c r="F939">
        <v>75</v>
      </c>
      <c r="G939" t="b">
        <v>1</v>
      </c>
      <c r="H939">
        <v>1</v>
      </c>
    </row>
    <row r="940" spans="1:8" x14ac:dyDescent="0.25">
      <c r="A940" t="s">
        <v>1572</v>
      </c>
      <c r="B940" t="s">
        <v>1573</v>
      </c>
      <c r="C940">
        <v>25.35</v>
      </c>
      <c r="D940" t="s">
        <v>3102</v>
      </c>
      <c r="E940" t="s">
        <v>1414</v>
      </c>
      <c r="F940">
        <v>75</v>
      </c>
      <c r="G940" t="b">
        <v>1</v>
      </c>
      <c r="H940">
        <v>1</v>
      </c>
    </row>
    <row r="941" spans="1:8" x14ac:dyDescent="0.25">
      <c r="A941" t="s">
        <v>1501</v>
      </c>
      <c r="B941" t="s">
        <v>1502</v>
      </c>
      <c r="C941">
        <v>146.25</v>
      </c>
      <c r="D941" t="s">
        <v>3102</v>
      </c>
      <c r="E941" t="s">
        <v>1414</v>
      </c>
      <c r="F941">
        <v>75</v>
      </c>
      <c r="G941" t="b">
        <v>1</v>
      </c>
      <c r="H941">
        <v>1</v>
      </c>
    </row>
    <row r="942" spans="1:8" x14ac:dyDescent="0.25">
      <c r="A942" t="s">
        <v>1517</v>
      </c>
      <c r="B942" t="s">
        <v>1518</v>
      </c>
      <c r="C942">
        <v>25.35</v>
      </c>
      <c r="D942" t="s">
        <v>3102</v>
      </c>
      <c r="E942" t="s">
        <v>1414</v>
      </c>
      <c r="F942">
        <v>75</v>
      </c>
      <c r="G942" t="b">
        <v>1</v>
      </c>
      <c r="H942">
        <v>1</v>
      </c>
    </row>
    <row r="943" spans="1:8" x14ac:dyDescent="0.25">
      <c r="A943" t="s">
        <v>3115</v>
      </c>
      <c r="B943" t="s">
        <v>2997</v>
      </c>
      <c r="C943">
        <v>34.5</v>
      </c>
      <c r="D943" t="s">
        <v>3102</v>
      </c>
      <c r="E943" t="s">
        <v>1414</v>
      </c>
      <c r="F943">
        <v>75</v>
      </c>
      <c r="G943" t="b">
        <v>1</v>
      </c>
      <c r="H943">
        <v>1</v>
      </c>
    </row>
    <row r="944" spans="1:8" x14ac:dyDescent="0.25">
      <c r="A944" t="s">
        <v>1505</v>
      </c>
      <c r="B944" t="s">
        <v>1506</v>
      </c>
      <c r="C944">
        <v>166.5</v>
      </c>
      <c r="D944" t="s">
        <v>3102</v>
      </c>
      <c r="E944" t="s">
        <v>1414</v>
      </c>
      <c r="F944">
        <v>75</v>
      </c>
      <c r="G944" t="b">
        <v>1</v>
      </c>
      <c r="H944">
        <v>1</v>
      </c>
    </row>
    <row r="945" spans="1:8" x14ac:dyDescent="0.25">
      <c r="A945" t="s">
        <v>1508</v>
      </c>
      <c r="B945" t="s">
        <v>1509</v>
      </c>
      <c r="C945">
        <v>172.05</v>
      </c>
      <c r="D945" t="s">
        <v>3102</v>
      </c>
      <c r="E945" t="s">
        <v>1414</v>
      </c>
      <c r="F945">
        <v>75</v>
      </c>
      <c r="G945" t="b">
        <v>1</v>
      </c>
      <c r="H945">
        <v>1</v>
      </c>
    </row>
    <row r="946" spans="1:8" x14ac:dyDescent="0.25">
      <c r="A946" t="s">
        <v>1511</v>
      </c>
      <c r="B946" t="s">
        <v>1512</v>
      </c>
      <c r="C946">
        <v>177.35</v>
      </c>
      <c r="D946" t="s">
        <v>3102</v>
      </c>
      <c r="E946" t="s">
        <v>1414</v>
      </c>
      <c r="F946">
        <v>75</v>
      </c>
      <c r="G946" t="b">
        <v>1</v>
      </c>
      <c r="H946">
        <v>1</v>
      </c>
    </row>
    <row r="947" spans="1:8" x14ac:dyDescent="0.25">
      <c r="A947" t="s">
        <v>1488</v>
      </c>
      <c r="B947" t="s">
        <v>1489</v>
      </c>
      <c r="C947">
        <v>28.95</v>
      </c>
      <c r="D947" t="s">
        <v>3102</v>
      </c>
      <c r="E947" t="s">
        <v>1414</v>
      </c>
      <c r="F947">
        <v>75</v>
      </c>
      <c r="G947" t="b">
        <v>1</v>
      </c>
      <c r="H947">
        <v>1</v>
      </c>
    </row>
    <row r="948" spans="1:8" x14ac:dyDescent="0.25">
      <c r="A948" t="s">
        <v>1544</v>
      </c>
      <c r="B948" t="s">
        <v>1545</v>
      </c>
      <c r="C948">
        <v>226.45</v>
      </c>
      <c r="D948" t="s">
        <v>3102</v>
      </c>
      <c r="E948" t="s">
        <v>1414</v>
      </c>
      <c r="F948">
        <v>75</v>
      </c>
      <c r="G948" t="b">
        <v>1</v>
      </c>
      <c r="H948">
        <v>1</v>
      </c>
    </row>
    <row r="949" spans="1:8" x14ac:dyDescent="0.25">
      <c r="A949" t="s">
        <v>1615</v>
      </c>
      <c r="B949" t="s">
        <v>1616</v>
      </c>
      <c r="C949">
        <v>46.4</v>
      </c>
      <c r="D949" t="s">
        <v>3102</v>
      </c>
      <c r="E949" t="s">
        <v>1414</v>
      </c>
      <c r="F949">
        <v>75</v>
      </c>
      <c r="G949" t="b">
        <v>1</v>
      </c>
      <c r="H949">
        <v>1</v>
      </c>
    </row>
    <row r="950" spans="1:8" x14ac:dyDescent="0.25">
      <c r="A950" t="s">
        <v>1618</v>
      </c>
      <c r="B950" t="s">
        <v>1619</v>
      </c>
      <c r="C950">
        <v>46.4</v>
      </c>
      <c r="D950" t="s">
        <v>3102</v>
      </c>
      <c r="E950" t="s">
        <v>1414</v>
      </c>
      <c r="F950">
        <v>75</v>
      </c>
      <c r="G950" t="b">
        <v>1</v>
      </c>
      <c r="H950">
        <v>1</v>
      </c>
    </row>
    <row r="951" spans="1:8" x14ac:dyDescent="0.25">
      <c r="A951" t="s">
        <v>1528</v>
      </c>
      <c r="B951" t="s">
        <v>1529</v>
      </c>
      <c r="C951">
        <v>135.05000000000001</v>
      </c>
      <c r="D951" t="s">
        <v>3102</v>
      </c>
      <c r="E951" t="s">
        <v>1414</v>
      </c>
      <c r="F951">
        <v>75</v>
      </c>
      <c r="G951" t="b">
        <v>1</v>
      </c>
      <c r="H951">
        <v>1</v>
      </c>
    </row>
    <row r="952" spans="1:8" x14ac:dyDescent="0.25">
      <c r="A952" t="s">
        <v>3112</v>
      </c>
      <c r="B952" t="s">
        <v>1627</v>
      </c>
      <c r="C952">
        <v>17.399999999999999</v>
      </c>
      <c r="D952" t="s">
        <v>3102</v>
      </c>
      <c r="E952" t="s">
        <v>1414</v>
      </c>
      <c r="F952">
        <v>75</v>
      </c>
      <c r="G952" t="b">
        <v>1</v>
      </c>
      <c r="H952">
        <v>1</v>
      </c>
    </row>
    <row r="953" spans="1:8" x14ac:dyDescent="0.25">
      <c r="A953" t="s">
        <v>1598</v>
      </c>
      <c r="B953" t="s">
        <v>1599</v>
      </c>
      <c r="C953">
        <v>33.65</v>
      </c>
      <c r="D953" t="s">
        <v>3102</v>
      </c>
      <c r="E953" t="s">
        <v>1414</v>
      </c>
      <c r="F953">
        <v>75</v>
      </c>
      <c r="G953" t="b">
        <v>1</v>
      </c>
      <c r="H953">
        <v>1</v>
      </c>
    </row>
    <row r="954" spans="1:8" x14ac:dyDescent="0.25">
      <c r="A954" t="s">
        <v>1454</v>
      </c>
      <c r="B954" t="s">
        <v>1455</v>
      </c>
      <c r="C954">
        <v>33.65</v>
      </c>
      <c r="D954" t="s">
        <v>3102</v>
      </c>
      <c r="E954" t="s">
        <v>1414</v>
      </c>
      <c r="F954">
        <v>75</v>
      </c>
      <c r="G954" t="b">
        <v>1</v>
      </c>
      <c r="H954">
        <v>1</v>
      </c>
    </row>
    <row r="955" spans="1:8" x14ac:dyDescent="0.25">
      <c r="A955" t="s">
        <v>1600</v>
      </c>
      <c r="B955" t="s">
        <v>1601</v>
      </c>
      <c r="C955">
        <v>33.65</v>
      </c>
      <c r="D955" t="s">
        <v>3102</v>
      </c>
      <c r="E955" t="s">
        <v>1414</v>
      </c>
      <c r="F955">
        <v>75</v>
      </c>
      <c r="G955" t="b">
        <v>1</v>
      </c>
      <c r="H955">
        <v>1</v>
      </c>
    </row>
    <row r="956" spans="1:8" x14ac:dyDescent="0.25">
      <c r="A956" t="s">
        <v>1602</v>
      </c>
      <c r="B956" t="s">
        <v>1603</v>
      </c>
      <c r="C956">
        <v>41.1</v>
      </c>
      <c r="D956" t="s">
        <v>3102</v>
      </c>
      <c r="E956" t="s">
        <v>1414</v>
      </c>
      <c r="F956">
        <v>75</v>
      </c>
      <c r="G956" t="b">
        <v>1</v>
      </c>
      <c r="H956">
        <v>1</v>
      </c>
    </row>
    <row r="957" spans="1:8" x14ac:dyDescent="0.25">
      <c r="A957" t="s">
        <v>1604</v>
      </c>
      <c r="B957" t="s">
        <v>1605</v>
      </c>
      <c r="C957">
        <v>41.1</v>
      </c>
      <c r="D957" t="s">
        <v>3102</v>
      </c>
      <c r="E957" t="s">
        <v>1414</v>
      </c>
      <c r="F957">
        <v>75</v>
      </c>
      <c r="G957" t="b">
        <v>1</v>
      </c>
      <c r="H957">
        <v>1</v>
      </c>
    </row>
    <row r="958" spans="1:8" x14ac:dyDescent="0.25">
      <c r="A958" t="s">
        <v>1412</v>
      </c>
      <c r="B958" t="s">
        <v>1413</v>
      </c>
      <c r="C958">
        <v>50.45</v>
      </c>
      <c r="D958" t="s">
        <v>3102</v>
      </c>
      <c r="E958" t="s">
        <v>1414</v>
      </c>
      <c r="F958">
        <v>75</v>
      </c>
      <c r="G958" t="b">
        <v>1</v>
      </c>
      <c r="H958">
        <v>1</v>
      </c>
    </row>
    <row r="959" spans="1:8" x14ac:dyDescent="0.25">
      <c r="A959" t="s">
        <v>1581</v>
      </c>
      <c r="B959" t="s">
        <v>1582</v>
      </c>
      <c r="C959">
        <v>51.65</v>
      </c>
      <c r="D959" t="s">
        <v>3102</v>
      </c>
      <c r="E959" t="s">
        <v>1414</v>
      </c>
      <c r="F959">
        <v>75</v>
      </c>
      <c r="G959" t="b">
        <v>1</v>
      </c>
      <c r="H959">
        <v>1</v>
      </c>
    </row>
    <row r="960" spans="1:8" x14ac:dyDescent="0.25">
      <c r="A960" t="s">
        <v>1457</v>
      </c>
      <c r="B960" t="s">
        <v>1458</v>
      </c>
      <c r="C960">
        <v>51.65</v>
      </c>
      <c r="D960" t="s">
        <v>3102</v>
      </c>
      <c r="E960" t="s">
        <v>1414</v>
      </c>
      <c r="F960">
        <v>75</v>
      </c>
      <c r="G960" t="b">
        <v>1</v>
      </c>
      <c r="H960">
        <v>1</v>
      </c>
    </row>
    <row r="961" spans="1:8" x14ac:dyDescent="0.25">
      <c r="A961" t="s">
        <v>1586</v>
      </c>
      <c r="B961" t="s">
        <v>1587</v>
      </c>
      <c r="C961">
        <v>64.849999999999994</v>
      </c>
      <c r="D961" t="s">
        <v>3102</v>
      </c>
      <c r="E961" t="s">
        <v>1414</v>
      </c>
      <c r="F961">
        <v>75</v>
      </c>
      <c r="G961" t="b">
        <v>1</v>
      </c>
      <c r="H961">
        <v>1</v>
      </c>
    </row>
    <row r="962" spans="1:8" x14ac:dyDescent="0.25">
      <c r="A962" t="s">
        <v>1589</v>
      </c>
      <c r="B962" t="s">
        <v>1590</v>
      </c>
      <c r="C962">
        <v>74.650000000000006</v>
      </c>
      <c r="D962" t="s">
        <v>3102</v>
      </c>
      <c r="E962" t="s">
        <v>1414</v>
      </c>
      <c r="F962">
        <v>75</v>
      </c>
      <c r="G962" t="b">
        <v>1</v>
      </c>
      <c r="H962">
        <v>1</v>
      </c>
    </row>
    <row r="963" spans="1:8" x14ac:dyDescent="0.25">
      <c r="A963" t="s">
        <v>1591</v>
      </c>
      <c r="B963" t="s">
        <v>1592</v>
      </c>
      <c r="C963">
        <v>80.900000000000006</v>
      </c>
      <c r="D963" t="s">
        <v>3102</v>
      </c>
      <c r="E963" t="s">
        <v>1414</v>
      </c>
      <c r="F963">
        <v>75</v>
      </c>
      <c r="G963" t="b">
        <v>1</v>
      </c>
      <c r="H963">
        <v>1</v>
      </c>
    </row>
    <row r="964" spans="1:8" x14ac:dyDescent="0.25">
      <c r="A964" t="s">
        <v>1593</v>
      </c>
      <c r="B964" t="s">
        <v>1594</v>
      </c>
      <c r="C964">
        <v>125.75</v>
      </c>
      <c r="D964" t="s">
        <v>3102</v>
      </c>
      <c r="E964" t="s">
        <v>1414</v>
      </c>
      <c r="F964">
        <v>75</v>
      </c>
      <c r="G964" t="b">
        <v>1</v>
      </c>
      <c r="H964">
        <v>1</v>
      </c>
    </row>
    <row r="965" spans="1:8" x14ac:dyDescent="0.25">
      <c r="A965" t="s">
        <v>1578</v>
      </c>
      <c r="B965" t="s">
        <v>1579</v>
      </c>
      <c r="C965">
        <v>28.95</v>
      </c>
      <c r="D965" t="s">
        <v>3102</v>
      </c>
      <c r="E965" t="s">
        <v>1414</v>
      </c>
      <c r="F965">
        <v>75</v>
      </c>
      <c r="G965" t="b">
        <v>1</v>
      </c>
      <c r="H965">
        <v>1</v>
      </c>
    </row>
    <row r="966" spans="1:8" x14ac:dyDescent="0.25">
      <c r="A966" t="s">
        <v>1596</v>
      </c>
      <c r="B966" t="s">
        <v>1416</v>
      </c>
      <c r="C966">
        <v>229.95</v>
      </c>
      <c r="D966" t="s">
        <v>3102</v>
      </c>
      <c r="E966" t="s">
        <v>1414</v>
      </c>
      <c r="F966">
        <v>75</v>
      </c>
      <c r="G966" t="b">
        <v>1</v>
      </c>
      <c r="H966">
        <v>1</v>
      </c>
    </row>
    <row r="967" spans="1:8" x14ac:dyDescent="0.25">
      <c r="A967" t="s">
        <v>1415</v>
      </c>
      <c r="B967" t="s">
        <v>1416</v>
      </c>
      <c r="C967">
        <v>229.95</v>
      </c>
      <c r="D967" t="s">
        <v>3102</v>
      </c>
      <c r="E967" t="s">
        <v>1414</v>
      </c>
      <c r="F967">
        <v>75</v>
      </c>
      <c r="G967" t="b">
        <v>1</v>
      </c>
      <c r="H967">
        <v>1</v>
      </c>
    </row>
    <row r="968" spans="1:8" x14ac:dyDescent="0.25">
      <c r="A968" t="s">
        <v>1533</v>
      </c>
      <c r="B968" t="s">
        <v>1534</v>
      </c>
      <c r="C968">
        <v>136.65</v>
      </c>
      <c r="D968" t="s">
        <v>3102</v>
      </c>
      <c r="E968" t="s">
        <v>1414</v>
      </c>
      <c r="F968">
        <v>75</v>
      </c>
      <c r="G968" t="b">
        <v>1</v>
      </c>
      <c r="H968">
        <v>1</v>
      </c>
    </row>
    <row r="969" spans="1:8" x14ac:dyDescent="0.25">
      <c r="A969" t="s">
        <v>1536</v>
      </c>
      <c r="B969" t="s">
        <v>1537</v>
      </c>
      <c r="C969">
        <v>33.049999999999997</v>
      </c>
      <c r="D969" t="s">
        <v>3102</v>
      </c>
      <c r="E969" t="s">
        <v>1414</v>
      </c>
      <c r="F969">
        <v>75</v>
      </c>
      <c r="G969" t="b">
        <v>1</v>
      </c>
      <c r="H969">
        <v>1</v>
      </c>
    </row>
    <row r="970" spans="1:8" x14ac:dyDescent="0.25">
      <c r="A970" t="s">
        <v>1403</v>
      </c>
      <c r="B970" t="s">
        <v>1404</v>
      </c>
      <c r="C970">
        <v>33.049999999999997</v>
      </c>
      <c r="D970" t="s">
        <v>3102</v>
      </c>
      <c r="E970" t="s">
        <v>1414</v>
      </c>
      <c r="F970">
        <v>75</v>
      </c>
      <c r="G970" t="b">
        <v>1</v>
      </c>
      <c r="H970">
        <v>1</v>
      </c>
    </row>
    <row r="971" spans="1:8" x14ac:dyDescent="0.25">
      <c r="A971" t="s">
        <v>1486</v>
      </c>
      <c r="B971" t="s">
        <v>1487</v>
      </c>
      <c r="C971">
        <v>74</v>
      </c>
      <c r="D971" t="s">
        <v>3102</v>
      </c>
      <c r="E971" t="s">
        <v>1414</v>
      </c>
      <c r="F971">
        <v>75</v>
      </c>
      <c r="G971" t="b">
        <v>1</v>
      </c>
      <c r="H971">
        <v>1</v>
      </c>
    </row>
    <row r="972" spans="1:8" x14ac:dyDescent="0.25">
      <c r="A972" t="s">
        <v>1531</v>
      </c>
      <c r="B972" t="s">
        <v>1532</v>
      </c>
      <c r="C972">
        <v>68.95</v>
      </c>
      <c r="D972" t="s">
        <v>3102</v>
      </c>
      <c r="E972" t="s">
        <v>1414</v>
      </c>
      <c r="F972">
        <v>75</v>
      </c>
      <c r="G972" t="b">
        <v>1</v>
      </c>
      <c r="H972">
        <v>1</v>
      </c>
    </row>
    <row r="973" spans="1:8" x14ac:dyDescent="0.25">
      <c r="A973" t="s">
        <v>1459</v>
      </c>
      <c r="B973" t="s">
        <v>1460</v>
      </c>
      <c r="C973">
        <v>28.95</v>
      </c>
      <c r="D973" t="s">
        <v>3102</v>
      </c>
      <c r="E973" t="s">
        <v>1414</v>
      </c>
      <c r="F973">
        <v>75</v>
      </c>
      <c r="G973" t="b">
        <v>1</v>
      </c>
      <c r="H973">
        <v>1</v>
      </c>
    </row>
    <row r="974" spans="1:8" x14ac:dyDescent="0.25">
      <c r="A974" t="s">
        <v>1606</v>
      </c>
      <c r="B974" t="s">
        <v>1607</v>
      </c>
      <c r="C974">
        <v>22.4</v>
      </c>
      <c r="D974" t="s">
        <v>3102</v>
      </c>
      <c r="E974" t="s">
        <v>1414</v>
      </c>
      <c r="F974">
        <v>75</v>
      </c>
      <c r="G974" t="b">
        <v>1</v>
      </c>
      <c r="H974">
        <v>1</v>
      </c>
    </row>
    <row r="975" spans="1:8" x14ac:dyDescent="0.25">
      <c r="A975" t="s">
        <v>1608</v>
      </c>
      <c r="B975" t="s">
        <v>1609</v>
      </c>
      <c r="C975">
        <v>30.7</v>
      </c>
      <c r="D975" t="s">
        <v>3102</v>
      </c>
      <c r="E975" t="s">
        <v>1414</v>
      </c>
      <c r="F975">
        <v>75</v>
      </c>
      <c r="G975" t="b">
        <v>1</v>
      </c>
      <c r="H975">
        <v>1</v>
      </c>
    </row>
    <row r="976" spans="1:8" x14ac:dyDescent="0.25">
      <c r="A976" t="s">
        <v>1611</v>
      </c>
      <c r="B976" t="s">
        <v>1612</v>
      </c>
      <c r="C976">
        <v>25.35</v>
      </c>
      <c r="D976" t="s">
        <v>3102</v>
      </c>
      <c r="E976" t="s">
        <v>1414</v>
      </c>
      <c r="F976">
        <v>75</v>
      </c>
      <c r="G976" t="b">
        <v>1</v>
      </c>
      <c r="H976">
        <v>1</v>
      </c>
    </row>
    <row r="977" spans="1:8" x14ac:dyDescent="0.25">
      <c r="A977" t="s">
        <v>1628</v>
      </c>
      <c r="B977" t="s">
        <v>1629</v>
      </c>
      <c r="C977">
        <v>30.7</v>
      </c>
      <c r="D977" t="s">
        <v>3102</v>
      </c>
      <c r="E977" t="s">
        <v>1414</v>
      </c>
      <c r="F977">
        <v>75</v>
      </c>
      <c r="G977" t="b">
        <v>1</v>
      </c>
      <c r="H977">
        <v>1</v>
      </c>
    </row>
    <row r="978" spans="1:8" x14ac:dyDescent="0.25">
      <c r="A978" t="s">
        <v>1613</v>
      </c>
      <c r="B978" t="s">
        <v>1614</v>
      </c>
      <c r="C978">
        <v>43.95</v>
      </c>
      <c r="D978" t="s">
        <v>3102</v>
      </c>
      <c r="E978" t="s">
        <v>1414</v>
      </c>
      <c r="F978">
        <v>75</v>
      </c>
      <c r="G978" t="b">
        <v>1</v>
      </c>
      <c r="H978">
        <v>1</v>
      </c>
    </row>
    <row r="979" spans="1:8" x14ac:dyDescent="0.25">
      <c r="A979" t="s">
        <v>1630</v>
      </c>
      <c r="B979" t="s">
        <v>1631</v>
      </c>
      <c r="C979">
        <v>25.35</v>
      </c>
      <c r="D979" t="s">
        <v>3102</v>
      </c>
      <c r="E979" t="s">
        <v>1414</v>
      </c>
      <c r="F979">
        <v>75</v>
      </c>
      <c r="G979" t="b">
        <v>1</v>
      </c>
      <c r="H979">
        <v>1</v>
      </c>
    </row>
    <row r="980" spans="1:8" x14ac:dyDescent="0.25">
      <c r="A980" t="s">
        <v>1522</v>
      </c>
      <c r="B980" t="s">
        <v>1523</v>
      </c>
      <c r="C980">
        <v>111.45</v>
      </c>
      <c r="D980" t="s">
        <v>3102</v>
      </c>
      <c r="E980" t="s">
        <v>1414</v>
      </c>
      <c r="F980">
        <v>75</v>
      </c>
      <c r="G980" t="b">
        <v>1</v>
      </c>
      <c r="H980">
        <v>1</v>
      </c>
    </row>
    <row r="981" spans="1:8" x14ac:dyDescent="0.25">
      <c r="A981" t="s">
        <v>1520</v>
      </c>
      <c r="B981" t="s">
        <v>1521</v>
      </c>
      <c r="C981">
        <v>106.15</v>
      </c>
      <c r="D981" t="s">
        <v>3102</v>
      </c>
      <c r="E981" t="s">
        <v>1414</v>
      </c>
      <c r="F981">
        <v>75</v>
      </c>
      <c r="G981" t="b">
        <v>1</v>
      </c>
      <c r="H981">
        <v>1</v>
      </c>
    </row>
    <row r="982" spans="1:8" x14ac:dyDescent="0.25">
      <c r="A982" t="s">
        <v>1584</v>
      </c>
      <c r="B982" t="s">
        <v>1585</v>
      </c>
      <c r="C982">
        <v>73.45</v>
      </c>
      <c r="D982" t="s">
        <v>3102</v>
      </c>
      <c r="E982" t="s">
        <v>1414</v>
      </c>
      <c r="F982">
        <v>75</v>
      </c>
      <c r="G982" t="b">
        <v>1</v>
      </c>
      <c r="H982">
        <v>1</v>
      </c>
    </row>
    <row r="983" spans="1:8" x14ac:dyDescent="0.25">
      <c r="A983" t="s">
        <v>1417</v>
      </c>
      <c r="B983" t="s">
        <v>1418</v>
      </c>
      <c r="C983">
        <v>87.55</v>
      </c>
      <c r="D983" t="s">
        <v>3102</v>
      </c>
      <c r="E983" t="s">
        <v>1414</v>
      </c>
      <c r="F983">
        <v>75</v>
      </c>
      <c r="G983" t="b">
        <v>1</v>
      </c>
      <c r="H983">
        <v>1</v>
      </c>
    </row>
    <row r="984" spans="1:8" x14ac:dyDescent="0.25">
      <c r="A984" t="s">
        <v>1574</v>
      </c>
      <c r="B984" t="s">
        <v>1575</v>
      </c>
      <c r="C984">
        <v>41</v>
      </c>
      <c r="D984" t="s">
        <v>3102</v>
      </c>
      <c r="E984" t="s">
        <v>1414</v>
      </c>
      <c r="F984">
        <v>75</v>
      </c>
      <c r="G984" t="b">
        <v>1</v>
      </c>
      <c r="H984">
        <v>1</v>
      </c>
    </row>
    <row r="985" spans="1:8" x14ac:dyDescent="0.25">
      <c r="A985" t="s">
        <v>1524</v>
      </c>
      <c r="B985" t="s">
        <v>1525</v>
      </c>
      <c r="C985">
        <v>32.75</v>
      </c>
      <c r="D985" t="s">
        <v>3102</v>
      </c>
      <c r="E985" t="s">
        <v>1414</v>
      </c>
      <c r="F985">
        <v>75</v>
      </c>
      <c r="G985" t="b">
        <v>1</v>
      </c>
      <c r="H985">
        <v>1</v>
      </c>
    </row>
    <row r="986" spans="1:8" x14ac:dyDescent="0.25">
      <c r="A986" t="s">
        <v>1562</v>
      </c>
      <c r="B986" t="s">
        <v>1563</v>
      </c>
      <c r="C986">
        <v>82</v>
      </c>
      <c r="D986" t="s">
        <v>3102</v>
      </c>
      <c r="E986" t="s">
        <v>1414</v>
      </c>
      <c r="F986">
        <v>75</v>
      </c>
      <c r="G986" t="b">
        <v>1</v>
      </c>
      <c r="H986">
        <v>1</v>
      </c>
    </row>
    <row r="987" spans="1:8" x14ac:dyDescent="0.25">
      <c r="A987" t="s">
        <v>1565</v>
      </c>
      <c r="B987" t="s">
        <v>1566</v>
      </c>
      <c r="C987">
        <v>73.7</v>
      </c>
      <c r="D987" t="s">
        <v>3102</v>
      </c>
      <c r="E987" t="s">
        <v>1414</v>
      </c>
      <c r="F987">
        <v>75</v>
      </c>
      <c r="G987" t="b">
        <v>1</v>
      </c>
      <c r="H987">
        <v>1</v>
      </c>
    </row>
    <row r="988" spans="1:8" x14ac:dyDescent="0.25">
      <c r="A988" t="s">
        <v>1637</v>
      </c>
      <c r="B988" t="s">
        <v>1638</v>
      </c>
      <c r="C988">
        <v>53.05</v>
      </c>
      <c r="D988" t="s">
        <v>3102</v>
      </c>
      <c r="E988" t="s">
        <v>1414</v>
      </c>
      <c r="F988">
        <v>75</v>
      </c>
      <c r="G988" t="b">
        <v>1</v>
      </c>
      <c r="H988">
        <v>1</v>
      </c>
    </row>
    <row r="989" spans="1:8" x14ac:dyDescent="0.25">
      <c r="A989" t="s">
        <v>1419</v>
      </c>
      <c r="B989" t="s">
        <v>1420</v>
      </c>
      <c r="C989">
        <v>65</v>
      </c>
      <c r="D989" t="s">
        <v>3102</v>
      </c>
      <c r="E989" t="s">
        <v>1414</v>
      </c>
      <c r="F989">
        <v>75</v>
      </c>
      <c r="G989" t="b">
        <v>1</v>
      </c>
      <c r="H989">
        <v>1</v>
      </c>
    </row>
    <row r="990" spans="1:8" x14ac:dyDescent="0.25">
      <c r="A990" t="s">
        <v>1421</v>
      </c>
      <c r="B990" t="s">
        <v>1422</v>
      </c>
      <c r="C990">
        <v>133.9</v>
      </c>
      <c r="D990" t="s">
        <v>3102</v>
      </c>
      <c r="E990" t="s">
        <v>1414</v>
      </c>
      <c r="F990">
        <v>75</v>
      </c>
      <c r="G990" t="b">
        <v>1</v>
      </c>
      <c r="H990">
        <v>1</v>
      </c>
    </row>
    <row r="991" spans="1:8" x14ac:dyDescent="0.25">
      <c r="A991" t="s">
        <v>1621</v>
      </c>
      <c r="B991" t="s">
        <v>1622</v>
      </c>
      <c r="C991">
        <v>72.849999999999994</v>
      </c>
      <c r="D991" t="s">
        <v>3102</v>
      </c>
      <c r="E991" t="s">
        <v>1414</v>
      </c>
      <c r="F991">
        <v>75</v>
      </c>
      <c r="G991" t="b">
        <v>1</v>
      </c>
      <c r="H991">
        <v>1</v>
      </c>
    </row>
    <row r="992" spans="1:8" x14ac:dyDescent="0.25">
      <c r="A992" t="s">
        <v>1461</v>
      </c>
      <c r="B992" t="s">
        <v>1462</v>
      </c>
      <c r="C992">
        <v>74.95</v>
      </c>
      <c r="D992" t="s">
        <v>3102</v>
      </c>
      <c r="E992" t="s">
        <v>1414</v>
      </c>
      <c r="F992">
        <v>75</v>
      </c>
      <c r="G992" t="b">
        <v>1</v>
      </c>
      <c r="H992">
        <v>1</v>
      </c>
    </row>
    <row r="993" spans="1:8" x14ac:dyDescent="0.25">
      <c r="A993" t="s">
        <v>1624</v>
      </c>
      <c r="B993" t="s">
        <v>1625</v>
      </c>
      <c r="C993">
        <v>69.599999999999994</v>
      </c>
      <c r="D993" t="s">
        <v>3102</v>
      </c>
      <c r="E993" t="s">
        <v>1414</v>
      </c>
      <c r="F993">
        <v>75</v>
      </c>
      <c r="G993" t="b">
        <v>1</v>
      </c>
      <c r="H993">
        <v>1</v>
      </c>
    </row>
    <row r="994" spans="1:8" x14ac:dyDescent="0.25">
      <c r="A994" t="s">
        <v>1470</v>
      </c>
      <c r="B994" t="s">
        <v>1471</v>
      </c>
      <c r="C994">
        <v>27.75</v>
      </c>
      <c r="D994" t="s">
        <v>3102</v>
      </c>
      <c r="E994" t="s">
        <v>1414</v>
      </c>
      <c r="F994">
        <v>75</v>
      </c>
      <c r="G994" t="b">
        <v>1</v>
      </c>
      <c r="H994">
        <v>1</v>
      </c>
    </row>
    <row r="995" spans="1:8" x14ac:dyDescent="0.25">
      <c r="A995" t="s">
        <v>1405</v>
      </c>
      <c r="B995" t="s">
        <v>1406</v>
      </c>
      <c r="C995">
        <v>39.549999999999997</v>
      </c>
      <c r="D995" t="s">
        <v>3102</v>
      </c>
      <c r="E995" t="s">
        <v>1414</v>
      </c>
      <c r="F995">
        <v>75</v>
      </c>
      <c r="G995" t="b">
        <v>1</v>
      </c>
      <c r="H995">
        <v>1</v>
      </c>
    </row>
    <row r="996" spans="1:8" x14ac:dyDescent="0.25">
      <c r="A996" t="s">
        <v>1632</v>
      </c>
      <c r="B996" t="s">
        <v>1633</v>
      </c>
      <c r="C996">
        <v>113.5</v>
      </c>
      <c r="D996" t="s">
        <v>3102</v>
      </c>
      <c r="E996" t="s">
        <v>1414</v>
      </c>
      <c r="F996">
        <v>75</v>
      </c>
      <c r="G996" t="b">
        <v>1</v>
      </c>
      <c r="H996">
        <v>1</v>
      </c>
    </row>
    <row r="997" spans="1:8" x14ac:dyDescent="0.25">
      <c r="A997" t="s">
        <v>1635</v>
      </c>
      <c r="B997" t="s">
        <v>1636</v>
      </c>
      <c r="C997">
        <v>151.55000000000001</v>
      </c>
      <c r="D997" t="s">
        <v>3102</v>
      </c>
      <c r="E997" t="s">
        <v>1414</v>
      </c>
      <c r="F997">
        <v>75</v>
      </c>
      <c r="G997" t="b">
        <v>1</v>
      </c>
      <c r="H997">
        <v>1</v>
      </c>
    </row>
    <row r="998" spans="1:8" x14ac:dyDescent="0.25">
      <c r="A998" t="s">
        <v>1539</v>
      </c>
      <c r="B998" t="s">
        <v>1540</v>
      </c>
      <c r="C998">
        <v>176.6</v>
      </c>
      <c r="D998" t="s">
        <v>3102</v>
      </c>
      <c r="E998" t="s">
        <v>1414</v>
      </c>
      <c r="F998">
        <v>75</v>
      </c>
      <c r="G998" t="b">
        <v>1</v>
      </c>
      <c r="H998">
        <v>1</v>
      </c>
    </row>
    <row r="999" spans="1:8" x14ac:dyDescent="0.25">
      <c r="A999" t="s">
        <v>1542</v>
      </c>
      <c r="B999" t="s">
        <v>1543</v>
      </c>
      <c r="C999">
        <v>189.25</v>
      </c>
      <c r="D999" t="s">
        <v>3102</v>
      </c>
      <c r="E999" t="s">
        <v>1414</v>
      </c>
      <c r="F999">
        <v>75</v>
      </c>
      <c r="G999" t="b">
        <v>1</v>
      </c>
      <c r="H999">
        <v>1</v>
      </c>
    </row>
    <row r="1000" spans="1:8" x14ac:dyDescent="0.25">
      <c r="A1000" t="s">
        <v>1407</v>
      </c>
      <c r="B1000" t="s">
        <v>1408</v>
      </c>
      <c r="C1000">
        <v>224.05</v>
      </c>
      <c r="D1000" t="s">
        <v>3102</v>
      </c>
      <c r="E1000" t="s">
        <v>1414</v>
      </c>
      <c r="F1000">
        <v>75</v>
      </c>
      <c r="G1000" t="b">
        <v>1</v>
      </c>
      <c r="H1000">
        <v>1</v>
      </c>
    </row>
    <row r="1001" spans="1:8" x14ac:dyDescent="0.25">
      <c r="A1001" t="s">
        <v>1576</v>
      </c>
      <c r="B1001" t="s">
        <v>1577</v>
      </c>
      <c r="C1001">
        <v>113.3</v>
      </c>
      <c r="D1001" t="s">
        <v>3102</v>
      </c>
      <c r="E1001" t="s">
        <v>1414</v>
      </c>
      <c r="F1001">
        <v>75</v>
      </c>
      <c r="G1001" t="b">
        <v>1</v>
      </c>
      <c r="H1001">
        <v>1</v>
      </c>
    </row>
    <row r="1002" spans="1:8" x14ac:dyDescent="0.25">
      <c r="A1002" t="s">
        <v>1423</v>
      </c>
      <c r="B1002" t="s">
        <v>1424</v>
      </c>
      <c r="C1002">
        <v>360</v>
      </c>
      <c r="D1002" t="s">
        <v>3102</v>
      </c>
      <c r="E1002" t="s">
        <v>1414</v>
      </c>
      <c r="F1002">
        <v>75</v>
      </c>
      <c r="G1002" t="b">
        <v>0</v>
      </c>
      <c r="H1002">
        <v>1</v>
      </c>
    </row>
    <row r="1003" spans="1:8" x14ac:dyDescent="0.25">
      <c r="A1003" t="s">
        <v>1423</v>
      </c>
      <c r="B1003" t="s">
        <v>1425</v>
      </c>
      <c r="C1003">
        <v>500</v>
      </c>
      <c r="D1003" t="s">
        <v>3102</v>
      </c>
      <c r="E1003" t="s">
        <v>1414</v>
      </c>
      <c r="F1003">
        <v>75</v>
      </c>
      <c r="G1003" t="b">
        <v>0</v>
      </c>
      <c r="H1003">
        <v>1</v>
      </c>
    </row>
    <row r="1004" spans="1:8" x14ac:dyDescent="0.25">
      <c r="A1004" t="s">
        <v>1423</v>
      </c>
      <c r="B1004" t="s">
        <v>1426</v>
      </c>
      <c r="C1004">
        <v>500</v>
      </c>
      <c r="D1004" t="s">
        <v>3102</v>
      </c>
      <c r="E1004" t="s">
        <v>1414</v>
      </c>
      <c r="F1004">
        <v>75</v>
      </c>
      <c r="G1004" t="b">
        <v>0</v>
      </c>
      <c r="H1004">
        <v>1</v>
      </c>
    </row>
    <row r="1005" spans="1:8" x14ac:dyDescent="0.25">
      <c r="A1005" t="s">
        <v>1423</v>
      </c>
      <c r="B1005" t="s">
        <v>1427</v>
      </c>
      <c r="C1005">
        <v>500</v>
      </c>
      <c r="D1005" t="s">
        <v>3102</v>
      </c>
      <c r="E1005" t="s">
        <v>1414</v>
      </c>
      <c r="F1005">
        <v>75</v>
      </c>
      <c r="G1005" t="b">
        <v>0</v>
      </c>
      <c r="H1005">
        <v>1</v>
      </c>
    </row>
    <row r="1006" spans="1:8" x14ac:dyDescent="0.25">
      <c r="A1006" t="s">
        <v>1423</v>
      </c>
      <c r="B1006" t="s">
        <v>1428</v>
      </c>
      <c r="C1006">
        <v>500</v>
      </c>
      <c r="D1006" t="s">
        <v>3102</v>
      </c>
      <c r="E1006" t="s">
        <v>1414</v>
      </c>
      <c r="F1006">
        <v>75</v>
      </c>
      <c r="G1006" t="b">
        <v>0</v>
      </c>
      <c r="H1006">
        <v>1</v>
      </c>
    </row>
    <row r="1007" spans="1:8" x14ac:dyDescent="0.25">
      <c r="A1007" t="s">
        <v>1423</v>
      </c>
      <c r="B1007" t="s">
        <v>1429</v>
      </c>
      <c r="C1007">
        <v>500</v>
      </c>
      <c r="D1007" t="s">
        <v>3102</v>
      </c>
      <c r="E1007" t="s">
        <v>1414</v>
      </c>
      <c r="F1007">
        <v>75</v>
      </c>
      <c r="G1007" t="b">
        <v>0</v>
      </c>
      <c r="H1007">
        <v>1</v>
      </c>
    </row>
    <row r="1008" spans="1:8" x14ac:dyDescent="0.25">
      <c r="A1008" t="s">
        <v>1423</v>
      </c>
      <c r="B1008" t="s">
        <v>1430</v>
      </c>
      <c r="C1008">
        <v>500</v>
      </c>
      <c r="D1008" t="s">
        <v>3102</v>
      </c>
      <c r="E1008" t="s">
        <v>1414</v>
      </c>
      <c r="F1008">
        <v>75</v>
      </c>
      <c r="G1008" t="b">
        <v>0</v>
      </c>
      <c r="H1008">
        <v>1</v>
      </c>
    </row>
    <row r="1009" spans="1:8" x14ac:dyDescent="0.25">
      <c r="A1009" t="s">
        <v>1423</v>
      </c>
      <c r="B1009" t="s">
        <v>1431</v>
      </c>
      <c r="C1009">
        <v>500</v>
      </c>
      <c r="D1009" t="s">
        <v>3102</v>
      </c>
      <c r="E1009" t="s">
        <v>1414</v>
      </c>
      <c r="F1009">
        <v>75</v>
      </c>
      <c r="G1009" t="b">
        <v>0</v>
      </c>
      <c r="H1009">
        <v>1</v>
      </c>
    </row>
    <row r="1010" spans="1:8" x14ac:dyDescent="0.25">
      <c r="A1010" t="s">
        <v>1423</v>
      </c>
      <c r="B1010" t="s">
        <v>1432</v>
      </c>
      <c r="C1010">
        <v>500</v>
      </c>
      <c r="D1010" t="s">
        <v>3102</v>
      </c>
      <c r="E1010" t="s">
        <v>1414</v>
      </c>
      <c r="F1010">
        <v>75</v>
      </c>
      <c r="G1010" t="b">
        <v>0</v>
      </c>
      <c r="H1010">
        <v>1</v>
      </c>
    </row>
    <row r="1011" spans="1:8" x14ac:dyDescent="0.25">
      <c r="A1011" t="s">
        <v>1423</v>
      </c>
      <c r="B1011" t="s">
        <v>1433</v>
      </c>
      <c r="C1011">
        <v>500</v>
      </c>
      <c r="D1011" t="s">
        <v>3102</v>
      </c>
      <c r="E1011" t="s">
        <v>1414</v>
      </c>
      <c r="F1011">
        <v>75</v>
      </c>
      <c r="G1011" t="b">
        <v>0</v>
      </c>
      <c r="H1011">
        <v>1</v>
      </c>
    </row>
    <row r="1012" spans="1:8" x14ac:dyDescent="0.25">
      <c r="A1012" t="s">
        <v>1423</v>
      </c>
      <c r="B1012" t="s">
        <v>1434</v>
      </c>
      <c r="C1012">
        <v>500</v>
      </c>
      <c r="D1012" t="s">
        <v>3102</v>
      </c>
      <c r="E1012" t="s">
        <v>1414</v>
      </c>
      <c r="F1012">
        <v>75</v>
      </c>
      <c r="G1012" t="b">
        <v>0</v>
      </c>
      <c r="H1012">
        <v>1</v>
      </c>
    </row>
    <row r="1013" spans="1:8" x14ac:dyDescent="0.25">
      <c r="A1013" t="s">
        <v>1423</v>
      </c>
      <c r="B1013" t="s">
        <v>1435</v>
      </c>
      <c r="C1013">
        <v>500</v>
      </c>
      <c r="D1013" t="s">
        <v>3102</v>
      </c>
      <c r="E1013" t="s">
        <v>1414</v>
      </c>
      <c r="F1013">
        <v>75</v>
      </c>
      <c r="G1013" t="b">
        <v>0</v>
      </c>
      <c r="H1013">
        <v>1</v>
      </c>
    </row>
    <row r="1014" spans="1:8" x14ac:dyDescent="0.25">
      <c r="A1014" t="s">
        <v>1423</v>
      </c>
      <c r="B1014" t="s">
        <v>1436</v>
      </c>
      <c r="C1014">
        <v>500</v>
      </c>
      <c r="D1014" t="s">
        <v>3102</v>
      </c>
      <c r="E1014" t="s">
        <v>1414</v>
      </c>
      <c r="F1014">
        <v>75</v>
      </c>
      <c r="G1014" t="b">
        <v>0</v>
      </c>
      <c r="H1014">
        <v>1</v>
      </c>
    </row>
    <row r="1015" spans="1:8" x14ac:dyDescent="0.25">
      <c r="A1015" t="s">
        <v>1423</v>
      </c>
      <c r="B1015" t="s">
        <v>1437</v>
      </c>
      <c r="C1015">
        <v>500</v>
      </c>
      <c r="D1015" t="s">
        <v>3102</v>
      </c>
      <c r="E1015" t="s">
        <v>1414</v>
      </c>
      <c r="F1015">
        <v>75</v>
      </c>
      <c r="G1015" t="b">
        <v>0</v>
      </c>
      <c r="H1015">
        <v>1</v>
      </c>
    </row>
    <row r="1016" spans="1:8" x14ac:dyDescent="0.25">
      <c r="A1016" t="s">
        <v>1423</v>
      </c>
      <c r="B1016" t="s">
        <v>1438</v>
      </c>
      <c r="C1016">
        <v>500</v>
      </c>
      <c r="D1016" t="s">
        <v>3102</v>
      </c>
      <c r="E1016" t="s">
        <v>1414</v>
      </c>
      <c r="F1016">
        <v>75</v>
      </c>
      <c r="G1016" t="b">
        <v>0</v>
      </c>
      <c r="H1016">
        <v>1</v>
      </c>
    </row>
    <row r="1017" spans="1:8" x14ac:dyDescent="0.25">
      <c r="A1017" t="s">
        <v>1423</v>
      </c>
      <c r="B1017" t="s">
        <v>1439</v>
      </c>
      <c r="C1017">
        <v>500</v>
      </c>
      <c r="D1017" t="s">
        <v>3102</v>
      </c>
      <c r="E1017" t="s">
        <v>1414</v>
      </c>
      <c r="F1017">
        <v>75</v>
      </c>
      <c r="G1017" t="b">
        <v>0</v>
      </c>
      <c r="H1017">
        <v>1</v>
      </c>
    </row>
    <row r="1018" spans="1:8" x14ac:dyDescent="0.25">
      <c r="A1018" t="s">
        <v>1423</v>
      </c>
      <c r="B1018" t="s">
        <v>1440</v>
      </c>
      <c r="C1018">
        <v>500</v>
      </c>
      <c r="D1018" t="s">
        <v>3102</v>
      </c>
      <c r="E1018" t="s">
        <v>1414</v>
      </c>
      <c r="F1018">
        <v>75</v>
      </c>
      <c r="G1018" t="b">
        <v>0</v>
      </c>
      <c r="H1018">
        <v>1</v>
      </c>
    </row>
    <row r="1019" spans="1:8" x14ac:dyDescent="0.25">
      <c r="A1019" t="s">
        <v>1423</v>
      </c>
      <c r="B1019" t="s">
        <v>1441</v>
      </c>
      <c r="C1019">
        <v>500</v>
      </c>
      <c r="D1019" t="s">
        <v>3102</v>
      </c>
      <c r="E1019" t="s">
        <v>1414</v>
      </c>
      <c r="F1019">
        <v>75</v>
      </c>
      <c r="G1019" t="b">
        <v>0</v>
      </c>
      <c r="H1019">
        <v>1</v>
      </c>
    </row>
    <row r="1020" spans="1:8" x14ac:dyDescent="0.25">
      <c r="A1020" t="s">
        <v>1423</v>
      </c>
      <c r="B1020" t="s">
        <v>1442</v>
      </c>
      <c r="C1020">
        <v>500</v>
      </c>
      <c r="D1020" t="s">
        <v>3102</v>
      </c>
      <c r="E1020" t="s">
        <v>1414</v>
      </c>
      <c r="F1020">
        <v>75</v>
      </c>
      <c r="G1020" t="b">
        <v>0</v>
      </c>
      <c r="H1020">
        <v>1</v>
      </c>
    </row>
    <row r="1021" spans="1:8" x14ac:dyDescent="0.25">
      <c r="A1021" t="s">
        <v>1423</v>
      </c>
      <c r="B1021" t="s">
        <v>1443</v>
      </c>
      <c r="C1021">
        <v>500</v>
      </c>
      <c r="D1021" t="s">
        <v>3102</v>
      </c>
      <c r="E1021" t="s">
        <v>1414</v>
      </c>
      <c r="F1021">
        <v>75</v>
      </c>
      <c r="G1021" t="b">
        <v>0</v>
      </c>
      <c r="H1021">
        <v>1</v>
      </c>
    </row>
    <row r="1022" spans="1:8" x14ac:dyDescent="0.25">
      <c r="A1022" t="s">
        <v>1423</v>
      </c>
      <c r="B1022" t="s">
        <v>1444</v>
      </c>
      <c r="C1022">
        <v>500</v>
      </c>
      <c r="D1022" t="s">
        <v>3102</v>
      </c>
      <c r="E1022" t="s">
        <v>1414</v>
      </c>
      <c r="F1022">
        <v>75</v>
      </c>
      <c r="G1022" t="b">
        <v>0</v>
      </c>
      <c r="H1022">
        <v>1</v>
      </c>
    </row>
    <row r="1023" spans="1:8" x14ac:dyDescent="0.25">
      <c r="A1023" t="s">
        <v>1423</v>
      </c>
      <c r="B1023" t="s">
        <v>1445</v>
      </c>
      <c r="C1023">
        <v>500</v>
      </c>
      <c r="D1023" t="s">
        <v>3102</v>
      </c>
      <c r="E1023" t="s">
        <v>1414</v>
      </c>
      <c r="F1023">
        <v>75</v>
      </c>
      <c r="G1023" t="b">
        <v>0</v>
      </c>
      <c r="H1023">
        <v>1</v>
      </c>
    </row>
    <row r="1024" spans="1:8" x14ac:dyDescent="0.25">
      <c r="A1024" t="s">
        <v>1423</v>
      </c>
      <c r="B1024" t="s">
        <v>1446</v>
      </c>
      <c r="C1024">
        <v>500</v>
      </c>
      <c r="D1024" t="s">
        <v>3102</v>
      </c>
      <c r="E1024" t="s">
        <v>1414</v>
      </c>
      <c r="F1024">
        <v>75</v>
      </c>
      <c r="G1024" t="b">
        <v>0</v>
      </c>
      <c r="H1024">
        <v>1</v>
      </c>
    </row>
    <row r="1025" spans="1:8" x14ac:dyDescent="0.25">
      <c r="A1025" t="s">
        <v>1423</v>
      </c>
      <c r="B1025" t="s">
        <v>1447</v>
      </c>
      <c r="C1025">
        <v>500</v>
      </c>
      <c r="D1025" t="s">
        <v>3102</v>
      </c>
      <c r="E1025" t="s">
        <v>1414</v>
      </c>
      <c r="F1025">
        <v>75</v>
      </c>
      <c r="G1025" t="b">
        <v>0</v>
      </c>
      <c r="H1025">
        <v>1</v>
      </c>
    </row>
    <row r="1026" spans="1:8" x14ac:dyDescent="0.25">
      <c r="A1026" t="s">
        <v>1423</v>
      </c>
      <c r="B1026" t="s">
        <v>1448</v>
      </c>
      <c r="C1026">
        <v>500</v>
      </c>
      <c r="D1026" t="s">
        <v>3102</v>
      </c>
      <c r="E1026" t="s">
        <v>1414</v>
      </c>
      <c r="F1026">
        <v>75</v>
      </c>
      <c r="G1026" t="b">
        <v>0</v>
      </c>
      <c r="H1026">
        <v>1</v>
      </c>
    </row>
    <row r="1027" spans="1:8" x14ac:dyDescent="0.25">
      <c r="A1027" t="s">
        <v>1423</v>
      </c>
      <c r="B1027" t="s">
        <v>1449</v>
      </c>
      <c r="C1027">
        <v>500</v>
      </c>
      <c r="D1027" t="s">
        <v>3102</v>
      </c>
      <c r="E1027" t="s">
        <v>1414</v>
      </c>
      <c r="F1027">
        <v>75</v>
      </c>
      <c r="G1027" t="b">
        <v>0</v>
      </c>
      <c r="H1027">
        <v>1</v>
      </c>
    </row>
    <row r="1028" spans="1:8" x14ac:dyDescent="0.25">
      <c r="A1028" t="s">
        <v>1423</v>
      </c>
      <c r="B1028" t="s">
        <v>1450</v>
      </c>
      <c r="C1028">
        <v>500</v>
      </c>
      <c r="D1028" t="s">
        <v>3102</v>
      </c>
      <c r="E1028" t="s">
        <v>1414</v>
      </c>
      <c r="F1028">
        <v>75</v>
      </c>
      <c r="G1028" t="b">
        <v>0</v>
      </c>
      <c r="H1028">
        <v>1</v>
      </c>
    </row>
    <row r="1029" spans="1:8" x14ac:dyDescent="0.25">
      <c r="A1029" t="s">
        <v>1423</v>
      </c>
      <c r="B1029" t="s">
        <v>1451</v>
      </c>
      <c r="C1029">
        <v>500</v>
      </c>
      <c r="D1029" t="s">
        <v>3102</v>
      </c>
      <c r="E1029" t="s">
        <v>1414</v>
      </c>
      <c r="F1029">
        <v>75</v>
      </c>
      <c r="G1029" t="b">
        <v>0</v>
      </c>
      <c r="H1029">
        <v>1</v>
      </c>
    </row>
    <row r="1030" spans="1:8" x14ac:dyDescent="0.25">
      <c r="A1030" t="s">
        <v>1423</v>
      </c>
      <c r="B1030" t="s">
        <v>1452</v>
      </c>
      <c r="C1030">
        <v>500</v>
      </c>
      <c r="D1030" t="s">
        <v>3102</v>
      </c>
      <c r="E1030" t="s">
        <v>1414</v>
      </c>
      <c r="F1030">
        <v>75</v>
      </c>
      <c r="G1030" t="b">
        <v>0</v>
      </c>
      <c r="H1030">
        <v>1</v>
      </c>
    </row>
    <row r="1031" spans="1:8" x14ac:dyDescent="0.25">
      <c r="A1031" t="s">
        <v>1423</v>
      </c>
      <c r="B1031" t="s">
        <v>1453</v>
      </c>
      <c r="C1031">
        <v>500</v>
      </c>
      <c r="D1031" t="s">
        <v>3102</v>
      </c>
      <c r="E1031" t="s">
        <v>1414</v>
      </c>
      <c r="F1031">
        <v>75</v>
      </c>
      <c r="G1031" t="b">
        <v>0</v>
      </c>
      <c r="H1031">
        <v>1</v>
      </c>
    </row>
    <row r="1032" spans="1:8" x14ac:dyDescent="0.25">
      <c r="A1032" t="s">
        <v>1684</v>
      </c>
      <c r="B1032" t="s">
        <v>1685</v>
      </c>
      <c r="C1032">
        <v>22.75</v>
      </c>
      <c r="D1032" t="s">
        <v>3116</v>
      </c>
      <c r="E1032" t="s">
        <v>1414</v>
      </c>
      <c r="F1032">
        <v>75</v>
      </c>
      <c r="G1032" t="b">
        <v>1</v>
      </c>
      <c r="H1032">
        <v>1</v>
      </c>
    </row>
    <row r="1033" spans="1:8" x14ac:dyDescent="0.25">
      <c r="A1033" t="s">
        <v>1681</v>
      </c>
      <c r="B1033" t="s">
        <v>1682</v>
      </c>
      <c r="C1033">
        <v>27.75</v>
      </c>
      <c r="D1033" t="s">
        <v>3116</v>
      </c>
      <c r="E1033" t="s">
        <v>1414</v>
      </c>
      <c r="F1033">
        <v>75</v>
      </c>
      <c r="G1033" t="b">
        <v>1</v>
      </c>
      <c r="H1033">
        <v>1</v>
      </c>
    </row>
    <row r="1034" spans="1:8" x14ac:dyDescent="0.25">
      <c r="A1034" t="s">
        <v>1687</v>
      </c>
      <c r="B1034" t="s">
        <v>1688</v>
      </c>
      <c r="C1034">
        <v>24</v>
      </c>
      <c r="D1034" t="s">
        <v>3116</v>
      </c>
      <c r="E1034" t="s">
        <v>1414</v>
      </c>
      <c r="F1034">
        <v>75</v>
      </c>
      <c r="G1034" t="b">
        <v>1</v>
      </c>
      <c r="H1034">
        <v>1</v>
      </c>
    </row>
    <row r="1035" spans="1:8" x14ac:dyDescent="0.25">
      <c r="A1035" t="s">
        <v>1690</v>
      </c>
      <c r="B1035" t="s">
        <v>1691</v>
      </c>
      <c r="C1035">
        <v>43.95</v>
      </c>
      <c r="D1035" t="s">
        <v>3116</v>
      </c>
      <c r="E1035" t="s">
        <v>1414</v>
      </c>
      <c r="F1035">
        <v>75</v>
      </c>
      <c r="G1035" t="b">
        <v>1</v>
      </c>
      <c r="H1035">
        <v>1</v>
      </c>
    </row>
    <row r="1036" spans="1:8" x14ac:dyDescent="0.25">
      <c r="A1036" t="s">
        <v>1693</v>
      </c>
      <c r="B1036" t="s">
        <v>1694</v>
      </c>
      <c r="C1036">
        <v>35.700000000000003</v>
      </c>
      <c r="D1036" t="s">
        <v>3116</v>
      </c>
      <c r="E1036" t="s">
        <v>1414</v>
      </c>
      <c r="F1036">
        <v>75</v>
      </c>
      <c r="G1036" t="b">
        <v>1</v>
      </c>
      <c r="H1036">
        <v>1</v>
      </c>
    </row>
    <row r="1037" spans="1:8" x14ac:dyDescent="0.25">
      <c r="A1037" t="s">
        <v>1655</v>
      </c>
      <c r="B1037" t="s">
        <v>1656</v>
      </c>
      <c r="C1037">
        <v>48.65</v>
      </c>
      <c r="D1037" t="s">
        <v>3116</v>
      </c>
      <c r="E1037" t="s">
        <v>1414</v>
      </c>
      <c r="F1037">
        <v>75</v>
      </c>
      <c r="G1037" t="b">
        <v>1</v>
      </c>
      <c r="H1037">
        <v>1</v>
      </c>
    </row>
    <row r="1038" spans="1:8" x14ac:dyDescent="0.25">
      <c r="A1038" t="s">
        <v>1696</v>
      </c>
      <c r="B1038" t="s">
        <v>1697</v>
      </c>
      <c r="C1038">
        <v>45.05</v>
      </c>
      <c r="D1038" t="s">
        <v>3116</v>
      </c>
      <c r="E1038" t="s">
        <v>1414</v>
      </c>
      <c r="F1038">
        <v>75</v>
      </c>
      <c r="G1038" t="b">
        <v>1</v>
      </c>
      <c r="H1038">
        <v>1</v>
      </c>
    </row>
    <row r="1039" spans="1:8" x14ac:dyDescent="0.25">
      <c r="A1039" t="s">
        <v>1659</v>
      </c>
      <c r="B1039" t="s">
        <v>1660</v>
      </c>
      <c r="C1039">
        <v>61.8</v>
      </c>
      <c r="D1039" t="s">
        <v>3116</v>
      </c>
      <c r="E1039" t="s">
        <v>1414</v>
      </c>
      <c r="F1039">
        <v>75</v>
      </c>
      <c r="G1039" t="b">
        <v>1</v>
      </c>
      <c r="H1039">
        <v>1</v>
      </c>
    </row>
    <row r="1040" spans="1:8" x14ac:dyDescent="0.25">
      <c r="A1040" t="s">
        <v>1713</v>
      </c>
      <c r="B1040" t="s">
        <v>1714</v>
      </c>
      <c r="C1040">
        <v>23.9</v>
      </c>
      <c r="D1040" t="s">
        <v>3116</v>
      </c>
      <c r="E1040" t="s">
        <v>1414</v>
      </c>
      <c r="F1040">
        <v>75</v>
      </c>
      <c r="G1040" t="b">
        <v>1</v>
      </c>
      <c r="H1040">
        <v>1</v>
      </c>
    </row>
    <row r="1041" spans="1:8" x14ac:dyDescent="0.25">
      <c r="A1041" t="s">
        <v>1661</v>
      </c>
      <c r="B1041" t="s">
        <v>1662</v>
      </c>
      <c r="C1041">
        <v>23.9</v>
      </c>
      <c r="D1041" t="s">
        <v>3116</v>
      </c>
      <c r="E1041" t="s">
        <v>1414</v>
      </c>
      <c r="F1041">
        <v>75</v>
      </c>
      <c r="G1041" t="b">
        <v>1</v>
      </c>
      <c r="H1041">
        <v>1</v>
      </c>
    </row>
    <row r="1042" spans="1:8" x14ac:dyDescent="0.25">
      <c r="A1042" t="s">
        <v>1710</v>
      </c>
      <c r="B1042" t="s">
        <v>1711</v>
      </c>
      <c r="C1042">
        <v>28.4</v>
      </c>
      <c r="D1042" t="s">
        <v>3116</v>
      </c>
      <c r="E1042" t="s">
        <v>1414</v>
      </c>
      <c r="F1042">
        <v>75</v>
      </c>
      <c r="G1042" t="b">
        <v>1</v>
      </c>
      <c r="H1042">
        <v>1</v>
      </c>
    </row>
    <row r="1043" spans="1:8" x14ac:dyDescent="0.25">
      <c r="A1043" t="s">
        <v>1663</v>
      </c>
      <c r="B1043" t="s">
        <v>1664</v>
      </c>
      <c r="C1043">
        <v>61.8</v>
      </c>
      <c r="D1043" t="s">
        <v>3116</v>
      </c>
      <c r="E1043" t="s">
        <v>1414</v>
      </c>
      <c r="F1043">
        <v>75</v>
      </c>
      <c r="G1043" t="b">
        <v>1</v>
      </c>
      <c r="H1043">
        <v>1</v>
      </c>
    </row>
    <row r="1044" spans="1:8" x14ac:dyDescent="0.25">
      <c r="A1044" t="s">
        <v>1665</v>
      </c>
      <c r="B1044" t="s">
        <v>1666</v>
      </c>
      <c r="C1044">
        <v>61.8</v>
      </c>
      <c r="D1044" t="s">
        <v>3116</v>
      </c>
      <c r="E1044" t="s">
        <v>1414</v>
      </c>
      <c r="F1044">
        <v>75</v>
      </c>
      <c r="G1044" t="b">
        <v>1</v>
      </c>
      <c r="H1044">
        <v>1</v>
      </c>
    </row>
    <row r="1045" spans="1:8" x14ac:dyDescent="0.25">
      <c r="A1045" t="s">
        <v>1698</v>
      </c>
      <c r="B1045" t="s">
        <v>1699</v>
      </c>
      <c r="C1045">
        <v>14.45</v>
      </c>
      <c r="D1045" t="s">
        <v>3116</v>
      </c>
      <c r="E1045" t="s">
        <v>1414</v>
      </c>
      <c r="F1045">
        <v>75</v>
      </c>
      <c r="G1045" t="b">
        <v>1</v>
      </c>
      <c r="H1045">
        <v>1</v>
      </c>
    </row>
    <row r="1046" spans="1:8" x14ac:dyDescent="0.25">
      <c r="A1046" t="s">
        <v>1702</v>
      </c>
      <c r="B1046" t="s">
        <v>1703</v>
      </c>
      <c r="C1046">
        <v>23.9</v>
      </c>
      <c r="D1046" t="s">
        <v>3116</v>
      </c>
      <c r="E1046" t="s">
        <v>1414</v>
      </c>
      <c r="F1046">
        <v>75</v>
      </c>
      <c r="G1046" t="b">
        <v>1</v>
      </c>
      <c r="H1046">
        <v>1</v>
      </c>
    </row>
    <row r="1047" spans="1:8" x14ac:dyDescent="0.25">
      <c r="A1047" t="s">
        <v>1707</v>
      </c>
      <c r="B1047" t="s">
        <v>1708</v>
      </c>
      <c r="C1047">
        <v>57.2</v>
      </c>
      <c r="D1047" t="s">
        <v>3116</v>
      </c>
      <c r="E1047" t="s">
        <v>1414</v>
      </c>
      <c r="F1047">
        <v>75</v>
      </c>
      <c r="G1047" t="b">
        <v>1</v>
      </c>
      <c r="H1047">
        <v>1</v>
      </c>
    </row>
    <row r="1048" spans="1:8" x14ac:dyDescent="0.25">
      <c r="A1048" t="s">
        <v>1716</v>
      </c>
      <c r="B1048" t="s">
        <v>1717</v>
      </c>
      <c r="C1048">
        <v>7.4</v>
      </c>
      <c r="D1048" t="s">
        <v>3116</v>
      </c>
      <c r="E1048" t="s">
        <v>1414</v>
      </c>
      <c r="F1048">
        <v>75</v>
      </c>
      <c r="G1048" t="b">
        <v>1</v>
      </c>
      <c r="H1048">
        <v>1</v>
      </c>
    </row>
    <row r="1049" spans="1:8" x14ac:dyDescent="0.25">
      <c r="A1049" t="s">
        <v>1667</v>
      </c>
      <c r="B1049" t="s">
        <v>1668</v>
      </c>
      <c r="C1049">
        <v>23</v>
      </c>
      <c r="D1049" t="s">
        <v>3116</v>
      </c>
      <c r="E1049" t="s">
        <v>1414</v>
      </c>
      <c r="F1049">
        <v>75</v>
      </c>
      <c r="G1049" t="b">
        <v>1</v>
      </c>
      <c r="H1049">
        <v>1</v>
      </c>
    </row>
    <row r="1050" spans="1:8" x14ac:dyDescent="0.25">
      <c r="A1050" t="s">
        <v>1669</v>
      </c>
      <c r="B1050" t="s">
        <v>1670</v>
      </c>
      <c r="C1050">
        <v>27.75</v>
      </c>
      <c r="D1050" t="s">
        <v>3116</v>
      </c>
      <c r="E1050" t="s">
        <v>1414</v>
      </c>
      <c r="F1050">
        <v>75</v>
      </c>
      <c r="G1050" t="b">
        <v>1</v>
      </c>
      <c r="H1050">
        <v>1</v>
      </c>
    </row>
    <row r="1051" spans="1:8" x14ac:dyDescent="0.25">
      <c r="A1051" t="s">
        <v>1674</v>
      </c>
      <c r="B1051" t="s">
        <v>1675</v>
      </c>
      <c r="C1051">
        <v>22.4</v>
      </c>
      <c r="D1051" t="s">
        <v>3116</v>
      </c>
      <c r="E1051" t="s">
        <v>1414</v>
      </c>
      <c r="F1051">
        <v>75</v>
      </c>
      <c r="G1051" t="b">
        <v>1</v>
      </c>
      <c r="H1051">
        <v>1</v>
      </c>
    </row>
    <row r="1052" spans="1:8" x14ac:dyDescent="0.25">
      <c r="A1052" t="s">
        <v>1678</v>
      </c>
      <c r="B1052" t="s">
        <v>1679</v>
      </c>
      <c r="C1052">
        <v>69.3</v>
      </c>
      <c r="D1052" t="s">
        <v>3116</v>
      </c>
      <c r="E1052" t="s">
        <v>1414</v>
      </c>
      <c r="F1052">
        <v>75</v>
      </c>
      <c r="G1052" t="b">
        <v>1</v>
      </c>
      <c r="H1052">
        <v>1</v>
      </c>
    </row>
    <row r="1053" spans="1:8" x14ac:dyDescent="0.25">
      <c r="A1053" t="s">
        <v>1705</v>
      </c>
      <c r="B1053" t="s">
        <v>1706</v>
      </c>
      <c r="C1053">
        <v>18.899999999999999</v>
      </c>
      <c r="D1053" t="s">
        <v>3116</v>
      </c>
      <c r="E1053" t="s">
        <v>1414</v>
      </c>
      <c r="F1053">
        <v>75</v>
      </c>
      <c r="G1053" t="b">
        <v>1</v>
      </c>
      <c r="H1053">
        <v>1</v>
      </c>
    </row>
    <row r="1054" spans="1:8" x14ac:dyDescent="0.25">
      <c r="A1054" t="s">
        <v>1671</v>
      </c>
      <c r="B1054" t="s">
        <v>1672</v>
      </c>
      <c r="C1054">
        <v>500</v>
      </c>
      <c r="D1054" t="s">
        <v>3116</v>
      </c>
      <c r="E1054" t="s">
        <v>1414</v>
      </c>
      <c r="F1054">
        <v>75</v>
      </c>
      <c r="G1054" t="b">
        <v>0</v>
      </c>
      <c r="H1054">
        <v>1</v>
      </c>
    </row>
    <row r="1055" spans="1:8" x14ac:dyDescent="0.25">
      <c r="A1055" t="s">
        <v>1671</v>
      </c>
      <c r="B1055" t="s">
        <v>1673</v>
      </c>
      <c r="C1055">
        <v>500</v>
      </c>
      <c r="D1055" t="s">
        <v>3116</v>
      </c>
      <c r="E1055" t="s">
        <v>1414</v>
      </c>
      <c r="F1055">
        <v>75</v>
      </c>
      <c r="G1055" t="b">
        <v>0</v>
      </c>
      <c r="H1055">
        <v>1</v>
      </c>
    </row>
    <row r="1056" spans="1:8" x14ac:dyDescent="0.25">
      <c r="A1056" t="s">
        <v>1725</v>
      </c>
      <c r="B1056" t="s">
        <v>1726</v>
      </c>
      <c r="C1056">
        <v>199.9</v>
      </c>
      <c r="D1056" t="s">
        <v>3119</v>
      </c>
      <c r="E1056" t="s">
        <v>1414</v>
      </c>
      <c r="F1056">
        <v>75</v>
      </c>
      <c r="G1056" t="b">
        <v>1</v>
      </c>
      <c r="H1056">
        <v>1</v>
      </c>
    </row>
    <row r="1057" spans="1:8" x14ac:dyDescent="0.25">
      <c r="A1057" t="s">
        <v>1744</v>
      </c>
      <c r="B1057" t="s">
        <v>1745</v>
      </c>
      <c r="C1057">
        <v>26.5</v>
      </c>
      <c r="D1057" t="s">
        <v>3119</v>
      </c>
      <c r="E1057" t="s">
        <v>1414</v>
      </c>
      <c r="F1057">
        <v>75</v>
      </c>
      <c r="G1057" t="b">
        <v>1</v>
      </c>
      <c r="H1057">
        <v>1</v>
      </c>
    </row>
    <row r="1058" spans="1:8" x14ac:dyDescent="0.25">
      <c r="A1058" t="s">
        <v>1740</v>
      </c>
      <c r="B1058" t="s">
        <v>1741</v>
      </c>
      <c r="C1058">
        <v>70.45</v>
      </c>
      <c r="D1058" t="s">
        <v>3119</v>
      </c>
      <c r="E1058" t="s">
        <v>1414</v>
      </c>
      <c r="F1058">
        <v>75</v>
      </c>
      <c r="G1058" t="b">
        <v>1</v>
      </c>
      <c r="H1058">
        <v>1</v>
      </c>
    </row>
    <row r="1059" spans="1:8" x14ac:dyDescent="0.25">
      <c r="A1059" t="s">
        <v>1719</v>
      </c>
      <c r="B1059" t="s">
        <v>1720</v>
      </c>
      <c r="C1059">
        <v>82</v>
      </c>
      <c r="D1059" t="s">
        <v>3119</v>
      </c>
      <c r="E1059" t="s">
        <v>1414</v>
      </c>
      <c r="F1059">
        <v>75</v>
      </c>
      <c r="G1059" t="b">
        <v>1</v>
      </c>
      <c r="H1059">
        <v>1</v>
      </c>
    </row>
    <row r="1060" spans="1:8" x14ac:dyDescent="0.25">
      <c r="A1060" t="s">
        <v>1742</v>
      </c>
      <c r="B1060" t="s">
        <v>1743</v>
      </c>
      <c r="C1060">
        <v>94.55</v>
      </c>
      <c r="D1060" t="s">
        <v>3119</v>
      </c>
      <c r="E1060" t="s">
        <v>1414</v>
      </c>
      <c r="F1060">
        <v>75</v>
      </c>
      <c r="G1060" t="b">
        <v>1</v>
      </c>
      <c r="H1060">
        <v>1</v>
      </c>
    </row>
    <row r="1061" spans="1:8" x14ac:dyDescent="0.25">
      <c r="A1061" t="s">
        <v>1733</v>
      </c>
      <c r="B1061" t="s">
        <v>1734</v>
      </c>
      <c r="C1061">
        <v>41</v>
      </c>
      <c r="D1061" t="s">
        <v>3119</v>
      </c>
      <c r="E1061" t="s">
        <v>1414</v>
      </c>
      <c r="F1061">
        <v>75</v>
      </c>
      <c r="G1061" t="b">
        <v>1</v>
      </c>
      <c r="H1061">
        <v>1</v>
      </c>
    </row>
    <row r="1062" spans="1:8" x14ac:dyDescent="0.25">
      <c r="A1062" t="s">
        <v>1723</v>
      </c>
      <c r="B1062" t="s">
        <v>1724</v>
      </c>
      <c r="C1062">
        <v>41</v>
      </c>
      <c r="D1062" t="s">
        <v>3119</v>
      </c>
      <c r="E1062" t="s">
        <v>1414</v>
      </c>
      <c r="F1062">
        <v>75</v>
      </c>
      <c r="G1062" t="b">
        <v>1</v>
      </c>
      <c r="H1062">
        <v>1</v>
      </c>
    </row>
    <row r="1063" spans="1:8" x14ac:dyDescent="0.25">
      <c r="A1063" t="s">
        <v>1747</v>
      </c>
      <c r="B1063" t="s">
        <v>1748</v>
      </c>
      <c r="C1063">
        <v>19.8</v>
      </c>
      <c r="D1063" t="s">
        <v>3119</v>
      </c>
      <c r="E1063" t="s">
        <v>1414</v>
      </c>
      <c r="F1063">
        <v>75</v>
      </c>
      <c r="G1063" t="b">
        <v>1</v>
      </c>
      <c r="H1063">
        <v>1</v>
      </c>
    </row>
    <row r="1064" spans="1:8" x14ac:dyDescent="0.25">
      <c r="A1064" t="s">
        <v>1836</v>
      </c>
      <c r="B1064" t="s">
        <v>1837</v>
      </c>
      <c r="C1064">
        <v>51.6</v>
      </c>
      <c r="D1064" t="s">
        <v>3120</v>
      </c>
      <c r="E1064" t="s">
        <v>1414</v>
      </c>
      <c r="F1064">
        <v>75</v>
      </c>
      <c r="G1064" t="b">
        <v>1</v>
      </c>
      <c r="H1064">
        <v>1</v>
      </c>
    </row>
    <row r="1065" spans="1:8" x14ac:dyDescent="0.25">
      <c r="A1065" t="s">
        <v>1833</v>
      </c>
      <c r="B1065" t="s">
        <v>1834</v>
      </c>
      <c r="C1065">
        <v>45.1</v>
      </c>
      <c r="D1065" t="s">
        <v>3120</v>
      </c>
      <c r="E1065" t="s">
        <v>1414</v>
      </c>
      <c r="F1065">
        <v>75</v>
      </c>
      <c r="G1065" t="b">
        <v>1</v>
      </c>
      <c r="H1065">
        <v>1</v>
      </c>
    </row>
    <row r="1066" spans="1:8" x14ac:dyDescent="0.25">
      <c r="A1066" t="s">
        <v>1829</v>
      </c>
      <c r="B1066" t="s">
        <v>1830</v>
      </c>
      <c r="C1066">
        <v>151.25</v>
      </c>
      <c r="D1066" t="s">
        <v>3120</v>
      </c>
      <c r="E1066" t="s">
        <v>1414</v>
      </c>
      <c r="F1066">
        <v>75</v>
      </c>
      <c r="G1066" t="b">
        <v>1</v>
      </c>
      <c r="H1066">
        <v>1</v>
      </c>
    </row>
    <row r="1067" spans="1:8" x14ac:dyDescent="0.25">
      <c r="A1067" t="s">
        <v>1823</v>
      </c>
      <c r="B1067" t="s">
        <v>1824</v>
      </c>
      <c r="C1067">
        <v>18.600000000000001</v>
      </c>
      <c r="D1067" t="s">
        <v>3120</v>
      </c>
      <c r="E1067" t="s">
        <v>1414</v>
      </c>
      <c r="F1067">
        <v>75</v>
      </c>
      <c r="G1067" t="b">
        <v>1</v>
      </c>
      <c r="H1067">
        <v>1</v>
      </c>
    </row>
    <row r="1068" spans="1:8" x14ac:dyDescent="0.25">
      <c r="A1068" t="s">
        <v>1827</v>
      </c>
      <c r="B1068" t="s">
        <v>1828</v>
      </c>
      <c r="C1068">
        <v>25.35</v>
      </c>
      <c r="D1068" t="s">
        <v>3120</v>
      </c>
      <c r="E1068" t="s">
        <v>1414</v>
      </c>
      <c r="F1068">
        <v>75</v>
      </c>
      <c r="G1068" t="b">
        <v>1</v>
      </c>
      <c r="H1068">
        <v>1</v>
      </c>
    </row>
    <row r="1069" spans="1:8" x14ac:dyDescent="0.25">
      <c r="A1069" t="s">
        <v>1825</v>
      </c>
      <c r="B1069" t="s">
        <v>1826</v>
      </c>
      <c r="C1069">
        <v>23.9</v>
      </c>
      <c r="D1069" t="s">
        <v>3120</v>
      </c>
      <c r="E1069" t="s">
        <v>1414</v>
      </c>
      <c r="F1069">
        <v>75</v>
      </c>
      <c r="G1069" t="b">
        <v>1</v>
      </c>
      <c r="H1069">
        <v>1</v>
      </c>
    </row>
    <row r="1070" spans="1:8" x14ac:dyDescent="0.25">
      <c r="A1070" t="s">
        <v>1797</v>
      </c>
      <c r="B1070" t="s">
        <v>1798</v>
      </c>
      <c r="C1070">
        <v>53.05</v>
      </c>
      <c r="D1070" t="s">
        <v>3120</v>
      </c>
      <c r="E1070" t="s">
        <v>1414</v>
      </c>
      <c r="F1070">
        <v>75</v>
      </c>
      <c r="G1070" t="b">
        <v>1</v>
      </c>
      <c r="H1070">
        <v>1</v>
      </c>
    </row>
    <row r="1071" spans="1:8" x14ac:dyDescent="0.25">
      <c r="A1071" t="s">
        <v>1778</v>
      </c>
      <c r="B1071" t="s">
        <v>1779</v>
      </c>
      <c r="C1071">
        <v>91.35</v>
      </c>
      <c r="D1071" t="s">
        <v>3120</v>
      </c>
      <c r="E1071" t="s">
        <v>1414</v>
      </c>
      <c r="F1071">
        <v>75</v>
      </c>
      <c r="G1071" t="b">
        <v>1</v>
      </c>
      <c r="H1071">
        <v>1</v>
      </c>
    </row>
    <row r="1072" spans="1:8" x14ac:dyDescent="0.25">
      <c r="A1072" t="s">
        <v>1781</v>
      </c>
      <c r="B1072" t="s">
        <v>1782</v>
      </c>
      <c r="C1072">
        <v>131.19999999999999</v>
      </c>
      <c r="D1072" t="s">
        <v>3120</v>
      </c>
      <c r="E1072" t="s">
        <v>1414</v>
      </c>
      <c r="F1072">
        <v>75</v>
      </c>
      <c r="G1072" t="b">
        <v>1</v>
      </c>
      <c r="H1072">
        <v>1</v>
      </c>
    </row>
    <row r="1073" spans="1:8" x14ac:dyDescent="0.25">
      <c r="A1073" t="s">
        <v>1784</v>
      </c>
      <c r="B1073" t="s">
        <v>1785</v>
      </c>
      <c r="C1073">
        <v>148.25</v>
      </c>
      <c r="D1073" t="s">
        <v>3120</v>
      </c>
      <c r="E1073" t="s">
        <v>1414</v>
      </c>
      <c r="F1073">
        <v>75</v>
      </c>
      <c r="G1073" t="b">
        <v>1</v>
      </c>
      <c r="H1073">
        <v>1</v>
      </c>
    </row>
    <row r="1074" spans="1:8" x14ac:dyDescent="0.25">
      <c r="A1074" t="s">
        <v>1771</v>
      </c>
      <c r="B1074" t="s">
        <v>1772</v>
      </c>
      <c r="C1074">
        <v>45.1</v>
      </c>
      <c r="D1074" t="s">
        <v>3120</v>
      </c>
      <c r="E1074" t="s">
        <v>1414</v>
      </c>
      <c r="F1074">
        <v>75</v>
      </c>
      <c r="G1074" t="b">
        <v>1</v>
      </c>
      <c r="H1074">
        <v>1</v>
      </c>
    </row>
    <row r="1075" spans="1:8" x14ac:dyDescent="0.25">
      <c r="A1075" t="s">
        <v>1775</v>
      </c>
      <c r="B1075" t="s">
        <v>1776</v>
      </c>
      <c r="C1075">
        <v>45.1</v>
      </c>
      <c r="D1075" t="s">
        <v>3120</v>
      </c>
      <c r="E1075" t="s">
        <v>1414</v>
      </c>
      <c r="F1075">
        <v>75</v>
      </c>
      <c r="G1075" t="b">
        <v>1</v>
      </c>
      <c r="H1075">
        <v>1</v>
      </c>
    </row>
    <row r="1076" spans="1:8" x14ac:dyDescent="0.25">
      <c r="A1076" t="s">
        <v>1809</v>
      </c>
      <c r="B1076" t="s">
        <v>1810</v>
      </c>
      <c r="C1076">
        <v>43.95</v>
      </c>
      <c r="D1076" t="s">
        <v>3120</v>
      </c>
      <c r="E1076" t="s">
        <v>1414</v>
      </c>
      <c r="F1076">
        <v>75</v>
      </c>
      <c r="G1076" t="b">
        <v>1</v>
      </c>
      <c r="H1076">
        <v>1</v>
      </c>
    </row>
    <row r="1077" spans="1:8" x14ac:dyDescent="0.25">
      <c r="A1077" t="s">
        <v>1800</v>
      </c>
      <c r="B1077" t="s">
        <v>1801</v>
      </c>
      <c r="C1077">
        <v>46.35</v>
      </c>
      <c r="D1077" t="s">
        <v>3120</v>
      </c>
      <c r="E1077" t="s">
        <v>1414</v>
      </c>
      <c r="F1077">
        <v>75</v>
      </c>
      <c r="G1077" t="b">
        <v>1</v>
      </c>
      <c r="H1077">
        <v>1</v>
      </c>
    </row>
    <row r="1078" spans="1:8" x14ac:dyDescent="0.25">
      <c r="A1078" t="s">
        <v>1813</v>
      </c>
      <c r="B1078" t="s">
        <v>1814</v>
      </c>
      <c r="C1078">
        <v>46.35</v>
      </c>
      <c r="D1078" t="s">
        <v>3120</v>
      </c>
      <c r="E1078" t="s">
        <v>1414</v>
      </c>
      <c r="F1078">
        <v>75</v>
      </c>
      <c r="G1078" t="b">
        <v>1</v>
      </c>
      <c r="H1078">
        <v>1</v>
      </c>
    </row>
    <row r="1079" spans="1:8" x14ac:dyDescent="0.25">
      <c r="A1079" t="s">
        <v>1811</v>
      </c>
      <c r="B1079" t="s">
        <v>1812</v>
      </c>
      <c r="C1079">
        <v>57.2</v>
      </c>
      <c r="D1079" t="s">
        <v>3120</v>
      </c>
      <c r="E1079" t="s">
        <v>1414</v>
      </c>
      <c r="F1079">
        <v>75</v>
      </c>
      <c r="G1079" t="b">
        <v>1</v>
      </c>
      <c r="H1079">
        <v>1</v>
      </c>
    </row>
    <row r="1080" spans="1:8" x14ac:dyDescent="0.25">
      <c r="A1080" t="s">
        <v>1919</v>
      </c>
      <c r="B1080" t="s">
        <v>1920</v>
      </c>
      <c r="C1080">
        <v>205.55</v>
      </c>
      <c r="D1080" t="s">
        <v>3120</v>
      </c>
      <c r="E1080" t="s">
        <v>1414</v>
      </c>
      <c r="F1080">
        <v>75</v>
      </c>
      <c r="G1080" t="b">
        <v>1</v>
      </c>
      <c r="H1080">
        <v>1</v>
      </c>
    </row>
    <row r="1081" spans="1:8" x14ac:dyDescent="0.25">
      <c r="A1081" t="s">
        <v>1804</v>
      </c>
      <c r="B1081" t="s">
        <v>1805</v>
      </c>
      <c r="C1081">
        <v>106.15</v>
      </c>
      <c r="D1081" t="s">
        <v>3120</v>
      </c>
      <c r="E1081" t="s">
        <v>1414</v>
      </c>
      <c r="F1081">
        <v>75</v>
      </c>
      <c r="G1081" t="b">
        <v>1</v>
      </c>
      <c r="H1081">
        <v>1</v>
      </c>
    </row>
    <row r="1082" spans="1:8" x14ac:dyDescent="0.25">
      <c r="A1082" t="s">
        <v>1806</v>
      </c>
      <c r="B1082" t="s">
        <v>1807</v>
      </c>
      <c r="C1082">
        <v>49.3</v>
      </c>
      <c r="D1082" t="s">
        <v>3120</v>
      </c>
      <c r="E1082" t="s">
        <v>1414</v>
      </c>
      <c r="F1082">
        <v>75</v>
      </c>
      <c r="G1082" t="b">
        <v>1</v>
      </c>
      <c r="H1082">
        <v>1</v>
      </c>
    </row>
    <row r="1083" spans="1:8" x14ac:dyDescent="0.25">
      <c r="A1083" t="s">
        <v>1790</v>
      </c>
      <c r="B1083" t="s">
        <v>1791</v>
      </c>
      <c r="C1083">
        <v>58.15</v>
      </c>
      <c r="D1083" t="s">
        <v>3120</v>
      </c>
      <c r="E1083" t="s">
        <v>1414</v>
      </c>
      <c r="F1083">
        <v>75</v>
      </c>
      <c r="G1083" t="b">
        <v>1</v>
      </c>
      <c r="H1083">
        <v>1</v>
      </c>
    </row>
    <row r="1084" spans="1:8" x14ac:dyDescent="0.25">
      <c r="A1084" t="s">
        <v>1767</v>
      </c>
      <c r="B1084" t="s">
        <v>1768</v>
      </c>
      <c r="C1084">
        <v>58.15</v>
      </c>
      <c r="D1084" t="s">
        <v>3120</v>
      </c>
      <c r="E1084" t="s">
        <v>1414</v>
      </c>
      <c r="F1084">
        <v>75</v>
      </c>
      <c r="G1084" t="b">
        <v>1</v>
      </c>
      <c r="H1084">
        <v>1</v>
      </c>
    </row>
    <row r="1085" spans="1:8" x14ac:dyDescent="0.25">
      <c r="A1085" t="s">
        <v>1792</v>
      </c>
      <c r="B1085" t="s">
        <v>1793</v>
      </c>
      <c r="C1085">
        <v>70.75</v>
      </c>
      <c r="D1085" t="s">
        <v>3120</v>
      </c>
      <c r="E1085" t="s">
        <v>1414</v>
      </c>
      <c r="F1085">
        <v>75</v>
      </c>
      <c r="G1085" t="b">
        <v>1</v>
      </c>
      <c r="H1085">
        <v>1</v>
      </c>
    </row>
    <row r="1086" spans="1:8" x14ac:dyDescent="0.25">
      <c r="A1086" t="s">
        <v>1794</v>
      </c>
      <c r="B1086" t="s">
        <v>1795</v>
      </c>
      <c r="C1086">
        <v>21.55</v>
      </c>
      <c r="D1086" t="s">
        <v>3120</v>
      </c>
      <c r="E1086" t="s">
        <v>1414</v>
      </c>
      <c r="F1086">
        <v>75</v>
      </c>
      <c r="G1086" t="b">
        <v>1</v>
      </c>
      <c r="H1086">
        <v>1</v>
      </c>
    </row>
    <row r="1087" spans="1:8" x14ac:dyDescent="0.25">
      <c r="A1087" t="s">
        <v>1896</v>
      </c>
      <c r="B1087" t="s">
        <v>1897</v>
      </c>
      <c r="C1087">
        <v>500</v>
      </c>
      <c r="D1087" t="s">
        <v>3120</v>
      </c>
      <c r="E1087" t="s">
        <v>1414</v>
      </c>
      <c r="F1087">
        <v>75</v>
      </c>
      <c r="G1087" t="b">
        <v>0</v>
      </c>
      <c r="H1087">
        <v>1</v>
      </c>
    </row>
    <row r="1088" spans="1:8" x14ac:dyDescent="0.25">
      <c r="A1088" t="s">
        <v>1896</v>
      </c>
      <c r="B1088" t="s">
        <v>1899</v>
      </c>
      <c r="C1088">
        <v>500</v>
      </c>
      <c r="D1088" t="s">
        <v>3120</v>
      </c>
      <c r="E1088" t="s">
        <v>1414</v>
      </c>
      <c r="F1088">
        <v>75</v>
      </c>
      <c r="G1088" t="b">
        <v>0</v>
      </c>
      <c r="H1088">
        <v>1</v>
      </c>
    </row>
    <row r="1089" spans="1:8" x14ac:dyDescent="0.25">
      <c r="A1089" t="s">
        <v>1749</v>
      </c>
      <c r="B1089" t="s">
        <v>1750</v>
      </c>
      <c r="C1089">
        <v>500</v>
      </c>
      <c r="D1089" t="s">
        <v>1752</v>
      </c>
      <c r="E1089" t="s">
        <v>1414</v>
      </c>
      <c r="F1089">
        <v>75</v>
      </c>
      <c r="G1089" t="b">
        <v>0</v>
      </c>
      <c r="H1089">
        <v>1</v>
      </c>
    </row>
    <row r="1090" spans="1:8" x14ac:dyDescent="0.25">
      <c r="A1090" t="s">
        <v>1749</v>
      </c>
      <c r="B1090" t="s">
        <v>1753</v>
      </c>
      <c r="C1090">
        <v>500</v>
      </c>
      <c r="D1090" t="s">
        <v>1752</v>
      </c>
      <c r="E1090" t="s">
        <v>1414</v>
      </c>
      <c r="F1090">
        <v>75</v>
      </c>
      <c r="G1090" t="b">
        <v>0</v>
      </c>
      <c r="H1090">
        <v>1</v>
      </c>
    </row>
    <row r="1091" spans="1:8" x14ac:dyDescent="0.25">
      <c r="A1091" t="s">
        <v>1749</v>
      </c>
      <c r="B1091" t="s">
        <v>1754</v>
      </c>
      <c r="C1091">
        <v>500</v>
      </c>
      <c r="D1091" t="s">
        <v>1752</v>
      </c>
      <c r="E1091" t="s">
        <v>1414</v>
      </c>
      <c r="F1091">
        <v>75</v>
      </c>
      <c r="G1091" t="b">
        <v>0</v>
      </c>
      <c r="H1091">
        <v>1</v>
      </c>
    </row>
    <row r="1092" spans="1:8" x14ac:dyDescent="0.25">
      <c r="A1092" t="s">
        <v>1749</v>
      </c>
      <c r="B1092" t="s">
        <v>1755</v>
      </c>
      <c r="C1092">
        <v>500</v>
      </c>
      <c r="D1092" t="s">
        <v>1752</v>
      </c>
      <c r="E1092" t="s">
        <v>1414</v>
      </c>
      <c r="F1092">
        <v>75</v>
      </c>
      <c r="G1092" t="b">
        <v>0</v>
      </c>
      <c r="H1092">
        <v>1</v>
      </c>
    </row>
    <row r="1093" spans="1:8" x14ac:dyDescent="0.25">
      <c r="A1093" t="s">
        <v>1749</v>
      </c>
      <c r="B1093" t="s">
        <v>1756</v>
      </c>
      <c r="C1093">
        <v>500</v>
      </c>
      <c r="D1093" t="s">
        <v>1752</v>
      </c>
      <c r="E1093" t="s">
        <v>1414</v>
      </c>
      <c r="F1093">
        <v>75</v>
      </c>
      <c r="G1093" t="b">
        <v>0</v>
      </c>
      <c r="H1093">
        <v>1</v>
      </c>
    </row>
    <row r="1094" spans="1:8" x14ac:dyDescent="0.25">
      <c r="A1094" t="s">
        <v>1749</v>
      </c>
      <c r="B1094" t="s">
        <v>1757</v>
      </c>
      <c r="C1094">
        <v>500</v>
      </c>
      <c r="D1094" t="s">
        <v>1752</v>
      </c>
      <c r="E1094" t="s">
        <v>1414</v>
      </c>
      <c r="F1094">
        <v>75</v>
      </c>
      <c r="G1094" t="b">
        <v>0</v>
      </c>
      <c r="H1094">
        <v>1</v>
      </c>
    </row>
    <row r="1095" spans="1:8" x14ac:dyDescent="0.25">
      <c r="A1095" t="s">
        <v>1749</v>
      </c>
      <c r="B1095" t="s">
        <v>1758</v>
      </c>
      <c r="C1095">
        <v>500</v>
      </c>
      <c r="D1095" t="s">
        <v>1752</v>
      </c>
      <c r="E1095" t="s">
        <v>1414</v>
      </c>
      <c r="F1095">
        <v>75</v>
      </c>
      <c r="G1095" t="b">
        <v>0</v>
      </c>
      <c r="H1095">
        <v>1</v>
      </c>
    </row>
    <row r="1096" spans="1:8" x14ac:dyDescent="0.25">
      <c r="A1096" t="s">
        <v>1749</v>
      </c>
      <c r="B1096" t="s">
        <v>1759</v>
      </c>
      <c r="C1096">
        <v>500</v>
      </c>
      <c r="D1096" t="s">
        <v>1752</v>
      </c>
      <c r="E1096" t="s">
        <v>1414</v>
      </c>
      <c r="F1096">
        <v>75</v>
      </c>
      <c r="G1096" t="b">
        <v>0</v>
      </c>
      <c r="H1096">
        <v>1</v>
      </c>
    </row>
    <row r="1097" spans="1:8" x14ac:dyDescent="0.25">
      <c r="A1097" t="s">
        <v>1749</v>
      </c>
      <c r="B1097" t="s">
        <v>1760</v>
      </c>
      <c r="C1097">
        <v>500</v>
      </c>
      <c r="D1097" t="s">
        <v>1752</v>
      </c>
      <c r="E1097" t="s">
        <v>1414</v>
      </c>
      <c r="F1097">
        <v>75</v>
      </c>
      <c r="G1097" t="b">
        <v>0</v>
      </c>
      <c r="H1097">
        <v>1</v>
      </c>
    </row>
    <row r="1098" spans="1:8" x14ac:dyDescent="0.25">
      <c r="A1098" t="s">
        <v>1749</v>
      </c>
      <c r="B1098" t="s">
        <v>1761</v>
      </c>
      <c r="C1098">
        <v>500</v>
      </c>
      <c r="D1098" t="s">
        <v>1752</v>
      </c>
      <c r="E1098" t="s">
        <v>1414</v>
      </c>
      <c r="F1098">
        <v>75</v>
      </c>
      <c r="G1098" t="b">
        <v>0</v>
      </c>
      <c r="H1098">
        <v>1</v>
      </c>
    </row>
    <row r="1099" spans="1:8" x14ac:dyDescent="0.25">
      <c r="A1099" t="s">
        <v>1749</v>
      </c>
      <c r="B1099" t="s">
        <v>1762</v>
      </c>
      <c r="C1099">
        <v>500</v>
      </c>
      <c r="D1099" t="s">
        <v>1752</v>
      </c>
      <c r="E1099" t="s">
        <v>1414</v>
      </c>
      <c r="F1099">
        <v>75</v>
      </c>
      <c r="G1099" t="b">
        <v>0</v>
      </c>
      <c r="H1099">
        <v>1</v>
      </c>
    </row>
    <row r="1100" spans="1:8" x14ac:dyDescent="0.25">
      <c r="A1100" t="s">
        <v>1749</v>
      </c>
      <c r="B1100" t="s">
        <v>1763</v>
      </c>
      <c r="C1100">
        <v>500</v>
      </c>
      <c r="D1100" t="s">
        <v>1752</v>
      </c>
      <c r="E1100" t="s">
        <v>1414</v>
      </c>
      <c r="F1100">
        <v>75</v>
      </c>
      <c r="G1100" t="b">
        <v>0</v>
      </c>
      <c r="H1100">
        <v>1</v>
      </c>
    </row>
    <row r="1101" spans="1:8" x14ac:dyDescent="0.25">
      <c r="A1101" t="s">
        <v>1749</v>
      </c>
      <c r="B1101" t="s">
        <v>1764</v>
      </c>
      <c r="C1101">
        <v>500</v>
      </c>
      <c r="D1101" t="s">
        <v>1752</v>
      </c>
      <c r="E1101" t="s">
        <v>1414</v>
      </c>
      <c r="F1101">
        <v>75</v>
      </c>
      <c r="G1101" t="b">
        <v>0</v>
      </c>
      <c r="H1101">
        <v>1</v>
      </c>
    </row>
    <row r="1102" spans="1:8" x14ac:dyDescent="0.25">
      <c r="A1102" t="s">
        <v>1749</v>
      </c>
      <c r="B1102" t="s">
        <v>1765</v>
      </c>
      <c r="C1102">
        <v>500</v>
      </c>
      <c r="D1102" t="s">
        <v>1752</v>
      </c>
      <c r="E1102" t="s">
        <v>1414</v>
      </c>
      <c r="F1102">
        <v>75</v>
      </c>
      <c r="G1102" t="b">
        <v>0</v>
      </c>
      <c r="H1102">
        <v>1</v>
      </c>
    </row>
    <row r="1103" spans="1:8" x14ac:dyDescent="0.25">
      <c r="A1103" t="s">
        <v>1749</v>
      </c>
      <c r="B1103" t="s">
        <v>1766</v>
      </c>
      <c r="C1103">
        <v>500</v>
      </c>
      <c r="D1103" t="s">
        <v>1752</v>
      </c>
      <c r="E1103" t="s">
        <v>1414</v>
      </c>
      <c r="F1103">
        <v>75</v>
      </c>
      <c r="G1103" t="b">
        <v>0</v>
      </c>
      <c r="H1103">
        <v>1</v>
      </c>
    </row>
    <row r="1104" spans="1:8" x14ac:dyDescent="0.25">
      <c r="A1104" t="s">
        <v>1749</v>
      </c>
      <c r="B1104" t="s">
        <v>2215</v>
      </c>
      <c r="C1104">
        <v>500</v>
      </c>
      <c r="D1104" t="s">
        <v>1752</v>
      </c>
      <c r="E1104" t="s">
        <v>1414</v>
      </c>
      <c r="F1104">
        <v>75</v>
      </c>
      <c r="G1104" t="b">
        <v>0</v>
      </c>
      <c r="H1104">
        <v>1</v>
      </c>
    </row>
    <row r="1105" spans="1:8" x14ac:dyDescent="0.25">
      <c r="A1105" t="s">
        <v>1749</v>
      </c>
      <c r="B1105" t="s">
        <v>2217</v>
      </c>
      <c r="C1105">
        <v>500</v>
      </c>
      <c r="D1105" t="s">
        <v>1752</v>
      </c>
      <c r="E1105" t="s">
        <v>1414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1414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1414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1414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1414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1414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1414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1414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1414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1414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1414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1414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1414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1414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1414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1414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1414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1414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1414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1414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1414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1414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1414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1414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3257</v>
      </c>
      <c r="E1129" t="s">
        <v>1414</v>
      </c>
      <c r="F1129">
        <v>75</v>
      </c>
      <c r="G1129" t="b">
        <v>1</v>
      </c>
      <c r="H1129">
        <v>1</v>
      </c>
    </row>
    <row r="1130" spans="1:8" x14ac:dyDescent="0.25">
      <c r="A1130" t="s">
        <v>1990</v>
      </c>
      <c r="B1130" t="s">
        <v>1991</v>
      </c>
      <c r="C1130">
        <v>62.25</v>
      </c>
      <c r="D1130" t="s">
        <v>1976</v>
      </c>
      <c r="E1130" t="s">
        <v>1414</v>
      </c>
      <c r="F1130">
        <v>75</v>
      </c>
      <c r="G1130" t="b">
        <v>1</v>
      </c>
      <c r="H1130">
        <v>1</v>
      </c>
    </row>
    <row r="1131" spans="1:8" x14ac:dyDescent="0.25">
      <c r="A1131" t="s">
        <v>1993</v>
      </c>
      <c r="B1131" t="s">
        <v>1994</v>
      </c>
      <c r="C1131">
        <v>136.19999999999999</v>
      </c>
      <c r="D1131" t="s">
        <v>1976</v>
      </c>
      <c r="E1131" t="s">
        <v>1414</v>
      </c>
      <c r="F1131">
        <v>75</v>
      </c>
      <c r="G1131" t="b">
        <v>1</v>
      </c>
      <c r="H1131">
        <v>1</v>
      </c>
    </row>
    <row r="1132" spans="1:8" x14ac:dyDescent="0.25">
      <c r="A1132" t="s">
        <v>1984</v>
      </c>
      <c r="B1132" t="s">
        <v>1985</v>
      </c>
      <c r="C1132">
        <v>64.849999999999994</v>
      </c>
      <c r="D1132" t="s">
        <v>1976</v>
      </c>
      <c r="E1132" t="s">
        <v>1414</v>
      </c>
      <c r="F1132">
        <v>75</v>
      </c>
      <c r="G1132" t="b">
        <v>1</v>
      </c>
      <c r="H1132">
        <v>1</v>
      </c>
    </row>
    <row r="1133" spans="1:8" x14ac:dyDescent="0.25">
      <c r="A1133" t="s">
        <v>1987</v>
      </c>
      <c r="B1133" t="s">
        <v>1988</v>
      </c>
      <c r="C1133">
        <v>74</v>
      </c>
      <c r="D1133" t="s">
        <v>1976</v>
      </c>
      <c r="E1133" t="s">
        <v>1414</v>
      </c>
      <c r="F1133">
        <v>75</v>
      </c>
      <c r="G1133" t="b">
        <v>1</v>
      </c>
      <c r="H1133">
        <v>1</v>
      </c>
    </row>
    <row r="1134" spans="1:8" x14ac:dyDescent="0.25">
      <c r="A1134" t="s">
        <v>1973</v>
      </c>
      <c r="B1134" t="s">
        <v>1974</v>
      </c>
      <c r="C1134">
        <v>81.900000000000006</v>
      </c>
      <c r="D1134" t="s">
        <v>1976</v>
      </c>
      <c r="E1134" t="s">
        <v>1414</v>
      </c>
      <c r="F1134">
        <v>75</v>
      </c>
      <c r="G1134" t="b">
        <v>1</v>
      </c>
      <c r="H1134">
        <v>1</v>
      </c>
    </row>
    <row r="1135" spans="1:8" x14ac:dyDescent="0.25">
      <c r="A1135" t="s">
        <v>1977</v>
      </c>
      <c r="B1135" t="s">
        <v>1978</v>
      </c>
      <c r="C1135">
        <v>96.7</v>
      </c>
      <c r="D1135" t="s">
        <v>1976</v>
      </c>
      <c r="E1135" t="s">
        <v>1414</v>
      </c>
      <c r="F1135">
        <v>75</v>
      </c>
      <c r="G1135" t="b">
        <v>1</v>
      </c>
      <c r="H1135">
        <v>1</v>
      </c>
    </row>
    <row r="1136" spans="1:8" x14ac:dyDescent="0.25">
      <c r="A1136" t="s">
        <v>1996</v>
      </c>
      <c r="B1136" t="s">
        <v>1997</v>
      </c>
      <c r="C1136">
        <v>143.25</v>
      </c>
      <c r="D1136" t="s">
        <v>1976</v>
      </c>
      <c r="E1136" t="s">
        <v>1414</v>
      </c>
      <c r="F1136">
        <v>75</v>
      </c>
      <c r="G1136" t="b">
        <v>1</v>
      </c>
      <c r="H1136">
        <v>1</v>
      </c>
    </row>
    <row r="1137" spans="1:8" x14ac:dyDescent="0.25">
      <c r="A1137" t="s">
        <v>1981</v>
      </c>
      <c r="B1137" t="s">
        <v>1982</v>
      </c>
      <c r="C1137">
        <v>64.849999999999994</v>
      </c>
      <c r="D1137" t="s">
        <v>1976</v>
      </c>
      <c r="E1137" t="s">
        <v>1414</v>
      </c>
      <c r="F1137">
        <v>75</v>
      </c>
      <c r="G1137" t="b">
        <v>1</v>
      </c>
      <c r="H1137">
        <v>1</v>
      </c>
    </row>
    <row r="1138" spans="1:8" x14ac:dyDescent="0.25">
      <c r="A1138" t="s">
        <v>1979</v>
      </c>
      <c r="B1138" t="s">
        <v>1980</v>
      </c>
      <c r="C1138">
        <v>53.05</v>
      </c>
      <c r="D1138" t="s">
        <v>1976</v>
      </c>
      <c r="E1138" t="s">
        <v>1414</v>
      </c>
      <c r="F1138">
        <v>75</v>
      </c>
      <c r="G1138" t="b">
        <v>1</v>
      </c>
      <c r="H1138">
        <v>1</v>
      </c>
    </row>
    <row r="1139" spans="1:8" x14ac:dyDescent="0.25">
      <c r="A1139" t="s">
        <v>1863</v>
      </c>
      <c r="B1139" t="s">
        <v>1864</v>
      </c>
      <c r="C1139">
        <v>21.25</v>
      </c>
      <c r="D1139" t="s">
        <v>3123</v>
      </c>
      <c r="E1139" t="s">
        <v>1414</v>
      </c>
      <c r="F1139">
        <v>75</v>
      </c>
      <c r="G1139" t="b">
        <v>1</v>
      </c>
      <c r="H1139">
        <v>1</v>
      </c>
    </row>
    <row r="1140" spans="1:8" x14ac:dyDescent="0.25">
      <c r="A1140" t="s">
        <v>1865</v>
      </c>
      <c r="B1140" t="s">
        <v>1866</v>
      </c>
      <c r="C1140">
        <v>34.549999999999997</v>
      </c>
      <c r="D1140" t="s">
        <v>3123</v>
      </c>
      <c r="E1140" t="s">
        <v>1414</v>
      </c>
      <c r="F1140">
        <v>75</v>
      </c>
      <c r="G1140" t="b">
        <v>1</v>
      </c>
      <c r="H1140">
        <v>1</v>
      </c>
    </row>
    <row r="1141" spans="1:8" x14ac:dyDescent="0.25">
      <c r="A1141" t="s">
        <v>1860</v>
      </c>
      <c r="B1141" t="s">
        <v>1861</v>
      </c>
      <c r="C1141">
        <v>18.600000000000001</v>
      </c>
      <c r="D1141" t="s">
        <v>3123</v>
      </c>
      <c r="E1141" t="s">
        <v>1414</v>
      </c>
      <c r="F1141">
        <v>75</v>
      </c>
      <c r="G1141" t="b">
        <v>1</v>
      </c>
      <c r="H1141">
        <v>1</v>
      </c>
    </row>
    <row r="1142" spans="1:8" x14ac:dyDescent="0.25">
      <c r="A1142" t="s">
        <v>2071</v>
      </c>
      <c r="B1142" t="s">
        <v>2072</v>
      </c>
      <c r="C1142">
        <v>10.6</v>
      </c>
      <c r="D1142" t="s">
        <v>3124</v>
      </c>
      <c r="E1142" t="s">
        <v>1414</v>
      </c>
      <c r="F1142">
        <v>75</v>
      </c>
      <c r="G1142" t="b">
        <v>1</v>
      </c>
      <c r="H1142">
        <v>1</v>
      </c>
    </row>
    <row r="1143" spans="1:8" x14ac:dyDescent="0.25">
      <c r="A1143" t="s">
        <v>2185</v>
      </c>
      <c r="B1143" t="s">
        <v>2186</v>
      </c>
      <c r="C1143">
        <v>33.049999999999997</v>
      </c>
      <c r="D1143" t="s">
        <v>3124</v>
      </c>
      <c r="E1143" t="s">
        <v>1414</v>
      </c>
      <c r="F1143">
        <v>75</v>
      </c>
      <c r="G1143" t="b">
        <v>1</v>
      </c>
      <c r="H1143">
        <v>1</v>
      </c>
    </row>
    <row r="1144" spans="1:8" x14ac:dyDescent="0.25">
      <c r="A1144" t="s">
        <v>2064</v>
      </c>
      <c r="B1144" t="s">
        <v>2065</v>
      </c>
      <c r="C1144">
        <v>42.2</v>
      </c>
      <c r="D1144" t="s">
        <v>3124</v>
      </c>
      <c r="E1144" t="s">
        <v>1414</v>
      </c>
      <c r="F1144">
        <v>75</v>
      </c>
      <c r="G1144" t="b">
        <v>1</v>
      </c>
      <c r="H1144">
        <v>1</v>
      </c>
    </row>
    <row r="1145" spans="1:8" x14ac:dyDescent="0.25">
      <c r="A1145" t="s">
        <v>2188</v>
      </c>
      <c r="B1145" t="s">
        <v>2189</v>
      </c>
      <c r="C1145">
        <v>42.2</v>
      </c>
      <c r="D1145" t="s">
        <v>3124</v>
      </c>
      <c r="E1145" t="s">
        <v>1414</v>
      </c>
      <c r="F1145">
        <v>75</v>
      </c>
      <c r="G1145" t="b">
        <v>1</v>
      </c>
      <c r="H1145">
        <v>1</v>
      </c>
    </row>
    <row r="1146" spans="1:8" x14ac:dyDescent="0.25">
      <c r="A1146" t="s">
        <v>2196</v>
      </c>
      <c r="B1146" t="s">
        <v>2197</v>
      </c>
      <c r="C1146">
        <v>46.35</v>
      </c>
      <c r="D1146" t="s">
        <v>3124</v>
      </c>
      <c r="E1146" t="s">
        <v>1414</v>
      </c>
      <c r="F1146">
        <v>75</v>
      </c>
      <c r="G1146" t="b">
        <v>1</v>
      </c>
      <c r="H1146">
        <v>1</v>
      </c>
    </row>
    <row r="1147" spans="1:8" x14ac:dyDescent="0.25">
      <c r="A1147" t="s">
        <v>2199</v>
      </c>
      <c r="B1147" t="s">
        <v>2200</v>
      </c>
      <c r="C1147">
        <v>46.6</v>
      </c>
      <c r="D1147" t="s">
        <v>3124</v>
      </c>
      <c r="E1147" t="s">
        <v>1414</v>
      </c>
      <c r="F1147">
        <v>75</v>
      </c>
      <c r="G1147" t="b">
        <v>1</v>
      </c>
      <c r="H1147">
        <v>1</v>
      </c>
    </row>
    <row r="1148" spans="1:8" x14ac:dyDescent="0.25">
      <c r="A1148" t="s">
        <v>2194</v>
      </c>
      <c r="B1148" t="s">
        <v>2195</v>
      </c>
      <c r="C1148">
        <v>33.049999999999997</v>
      </c>
      <c r="D1148" t="s">
        <v>3124</v>
      </c>
      <c r="E1148" t="s">
        <v>1414</v>
      </c>
      <c r="F1148">
        <v>75</v>
      </c>
      <c r="G1148" t="b">
        <v>1</v>
      </c>
      <c r="H1148">
        <v>1</v>
      </c>
    </row>
    <row r="1149" spans="1:8" x14ac:dyDescent="0.25">
      <c r="A1149" t="s">
        <v>2191</v>
      </c>
      <c r="B1149" t="s">
        <v>2192</v>
      </c>
      <c r="C1149">
        <v>78.150000000000006</v>
      </c>
      <c r="D1149" t="s">
        <v>3124</v>
      </c>
      <c r="E1149" t="s">
        <v>1414</v>
      </c>
      <c r="F1149">
        <v>75</v>
      </c>
      <c r="G1149" t="b">
        <v>1</v>
      </c>
      <c r="H1149">
        <v>1</v>
      </c>
    </row>
    <row r="1150" spans="1:8" x14ac:dyDescent="0.25">
      <c r="A1150" t="s">
        <v>2202</v>
      </c>
      <c r="B1150" t="s">
        <v>2203</v>
      </c>
      <c r="C1150">
        <v>82.55</v>
      </c>
      <c r="D1150" t="s">
        <v>3124</v>
      </c>
      <c r="E1150" t="s">
        <v>1414</v>
      </c>
      <c r="F1150">
        <v>75</v>
      </c>
      <c r="G1150" t="b">
        <v>1</v>
      </c>
      <c r="H1150">
        <v>1</v>
      </c>
    </row>
    <row r="1151" spans="1:8" x14ac:dyDescent="0.25">
      <c r="A1151" t="s">
        <v>2205</v>
      </c>
      <c r="B1151" t="s">
        <v>2206</v>
      </c>
      <c r="C1151">
        <v>63.6</v>
      </c>
      <c r="D1151" t="s">
        <v>3124</v>
      </c>
      <c r="E1151" t="s">
        <v>1414</v>
      </c>
      <c r="F1151">
        <v>75</v>
      </c>
      <c r="G1151" t="b">
        <v>1</v>
      </c>
      <c r="H1151">
        <v>1</v>
      </c>
    </row>
    <row r="1152" spans="1:8" x14ac:dyDescent="0.25">
      <c r="A1152" t="s">
        <v>2208</v>
      </c>
      <c r="B1152" t="s">
        <v>2209</v>
      </c>
      <c r="C1152">
        <v>46.35</v>
      </c>
      <c r="D1152" t="s">
        <v>3124</v>
      </c>
      <c r="E1152" t="s">
        <v>1414</v>
      </c>
      <c r="F1152">
        <v>75</v>
      </c>
      <c r="G1152" t="b">
        <v>1</v>
      </c>
      <c r="H1152">
        <v>1</v>
      </c>
    </row>
    <row r="1153" spans="1:8" x14ac:dyDescent="0.25">
      <c r="A1153" t="s">
        <v>2067</v>
      </c>
      <c r="B1153" t="s">
        <v>2068</v>
      </c>
      <c r="C1153">
        <v>78.150000000000006</v>
      </c>
      <c r="D1153" t="s">
        <v>3124</v>
      </c>
      <c r="E1153" t="s">
        <v>1414</v>
      </c>
      <c r="F1153">
        <v>75</v>
      </c>
      <c r="G1153" t="b">
        <v>1</v>
      </c>
      <c r="H1153">
        <v>1</v>
      </c>
    </row>
    <row r="1154" spans="1:8" x14ac:dyDescent="0.25">
      <c r="A1154" t="s">
        <v>2069</v>
      </c>
      <c r="B1154" t="s">
        <v>2070</v>
      </c>
      <c r="C1154">
        <v>120</v>
      </c>
      <c r="D1154" t="s">
        <v>3124</v>
      </c>
      <c r="E1154" t="s">
        <v>1414</v>
      </c>
      <c r="F1154">
        <v>75</v>
      </c>
      <c r="G1154" t="b">
        <v>1</v>
      </c>
      <c r="H1154">
        <v>1</v>
      </c>
    </row>
    <row r="1155" spans="1:8" x14ac:dyDescent="0.25">
      <c r="A1155" t="s">
        <v>2157</v>
      </c>
      <c r="B1155" t="s">
        <v>2158</v>
      </c>
      <c r="C1155">
        <v>31.9</v>
      </c>
      <c r="D1155" t="s">
        <v>3124</v>
      </c>
      <c r="E1155" t="s">
        <v>1414</v>
      </c>
      <c r="F1155">
        <v>75</v>
      </c>
      <c r="G1155" t="b">
        <v>1</v>
      </c>
      <c r="H1155">
        <v>1</v>
      </c>
    </row>
    <row r="1156" spans="1:8" x14ac:dyDescent="0.25">
      <c r="A1156" t="s">
        <v>2165</v>
      </c>
      <c r="B1156" t="s">
        <v>2166</v>
      </c>
      <c r="C1156">
        <v>31.9</v>
      </c>
      <c r="D1156" t="s">
        <v>3124</v>
      </c>
      <c r="E1156" t="s">
        <v>1414</v>
      </c>
      <c r="F1156">
        <v>75</v>
      </c>
      <c r="G1156" t="b">
        <v>1</v>
      </c>
      <c r="H1156">
        <v>1</v>
      </c>
    </row>
    <row r="1157" spans="1:8" x14ac:dyDescent="0.25">
      <c r="A1157" t="s">
        <v>2154</v>
      </c>
      <c r="B1157" t="s">
        <v>2155</v>
      </c>
      <c r="C1157">
        <v>53.05</v>
      </c>
      <c r="D1157" t="s">
        <v>3124</v>
      </c>
      <c r="E1157" t="s">
        <v>1414</v>
      </c>
      <c r="F1157">
        <v>75</v>
      </c>
      <c r="G1157" t="b">
        <v>1</v>
      </c>
      <c r="H1157">
        <v>1</v>
      </c>
    </row>
    <row r="1158" spans="1:8" x14ac:dyDescent="0.25">
      <c r="A1158" t="s">
        <v>2058</v>
      </c>
      <c r="B1158" t="s">
        <v>2059</v>
      </c>
      <c r="C1158">
        <v>68.150000000000006</v>
      </c>
      <c r="D1158" t="s">
        <v>3124</v>
      </c>
      <c r="E1158" t="s">
        <v>1414</v>
      </c>
      <c r="F1158">
        <v>75</v>
      </c>
      <c r="G1158" t="b">
        <v>1</v>
      </c>
      <c r="H1158">
        <v>1</v>
      </c>
    </row>
    <row r="1159" spans="1:8" x14ac:dyDescent="0.25">
      <c r="A1159" t="s">
        <v>2062</v>
      </c>
      <c r="B1159" t="s">
        <v>2063</v>
      </c>
      <c r="C1159">
        <v>21.1</v>
      </c>
      <c r="D1159" t="s">
        <v>3124</v>
      </c>
      <c r="E1159" t="s">
        <v>1414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1414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1414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1414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1414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1414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1414</v>
      </c>
      <c r="F1165">
        <v>75</v>
      </c>
      <c r="G1165" t="b">
        <v>1</v>
      </c>
      <c r="H1165">
        <v>1</v>
      </c>
    </row>
    <row r="1166" spans="1:8" x14ac:dyDescent="0.25">
      <c r="A1166" t="s">
        <v>2227</v>
      </c>
      <c r="B1166" t="s">
        <v>2228</v>
      </c>
      <c r="C1166">
        <v>42.2</v>
      </c>
      <c r="D1166" t="s">
        <v>3128</v>
      </c>
      <c r="E1166" t="s">
        <v>1414</v>
      </c>
      <c r="F1166">
        <v>75</v>
      </c>
      <c r="G1166" t="b">
        <v>1</v>
      </c>
      <c r="H1166">
        <v>1</v>
      </c>
    </row>
    <row r="1167" spans="1:8" x14ac:dyDescent="0.25">
      <c r="A1167" t="s">
        <v>2229</v>
      </c>
      <c r="B1167" t="s">
        <v>2230</v>
      </c>
      <c r="C1167">
        <v>42.5</v>
      </c>
      <c r="D1167" t="s">
        <v>3128</v>
      </c>
      <c r="E1167" t="s">
        <v>1414</v>
      </c>
      <c r="F1167">
        <v>75</v>
      </c>
      <c r="G1167" t="b">
        <v>1</v>
      </c>
      <c r="H1167">
        <v>1</v>
      </c>
    </row>
    <row r="1168" spans="1:8" x14ac:dyDescent="0.25">
      <c r="A1168" t="s">
        <v>2236</v>
      </c>
      <c r="B1168" t="s">
        <v>2237</v>
      </c>
      <c r="C1168">
        <v>97.6</v>
      </c>
      <c r="D1168" t="s">
        <v>3128</v>
      </c>
      <c r="E1168" t="s">
        <v>1414</v>
      </c>
      <c r="F1168">
        <v>75</v>
      </c>
      <c r="G1168" t="b">
        <v>1</v>
      </c>
      <c r="H1168">
        <v>1</v>
      </c>
    </row>
    <row r="1169" spans="1:8" x14ac:dyDescent="0.25">
      <c r="A1169" t="s">
        <v>2214</v>
      </c>
      <c r="B1169" t="s">
        <v>2215</v>
      </c>
      <c r="C1169">
        <v>500</v>
      </c>
      <c r="D1169" t="s">
        <v>3128</v>
      </c>
      <c r="E1169" t="s">
        <v>1414</v>
      </c>
      <c r="F1169">
        <v>75</v>
      </c>
      <c r="G1169" t="b">
        <v>0</v>
      </c>
      <c r="H1169">
        <v>1</v>
      </c>
    </row>
    <row r="1170" spans="1:8" x14ac:dyDescent="0.25">
      <c r="A1170" t="s">
        <v>2214</v>
      </c>
      <c r="B1170" t="s">
        <v>2217</v>
      </c>
      <c r="C1170">
        <v>500</v>
      </c>
      <c r="D1170" t="s">
        <v>3128</v>
      </c>
      <c r="E1170" t="s">
        <v>1414</v>
      </c>
      <c r="F1170">
        <v>75</v>
      </c>
      <c r="G1170" t="b">
        <v>0</v>
      </c>
      <c r="H1170">
        <v>1</v>
      </c>
    </row>
    <row r="1171" spans="1:8" x14ac:dyDescent="0.25">
      <c r="A1171" t="s">
        <v>462</v>
      </c>
      <c r="B1171" t="s">
        <v>463</v>
      </c>
      <c r="C1171">
        <v>219.9</v>
      </c>
      <c r="D1171" t="s">
        <v>3130</v>
      </c>
      <c r="E1171" t="s">
        <v>1414</v>
      </c>
      <c r="F1171">
        <v>75</v>
      </c>
      <c r="G1171" t="b">
        <v>1</v>
      </c>
      <c r="H1171">
        <v>1</v>
      </c>
    </row>
    <row r="1172" spans="1:8" x14ac:dyDescent="0.25">
      <c r="A1172" t="s">
        <v>467</v>
      </c>
      <c r="B1172" t="s">
        <v>468</v>
      </c>
      <c r="C1172">
        <v>312.89999999999998</v>
      </c>
      <c r="D1172" t="s">
        <v>3130</v>
      </c>
      <c r="E1172" t="s">
        <v>1414</v>
      </c>
      <c r="F1172">
        <v>75</v>
      </c>
      <c r="G1172" t="b">
        <v>1</v>
      </c>
      <c r="H1172">
        <v>1</v>
      </c>
    </row>
    <row r="1173" spans="1:8" x14ac:dyDescent="0.25">
      <c r="A1173" t="s">
        <v>472</v>
      </c>
      <c r="B1173" t="s">
        <v>473</v>
      </c>
      <c r="C1173">
        <v>90.25</v>
      </c>
      <c r="D1173" t="s">
        <v>3130</v>
      </c>
      <c r="E1173" t="s">
        <v>1414</v>
      </c>
      <c r="F1173">
        <v>75</v>
      </c>
      <c r="G1173" t="b">
        <v>1</v>
      </c>
      <c r="H1173">
        <v>1</v>
      </c>
    </row>
    <row r="1174" spans="1:8" x14ac:dyDescent="0.25">
      <c r="A1174" t="s">
        <v>1873</v>
      </c>
      <c r="B1174" t="s">
        <v>1874</v>
      </c>
      <c r="D1174" t="s">
        <v>3130</v>
      </c>
      <c r="E1174" t="s">
        <v>1414</v>
      </c>
      <c r="F1174">
        <v>75</v>
      </c>
      <c r="G1174" t="b">
        <v>0</v>
      </c>
      <c r="H1174">
        <v>1</v>
      </c>
    </row>
    <row r="1175" spans="1:8" x14ac:dyDescent="0.25">
      <c r="A1175" t="s">
        <v>1900</v>
      </c>
      <c r="B1175" t="s">
        <v>3134</v>
      </c>
      <c r="C1175">
        <v>70.45</v>
      </c>
      <c r="D1175" t="s">
        <v>3130</v>
      </c>
      <c r="E1175" t="s">
        <v>1414</v>
      </c>
      <c r="F1175">
        <v>75</v>
      </c>
      <c r="G1175" t="b">
        <v>1</v>
      </c>
      <c r="H1175">
        <v>1</v>
      </c>
    </row>
    <row r="1176" spans="1:8" x14ac:dyDescent="0.25">
      <c r="A1176" t="s">
        <v>1876</v>
      </c>
      <c r="B1176" t="s">
        <v>1877</v>
      </c>
      <c r="C1176">
        <v>138.9</v>
      </c>
      <c r="D1176" t="s">
        <v>3130</v>
      </c>
      <c r="E1176" t="s">
        <v>1414</v>
      </c>
      <c r="F1176">
        <v>75</v>
      </c>
      <c r="G1176" t="b">
        <v>1</v>
      </c>
      <c r="H1176">
        <v>1</v>
      </c>
    </row>
    <row r="1177" spans="1:8" x14ac:dyDescent="0.25">
      <c r="A1177" t="s">
        <v>1904</v>
      </c>
      <c r="B1177" t="s">
        <v>3135</v>
      </c>
      <c r="C1177">
        <v>117.95</v>
      </c>
      <c r="D1177" t="s">
        <v>3130</v>
      </c>
      <c r="E1177" t="s">
        <v>1414</v>
      </c>
      <c r="F1177">
        <v>75</v>
      </c>
      <c r="G1177" t="b">
        <v>1</v>
      </c>
      <c r="H1177">
        <v>1</v>
      </c>
    </row>
    <row r="1178" spans="1:8" x14ac:dyDescent="0.25">
      <c r="A1178" t="s">
        <v>1878</v>
      </c>
      <c r="B1178" t="s">
        <v>1879</v>
      </c>
      <c r="C1178">
        <v>95</v>
      </c>
      <c r="D1178" t="s">
        <v>3130</v>
      </c>
      <c r="E1178" t="s">
        <v>1414</v>
      </c>
      <c r="F1178">
        <v>75</v>
      </c>
      <c r="G1178" t="b">
        <v>1</v>
      </c>
      <c r="H1178">
        <v>1</v>
      </c>
    </row>
    <row r="1179" spans="1:8" x14ac:dyDescent="0.25">
      <c r="A1179" t="s">
        <v>1906</v>
      </c>
      <c r="B1179" t="s">
        <v>3136</v>
      </c>
      <c r="C1179">
        <v>210.8</v>
      </c>
      <c r="D1179" t="s">
        <v>3130</v>
      </c>
      <c r="E1179" t="s">
        <v>1414</v>
      </c>
      <c r="F1179">
        <v>75</v>
      </c>
      <c r="G1179" t="b">
        <v>1</v>
      </c>
      <c r="H1179">
        <v>1</v>
      </c>
    </row>
    <row r="1180" spans="1:8" x14ac:dyDescent="0.25">
      <c r="A1180" t="s">
        <v>1906</v>
      </c>
      <c r="B1180" t="s">
        <v>3258</v>
      </c>
      <c r="C1180">
        <v>276.5</v>
      </c>
      <c r="D1180" t="s">
        <v>3130</v>
      </c>
      <c r="E1180" t="s">
        <v>1414</v>
      </c>
      <c r="F1180">
        <v>75</v>
      </c>
      <c r="G1180" t="b">
        <v>1</v>
      </c>
      <c r="H1180">
        <v>1</v>
      </c>
    </row>
    <row r="1181" spans="1:8" x14ac:dyDescent="0.25">
      <c r="A1181" t="s">
        <v>1911</v>
      </c>
      <c r="B1181" t="s">
        <v>3131</v>
      </c>
      <c r="C1181">
        <v>294.2</v>
      </c>
      <c r="D1181" t="s">
        <v>3130</v>
      </c>
      <c r="E1181" t="s">
        <v>1414</v>
      </c>
      <c r="F1181">
        <v>75</v>
      </c>
      <c r="G1181" t="b">
        <v>1</v>
      </c>
      <c r="H1181">
        <v>1</v>
      </c>
    </row>
    <row r="1182" spans="1:8" x14ac:dyDescent="0.25">
      <c r="A1182" t="s">
        <v>1913</v>
      </c>
      <c r="B1182" t="s">
        <v>1914</v>
      </c>
      <c r="C1182">
        <v>311.45</v>
      </c>
      <c r="D1182" t="s">
        <v>3130</v>
      </c>
      <c r="E1182" t="s">
        <v>1414</v>
      </c>
      <c r="F1182">
        <v>75</v>
      </c>
      <c r="G1182" t="b">
        <v>1</v>
      </c>
      <c r="H1182">
        <v>1</v>
      </c>
    </row>
    <row r="1183" spans="1:8" x14ac:dyDescent="0.25">
      <c r="A1183" t="s">
        <v>1958</v>
      </c>
      <c r="B1183" t="s">
        <v>1959</v>
      </c>
      <c r="C1183">
        <v>14.45</v>
      </c>
      <c r="D1183" t="s">
        <v>3130</v>
      </c>
      <c r="E1183" t="s">
        <v>1414</v>
      </c>
      <c r="F1183">
        <v>75</v>
      </c>
      <c r="G1183" t="b">
        <v>1</v>
      </c>
      <c r="H1183">
        <v>1</v>
      </c>
    </row>
    <row r="1184" spans="1:8" x14ac:dyDescent="0.25">
      <c r="A1184" t="s">
        <v>1961</v>
      </c>
      <c r="B1184" t="s">
        <v>1962</v>
      </c>
      <c r="C1184">
        <v>33.049999999999997</v>
      </c>
      <c r="D1184" t="s">
        <v>3130</v>
      </c>
      <c r="E1184" t="s">
        <v>1414</v>
      </c>
      <c r="F1184">
        <v>75</v>
      </c>
      <c r="G1184" t="b">
        <v>1</v>
      </c>
      <c r="H1184">
        <v>1</v>
      </c>
    </row>
    <row r="1185" spans="1:8" x14ac:dyDescent="0.25">
      <c r="A1185" t="s">
        <v>1964</v>
      </c>
      <c r="B1185" t="s">
        <v>1965</v>
      </c>
      <c r="C1185">
        <v>33.049999999999997</v>
      </c>
      <c r="D1185" t="s">
        <v>3130</v>
      </c>
      <c r="E1185" t="s">
        <v>1414</v>
      </c>
      <c r="F1185">
        <v>75</v>
      </c>
      <c r="G1185" t="b">
        <v>1</v>
      </c>
      <c r="H1185">
        <v>1</v>
      </c>
    </row>
    <row r="1186" spans="1:8" x14ac:dyDescent="0.25">
      <c r="A1186" t="s">
        <v>1967</v>
      </c>
      <c r="B1186" t="s">
        <v>1968</v>
      </c>
      <c r="C1186">
        <v>35.700000000000003</v>
      </c>
      <c r="D1186" t="s">
        <v>3130</v>
      </c>
      <c r="E1186" t="s">
        <v>1414</v>
      </c>
      <c r="F1186">
        <v>75</v>
      </c>
      <c r="G1186" t="b">
        <v>1</v>
      </c>
      <c r="H1186">
        <v>1</v>
      </c>
    </row>
    <row r="1187" spans="1:8" x14ac:dyDescent="0.25">
      <c r="A1187" t="s">
        <v>1927</v>
      </c>
      <c r="B1187" t="s">
        <v>1928</v>
      </c>
      <c r="C1187">
        <v>38.700000000000003</v>
      </c>
      <c r="D1187" t="s">
        <v>3130</v>
      </c>
      <c r="E1187" t="s">
        <v>1414</v>
      </c>
      <c r="F1187">
        <v>75</v>
      </c>
      <c r="G1187" t="b">
        <v>1</v>
      </c>
      <c r="H1187">
        <v>1</v>
      </c>
    </row>
    <row r="1188" spans="1:8" x14ac:dyDescent="0.25">
      <c r="A1188" t="s">
        <v>1929</v>
      </c>
      <c r="B1188" t="s">
        <v>1930</v>
      </c>
      <c r="C1188">
        <v>14.45</v>
      </c>
      <c r="D1188" t="s">
        <v>3130</v>
      </c>
      <c r="E1188" t="s">
        <v>1414</v>
      </c>
      <c r="F1188">
        <v>75</v>
      </c>
      <c r="G1188" t="b">
        <v>1</v>
      </c>
      <c r="H1188">
        <v>1</v>
      </c>
    </row>
    <row r="1189" spans="1:8" x14ac:dyDescent="0.25">
      <c r="A1189" t="s">
        <v>1931</v>
      </c>
      <c r="B1189" t="s">
        <v>1932</v>
      </c>
      <c r="C1189">
        <v>14.45</v>
      </c>
      <c r="D1189" t="s">
        <v>3130</v>
      </c>
      <c r="E1189" t="s">
        <v>1414</v>
      </c>
      <c r="F1189">
        <v>75</v>
      </c>
      <c r="G1189" t="b">
        <v>1</v>
      </c>
      <c r="H1189">
        <v>1</v>
      </c>
    </row>
    <row r="1190" spans="1:8" x14ac:dyDescent="0.25">
      <c r="A1190" t="s">
        <v>1893</v>
      </c>
      <c r="B1190" t="s">
        <v>1894</v>
      </c>
      <c r="C1190">
        <v>20.45</v>
      </c>
      <c r="D1190" t="s">
        <v>3130</v>
      </c>
      <c r="E1190" t="s">
        <v>1414</v>
      </c>
      <c r="F1190">
        <v>75</v>
      </c>
      <c r="G1190" t="b">
        <v>1</v>
      </c>
      <c r="H1190">
        <v>1</v>
      </c>
    </row>
    <row r="1191" spans="1:8" x14ac:dyDescent="0.25">
      <c r="A1191" t="s">
        <v>1933</v>
      </c>
      <c r="B1191" t="s">
        <v>1934</v>
      </c>
      <c r="C1191">
        <v>27.75</v>
      </c>
      <c r="D1191" t="s">
        <v>3130</v>
      </c>
      <c r="E1191" t="s">
        <v>1414</v>
      </c>
      <c r="F1191">
        <v>75</v>
      </c>
      <c r="G1191" t="b">
        <v>1</v>
      </c>
      <c r="H1191">
        <v>1</v>
      </c>
    </row>
    <row r="1192" spans="1:8" x14ac:dyDescent="0.25">
      <c r="A1192" t="s">
        <v>1936</v>
      </c>
      <c r="B1192" t="s">
        <v>1937</v>
      </c>
      <c r="C1192">
        <v>54.3</v>
      </c>
      <c r="D1192" t="s">
        <v>3130</v>
      </c>
      <c r="E1192" t="s">
        <v>1414</v>
      </c>
      <c r="F1192">
        <v>75</v>
      </c>
      <c r="G1192" t="b">
        <v>1</v>
      </c>
      <c r="H1192">
        <v>1</v>
      </c>
    </row>
    <row r="1193" spans="1:8" x14ac:dyDescent="0.25">
      <c r="A1193" t="s">
        <v>1939</v>
      </c>
      <c r="B1193" t="s">
        <v>1940</v>
      </c>
      <c r="C1193">
        <v>66.349999999999994</v>
      </c>
      <c r="D1193" t="s">
        <v>3130</v>
      </c>
      <c r="E1193" t="s">
        <v>1414</v>
      </c>
      <c r="F1193">
        <v>75</v>
      </c>
      <c r="G1193" t="b">
        <v>1</v>
      </c>
      <c r="H1193">
        <v>1</v>
      </c>
    </row>
    <row r="1194" spans="1:8" x14ac:dyDescent="0.25">
      <c r="A1194" t="s">
        <v>1909</v>
      </c>
      <c r="B1194" t="s">
        <v>3138</v>
      </c>
      <c r="C1194">
        <v>262.35000000000002</v>
      </c>
      <c r="D1194" t="s">
        <v>3130</v>
      </c>
      <c r="E1194" t="s">
        <v>1414</v>
      </c>
      <c r="F1194">
        <v>75</v>
      </c>
      <c r="G1194" t="b">
        <v>1</v>
      </c>
      <c r="H1194">
        <v>1</v>
      </c>
    </row>
    <row r="1195" spans="1:8" x14ac:dyDescent="0.25">
      <c r="A1195" t="s">
        <v>1902</v>
      </c>
      <c r="B1195" t="s">
        <v>3137</v>
      </c>
      <c r="C1195">
        <v>141.5</v>
      </c>
      <c r="D1195" t="s">
        <v>3130</v>
      </c>
      <c r="E1195" t="s">
        <v>1414</v>
      </c>
      <c r="F1195">
        <v>75</v>
      </c>
      <c r="G1195" t="b">
        <v>1</v>
      </c>
      <c r="H1195">
        <v>1</v>
      </c>
    </row>
    <row r="1196" spans="1:8" x14ac:dyDescent="0.25">
      <c r="A1196" t="s">
        <v>1915</v>
      </c>
      <c r="B1196" t="s">
        <v>3132</v>
      </c>
      <c r="C1196">
        <v>312.45</v>
      </c>
      <c r="D1196" t="s">
        <v>3130</v>
      </c>
      <c r="E1196" t="s">
        <v>1414</v>
      </c>
      <c r="F1196">
        <v>75</v>
      </c>
      <c r="G1196" t="b">
        <v>1</v>
      </c>
      <c r="H1196">
        <v>1</v>
      </c>
    </row>
    <row r="1197" spans="1:8" x14ac:dyDescent="0.25">
      <c r="A1197" t="s">
        <v>1917</v>
      </c>
      <c r="B1197" t="s">
        <v>1918</v>
      </c>
      <c r="C1197">
        <v>447</v>
      </c>
      <c r="D1197" t="s">
        <v>3130</v>
      </c>
      <c r="E1197" t="s">
        <v>1414</v>
      </c>
      <c r="F1197">
        <v>75</v>
      </c>
      <c r="G1197" t="b">
        <v>1</v>
      </c>
      <c r="H1197">
        <v>1</v>
      </c>
    </row>
    <row r="1198" spans="1:8" x14ac:dyDescent="0.25">
      <c r="A1198" t="s">
        <v>1970</v>
      </c>
      <c r="B1198" t="s">
        <v>1971</v>
      </c>
      <c r="C1198">
        <v>33.049999999999997</v>
      </c>
      <c r="D1198" t="s">
        <v>3130</v>
      </c>
      <c r="E1198" t="s">
        <v>1414</v>
      </c>
      <c r="F1198">
        <v>75</v>
      </c>
      <c r="G1198" t="b">
        <v>1</v>
      </c>
      <c r="H1198">
        <v>1</v>
      </c>
    </row>
    <row r="1199" spans="1:8" x14ac:dyDescent="0.25">
      <c r="A1199" t="s">
        <v>1867</v>
      </c>
      <c r="B1199" t="s">
        <v>1868</v>
      </c>
      <c r="C1199">
        <v>13.9</v>
      </c>
      <c r="D1199" t="s">
        <v>3130</v>
      </c>
      <c r="E1199" t="s">
        <v>1414</v>
      </c>
      <c r="F1199">
        <v>75</v>
      </c>
      <c r="G1199" t="b">
        <v>1</v>
      </c>
      <c r="H1199">
        <v>1</v>
      </c>
    </row>
    <row r="1200" spans="1:8" x14ac:dyDescent="0.25">
      <c r="A1200" t="s">
        <v>1871</v>
      </c>
      <c r="B1200" t="s">
        <v>1872</v>
      </c>
      <c r="C1200">
        <v>13.9</v>
      </c>
      <c r="D1200" t="s">
        <v>3130</v>
      </c>
      <c r="E1200" t="s">
        <v>1414</v>
      </c>
      <c r="F1200">
        <v>75</v>
      </c>
      <c r="G1200" t="b">
        <v>1</v>
      </c>
      <c r="H1200">
        <v>1</v>
      </c>
    </row>
    <row r="1201" spans="1:8" x14ac:dyDescent="0.25">
      <c r="A1201" t="s">
        <v>1953</v>
      </c>
      <c r="B1201" t="s">
        <v>1954</v>
      </c>
      <c r="C1201">
        <v>13.9</v>
      </c>
      <c r="D1201" t="s">
        <v>3130</v>
      </c>
      <c r="E1201" t="s">
        <v>1414</v>
      </c>
      <c r="F1201">
        <v>75</v>
      </c>
      <c r="G1201" t="b">
        <v>1</v>
      </c>
      <c r="H1201">
        <v>1</v>
      </c>
    </row>
    <row r="1202" spans="1:8" x14ac:dyDescent="0.25">
      <c r="A1202" t="s">
        <v>1956</v>
      </c>
      <c r="B1202" t="s">
        <v>1957</v>
      </c>
      <c r="C1202">
        <v>2.7</v>
      </c>
      <c r="D1202" t="s">
        <v>3130</v>
      </c>
      <c r="E1202" t="s">
        <v>1414</v>
      </c>
      <c r="F1202">
        <v>75</v>
      </c>
      <c r="G1202" t="b">
        <v>1</v>
      </c>
      <c r="H1202">
        <v>1</v>
      </c>
    </row>
    <row r="1203" spans="1:8" x14ac:dyDescent="0.25">
      <c r="A1203" t="s">
        <v>1880</v>
      </c>
      <c r="B1203" t="s">
        <v>1881</v>
      </c>
      <c r="C1203">
        <v>500</v>
      </c>
      <c r="D1203" t="s">
        <v>3130</v>
      </c>
      <c r="E1203" t="s">
        <v>1414</v>
      </c>
      <c r="F1203">
        <v>75</v>
      </c>
      <c r="G1203" t="b">
        <v>0</v>
      </c>
      <c r="H1203">
        <v>1</v>
      </c>
    </row>
    <row r="1204" spans="1:8" x14ac:dyDescent="0.25">
      <c r="A1204" t="s">
        <v>1880</v>
      </c>
      <c r="B1204" t="s">
        <v>1882</v>
      </c>
      <c r="C1204">
        <v>500</v>
      </c>
      <c r="D1204" t="s">
        <v>3130</v>
      </c>
      <c r="E1204" t="s">
        <v>1414</v>
      </c>
      <c r="F1204">
        <v>75</v>
      </c>
      <c r="G1204" t="b">
        <v>0</v>
      </c>
      <c r="H1204">
        <v>1</v>
      </c>
    </row>
    <row r="1205" spans="1:8" x14ac:dyDescent="0.25">
      <c r="A1205" t="s">
        <v>1880</v>
      </c>
      <c r="B1205" t="s">
        <v>1883</v>
      </c>
      <c r="C1205">
        <v>500</v>
      </c>
      <c r="D1205" t="s">
        <v>3130</v>
      </c>
      <c r="E1205" t="s">
        <v>1414</v>
      </c>
      <c r="F1205">
        <v>75</v>
      </c>
      <c r="G1205" t="b">
        <v>0</v>
      </c>
      <c r="H1205">
        <v>1</v>
      </c>
    </row>
    <row r="1206" spans="1:8" x14ac:dyDescent="0.25">
      <c r="A1206" t="s">
        <v>1880</v>
      </c>
      <c r="B1206" t="s">
        <v>1884</v>
      </c>
      <c r="C1206">
        <v>500</v>
      </c>
      <c r="D1206" t="s">
        <v>3130</v>
      </c>
      <c r="E1206" t="s">
        <v>1414</v>
      </c>
      <c r="F1206">
        <v>75</v>
      </c>
      <c r="G1206" t="b">
        <v>0</v>
      </c>
      <c r="H1206">
        <v>1</v>
      </c>
    </row>
    <row r="1207" spans="1:8" x14ac:dyDescent="0.25">
      <c r="A1207" t="s">
        <v>1880</v>
      </c>
      <c r="B1207" t="s">
        <v>1885</v>
      </c>
      <c r="C1207">
        <v>500</v>
      </c>
      <c r="D1207" t="s">
        <v>3130</v>
      </c>
      <c r="E1207" t="s">
        <v>1414</v>
      </c>
      <c r="F1207">
        <v>75</v>
      </c>
      <c r="G1207" t="b">
        <v>0</v>
      </c>
      <c r="H1207">
        <v>1</v>
      </c>
    </row>
    <row r="1208" spans="1:8" x14ac:dyDescent="0.25">
      <c r="A1208" t="s">
        <v>1880</v>
      </c>
      <c r="B1208" t="s">
        <v>1886</v>
      </c>
      <c r="C1208">
        <v>500</v>
      </c>
      <c r="D1208" t="s">
        <v>3130</v>
      </c>
      <c r="E1208" t="s">
        <v>1414</v>
      </c>
      <c r="F1208">
        <v>75</v>
      </c>
      <c r="G1208" t="b">
        <v>0</v>
      </c>
      <c r="H1208">
        <v>1</v>
      </c>
    </row>
    <row r="1209" spans="1:8" x14ac:dyDescent="0.25">
      <c r="A1209" t="s">
        <v>1880</v>
      </c>
      <c r="B1209" t="s">
        <v>1887</v>
      </c>
      <c r="C1209">
        <v>500</v>
      </c>
      <c r="D1209" t="s">
        <v>3130</v>
      </c>
      <c r="E1209" t="s">
        <v>1414</v>
      </c>
      <c r="F1209">
        <v>75</v>
      </c>
      <c r="G1209" t="b">
        <v>0</v>
      </c>
      <c r="H1209">
        <v>1</v>
      </c>
    </row>
    <row r="1210" spans="1:8" x14ac:dyDescent="0.25">
      <c r="A1210" t="s">
        <v>1880</v>
      </c>
      <c r="B1210" t="s">
        <v>1888</v>
      </c>
      <c r="C1210">
        <v>500</v>
      </c>
      <c r="D1210" t="s">
        <v>3130</v>
      </c>
      <c r="E1210" t="s">
        <v>1414</v>
      </c>
      <c r="F1210">
        <v>75</v>
      </c>
      <c r="G1210" t="b">
        <v>0</v>
      </c>
      <c r="H1210">
        <v>1</v>
      </c>
    </row>
    <row r="1211" spans="1:8" x14ac:dyDescent="0.25">
      <c r="A1211" t="s">
        <v>1880</v>
      </c>
      <c r="B1211" t="s">
        <v>1889</v>
      </c>
      <c r="C1211">
        <v>500</v>
      </c>
      <c r="D1211" t="s">
        <v>3130</v>
      </c>
      <c r="E1211" t="s">
        <v>1414</v>
      </c>
      <c r="F1211">
        <v>75</v>
      </c>
      <c r="G1211" t="b">
        <v>0</v>
      </c>
      <c r="H1211">
        <v>1</v>
      </c>
    </row>
    <row r="1212" spans="1:8" x14ac:dyDescent="0.25">
      <c r="A1212" t="s">
        <v>1880</v>
      </c>
      <c r="B1212" t="s">
        <v>1890</v>
      </c>
      <c r="C1212">
        <v>500</v>
      </c>
      <c r="D1212" t="s">
        <v>3130</v>
      </c>
      <c r="E1212" t="s">
        <v>1414</v>
      </c>
      <c r="F1212">
        <v>75</v>
      </c>
      <c r="G1212" t="b">
        <v>0</v>
      </c>
      <c r="H1212">
        <v>1</v>
      </c>
    </row>
    <row r="1213" spans="1:8" x14ac:dyDescent="0.25">
      <c r="A1213" t="s">
        <v>1880</v>
      </c>
      <c r="B1213" t="s">
        <v>1891</v>
      </c>
      <c r="C1213">
        <v>500</v>
      </c>
      <c r="D1213" t="s">
        <v>3130</v>
      </c>
      <c r="E1213" t="s">
        <v>1414</v>
      </c>
      <c r="F1213">
        <v>75</v>
      </c>
      <c r="G1213" t="b">
        <v>0</v>
      </c>
      <c r="H1213">
        <v>1</v>
      </c>
    </row>
    <row r="1214" spans="1:8" x14ac:dyDescent="0.25">
      <c r="A1214" t="s">
        <v>1880</v>
      </c>
      <c r="B1214" t="s">
        <v>1892</v>
      </c>
      <c r="C1214">
        <v>500</v>
      </c>
      <c r="D1214" t="s">
        <v>3130</v>
      </c>
      <c r="E1214" t="s">
        <v>1414</v>
      </c>
      <c r="F1214">
        <v>75</v>
      </c>
      <c r="G1214" t="b">
        <v>0</v>
      </c>
      <c r="H1214">
        <v>1</v>
      </c>
    </row>
    <row r="1215" spans="1:8" x14ac:dyDescent="0.25">
      <c r="A1215" t="s">
        <v>2301</v>
      </c>
      <c r="B1215" t="s">
        <v>2302</v>
      </c>
      <c r="C1215">
        <v>33.049999999999997</v>
      </c>
      <c r="D1215" t="s">
        <v>3259</v>
      </c>
      <c r="E1215" t="s">
        <v>942</v>
      </c>
      <c r="F1215">
        <v>75</v>
      </c>
      <c r="G1215" t="b">
        <v>1</v>
      </c>
      <c r="H1215">
        <v>1</v>
      </c>
    </row>
    <row r="1216" spans="1:8" x14ac:dyDescent="0.25">
      <c r="A1216" t="s">
        <v>3141</v>
      </c>
      <c r="B1216" t="s">
        <v>2937</v>
      </c>
      <c r="C1216">
        <v>55.45</v>
      </c>
      <c r="D1216" t="s">
        <v>3142</v>
      </c>
      <c r="E1216" t="s">
        <v>1414</v>
      </c>
      <c r="F1216">
        <v>75</v>
      </c>
      <c r="G1216" t="b">
        <v>1</v>
      </c>
      <c r="H1216">
        <v>1</v>
      </c>
    </row>
    <row r="1217" spans="1:8" x14ac:dyDescent="0.25">
      <c r="A1217" t="s">
        <v>2310</v>
      </c>
      <c r="B1217" t="s">
        <v>2311</v>
      </c>
      <c r="C1217">
        <v>181.35</v>
      </c>
      <c r="D1217" t="s">
        <v>3142</v>
      </c>
      <c r="E1217" t="s">
        <v>1414</v>
      </c>
      <c r="F1217">
        <v>75</v>
      </c>
      <c r="G1217" t="b">
        <v>1</v>
      </c>
      <c r="H1217">
        <v>1</v>
      </c>
    </row>
    <row r="1218" spans="1:8" x14ac:dyDescent="0.25">
      <c r="A1218" t="s">
        <v>2285</v>
      </c>
      <c r="B1218" t="s">
        <v>2286</v>
      </c>
      <c r="C1218">
        <v>181.35</v>
      </c>
      <c r="D1218" t="s">
        <v>3142</v>
      </c>
      <c r="E1218" t="s">
        <v>1414</v>
      </c>
      <c r="F1218">
        <v>75</v>
      </c>
      <c r="G1218" t="b">
        <v>1</v>
      </c>
      <c r="H1218">
        <v>1</v>
      </c>
    </row>
    <row r="1219" spans="1:8" x14ac:dyDescent="0.25">
      <c r="A1219" t="s">
        <v>2315</v>
      </c>
      <c r="B1219" t="s">
        <v>2316</v>
      </c>
      <c r="C1219">
        <v>150.05000000000001</v>
      </c>
      <c r="D1219" t="s">
        <v>3142</v>
      </c>
      <c r="E1219" t="s">
        <v>1414</v>
      </c>
      <c r="F1219">
        <v>75</v>
      </c>
      <c r="G1219" t="b">
        <v>1</v>
      </c>
      <c r="H1219">
        <v>1</v>
      </c>
    </row>
    <row r="1220" spans="1:8" x14ac:dyDescent="0.25">
      <c r="A1220" t="s">
        <v>2313</v>
      </c>
      <c r="B1220" t="s">
        <v>2314</v>
      </c>
      <c r="C1220">
        <v>117.95</v>
      </c>
      <c r="D1220" t="s">
        <v>3142</v>
      </c>
      <c r="E1220" t="s">
        <v>1414</v>
      </c>
      <c r="F1220">
        <v>75</v>
      </c>
      <c r="G1220" t="b">
        <v>1</v>
      </c>
      <c r="H1220">
        <v>1</v>
      </c>
    </row>
    <row r="1221" spans="1:8" x14ac:dyDescent="0.25">
      <c r="A1221" t="s">
        <v>2289</v>
      </c>
      <c r="B1221" t="s">
        <v>2290</v>
      </c>
      <c r="C1221">
        <v>75.5</v>
      </c>
      <c r="D1221" t="s">
        <v>3142</v>
      </c>
      <c r="E1221" t="s">
        <v>1414</v>
      </c>
      <c r="F1221">
        <v>75</v>
      </c>
      <c r="G1221" t="b">
        <v>1</v>
      </c>
      <c r="H1221">
        <v>1</v>
      </c>
    </row>
    <row r="1222" spans="1:8" x14ac:dyDescent="0.25">
      <c r="A1222" t="s">
        <v>2307</v>
      </c>
      <c r="B1222" t="s">
        <v>2308</v>
      </c>
      <c r="C1222">
        <v>67.5</v>
      </c>
      <c r="D1222" t="s">
        <v>3142</v>
      </c>
      <c r="E1222" t="s">
        <v>1414</v>
      </c>
      <c r="F1222">
        <v>75</v>
      </c>
      <c r="G1222" t="b">
        <v>1</v>
      </c>
      <c r="H1222">
        <v>1</v>
      </c>
    </row>
    <row r="1223" spans="1:8" x14ac:dyDescent="0.25">
      <c r="A1223" t="s">
        <v>2292</v>
      </c>
      <c r="B1223" t="s">
        <v>2293</v>
      </c>
      <c r="C1223">
        <v>141.5</v>
      </c>
      <c r="D1223" t="s">
        <v>3142</v>
      </c>
      <c r="E1223" t="s">
        <v>1414</v>
      </c>
      <c r="F1223">
        <v>75</v>
      </c>
      <c r="G1223" t="b">
        <v>1</v>
      </c>
      <c r="H1223">
        <v>1</v>
      </c>
    </row>
    <row r="1224" spans="1:8" x14ac:dyDescent="0.25">
      <c r="A1224" t="s">
        <v>2295</v>
      </c>
      <c r="B1224" t="s">
        <v>2296</v>
      </c>
      <c r="C1224">
        <v>149.19999999999999</v>
      </c>
      <c r="D1224" t="s">
        <v>3142</v>
      </c>
      <c r="E1224" t="s">
        <v>1414</v>
      </c>
      <c r="F1224">
        <v>75</v>
      </c>
      <c r="G1224" t="b">
        <v>1</v>
      </c>
      <c r="H1224">
        <v>1</v>
      </c>
    </row>
    <row r="1225" spans="1:8" x14ac:dyDescent="0.25">
      <c r="A1225" t="s">
        <v>2304</v>
      </c>
      <c r="B1225" t="s">
        <v>2305</v>
      </c>
      <c r="C1225">
        <v>156.25</v>
      </c>
      <c r="D1225" t="s">
        <v>3142</v>
      </c>
      <c r="E1225" t="s">
        <v>1414</v>
      </c>
      <c r="F1225">
        <v>75</v>
      </c>
      <c r="G1225" t="b">
        <v>1</v>
      </c>
      <c r="H1225">
        <v>1</v>
      </c>
    </row>
    <row r="1226" spans="1:8" x14ac:dyDescent="0.25">
      <c r="A1226" t="s">
        <v>2332</v>
      </c>
      <c r="B1226" t="s">
        <v>2333</v>
      </c>
      <c r="C1226">
        <v>77</v>
      </c>
      <c r="D1226" t="s">
        <v>3143</v>
      </c>
      <c r="E1226" t="s">
        <v>1414</v>
      </c>
      <c r="F1226">
        <v>75</v>
      </c>
      <c r="G1226" t="b">
        <v>1</v>
      </c>
      <c r="H1226">
        <v>1</v>
      </c>
    </row>
    <row r="1227" spans="1:8" x14ac:dyDescent="0.25">
      <c r="A1227" t="s">
        <v>2336</v>
      </c>
      <c r="B1227" t="s">
        <v>2337</v>
      </c>
      <c r="C1227">
        <v>72.849999999999994</v>
      </c>
      <c r="D1227" t="s">
        <v>3143</v>
      </c>
      <c r="E1227" t="s">
        <v>1414</v>
      </c>
      <c r="F1227">
        <v>75</v>
      </c>
      <c r="G1227" t="b">
        <v>1</v>
      </c>
      <c r="H1227">
        <v>1</v>
      </c>
    </row>
    <row r="1228" spans="1:8" x14ac:dyDescent="0.25">
      <c r="A1228" t="s">
        <v>2360</v>
      </c>
      <c r="B1228" t="s">
        <v>2361</v>
      </c>
      <c r="C1228">
        <v>61.9</v>
      </c>
      <c r="D1228" t="s">
        <v>3143</v>
      </c>
      <c r="E1228" t="s">
        <v>1414</v>
      </c>
      <c r="F1228">
        <v>75</v>
      </c>
      <c r="G1228" t="b">
        <v>1</v>
      </c>
      <c r="H1228">
        <v>1</v>
      </c>
    </row>
    <row r="1229" spans="1:8" x14ac:dyDescent="0.25">
      <c r="A1229" t="s">
        <v>2353</v>
      </c>
      <c r="B1229" t="s">
        <v>2354</v>
      </c>
      <c r="C1229">
        <v>25.35</v>
      </c>
      <c r="D1229" t="s">
        <v>3143</v>
      </c>
      <c r="E1229" t="s">
        <v>1414</v>
      </c>
      <c r="F1229">
        <v>75</v>
      </c>
      <c r="G1229" t="b">
        <v>1</v>
      </c>
      <c r="H1229">
        <v>1</v>
      </c>
    </row>
    <row r="1230" spans="1:8" x14ac:dyDescent="0.25">
      <c r="A1230" t="s">
        <v>2367</v>
      </c>
      <c r="B1230" t="s">
        <v>2368</v>
      </c>
      <c r="C1230">
        <v>66.349999999999994</v>
      </c>
      <c r="D1230" t="s">
        <v>3143</v>
      </c>
      <c r="E1230" t="s">
        <v>1414</v>
      </c>
      <c r="F1230">
        <v>75</v>
      </c>
      <c r="G1230" t="b">
        <v>1</v>
      </c>
      <c r="H1230">
        <v>1</v>
      </c>
    </row>
    <row r="1231" spans="1:8" x14ac:dyDescent="0.25">
      <c r="A1231" t="s">
        <v>2371</v>
      </c>
      <c r="B1231" t="s">
        <v>2372</v>
      </c>
      <c r="C1231">
        <v>49.3</v>
      </c>
      <c r="D1231" t="s">
        <v>3143</v>
      </c>
      <c r="E1231" t="s">
        <v>1414</v>
      </c>
      <c r="F1231">
        <v>75</v>
      </c>
      <c r="G1231" t="b">
        <v>1</v>
      </c>
      <c r="H1231">
        <v>1</v>
      </c>
    </row>
    <row r="1232" spans="1:8" x14ac:dyDescent="0.25">
      <c r="A1232" t="s">
        <v>2375</v>
      </c>
      <c r="B1232" t="s">
        <v>2376</v>
      </c>
      <c r="C1232">
        <v>211.4</v>
      </c>
      <c r="D1232" t="s">
        <v>3143</v>
      </c>
      <c r="E1232" t="s">
        <v>1414</v>
      </c>
      <c r="F1232">
        <v>75</v>
      </c>
      <c r="G1232" t="b">
        <v>1</v>
      </c>
      <c r="H1232">
        <v>1</v>
      </c>
    </row>
    <row r="1233" spans="1:8" x14ac:dyDescent="0.25">
      <c r="A1233" t="s">
        <v>2378</v>
      </c>
      <c r="B1233" t="s">
        <v>2379</v>
      </c>
      <c r="C1233">
        <v>16.55</v>
      </c>
      <c r="D1233" t="s">
        <v>3143</v>
      </c>
      <c r="E1233" t="s">
        <v>1414</v>
      </c>
      <c r="F1233">
        <v>75</v>
      </c>
      <c r="G1233" t="b">
        <v>1</v>
      </c>
      <c r="H1233">
        <v>1</v>
      </c>
    </row>
    <row r="1234" spans="1:8" x14ac:dyDescent="0.25">
      <c r="A1234" t="s">
        <v>2318</v>
      </c>
      <c r="B1234" t="s">
        <v>2319</v>
      </c>
      <c r="C1234">
        <v>170.7</v>
      </c>
      <c r="D1234" t="s">
        <v>3143</v>
      </c>
      <c r="E1234" t="s">
        <v>1414</v>
      </c>
      <c r="F1234">
        <v>75</v>
      </c>
      <c r="G1234" t="b">
        <v>1</v>
      </c>
      <c r="H1234">
        <v>1</v>
      </c>
    </row>
    <row r="1235" spans="1:8" x14ac:dyDescent="0.25">
      <c r="A1235" t="s">
        <v>2318</v>
      </c>
      <c r="B1235" t="s">
        <v>2322</v>
      </c>
      <c r="C1235">
        <v>170.7</v>
      </c>
      <c r="D1235" t="s">
        <v>3143</v>
      </c>
      <c r="E1235" t="s">
        <v>1414</v>
      </c>
      <c r="F1235">
        <v>75</v>
      </c>
      <c r="G1235" t="b">
        <v>1</v>
      </c>
      <c r="H1235">
        <v>1</v>
      </c>
    </row>
    <row r="1236" spans="1:8" x14ac:dyDescent="0.25">
      <c r="A1236" t="s">
        <v>2373</v>
      </c>
      <c r="B1236" t="s">
        <v>2322</v>
      </c>
      <c r="C1236">
        <v>170.7</v>
      </c>
      <c r="D1236" t="s">
        <v>3143</v>
      </c>
      <c r="E1236" t="s">
        <v>1414</v>
      </c>
      <c r="F1236">
        <v>75</v>
      </c>
      <c r="G1236" t="b">
        <v>1</v>
      </c>
      <c r="H1236">
        <v>1</v>
      </c>
    </row>
    <row r="1237" spans="1:8" x14ac:dyDescent="0.25">
      <c r="A1237" t="s">
        <v>2323</v>
      </c>
      <c r="B1237" t="s">
        <v>2324</v>
      </c>
      <c r="C1237">
        <v>95</v>
      </c>
      <c r="D1237" t="s">
        <v>3143</v>
      </c>
      <c r="E1237" t="s">
        <v>1414</v>
      </c>
      <c r="F1237">
        <v>75</v>
      </c>
      <c r="G1237" t="b">
        <v>1</v>
      </c>
      <c r="H1237">
        <v>1</v>
      </c>
    </row>
    <row r="1238" spans="1:8" x14ac:dyDescent="0.25">
      <c r="A1238" t="s">
        <v>2338</v>
      </c>
      <c r="B1238" t="s">
        <v>2339</v>
      </c>
      <c r="C1238">
        <v>31.9</v>
      </c>
      <c r="D1238" t="s">
        <v>3143</v>
      </c>
      <c r="E1238" t="s">
        <v>1414</v>
      </c>
      <c r="F1238">
        <v>75</v>
      </c>
      <c r="G1238" t="b">
        <v>1</v>
      </c>
      <c r="H1238">
        <v>1</v>
      </c>
    </row>
    <row r="1239" spans="1:8" x14ac:dyDescent="0.25">
      <c r="A1239" t="s">
        <v>2346</v>
      </c>
      <c r="B1239" t="s">
        <v>2347</v>
      </c>
      <c r="C1239">
        <v>113.5</v>
      </c>
      <c r="D1239" t="s">
        <v>3143</v>
      </c>
      <c r="E1239" t="s">
        <v>1414</v>
      </c>
      <c r="F1239">
        <v>75</v>
      </c>
      <c r="G1239" t="b">
        <v>1</v>
      </c>
      <c r="H1239">
        <v>1</v>
      </c>
    </row>
    <row r="1240" spans="1:8" x14ac:dyDescent="0.25">
      <c r="A1240" t="s">
        <v>2351</v>
      </c>
      <c r="B1240" t="s">
        <v>2352</v>
      </c>
      <c r="C1240">
        <v>116.2</v>
      </c>
      <c r="D1240" t="s">
        <v>3143</v>
      </c>
      <c r="E1240" t="s">
        <v>1414</v>
      </c>
      <c r="F1240">
        <v>75</v>
      </c>
      <c r="G1240" t="b">
        <v>1</v>
      </c>
      <c r="H1240">
        <v>1</v>
      </c>
    </row>
    <row r="1241" spans="1:8" x14ac:dyDescent="0.25">
      <c r="A1241" t="s">
        <v>2325</v>
      </c>
      <c r="B1241" t="s">
        <v>2326</v>
      </c>
      <c r="C1241">
        <v>25.35</v>
      </c>
      <c r="D1241" t="s">
        <v>3143</v>
      </c>
      <c r="E1241" t="s">
        <v>1414</v>
      </c>
      <c r="F1241">
        <v>75</v>
      </c>
      <c r="G1241" t="b">
        <v>1</v>
      </c>
      <c r="H1241">
        <v>1</v>
      </c>
    </row>
    <row r="1242" spans="1:8" x14ac:dyDescent="0.25">
      <c r="A1242" t="s">
        <v>2341</v>
      </c>
      <c r="B1242" t="s">
        <v>2342</v>
      </c>
      <c r="C1242">
        <v>214.65</v>
      </c>
      <c r="D1242" t="s">
        <v>3143</v>
      </c>
      <c r="E1242" t="s">
        <v>1414</v>
      </c>
      <c r="F1242">
        <v>75</v>
      </c>
      <c r="G1242" t="b">
        <v>1</v>
      </c>
      <c r="H1242">
        <v>1</v>
      </c>
    </row>
    <row r="1243" spans="1:8" x14ac:dyDescent="0.25">
      <c r="A1243" t="s">
        <v>2344</v>
      </c>
      <c r="B1243" t="s">
        <v>2345</v>
      </c>
      <c r="C1243">
        <v>78.150000000000006</v>
      </c>
      <c r="D1243" t="s">
        <v>3143</v>
      </c>
      <c r="E1243" t="s">
        <v>1414</v>
      </c>
      <c r="F1243">
        <v>75</v>
      </c>
      <c r="G1243" t="b">
        <v>1</v>
      </c>
      <c r="H1243">
        <v>1</v>
      </c>
    </row>
    <row r="1244" spans="1:8" x14ac:dyDescent="0.25">
      <c r="A1244" t="s">
        <v>2356</v>
      </c>
      <c r="B1244" t="s">
        <v>2357</v>
      </c>
      <c r="C1244">
        <v>36.6</v>
      </c>
      <c r="D1244" t="s">
        <v>3143</v>
      </c>
      <c r="E1244" t="s">
        <v>1414</v>
      </c>
      <c r="F1244">
        <v>75</v>
      </c>
      <c r="G1244" t="b">
        <v>1</v>
      </c>
      <c r="H1244">
        <v>1</v>
      </c>
    </row>
    <row r="1245" spans="1:8" x14ac:dyDescent="0.25">
      <c r="A1245" t="s">
        <v>2358</v>
      </c>
      <c r="B1245" t="s">
        <v>2359</v>
      </c>
      <c r="C1245">
        <v>36.6</v>
      </c>
      <c r="D1245" t="s">
        <v>3143</v>
      </c>
      <c r="E1245" t="s">
        <v>1414</v>
      </c>
      <c r="F1245">
        <v>75</v>
      </c>
      <c r="G1245" t="b">
        <v>1</v>
      </c>
      <c r="H1245">
        <v>1</v>
      </c>
    </row>
    <row r="1246" spans="1:8" x14ac:dyDescent="0.25">
      <c r="A1246" t="s">
        <v>2327</v>
      </c>
      <c r="B1246" t="s">
        <v>2328</v>
      </c>
      <c r="D1246" t="s">
        <v>3143</v>
      </c>
      <c r="E1246" t="s">
        <v>1414</v>
      </c>
      <c r="F1246">
        <v>75</v>
      </c>
      <c r="G1246" t="b">
        <v>0</v>
      </c>
      <c r="H1246">
        <v>1</v>
      </c>
    </row>
    <row r="1247" spans="1:8" x14ac:dyDescent="0.25">
      <c r="A1247" t="s">
        <v>2362</v>
      </c>
      <c r="B1247" t="s">
        <v>2363</v>
      </c>
      <c r="C1247">
        <v>30.4</v>
      </c>
      <c r="D1247" t="s">
        <v>3143</v>
      </c>
      <c r="E1247" t="s">
        <v>1414</v>
      </c>
      <c r="F1247">
        <v>75</v>
      </c>
      <c r="G1247" t="b">
        <v>1</v>
      </c>
      <c r="H1247">
        <v>1</v>
      </c>
    </row>
    <row r="1248" spans="1:8" x14ac:dyDescent="0.25">
      <c r="A1248" t="s">
        <v>2349</v>
      </c>
      <c r="B1248" t="s">
        <v>2350</v>
      </c>
      <c r="C1248">
        <v>33.35</v>
      </c>
      <c r="D1248" t="s">
        <v>3143</v>
      </c>
      <c r="E1248" t="s">
        <v>1414</v>
      </c>
      <c r="F1248">
        <v>75</v>
      </c>
      <c r="G1248" t="b">
        <v>1</v>
      </c>
      <c r="H1248">
        <v>1</v>
      </c>
    </row>
    <row r="1249" spans="1:8" x14ac:dyDescent="0.25">
      <c r="A1249" t="s">
        <v>2365</v>
      </c>
      <c r="B1249" t="s">
        <v>2366</v>
      </c>
      <c r="C1249">
        <v>32.25</v>
      </c>
      <c r="D1249" t="s">
        <v>3143</v>
      </c>
      <c r="E1249" t="s">
        <v>1414</v>
      </c>
      <c r="F1249">
        <v>75</v>
      </c>
      <c r="G1249" t="b">
        <v>1</v>
      </c>
      <c r="H1249">
        <v>1</v>
      </c>
    </row>
    <row r="1250" spans="1:8" x14ac:dyDescent="0.25">
      <c r="A1250" t="s">
        <v>2329</v>
      </c>
      <c r="B1250" t="s">
        <v>2330</v>
      </c>
      <c r="C1250">
        <v>500</v>
      </c>
      <c r="D1250" t="s">
        <v>3143</v>
      </c>
      <c r="E1250" t="s">
        <v>1414</v>
      </c>
      <c r="F1250">
        <v>75</v>
      </c>
      <c r="G1250" t="b">
        <v>0</v>
      </c>
      <c r="H1250">
        <v>1</v>
      </c>
    </row>
    <row r="1251" spans="1:8" x14ac:dyDescent="0.25">
      <c r="A1251" t="s">
        <v>2329</v>
      </c>
      <c r="B1251" t="s">
        <v>2331</v>
      </c>
      <c r="C1251">
        <v>500</v>
      </c>
      <c r="D1251" t="s">
        <v>3143</v>
      </c>
      <c r="E1251" t="s">
        <v>1414</v>
      </c>
      <c r="F1251">
        <v>75</v>
      </c>
      <c r="G1251" t="b">
        <v>0</v>
      </c>
      <c r="H1251">
        <v>1</v>
      </c>
    </row>
    <row r="1252" spans="1:8" x14ac:dyDescent="0.25">
      <c r="A1252" t="s">
        <v>3260</v>
      </c>
      <c r="B1252" t="s">
        <v>3261</v>
      </c>
      <c r="C1252">
        <v>185.65</v>
      </c>
      <c r="D1252" t="s">
        <v>3249</v>
      </c>
      <c r="E1252" t="s">
        <v>1414</v>
      </c>
      <c r="F1252">
        <v>75</v>
      </c>
      <c r="G1252" t="b">
        <v>0</v>
      </c>
      <c r="H1252">
        <v>1</v>
      </c>
    </row>
    <row r="1253" spans="1:8" x14ac:dyDescent="0.25">
      <c r="A1253" t="s">
        <v>3260</v>
      </c>
      <c r="B1253" t="s">
        <v>3262</v>
      </c>
      <c r="C1253">
        <v>210.9</v>
      </c>
      <c r="D1253" t="s">
        <v>3249</v>
      </c>
      <c r="E1253" t="s">
        <v>1414</v>
      </c>
      <c r="F1253">
        <v>75</v>
      </c>
      <c r="G1253" t="b">
        <v>0</v>
      </c>
      <c r="H1253">
        <v>1</v>
      </c>
    </row>
    <row r="1254" spans="1:8" x14ac:dyDescent="0.25">
      <c r="A1254" t="s">
        <v>3260</v>
      </c>
      <c r="B1254" t="s">
        <v>3263</v>
      </c>
      <c r="C1254">
        <v>248.6</v>
      </c>
      <c r="D1254" t="s">
        <v>3249</v>
      </c>
      <c r="E1254" t="s">
        <v>1414</v>
      </c>
      <c r="F1254">
        <v>75</v>
      </c>
      <c r="G1254" t="b">
        <v>0</v>
      </c>
      <c r="H1254">
        <v>1</v>
      </c>
    </row>
    <row r="1255" spans="1:8" x14ac:dyDescent="0.25">
      <c r="A1255" t="s">
        <v>3260</v>
      </c>
      <c r="B1255" t="s">
        <v>3264</v>
      </c>
      <c r="C1255">
        <v>298.55</v>
      </c>
      <c r="D1255" t="s">
        <v>3249</v>
      </c>
      <c r="E1255" t="s">
        <v>1414</v>
      </c>
      <c r="F1255">
        <v>75</v>
      </c>
      <c r="G1255" t="b">
        <v>0</v>
      </c>
      <c r="H1255">
        <v>1</v>
      </c>
    </row>
    <row r="1256" spans="1:8" x14ac:dyDescent="0.25">
      <c r="A1256" t="s">
        <v>3260</v>
      </c>
      <c r="B1256" t="s">
        <v>3265</v>
      </c>
      <c r="C1256">
        <v>311.05</v>
      </c>
      <c r="D1256" t="s">
        <v>3249</v>
      </c>
      <c r="E1256" t="s">
        <v>1414</v>
      </c>
      <c r="F1256">
        <v>75</v>
      </c>
      <c r="G1256" t="b">
        <v>0</v>
      </c>
      <c r="H1256">
        <v>1</v>
      </c>
    </row>
    <row r="1257" spans="1:8" x14ac:dyDescent="0.25">
      <c r="A1257" t="s">
        <v>3260</v>
      </c>
      <c r="B1257" t="s">
        <v>3266</v>
      </c>
      <c r="C1257">
        <v>360.75</v>
      </c>
      <c r="D1257" t="s">
        <v>3249</v>
      </c>
      <c r="E1257" t="s">
        <v>1414</v>
      </c>
      <c r="F1257">
        <v>75</v>
      </c>
      <c r="G1257" t="b">
        <v>0</v>
      </c>
      <c r="H1257">
        <v>1</v>
      </c>
    </row>
    <row r="1258" spans="1:8" x14ac:dyDescent="0.25">
      <c r="A1258" t="s">
        <v>3260</v>
      </c>
      <c r="B1258" t="s">
        <v>3267</v>
      </c>
      <c r="C1258">
        <v>311.05</v>
      </c>
      <c r="D1258" t="s">
        <v>3249</v>
      </c>
      <c r="E1258" t="s">
        <v>1414</v>
      </c>
      <c r="F1258">
        <v>75</v>
      </c>
      <c r="G1258" t="b">
        <v>0</v>
      </c>
      <c r="H1258">
        <v>1</v>
      </c>
    </row>
    <row r="1259" spans="1:8" x14ac:dyDescent="0.25">
      <c r="A1259" t="s">
        <v>3260</v>
      </c>
      <c r="B1259" t="s">
        <v>3268</v>
      </c>
      <c r="C1259">
        <v>285.8</v>
      </c>
      <c r="D1259" t="s">
        <v>3249</v>
      </c>
      <c r="E1259" t="s">
        <v>1414</v>
      </c>
      <c r="F1259">
        <v>75</v>
      </c>
      <c r="G1259" t="b">
        <v>0</v>
      </c>
      <c r="H1259">
        <v>1</v>
      </c>
    </row>
    <row r="1260" spans="1:8" x14ac:dyDescent="0.25">
      <c r="A1260" t="s">
        <v>3260</v>
      </c>
      <c r="B1260" t="s">
        <v>3269</v>
      </c>
      <c r="C1260">
        <v>285.8</v>
      </c>
      <c r="D1260" t="s">
        <v>3249</v>
      </c>
      <c r="E1260" t="s">
        <v>1414</v>
      </c>
      <c r="F1260">
        <v>75</v>
      </c>
      <c r="G1260" t="b">
        <v>0</v>
      </c>
      <c r="H1260">
        <v>1</v>
      </c>
    </row>
    <row r="1261" spans="1:8" x14ac:dyDescent="0.25">
      <c r="A1261" t="s">
        <v>3260</v>
      </c>
      <c r="B1261" t="s">
        <v>3270</v>
      </c>
      <c r="C1261">
        <v>248.6</v>
      </c>
      <c r="D1261" t="s">
        <v>3249</v>
      </c>
      <c r="E1261" t="s">
        <v>1414</v>
      </c>
      <c r="F1261">
        <v>75</v>
      </c>
      <c r="G1261" t="b">
        <v>0</v>
      </c>
      <c r="H1261">
        <v>1</v>
      </c>
    </row>
    <row r="1262" spans="1:8" x14ac:dyDescent="0.25">
      <c r="A1262" t="s">
        <v>3260</v>
      </c>
      <c r="B1262" t="s">
        <v>3271</v>
      </c>
      <c r="C1262">
        <v>260.55</v>
      </c>
      <c r="D1262" t="s">
        <v>3249</v>
      </c>
      <c r="E1262" t="s">
        <v>1414</v>
      </c>
      <c r="F1262">
        <v>75</v>
      </c>
      <c r="G1262" t="b">
        <v>0</v>
      </c>
      <c r="H1262">
        <v>1</v>
      </c>
    </row>
    <row r="1263" spans="1:8" x14ac:dyDescent="0.25">
      <c r="A1263" t="s">
        <v>3260</v>
      </c>
      <c r="B1263" t="s">
        <v>3272</v>
      </c>
      <c r="C1263">
        <v>260.55</v>
      </c>
      <c r="D1263" t="s">
        <v>3249</v>
      </c>
      <c r="E1263" t="s">
        <v>1414</v>
      </c>
      <c r="F1263">
        <v>75</v>
      </c>
      <c r="G1263" t="b">
        <v>0</v>
      </c>
      <c r="H1263">
        <v>1</v>
      </c>
    </row>
    <row r="1264" spans="1:8" x14ac:dyDescent="0.25">
      <c r="A1264" t="s">
        <v>3260</v>
      </c>
      <c r="B1264" t="s">
        <v>3273</v>
      </c>
      <c r="C1264">
        <v>273.3</v>
      </c>
      <c r="D1264" t="s">
        <v>3249</v>
      </c>
      <c r="E1264" t="s">
        <v>1414</v>
      </c>
      <c r="F1264">
        <v>75</v>
      </c>
      <c r="G1264" t="b">
        <v>0</v>
      </c>
      <c r="H1264">
        <v>1</v>
      </c>
    </row>
    <row r="1265" spans="1:8" x14ac:dyDescent="0.25">
      <c r="A1265" t="s">
        <v>3260</v>
      </c>
      <c r="B1265" t="s">
        <v>3274</v>
      </c>
      <c r="C1265">
        <v>273.3</v>
      </c>
      <c r="D1265" t="s">
        <v>3249</v>
      </c>
      <c r="E1265" t="s">
        <v>1414</v>
      </c>
      <c r="F1265">
        <v>75</v>
      </c>
      <c r="G1265" t="b">
        <v>0</v>
      </c>
      <c r="H1265">
        <v>1</v>
      </c>
    </row>
    <row r="1266" spans="1:8" x14ac:dyDescent="0.25">
      <c r="A1266" t="s">
        <v>3260</v>
      </c>
      <c r="B1266" t="s">
        <v>3275</v>
      </c>
      <c r="C1266">
        <v>346.05</v>
      </c>
      <c r="D1266" t="s">
        <v>3249</v>
      </c>
      <c r="E1266" t="s">
        <v>1414</v>
      </c>
      <c r="F1266">
        <v>75</v>
      </c>
      <c r="G1266" t="b">
        <v>0</v>
      </c>
      <c r="H1266">
        <v>1</v>
      </c>
    </row>
    <row r="1267" spans="1:8" x14ac:dyDescent="0.25">
      <c r="A1267" t="s">
        <v>3260</v>
      </c>
      <c r="B1267" t="s">
        <v>3276</v>
      </c>
      <c r="C1267">
        <v>336.3</v>
      </c>
      <c r="D1267" t="s">
        <v>3249</v>
      </c>
      <c r="E1267" t="s">
        <v>1414</v>
      </c>
      <c r="F1267">
        <v>75</v>
      </c>
      <c r="G1267" t="b">
        <v>0</v>
      </c>
      <c r="H1267">
        <v>1</v>
      </c>
    </row>
    <row r="1268" spans="1:8" x14ac:dyDescent="0.25">
      <c r="A1268" t="s">
        <v>3260</v>
      </c>
      <c r="B1268" t="s">
        <v>3277</v>
      </c>
      <c r="C1268">
        <v>360.75</v>
      </c>
      <c r="D1268" t="s">
        <v>3249</v>
      </c>
      <c r="E1268" t="s">
        <v>1414</v>
      </c>
      <c r="F1268">
        <v>75</v>
      </c>
      <c r="G1268" t="b">
        <v>0</v>
      </c>
      <c r="H1268">
        <v>1</v>
      </c>
    </row>
    <row r="1269" spans="1:8" x14ac:dyDescent="0.25">
      <c r="A1269" t="s">
        <v>3260</v>
      </c>
      <c r="B1269" t="s">
        <v>3278</v>
      </c>
      <c r="C1269">
        <v>346.05</v>
      </c>
      <c r="D1269" t="s">
        <v>3249</v>
      </c>
      <c r="E1269" t="s">
        <v>1414</v>
      </c>
      <c r="F1269">
        <v>75</v>
      </c>
      <c r="G1269" t="b">
        <v>0</v>
      </c>
      <c r="H1269">
        <v>1</v>
      </c>
    </row>
    <row r="1270" spans="1:8" x14ac:dyDescent="0.25">
      <c r="A1270" t="s">
        <v>3260</v>
      </c>
      <c r="B1270" t="s">
        <v>3279</v>
      </c>
      <c r="C1270">
        <v>323.55</v>
      </c>
      <c r="D1270" t="s">
        <v>3249</v>
      </c>
      <c r="E1270" t="s">
        <v>1414</v>
      </c>
      <c r="F1270">
        <v>75</v>
      </c>
      <c r="G1270" t="b">
        <v>0</v>
      </c>
      <c r="H1270">
        <v>1</v>
      </c>
    </row>
    <row r="1271" spans="1:8" x14ac:dyDescent="0.25">
      <c r="A1271" t="s">
        <v>3260</v>
      </c>
      <c r="B1271" t="s">
        <v>3280</v>
      </c>
      <c r="C1271">
        <v>323.55</v>
      </c>
      <c r="D1271" t="s">
        <v>3249</v>
      </c>
      <c r="E1271" t="s">
        <v>1414</v>
      </c>
      <c r="F1271">
        <v>75</v>
      </c>
      <c r="G1271" t="b">
        <v>0</v>
      </c>
      <c r="H1271">
        <v>1</v>
      </c>
    </row>
    <row r="1272" spans="1:8" x14ac:dyDescent="0.25">
      <c r="A1272" t="s">
        <v>3260</v>
      </c>
      <c r="B1272" t="s">
        <v>3281</v>
      </c>
      <c r="C1272">
        <v>336.3</v>
      </c>
      <c r="D1272" t="s">
        <v>3249</v>
      </c>
      <c r="E1272" t="s">
        <v>1414</v>
      </c>
      <c r="F1272">
        <v>75</v>
      </c>
      <c r="G1272" t="b">
        <v>0</v>
      </c>
      <c r="H1272">
        <v>1</v>
      </c>
    </row>
    <row r="1273" spans="1:8" x14ac:dyDescent="0.25">
      <c r="A1273" t="s">
        <v>3260</v>
      </c>
      <c r="B1273" t="s">
        <v>3282</v>
      </c>
      <c r="C1273">
        <v>236.15</v>
      </c>
      <c r="D1273" t="s">
        <v>3249</v>
      </c>
      <c r="E1273" t="s">
        <v>1414</v>
      </c>
      <c r="F1273">
        <v>75</v>
      </c>
      <c r="G1273" t="b">
        <v>0</v>
      </c>
      <c r="H1273">
        <v>1</v>
      </c>
    </row>
    <row r="1274" spans="1:8" x14ac:dyDescent="0.25">
      <c r="A1274" t="s">
        <v>3260</v>
      </c>
      <c r="B1274" t="s">
        <v>3283</v>
      </c>
      <c r="C1274">
        <v>236.15</v>
      </c>
      <c r="D1274" t="s">
        <v>3249</v>
      </c>
      <c r="E1274" t="s">
        <v>1414</v>
      </c>
      <c r="F1274">
        <v>75</v>
      </c>
      <c r="G1274" t="b">
        <v>0</v>
      </c>
      <c r="H1274">
        <v>1</v>
      </c>
    </row>
    <row r="1275" spans="1:8" x14ac:dyDescent="0.25">
      <c r="A1275" t="s">
        <v>3260</v>
      </c>
      <c r="B1275" t="s">
        <v>3284</v>
      </c>
      <c r="C1275">
        <v>298.55</v>
      </c>
      <c r="D1275" t="s">
        <v>3249</v>
      </c>
      <c r="E1275" t="s">
        <v>1414</v>
      </c>
      <c r="F1275">
        <v>75</v>
      </c>
      <c r="G1275" t="b">
        <v>0</v>
      </c>
      <c r="H1275">
        <v>1</v>
      </c>
    </row>
    <row r="1276" spans="1:8" x14ac:dyDescent="0.25">
      <c r="A1276" t="s">
        <v>3260</v>
      </c>
      <c r="B1276" t="s">
        <v>3285</v>
      </c>
      <c r="C1276">
        <v>72.2</v>
      </c>
      <c r="D1276" t="s">
        <v>3249</v>
      </c>
      <c r="E1276" t="s">
        <v>1414</v>
      </c>
      <c r="F1276">
        <v>75</v>
      </c>
      <c r="G1276" t="b">
        <v>0</v>
      </c>
      <c r="H1276">
        <v>1</v>
      </c>
    </row>
    <row r="1277" spans="1:8" x14ac:dyDescent="0.25">
      <c r="A1277" t="s">
        <v>3260</v>
      </c>
      <c r="B1277" t="s">
        <v>3286</v>
      </c>
      <c r="C1277">
        <v>72.2</v>
      </c>
      <c r="D1277" t="s">
        <v>3249</v>
      </c>
      <c r="E1277" t="s">
        <v>1414</v>
      </c>
      <c r="F1277">
        <v>75</v>
      </c>
      <c r="G1277" t="b">
        <v>0</v>
      </c>
      <c r="H1277">
        <v>1</v>
      </c>
    </row>
    <row r="1278" spans="1:8" x14ac:dyDescent="0.25">
      <c r="A1278" t="s">
        <v>3260</v>
      </c>
      <c r="B1278" t="s">
        <v>3287</v>
      </c>
      <c r="C1278">
        <v>84.95</v>
      </c>
      <c r="D1278" t="s">
        <v>3249</v>
      </c>
      <c r="E1278" t="s">
        <v>1414</v>
      </c>
      <c r="F1278">
        <v>75</v>
      </c>
      <c r="G1278" t="b">
        <v>0</v>
      </c>
      <c r="H1278">
        <v>1</v>
      </c>
    </row>
    <row r="1279" spans="1:8" x14ac:dyDescent="0.25">
      <c r="A1279" t="s">
        <v>3260</v>
      </c>
      <c r="B1279" t="s">
        <v>3288</v>
      </c>
      <c r="C1279">
        <v>84.95</v>
      </c>
      <c r="D1279" t="s">
        <v>3249</v>
      </c>
      <c r="E1279" t="s">
        <v>1414</v>
      </c>
      <c r="F1279">
        <v>75</v>
      </c>
      <c r="G1279" t="b">
        <v>0</v>
      </c>
      <c r="H1279">
        <v>1</v>
      </c>
    </row>
    <row r="1280" spans="1:8" x14ac:dyDescent="0.25">
      <c r="A1280" t="s">
        <v>3260</v>
      </c>
      <c r="B1280" t="s">
        <v>3289</v>
      </c>
      <c r="C1280">
        <v>97.45</v>
      </c>
      <c r="D1280" t="s">
        <v>3249</v>
      </c>
      <c r="E1280" t="s">
        <v>1414</v>
      </c>
      <c r="F1280">
        <v>75</v>
      </c>
      <c r="G1280" t="b">
        <v>0</v>
      </c>
      <c r="H1280">
        <v>1</v>
      </c>
    </row>
    <row r="1281" spans="1:8" x14ac:dyDescent="0.25">
      <c r="A1281" t="s">
        <v>3260</v>
      </c>
      <c r="B1281" t="s">
        <v>3290</v>
      </c>
      <c r="C1281">
        <v>97.45</v>
      </c>
      <c r="D1281" t="s">
        <v>3249</v>
      </c>
      <c r="E1281" t="s">
        <v>1414</v>
      </c>
      <c r="F1281">
        <v>75</v>
      </c>
      <c r="G1281" t="b">
        <v>0</v>
      </c>
      <c r="H1281">
        <v>1</v>
      </c>
    </row>
    <row r="1282" spans="1:8" x14ac:dyDescent="0.25">
      <c r="A1282" t="s">
        <v>3260</v>
      </c>
      <c r="B1282" t="s">
        <v>3291</v>
      </c>
      <c r="C1282">
        <v>110.2</v>
      </c>
      <c r="D1282" t="s">
        <v>3249</v>
      </c>
      <c r="E1282" t="s">
        <v>1414</v>
      </c>
      <c r="F1282">
        <v>75</v>
      </c>
      <c r="G1282" t="b">
        <v>0</v>
      </c>
      <c r="H1282">
        <v>1</v>
      </c>
    </row>
    <row r="1283" spans="1:8" x14ac:dyDescent="0.25">
      <c r="A1283" t="s">
        <v>3260</v>
      </c>
      <c r="B1283" t="s">
        <v>3292</v>
      </c>
      <c r="C1283">
        <v>110.2</v>
      </c>
      <c r="D1283" t="s">
        <v>3249</v>
      </c>
      <c r="E1283" t="s">
        <v>1414</v>
      </c>
      <c r="F1283">
        <v>75</v>
      </c>
      <c r="G1283" t="b">
        <v>0</v>
      </c>
      <c r="H1283">
        <v>1</v>
      </c>
    </row>
    <row r="1284" spans="1:8" x14ac:dyDescent="0.25">
      <c r="A1284" t="s">
        <v>3260</v>
      </c>
      <c r="B1284" t="s">
        <v>3293</v>
      </c>
      <c r="C1284">
        <v>122.95</v>
      </c>
      <c r="D1284" t="s">
        <v>3249</v>
      </c>
      <c r="E1284" t="s">
        <v>1414</v>
      </c>
      <c r="F1284">
        <v>75</v>
      </c>
      <c r="G1284" t="b">
        <v>0</v>
      </c>
      <c r="H1284">
        <v>1</v>
      </c>
    </row>
    <row r="1285" spans="1:8" x14ac:dyDescent="0.25">
      <c r="A1285" t="s">
        <v>3260</v>
      </c>
      <c r="B1285" t="s">
        <v>3294</v>
      </c>
      <c r="C1285">
        <v>122.95</v>
      </c>
      <c r="D1285" t="s">
        <v>3249</v>
      </c>
      <c r="E1285" t="s">
        <v>1414</v>
      </c>
      <c r="F1285">
        <v>75</v>
      </c>
      <c r="G1285" t="b">
        <v>0</v>
      </c>
      <c r="H1285">
        <v>1</v>
      </c>
    </row>
    <row r="1286" spans="1:8" x14ac:dyDescent="0.25">
      <c r="A1286" t="s">
        <v>3260</v>
      </c>
      <c r="B1286" t="s">
        <v>3295</v>
      </c>
      <c r="C1286">
        <v>135.15</v>
      </c>
      <c r="D1286" t="s">
        <v>3249</v>
      </c>
      <c r="E1286" t="s">
        <v>1414</v>
      </c>
      <c r="F1286">
        <v>75</v>
      </c>
      <c r="G1286" t="b">
        <v>0</v>
      </c>
      <c r="H1286">
        <v>1</v>
      </c>
    </row>
    <row r="1287" spans="1:8" x14ac:dyDescent="0.25">
      <c r="A1287" t="s">
        <v>3260</v>
      </c>
      <c r="B1287" t="s">
        <v>3296</v>
      </c>
      <c r="C1287">
        <v>135.15</v>
      </c>
      <c r="D1287" t="s">
        <v>3249</v>
      </c>
      <c r="E1287" t="s">
        <v>1414</v>
      </c>
      <c r="F1287">
        <v>75</v>
      </c>
      <c r="G1287" t="b">
        <v>0</v>
      </c>
      <c r="H1287">
        <v>1</v>
      </c>
    </row>
    <row r="1288" spans="1:8" x14ac:dyDescent="0.25">
      <c r="A1288" t="s">
        <v>3260</v>
      </c>
      <c r="B1288" t="s">
        <v>3297</v>
      </c>
      <c r="C1288">
        <v>223.4</v>
      </c>
      <c r="D1288" t="s">
        <v>3249</v>
      </c>
      <c r="E1288" t="s">
        <v>1414</v>
      </c>
      <c r="F1288">
        <v>75</v>
      </c>
      <c r="G1288" t="b">
        <v>0</v>
      </c>
      <c r="H1288">
        <v>1</v>
      </c>
    </row>
    <row r="1289" spans="1:8" x14ac:dyDescent="0.25">
      <c r="A1289" t="s">
        <v>3260</v>
      </c>
      <c r="B1289" t="s">
        <v>3298</v>
      </c>
      <c r="C1289">
        <v>223.4</v>
      </c>
      <c r="D1289" t="s">
        <v>3249</v>
      </c>
      <c r="E1289" t="s">
        <v>1414</v>
      </c>
      <c r="F1289">
        <v>75</v>
      </c>
      <c r="G1289" t="b">
        <v>0</v>
      </c>
      <c r="H1289">
        <v>1</v>
      </c>
    </row>
    <row r="1290" spans="1:8" x14ac:dyDescent="0.25">
      <c r="A1290" t="s">
        <v>3260</v>
      </c>
      <c r="B1290" t="s">
        <v>3299</v>
      </c>
      <c r="C1290">
        <v>185.65</v>
      </c>
      <c r="D1290" t="s">
        <v>3249</v>
      </c>
      <c r="E1290" t="s">
        <v>1414</v>
      </c>
      <c r="F1290">
        <v>75</v>
      </c>
      <c r="G1290" t="b">
        <v>0</v>
      </c>
      <c r="H1290">
        <v>1</v>
      </c>
    </row>
    <row r="1291" spans="1:8" x14ac:dyDescent="0.25">
      <c r="A1291" t="s">
        <v>3260</v>
      </c>
      <c r="B1291" t="s">
        <v>3300</v>
      </c>
      <c r="C1291">
        <v>198.15</v>
      </c>
      <c r="D1291" t="s">
        <v>3249</v>
      </c>
      <c r="E1291" t="s">
        <v>1414</v>
      </c>
      <c r="F1291">
        <v>75</v>
      </c>
      <c r="G1291" t="b">
        <v>0</v>
      </c>
      <c r="H1291">
        <v>1</v>
      </c>
    </row>
    <row r="1292" spans="1:8" x14ac:dyDescent="0.25">
      <c r="A1292" t="s">
        <v>3260</v>
      </c>
      <c r="B1292" t="s">
        <v>3301</v>
      </c>
      <c r="C1292">
        <v>198.15</v>
      </c>
      <c r="D1292" t="s">
        <v>3249</v>
      </c>
      <c r="E1292" t="s">
        <v>1414</v>
      </c>
      <c r="F1292">
        <v>75</v>
      </c>
      <c r="G1292" t="b">
        <v>0</v>
      </c>
      <c r="H1292">
        <v>1</v>
      </c>
    </row>
    <row r="1293" spans="1:8" x14ac:dyDescent="0.25">
      <c r="A1293" t="s">
        <v>3260</v>
      </c>
      <c r="B1293" t="s">
        <v>3302</v>
      </c>
      <c r="C1293">
        <v>210.9</v>
      </c>
      <c r="D1293" t="s">
        <v>3249</v>
      </c>
      <c r="E1293" t="s">
        <v>1414</v>
      </c>
      <c r="F1293">
        <v>75</v>
      </c>
      <c r="G1293" t="b">
        <v>0</v>
      </c>
      <c r="H1293">
        <v>1</v>
      </c>
    </row>
    <row r="1294" spans="1:8" x14ac:dyDescent="0.25">
      <c r="A1294" t="s">
        <v>3260</v>
      </c>
      <c r="B1294" t="s">
        <v>3303</v>
      </c>
      <c r="C1294">
        <v>147.94999999999999</v>
      </c>
      <c r="D1294" t="s">
        <v>3249</v>
      </c>
      <c r="E1294" t="s">
        <v>1414</v>
      </c>
      <c r="F1294">
        <v>75</v>
      </c>
      <c r="G1294" t="b">
        <v>0</v>
      </c>
      <c r="H1294">
        <v>1</v>
      </c>
    </row>
    <row r="1295" spans="1:8" x14ac:dyDescent="0.25">
      <c r="A1295" t="s">
        <v>3260</v>
      </c>
      <c r="B1295" t="s">
        <v>3304</v>
      </c>
      <c r="C1295">
        <v>59.45</v>
      </c>
      <c r="D1295" t="s">
        <v>3249</v>
      </c>
      <c r="E1295" t="s">
        <v>1414</v>
      </c>
      <c r="F1295">
        <v>75</v>
      </c>
      <c r="G1295" t="b">
        <v>0</v>
      </c>
      <c r="H1295">
        <v>1</v>
      </c>
    </row>
    <row r="1296" spans="1:8" x14ac:dyDescent="0.25">
      <c r="A1296" t="s">
        <v>3260</v>
      </c>
      <c r="B1296" t="s">
        <v>3305</v>
      </c>
      <c r="C1296">
        <v>147.94999999999999</v>
      </c>
      <c r="D1296" t="s">
        <v>3249</v>
      </c>
      <c r="E1296" t="s">
        <v>1414</v>
      </c>
      <c r="F1296">
        <v>75</v>
      </c>
      <c r="G1296" t="b">
        <v>0</v>
      </c>
      <c r="H1296">
        <v>1</v>
      </c>
    </row>
    <row r="1297" spans="1:8" x14ac:dyDescent="0.25">
      <c r="A1297" t="s">
        <v>3260</v>
      </c>
      <c r="B1297" t="s">
        <v>3306</v>
      </c>
      <c r="C1297">
        <v>59.45</v>
      </c>
      <c r="D1297" t="s">
        <v>3249</v>
      </c>
      <c r="E1297" t="s">
        <v>1414</v>
      </c>
      <c r="F1297">
        <v>75</v>
      </c>
      <c r="G1297" t="b">
        <v>0</v>
      </c>
      <c r="H1297">
        <v>1</v>
      </c>
    </row>
    <row r="1298" spans="1:8" x14ac:dyDescent="0.25">
      <c r="A1298" t="s">
        <v>3260</v>
      </c>
      <c r="B1298" t="s">
        <v>3307</v>
      </c>
      <c r="C1298">
        <v>160.4</v>
      </c>
      <c r="D1298" t="s">
        <v>3249</v>
      </c>
      <c r="E1298" t="s">
        <v>1414</v>
      </c>
      <c r="F1298">
        <v>75</v>
      </c>
      <c r="G1298" t="b">
        <v>0</v>
      </c>
      <c r="H1298">
        <v>1</v>
      </c>
    </row>
    <row r="1299" spans="1:8" x14ac:dyDescent="0.25">
      <c r="A1299" t="s">
        <v>3260</v>
      </c>
      <c r="B1299" t="s">
        <v>3308</v>
      </c>
      <c r="C1299">
        <v>160.4</v>
      </c>
      <c r="D1299" t="s">
        <v>3249</v>
      </c>
      <c r="E1299" t="s">
        <v>1414</v>
      </c>
      <c r="F1299">
        <v>75</v>
      </c>
      <c r="G1299" t="b">
        <v>0</v>
      </c>
      <c r="H1299">
        <v>1</v>
      </c>
    </row>
    <row r="1300" spans="1:8" x14ac:dyDescent="0.25">
      <c r="A1300" t="s">
        <v>3260</v>
      </c>
      <c r="B1300" t="s">
        <v>3309</v>
      </c>
      <c r="C1300">
        <v>173.15</v>
      </c>
      <c r="D1300" t="s">
        <v>3249</v>
      </c>
      <c r="E1300" t="s">
        <v>1414</v>
      </c>
      <c r="F1300">
        <v>75</v>
      </c>
      <c r="G1300" t="b">
        <v>0</v>
      </c>
      <c r="H1300">
        <v>1</v>
      </c>
    </row>
    <row r="1301" spans="1:8" x14ac:dyDescent="0.25">
      <c r="A1301" t="s">
        <v>3260</v>
      </c>
      <c r="B1301" t="s">
        <v>3310</v>
      </c>
      <c r="C1301">
        <v>173.15</v>
      </c>
      <c r="D1301" t="s">
        <v>3249</v>
      </c>
      <c r="E1301" t="s">
        <v>1414</v>
      </c>
      <c r="F1301">
        <v>75</v>
      </c>
      <c r="G1301" t="b">
        <v>0</v>
      </c>
      <c r="H1301">
        <v>1</v>
      </c>
    </row>
    <row r="1302" spans="1:8" x14ac:dyDescent="0.25">
      <c r="A1302" t="s">
        <v>3311</v>
      </c>
      <c r="B1302" t="s">
        <v>3312</v>
      </c>
      <c r="C1302">
        <v>72.2</v>
      </c>
      <c r="D1302" t="s">
        <v>3249</v>
      </c>
      <c r="E1302" t="s">
        <v>1414</v>
      </c>
      <c r="F1302">
        <v>75</v>
      </c>
      <c r="G1302" t="b">
        <v>0</v>
      </c>
      <c r="H1302">
        <v>1</v>
      </c>
    </row>
    <row r="1303" spans="1:8" x14ac:dyDescent="0.25">
      <c r="A1303" t="s">
        <v>3311</v>
      </c>
      <c r="B1303" t="s">
        <v>3313</v>
      </c>
      <c r="C1303">
        <v>72.2</v>
      </c>
      <c r="D1303" t="s">
        <v>3249</v>
      </c>
      <c r="E1303" t="s">
        <v>1414</v>
      </c>
      <c r="F1303">
        <v>75</v>
      </c>
      <c r="G1303" t="b">
        <v>0</v>
      </c>
      <c r="H1303">
        <v>1</v>
      </c>
    </row>
    <row r="1304" spans="1:8" x14ac:dyDescent="0.25">
      <c r="A1304" t="s">
        <v>3311</v>
      </c>
      <c r="B1304" t="s">
        <v>3314</v>
      </c>
      <c r="C1304">
        <v>84.95</v>
      </c>
      <c r="D1304" t="s">
        <v>3249</v>
      </c>
      <c r="E1304" t="s">
        <v>1414</v>
      </c>
      <c r="F1304">
        <v>75</v>
      </c>
      <c r="G1304" t="b">
        <v>0</v>
      </c>
      <c r="H1304">
        <v>1</v>
      </c>
    </row>
    <row r="1305" spans="1:8" x14ac:dyDescent="0.25">
      <c r="A1305" t="s">
        <v>3311</v>
      </c>
      <c r="B1305" t="s">
        <v>3315</v>
      </c>
      <c r="C1305">
        <v>84.95</v>
      </c>
      <c r="D1305" t="s">
        <v>3249</v>
      </c>
      <c r="E1305" t="s">
        <v>1414</v>
      </c>
      <c r="F1305">
        <v>75</v>
      </c>
      <c r="G1305" t="b">
        <v>0</v>
      </c>
      <c r="H1305">
        <v>1</v>
      </c>
    </row>
    <row r="1306" spans="1:8" x14ac:dyDescent="0.25">
      <c r="A1306" t="s">
        <v>3311</v>
      </c>
      <c r="B1306" t="s">
        <v>3316</v>
      </c>
      <c r="C1306">
        <v>97.45</v>
      </c>
      <c r="D1306" t="s">
        <v>3249</v>
      </c>
      <c r="E1306" t="s">
        <v>1414</v>
      </c>
      <c r="F1306">
        <v>75</v>
      </c>
      <c r="G1306" t="b">
        <v>0</v>
      </c>
      <c r="H1306">
        <v>1</v>
      </c>
    </row>
    <row r="1307" spans="1:8" x14ac:dyDescent="0.25">
      <c r="A1307" t="s">
        <v>3311</v>
      </c>
      <c r="B1307" t="s">
        <v>3317</v>
      </c>
      <c r="C1307">
        <v>97.45</v>
      </c>
      <c r="D1307" t="s">
        <v>3249</v>
      </c>
      <c r="E1307" t="s">
        <v>1414</v>
      </c>
      <c r="F1307">
        <v>75</v>
      </c>
      <c r="G1307" t="b">
        <v>0</v>
      </c>
      <c r="H1307">
        <v>1</v>
      </c>
    </row>
    <row r="1308" spans="1:8" x14ac:dyDescent="0.25">
      <c r="A1308" t="s">
        <v>3311</v>
      </c>
      <c r="B1308" t="s">
        <v>3318</v>
      </c>
      <c r="C1308">
        <v>110.2</v>
      </c>
      <c r="D1308" t="s">
        <v>3249</v>
      </c>
      <c r="E1308" t="s">
        <v>1414</v>
      </c>
      <c r="F1308">
        <v>75</v>
      </c>
      <c r="G1308" t="b">
        <v>0</v>
      </c>
      <c r="H1308">
        <v>1</v>
      </c>
    </row>
    <row r="1309" spans="1:8" x14ac:dyDescent="0.25">
      <c r="A1309" t="s">
        <v>3311</v>
      </c>
      <c r="B1309" t="s">
        <v>3319</v>
      </c>
      <c r="C1309">
        <v>110.2</v>
      </c>
      <c r="D1309" t="s">
        <v>3249</v>
      </c>
      <c r="E1309" t="s">
        <v>1414</v>
      </c>
      <c r="F1309">
        <v>75</v>
      </c>
      <c r="G1309" t="b">
        <v>0</v>
      </c>
      <c r="H1309">
        <v>1</v>
      </c>
    </row>
    <row r="1310" spans="1:8" x14ac:dyDescent="0.25">
      <c r="A1310" t="s">
        <v>3311</v>
      </c>
      <c r="B1310" t="s">
        <v>3320</v>
      </c>
      <c r="C1310">
        <v>113.6</v>
      </c>
      <c r="D1310" t="s">
        <v>3249</v>
      </c>
      <c r="E1310" t="s">
        <v>1414</v>
      </c>
      <c r="F1310">
        <v>75</v>
      </c>
      <c r="G1310" t="b">
        <v>0</v>
      </c>
      <c r="H1310">
        <v>1</v>
      </c>
    </row>
    <row r="1311" spans="1:8" x14ac:dyDescent="0.25">
      <c r="A1311" t="s">
        <v>3311</v>
      </c>
      <c r="B1311" t="s">
        <v>3321</v>
      </c>
      <c r="C1311">
        <v>113.6</v>
      </c>
      <c r="D1311" t="s">
        <v>3249</v>
      </c>
      <c r="E1311" t="s">
        <v>1414</v>
      </c>
      <c r="F1311">
        <v>75</v>
      </c>
      <c r="G1311" t="b">
        <v>0</v>
      </c>
      <c r="H1311">
        <v>1</v>
      </c>
    </row>
    <row r="1312" spans="1:8" x14ac:dyDescent="0.25">
      <c r="A1312" t="s">
        <v>3311</v>
      </c>
      <c r="B1312" t="s">
        <v>3322</v>
      </c>
      <c r="C1312">
        <v>135.15</v>
      </c>
      <c r="D1312" t="s">
        <v>3249</v>
      </c>
      <c r="E1312" t="s">
        <v>1414</v>
      </c>
      <c r="F1312">
        <v>75</v>
      </c>
      <c r="G1312" t="b">
        <v>0</v>
      </c>
      <c r="H1312">
        <v>1</v>
      </c>
    </row>
    <row r="1313" spans="1:8" x14ac:dyDescent="0.25">
      <c r="A1313" t="s">
        <v>3311</v>
      </c>
      <c r="B1313" t="s">
        <v>3323</v>
      </c>
      <c r="C1313">
        <v>135.15</v>
      </c>
      <c r="D1313" t="s">
        <v>3249</v>
      </c>
      <c r="E1313" t="s">
        <v>1414</v>
      </c>
      <c r="F1313">
        <v>75</v>
      </c>
      <c r="G1313" t="b">
        <v>0</v>
      </c>
      <c r="H1313">
        <v>1</v>
      </c>
    </row>
    <row r="1314" spans="1:8" x14ac:dyDescent="0.25">
      <c r="A1314" t="s">
        <v>3311</v>
      </c>
      <c r="B1314" t="s">
        <v>3324</v>
      </c>
      <c r="C1314">
        <v>147.94999999999999</v>
      </c>
      <c r="D1314" t="s">
        <v>3249</v>
      </c>
      <c r="E1314" t="s">
        <v>1414</v>
      </c>
      <c r="F1314">
        <v>75</v>
      </c>
      <c r="G1314" t="b">
        <v>0</v>
      </c>
      <c r="H1314">
        <v>1</v>
      </c>
    </row>
    <row r="1315" spans="1:8" x14ac:dyDescent="0.25">
      <c r="A1315" t="s">
        <v>3311</v>
      </c>
      <c r="B1315" t="s">
        <v>3325</v>
      </c>
      <c r="C1315">
        <v>147.94999999999999</v>
      </c>
      <c r="D1315" t="s">
        <v>3249</v>
      </c>
      <c r="E1315" t="s">
        <v>1414</v>
      </c>
      <c r="F1315">
        <v>75</v>
      </c>
      <c r="G1315" t="b">
        <v>0</v>
      </c>
      <c r="H1315">
        <v>1</v>
      </c>
    </row>
    <row r="1316" spans="1:8" x14ac:dyDescent="0.25">
      <c r="A1316" t="s">
        <v>3311</v>
      </c>
      <c r="B1316" t="s">
        <v>3326</v>
      </c>
      <c r="C1316">
        <v>160.4</v>
      </c>
      <c r="D1316" t="s">
        <v>3249</v>
      </c>
      <c r="E1316" t="s">
        <v>1414</v>
      </c>
      <c r="F1316">
        <v>75</v>
      </c>
      <c r="G1316" t="b">
        <v>0</v>
      </c>
      <c r="H1316">
        <v>1</v>
      </c>
    </row>
    <row r="1317" spans="1:8" x14ac:dyDescent="0.25">
      <c r="A1317" t="s">
        <v>3311</v>
      </c>
      <c r="B1317" t="s">
        <v>3327</v>
      </c>
      <c r="C1317">
        <v>160.4</v>
      </c>
      <c r="D1317" t="s">
        <v>3249</v>
      </c>
      <c r="E1317" t="s">
        <v>1414</v>
      </c>
      <c r="F1317">
        <v>75</v>
      </c>
      <c r="G1317" t="b">
        <v>0</v>
      </c>
      <c r="H1317">
        <v>1</v>
      </c>
    </row>
    <row r="1318" spans="1:8" x14ac:dyDescent="0.25">
      <c r="A1318" t="s">
        <v>3311</v>
      </c>
      <c r="B1318" t="s">
        <v>3328</v>
      </c>
      <c r="C1318">
        <v>173.15</v>
      </c>
      <c r="D1318" t="s">
        <v>3249</v>
      </c>
      <c r="E1318" t="s">
        <v>1414</v>
      </c>
      <c r="F1318">
        <v>75</v>
      </c>
      <c r="G1318" t="b">
        <v>0</v>
      </c>
      <c r="H1318">
        <v>1</v>
      </c>
    </row>
    <row r="1319" spans="1:8" x14ac:dyDescent="0.25">
      <c r="A1319" t="s">
        <v>3311</v>
      </c>
      <c r="B1319" t="s">
        <v>3329</v>
      </c>
      <c r="C1319">
        <v>173.15</v>
      </c>
      <c r="D1319" t="s">
        <v>3249</v>
      </c>
      <c r="E1319" t="s">
        <v>1414</v>
      </c>
      <c r="F1319">
        <v>75</v>
      </c>
      <c r="G1319" t="b">
        <v>0</v>
      </c>
      <c r="H1319">
        <v>1</v>
      </c>
    </row>
    <row r="1320" spans="1:8" x14ac:dyDescent="0.25">
      <c r="A1320" t="s">
        <v>3311</v>
      </c>
      <c r="B1320" t="s">
        <v>3330</v>
      </c>
      <c r="C1320">
        <v>185.65</v>
      </c>
      <c r="D1320" t="s">
        <v>3249</v>
      </c>
      <c r="E1320" t="s">
        <v>1414</v>
      </c>
      <c r="F1320">
        <v>75</v>
      </c>
      <c r="G1320" t="b">
        <v>0</v>
      </c>
      <c r="H1320">
        <v>1</v>
      </c>
    </row>
    <row r="1321" spans="1:8" x14ac:dyDescent="0.25">
      <c r="A1321" t="s">
        <v>3311</v>
      </c>
      <c r="B1321" t="s">
        <v>3331</v>
      </c>
      <c r="C1321">
        <v>185.65</v>
      </c>
      <c r="D1321" t="s">
        <v>3249</v>
      </c>
      <c r="E1321" t="s">
        <v>1414</v>
      </c>
      <c r="F1321">
        <v>75</v>
      </c>
      <c r="G1321" t="b">
        <v>0</v>
      </c>
      <c r="H1321">
        <v>1</v>
      </c>
    </row>
    <row r="1322" spans="1:8" x14ac:dyDescent="0.25">
      <c r="A1322" t="s">
        <v>3311</v>
      </c>
      <c r="B1322" t="s">
        <v>3332</v>
      </c>
      <c r="C1322">
        <v>198.15</v>
      </c>
      <c r="D1322" t="s">
        <v>3249</v>
      </c>
      <c r="E1322" t="s">
        <v>1414</v>
      </c>
      <c r="F1322">
        <v>75</v>
      </c>
      <c r="G1322" t="b">
        <v>0</v>
      </c>
      <c r="H1322">
        <v>1</v>
      </c>
    </row>
    <row r="1323" spans="1:8" x14ac:dyDescent="0.25">
      <c r="A1323" t="s">
        <v>3311</v>
      </c>
      <c r="B1323" t="s">
        <v>3333</v>
      </c>
      <c r="C1323">
        <v>198.15</v>
      </c>
      <c r="D1323" t="s">
        <v>3249</v>
      </c>
      <c r="E1323" t="s">
        <v>1414</v>
      </c>
      <c r="F1323">
        <v>75</v>
      </c>
      <c r="G1323" t="b">
        <v>0</v>
      </c>
      <c r="H1323">
        <v>1</v>
      </c>
    </row>
    <row r="1324" spans="1:8" x14ac:dyDescent="0.25">
      <c r="A1324" t="s">
        <v>3311</v>
      </c>
      <c r="B1324" t="s">
        <v>3334</v>
      </c>
      <c r="C1324">
        <v>210.9</v>
      </c>
      <c r="D1324" t="s">
        <v>3249</v>
      </c>
      <c r="E1324" t="s">
        <v>1414</v>
      </c>
      <c r="F1324">
        <v>75</v>
      </c>
      <c r="G1324" t="b">
        <v>0</v>
      </c>
      <c r="H1324">
        <v>1</v>
      </c>
    </row>
    <row r="1325" spans="1:8" x14ac:dyDescent="0.25">
      <c r="A1325" t="s">
        <v>3311</v>
      </c>
      <c r="B1325" t="s">
        <v>3335</v>
      </c>
      <c r="C1325">
        <v>210.9</v>
      </c>
      <c r="D1325" t="s">
        <v>3249</v>
      </c>
      <c r="E1325" t="s">
        <v>1414</v>
      </c>
      <c r="F1325">
        <v>75</v>
      </c>
      <c r="G1325" t="b">
        <v>0</v>
      </c>
      <c r="H1325">
        <v>1</v>
      </c>
    </row>
    <row r="1326" spans="1:8" x14ac:dyDescent="0.25">
      <c r="A1326" t="s">
        <v>3311</v>
      </c>
      <c r="B1326" t="s">
        <v>3336</v>
      </c>
      <c r="C1326">
        <v>223.4</v>
      </c>
      <c r="D1326" t="s">
        <v>3249</v>
      </c>
      <c r="E1326" t="s">
        <v>1414</v>
      </c>
      <c r="F1326">
        <v>75</v>
      </c>
      <c r="G1326" t="b">
        <v>0</v>
      </c>
      <c r="H1326">
        <v>1</v>
      </c>
    </row>
    <row r="1327" spans="1:8" x14ac:dyDescent="0.25">
      <c r="A1327" t="s">
        <v>3311</v>
      </c>
      <c r="B1327" t="s">
        <v>3337</v>
      </c>
      <c r="C1327">
        <v>223.4</v>
      </c>
      <c r="D1327" t="s">
        <v>3249</v>
      </c>
      <c r="E1327" t="s">
        <v>1414</v>
      </c>
      <c r="F1327">
        <v>75</v>
      </c>
      <c r="G1327" t="b">
        <v>0</v>
      </c>
      <c r="H1327">
        <v>1</v>
      </c>
    </row>
    <row r="1328" spans="1:8" x14ac:dyDescent="0.25">
      <c r="A1328" t="s">
        <v>3311</v>
      </c>
      <c r="B1328" t="s">
        <v>3338</v>
      </c>
      <c r="C1328">
        <v>236.15</v>
      </c>
      <c r="D1328" t="s">
        <v>3249</v>
      </c>
      <c r="E1328" t="s">
        <v>1414</v>
      </c>
      <c r="F1328">
        <v>75</v>
      </c>
      <c r="G1328" t="b">
        <v>0</v>
      </c>
      <c r="H1328">
        <v>1</v>
      </c>
    </row>
    <row r="1329" spans="1:8" x14ac:dyDescent="0.25">
      <c r="A1329" t="s">
        <v>3311</v>
      </c>
      <c r="B1329" t="s">
        <v>3339</v>
      </c>
      <c r="C1329">
        <v>236.15</v>
      </c>
      <c r="D1329" t="s">
        <v>3249</v>
      </c>
      <c r="E1329" t="s">
        <v>1414</v>
      </c>
      <c r="F1329">
        <v>75</v>
      </c>
      <c r="G1329" t="b">
        <v>0</v>
      </c>
      <c r="H1329">
        <v>1</v>
      </c>
    </row>
    <row r="1330" spans="1:8" x14ac:dyDescent="0.25">
      <c r="A1330" t="s">
        <v>3311</v>
      </c>
      <c r="B1330" t="s">
        <v>3340</v>
      </c>
      <c r="C1330">
        <v>248.6</v>
      </c>
      <c r="D1330" t="s">
        <v>3249</v>
      </c>
      <c r="E1330" t="s">
        <v>1414</v>
      </c>
      <c r="F1330">
        <v>75</v>
      </c>
      <c r="G1330" t="b">
        <v>0</v>
      </c>
      <c r="H1330">
        <v>1</v>
      </c>
    </row>
    <row r="1331" spans="1:8" x14ac:dyDescent="0.25">
      <c r="A1331" t="s">
        <v>3311</v>
      </c>
      <c r="B1331" t="s">
        <v>3341</v>
      </c>
      <c r="C1331">
        <v>248.6</v>
      </c>
      <c r="D1331" t="s">
        <v>3249</v>
      </c>
      <c r="E1331" t="s">
        <v>1414</v>
      </c>
      <c r="F1331">
        <v>75</v>
      </c>
      <c r="G1331" t="b">
        <v>0</v>
      </c>
      <c r="H1331">
        <v>1</v>
      </c>
    </row>
    <row r="1332" spans="1:8" x14ac:dyDescent="0.25">
      <c r="A1332" t="s">
        <v>3311</v>
      </c>
      <c r="B1332" t="s">
        <v>3342</v>
      </c>
      <c r="C1332">
        <v>59.45</v>
      </c>
      <c r="D1332" t="s">
        <v>3249</v>
      </c>
      <c r="E1332" t="s">
        <v>1414</v>
      </c>
      <c r="F1332">
        <v>75</v>
      </c>
      <c r="G1332" t="b">
        <v>0</v>
      </c>
      <c r="H1332">
        <v>1</v>
      </c>
    </row>
    <row r="1333" spans="1:8" x14ac:dyDescent="0.25">
      <c r="A1333" t="s">
        <v>3311</v>
      </c>
      <c r="B1333" t="s">
        <v>3343</v>
      </c>
      <c r="C1333">
        <v>59.45</v>
      </c>
      <c r="D1333" t="s">
        <v>3249</v>
      </c>
      <c r="E1333" t="s">
        <v>1414</v>
      </c>
      <c r="F1333">
        <v>75</v>
      </c>
      <c r="G1333" t="b">
        <v>0</v>
      </c>
      <c r="H1333">
        <v>1</v>
      </c>
    </row>
    <row r="1334" spans="1:8" x14ac:dyDescent="0.25">
      <c r="A1334" t="s">
        <v>3344</v>
      </c>
      <c r="B1334" t="s">
        <v>3345</v>
      </c>
      <c r="C1334">
        <v>67.55</v>
      </c>
      <c r="D1334" t="s">
        <v>3249</v>
      </c>
      <c r="E1334" t="s">
        <v>1414</v>
      </c>
      <c r="F1334">
        <v>75</v>
      </c>
      <c r="G1334" t="b">
        <v>0</v>
      </c>
      <c r="H1334">
        <v>1</v>
      </c>
    </row>
    <row r="1335" spans="1:8" x14ac:dyDescent="0.25">
      <c r="A1335" t="s">
        <v>3344</v>
      </c>
      <c r="B1335" t="s">
        <v>3346</v>
      </c>
      <c r="C1335">
        <v>17.149999999999999</v>
      </c>
      <c r="D1335" t="s">
        <v>3249</v>
      </c>
      <c r="E1335" t="s">
        <v>1414</v>
      </c>
      <c r="F1335">
        <v>75</v>
      </c>
      <c r="G1335" t="b">
        <v>0</v>
      </c>
      <c r="H1335">
        <v>1</v>
      </c>
    </row>
    <row r="1336" spans="1:8" x14ac:dyDescent="0.25">
      <c r="A1336" t="s">
        <v>3344</v>
      </c>
      <c r="B1336" t="s">
        <v>3347</v>
      </c>
      <c r="C1336">
        <v>17.149999999999999</v>
      </c>
      <c r="D1336" t="s">
        <v>3249</v>
      </c>
      <c r="E1336" t="s">
        <v>1414</v>
      </c>
      <c r="F1336">
        <v>75</v>
      </c>
      <c r="G1336" t="b">
        <v>0</v>
      </c>
      <c r="H1336">
        <v>1</v>
      </c>
    </row>
    <row r="1337" spans="1:8" x14ac:dyDescent="0.25">
      <c r="A1337" t="s">
        <v>3344</v>
      </c>
      <c r="B1337" t="s">
        <v>3348</v>
      </c>
      <c r="C1337">
        <v>17.149999999999999</v>
      </c>
      <c r="D1337" t="s">
        <v>3249</v>
      </c>
      <c r="E1337" t="s">
        <v>1414</v>
      </c>
      <c r="F1337">
        <v>75</v>
      </c>
      <c r="G1337" t="b">
        <v>0</v>
      </c>
      <c r="H1337">
        <v>1</v>
      </c>
    </row>
    <row r="1338" spans="1:8" x14ac:dyDescent="0.25">
      <c r="A1338" t="s">
        <v>3344</v>
      </c>
      <c r="B1338" t="s">
        <v>3349</v>
      </c>
      <c r="C1338">
        <v>64.849999999999994</v>
      </c>
      <c r="D1338" t="s">
        <v>3249</v>
      </c>
      <c r="E1338" t="s">
        <v>1414</v>
      </c>
      <c r="F1338">
        <v>75</v>
      </c>
      <c r="G1338" t="b">
        <v>0</v>
      </c>
      <c r="H1338">
        <v>1</v>
      </c>
    </row>
    <row r="1339" spans="1:8" x14ac:dyDescent="0.25">
      <c r="A1339" t="s">
        <v>3344</v>
      </c>
      <c r="B1339" t="s">
        <v>3350</v>
      </c>
      <c r="C1339">
        <v>70.2</v>
      </c>
      <c r="D1339" t="s">
        <v>3249</v>
      </c>
      <c r="E1339" t="s">
        <v>1414</v>
      </c>
      <c r="F1339">
        <v>75</v>
      </c>
      <c r="G1339" t="b">
        <v>0</v>
      </c>
      <c r="H1339">
        <v>1</v>
      </c>
    </row>
    <row r="1340" spans="1:8" x14ac:dyDescent="0.25">
      <c r="A1340" t="s">
        <v>3351</v>
      </c>
      <c r="B1340" t="s">
        <v>3352</v>
      </c>
      <c r="C1340">
        <v>135.05000000000001</v>
      </c>
      <c r="D1340" t="s">
        <v>3249</v>
      </c>
      <c r="E1340" t="s">
        <v>1414</v>
      </c>
      <c r="F1340">
        <v>75</v>
      </c>
      <c r="G1340" t="b">
        <v>0</v>
      </c>
      <c r="H1340">
        <v>1</v>
      </c>
    </row>
    <row r="1341" spans="1:8" x14ac:dyDescent="0.25">
      <c r="A1341" t="s">
        <v>3351</v>
      </c>
      <c r="B1341" t="s">
        <v>3353</v>
      </c>
      <c r="C1341">
        <v>98.8</v>
      </c>
      <c r="D1341" t="s">
        <v>3249</v>
      </c>
      <c r="E1341" t="s">
        <v>1414</v>
      </c>
      <c r="F1341">
        <v>75</v>
      </c>
      <c r="G1341" t="b">
        <v>0</v>
      </c>
      <c r="H1341">
        <v>1</v>
      </c>
    </row>
    <row r="1342" spans="1:8" x14ac:dyDescent="0.25">
      <c r="A1342" t="s">
        <v>3351</v>
      </c>
      <c r="B1342" t="s">
        <v>3354</v>
      </c>
      <c r="C1342">
        <v>114.7</v>
      </c>
      <c r="D1342" t="s">
        <v>3249</v>
      </c>
      <c r="E1342" t="s">
        <v>1414</v>
      </c>
      <c r="F1342">
        <v>75</v>
      </c>
      <c r="G1342" t="b">
        <v>0</v>
      </c>
      <c r="H1342">
        <v>1</v>
      </c>
    </row>
    <row r="1343" spans="1:8" x14ac:dyDescent="0.25">
      <c r="A1343" t="s">
        <v>3351</v>
      </c>
      <c r="B1343" t="s">
        <v>3355</v>
      </c>
      <c r="C1343">
        <v>125.6</v>
      </c>
      <c r="D1343" t="s">
        <v>3249</v>
      </c>
      <c r="E1343" t="s">
        <v>1414</v>
      </c>
      <c r="F1343">
        <v>75</v>
      </c>
      <c r="G1343" t="b">
        <v>0</v>
      </c>
      <c r="H1343">
        <v>1</v>
      </c>
    </row>
    <row r="1344" spans="1:8" x14ac:dyDescent="0.25">
      <c r="A1344" t="s">
        <v>3356</v>
      </c>
      <c r="B1344" t="s">
        <v>3357</v>
      </c>
      <c r="C1344">
        <v>57.25</v>
      </c>
      <c r="D1344" t="s">
        <v>3249</v>
      </c>
      <c r="E1344" t="s">
        <v>1414</v>
      </c>
      <c r="F1344">
        <v>75</v>
      </c>
      <c r="G1344" t="b">
        <v>0</v>
      </c>
      <c r="H1344">
        <v>1</v>
      </c>
    </row>
    <row r="1345" spans="1:8" x14ac:dyDescent="0.25">
      <c r="A1345" t="s">
        <v>3356</v>
      </c>
      <c r="B1345" t="s">
        <v>3358</v>
      </c>
      <c r="C1345">
        <v>57.25</v>
      </c>
      <c r="D1345" t="s">
        <v>3249</v>
      </c>
      <c r="E1345" t="s">
        <v>1414</v>
      </c>
      <c r="F1345">
        <v>75</v>
      </c>
      <c r="G1345" t="b">
        <v>0</v>
      </c>
      <c r="H1345">
        <v>1</v>
      </c>
    </row>
    <row r="1346" spans="1:8" x14ac:dyDescent="0.25">
      <c r="A1346" t="s">
        <v>3356</v>
      </c>
      <c r="B1346" t="s">
        <v>3359</v>
      </c>
      <c r="C1346">
        <v>57.25</v>
      </c>
      <c r="D1346" t="s">
        <v>3249</v>
      </c>
      <c r="E1346" t="s">
        <v>1414</v>
      </c>
      <c r="F1346">
        <v>75</v>
      </c>
      <c r="G1346" t="b">
        <v>0</v>
      </c>
      <c r="H1346">
        <v>1</v>
      </c>
    </row>
    <row r="1347" spans="1:8" x14ac:dyDescent="0.25">
      <c r="A1347" t="s">
        <v>3356</v>
      </c>
      <c r="B1347" t="s">
        <v>3360</v>
      </c>
      <c r="C1347">
        <v>57.25</v>
      </c>
      <c r="D1347" t="s">
        <v>3249</v>
      </c>
      <c r="E1347" t="s">
        <v>1414</v>
      </c>
      <c r="F1347">
        <v>75</v>
      </c>
      <c r="G1347" t="b">
        <v>0</v>
      </c>
      <c r="H1347">
        <v>1</v>
      </c>
    </row>
    <row r="1348" spans="1:8" x14ac:dyDescent="0.25">
      <c r="A1348" t="s">
        <v>3356</v>
      </c>
      <c r="B1348" t="s">
        <v>3361</v>
      </c>
      <c r="C1348">
        <v>67.400000000000006</v>
      </c>
      <c r="D1348" t="s">
        <v>3249</v>
      </c>
      <c r="E1348" t="s">
        <v>1414</v>
      </c>
      <c r="F1348">
        <v>75</v>
      </c>
      <c r="G1348" t="b">
        <v>0</v>
      </c>
      <c r="H1348">
        <v>1</v>
      </c>
    </row>
    <row r="1349" spans="1:8" x14ac:dyDescent="0.25">
      <c r="A1349" t="s">
        <v>3356</v>
      </c>
      <c r="B1349" t="s">
        <v>3362</v>
      </c>
      <c r="C1349">
        <v>67.400000000000006</v>
      </c>
      <c r="D1349" t="s">
        <v>3249</v>
      </c>
      <c r="E1349" t="s">
        <v>1414</v>
      </c>
      <c r="F1349">
        <v>75</v>
      </c>
      <c r="G1349" t="b">
        <v>0</v>
      </c>
      <c r="H1349">
        <v>1</v>
      </c>
    </row>
    <row r="1350" spans="1:8" x14ac:dyDescent="0.25">
      <c r="A1350" t="s">
        <v>3356</v>
      </c>
      <c r="B1350" t="s">
        <v>3363</v>
      </c>
      <c r="C1350">
        <v>67.400000000000006</v>
      </c>
      <c r="D1350" t="s">
        <v>3249</v>
      </c>
      <c r="E1350" t="s">
        <v>1414</v>
      </c>
      <c r="F1350">
        <v>75</v>
      </c>
      <c r="G1350" t="b">
        <v>0</v>
      </c>
      <c r="H1350">
        <v>1</v>
      </c>
    </row>
    <row r="1351" spans="1:8" x14ac:dyDescent="0.25">
      <c r="A1351" t="s">
        <v>3356</v>
      </c>
      <c r="B1351" t="s">
        <v>3364</v>
      </c>
      <c r="C1351">
        <v>67.400000000000006</v>
      </c>
      <c r="D1351" t="s">
        <v>3249</v>
      </c>
      <c r="E1351" t="s">
        <v>1414</v>
      </c>
      <c r="F1351">
        <v>75</v>
      </c>
      <c r="G1351" t="b">
        <v>0</v>
      </c>
      <c r="H1351">
        <v>1</v>
      </c>
    </row>
    <row r="1352" spans="1:8" x14ac:dyDescent="0.25">
      <c r="A1352" t="s">
        <v>3356</v>
      </c>
      <c r="B1352" t="s">
        <v>3365</v>
      </c>
      <c r="C1352">
        <v>77.3</v>
      </c>
      <c r="D1352" t="s">
        <v>3249</v>
      </c>
      <c r="E1352" t="s">
        <v>1414</v>
      </c>
      <c r="F1352">
        <v>75</v>
      </c>
      <c r="G1352" t="b">
        <v>0</v>
      </c>
      <c r="H1352">
        <v>1</v>
      </c>
    </row>
    <row r="1353" spans="1:8" x14ac:dyDescent="0.25">
      <c r="A1353" t="s">
        <v>3356</v>
      </c>
      <c r="B1353" t="s">
        <v>3366</v>
      </c>
      <c r="C1353">
        <v>77.3</v>
      </c>
      <c r="D1353" t="s">
        <v>3249</v>
      </c>
      <c r="E1353" t="s">
        <v>1414</v>
      </c>
      <c r="F1353">
        <v>75</v>
      </c>
      <c r="G1353" t="b">
        <v>0</v>
      </c>
      <c r="H1353">
        <v>1</v>
      </c>
    </row>
    <row r="1354" spans="1:8" x14ac:dyDescent="0.25">
      <c r="A1354" t="s">
        <v>3356</v>
      </c>
      <c r="B1354" t="s">
        <v>3367</v>
      </c>
      <c r="C1354">
        <v>77.3</v>
      </c>
      <c r="D1354" t="s">
        <v>3249</v>
      </c>
      <c r="E1354" t="s">
        <v>1414</v>
      </c>
      <c r="F1354">
        <v>75</v>
      </c>
      <c r="G1354" t="b">
        <v>0</v>
      </c>
      <c r="H1354">
        <v>1</v>
      </c>
    </row>
    <row r="1355" spans="1:8" x14ac:dyDescent="0.25">
      <c r="A1355" t="s">
        <v>3356</v>
      </c>
      <c r="B1355" t="s">
        <v>3368</v>
      </c>
      <c r="C1355">
        <v>77.3</v>
      </c>
      <c r="D1355" t="s">
        <v>3249</v>
      </c>
      <c r="E1355" t="s">
        <v>1414</v>
      </c>
      <c r="F1355">
        <v>75</v>
      </c>
      <c r="G1355" t="b">
        <v>0</v>
      </c>
      <c r="H1355">
        <v>1</v>
      </c>
    </row>
    <row r="1356" spans="1:8" x14ac:dyDescent="0.25">
      <c r="A1356" t="s">
        <v>3356</v>
      </c>
      <c r="B1356" t="s">
        <v>3369</v>
      </c>
      <c r="C1356">
        <v>87.4</v>
      </c>
      <c r="D1356" t="s">
        <v>3249</v>
      </c>
      <c r="E1356" t="s">
        <v>1414</v>
      </c>
      <c r="F1356">
        <v>75</v>
      </c>
      <c r="G1356" t="b">
        <v>0</v>
      </c>
      <c r="H1356">
        <v>1</v>
      </c>
    </row>
    <row r="1357" spans="1:8" x14ac:dyDescent="0.25">
      <c r="A1357" t="s">
        <v>3356</v>
      </c>
      <c r="B1357" t="s">
        <v>3370</v>
      </c>
      <c r="C1357">
        <v>87.4</v>
      </c>
      <c r="D1357" t="s">
        <v>3249</v>
      </c>
      <c r="E1357" t="s">
        <v>1414</v>
      </c>
      <c r="F1357">
        <v>75</v>
      </c>
      <c r="G1357" t="b">
        <v>0</v>
      </c>
      <c r="H1357">
        <v>1</v>
      </c>
    </row>
    <row r="1358" spans="1:8" x14ac:dyDescent="0.25">
      <c r="A1358" t="s">
        <v>3356</v>
      </c>
      <c r="B1358" t="s">
        <v>3371</v>
      </c>
      <c r="C1358">
        <v>87.4</v>
      </c>
      <c r="D1358" t="s">
        <v>3249</v>
      </c>
      <c r="E1358" t="s">
        <v>1414</v>
      </c>
      <c r="F1358">
        <v>75</v>
      </c>
      <c r="G1358" t="b">
        <v>0</v>
      </c>
      <c r="H1358">
        <v>1</v>
      </c>
    </row>
    <row r="1359" spans="1:8" x14ac:dyDescent="0.25">
      <c r="A1359" t="s">
        <v>3356</v>
      </c>
      <c r="B1359" t="s">
        <v>3372</v>
      </c>
      <c r="C1359">
        <v>87.4</v>
      </c>
      <c r="D1359" t="s">
        <v>3249</v>
      </c>
      <c r="E1359" t="s">
        <v>1414</v>
      </c>
      <c r="F1359">
        <v>75</v>
      </c>
      <c r="G1359" t="b">
        <v>0</v>
      </c>
      <c r="H1359">
        <v>1</v>
      </c>
    </row>
    <row r="1360" spans="1:8" x14ac:dyDescent="0.25">
      <c r="A1360" t="s">
        <v>3356</v>
      </c>
      <c r="B1360" t="s">
        <v>3373</v>
      </c>
      <c r="C1360">
        <v>97.5</v>
      </c>
      <c r="D1360" t="s">
        <v>3249</v>
      </c>
      <c r="E1360" t="s">
        <v>1414</v>
      </c>
      <c r="F1360">
        <v>75</v>
      </c>
      <c r="G1360" t="b">
        <v>0</v>
      </c>
      <c r="H1360">
        <v>1</v>
      </c>
    </row>
    <row r="1361" spans="1:8" x14ac:dyDescent="0.25">
      <c r="A1361" t="s">
        <v>3356</v>
      </c>
      <c r="B1361" t="s">
        <v>3374</v>
      </c>
      <c r="C1361">
        <v>97.5</v>
      </c>
      <c r="D1361" t="s">
        <v>3249</v>
      </c>
      <c r="E1361" t="s">
        <v>1414</v>
      </c>
      <c r="F1361">
        <v>75</v>
      </c>
      <c r="G1361" t="b">
        <v>0</v>
      </c>
      <c r="H1361">
        <v>1</v>
      </c>
    </row>
    <row r="1362" spans="1:8" x14ac:dyDescent="0.25">
      <c r="A1362" t="s">
        <v>3356</v>
      </c>
      <c r="B1362" t="s">
        <v>3375</v>
      </c>
      <c r="C1362">
        <v>97.5</v>
      </c>
      <c r="D1362" t="s">
        <v>3249</v>
      </c>
      <c r="E1362" t="s">
        <v>1414</v>
      </c>
      <c r="F1362">
        <v>75</v>
      </c>
      <c r="G1362" t="b">
        <v>0</v>
      </c>
      <c r="H1362">
        <v>1</v>
      </c>
    </row>
    <row r="1363" spans="1:8" x14ac:dyDescent="0.25">
      <c r="A1363" t="s">
        <v>3356</v>
      </c>
      <c r="B1363" t="s">
        <v>3376</v>
      </c>
      <c r="C1363">
        <v>97.5</v>
      </c>
      <c r="D1363" t="s">
        <v>3249</v>
      </c>
      <c r="E1363" t="s">
        <v>1414</v>
      </c>
      <c r="F1363">
        <v>75</v>
      </c>
      <c r="G1363" t="b">
        <v>0</v>
      </c>
      <c r="H1363">
        <v>1</v>
      </c>
    </row>
    <row r="1364" spans="1:8" x14ac:dyDescent="0.25">
      <c r="A1364" t="s">
        <v>3356</v>
      </c>
      <c r="B1364" t="s">
        <v>3377</v>
      </c>
      <c r="C1364">
        <v>107.2</v>
      </c>
      <c r="D1364" t="s">
        <v>3249</v>
      </c>
      <c r="E1364" t="s">
        <v>1414</v>
      </c>
      <c r="F1364">
        <v>75</v>
      </c>
      <c r="G1364" t="b">
        <v>0</v>
      </c>
      <c r="H1364">
        <v>1</v>
      </c>
    </row>
    <row r="1365" spans="1:8" x14ac:dyDescent="0.25">
      <c r="A1365" t="s">
        <v>3356</v>
      </c>
      <c r="B1365" t="s">
        <v>3378</v>
      </c>
      <c r="C1365">
        <v>107.2</v>
      </c>
      <c r="D1365" t="s">
        <v>3249</v>
      </c>
      <c r="E1365" t="s">
        <v>1414</v>
      </c>
      <c r="F1365">
        <v>75</v>
      </c>
      <c r="G1365" t="b">
        <v>0</v>
      </c>
      <c r="H1365">
        <v>1</v>
      </c>
    </row>
    <row r="1366" spans="1:8" x14ac:dyDescent="0.25">
      <c r="A1366" t="s">
        <v>3356</v>
      </c>
      <c r="B1366" t="s">
        <v>3379</v>
      </c>
      <c r="C1366">
        <v>107.2</v>
      </c>
      <c r="D1366" t="s">
        <v>3249</v>
      </c>
      <c r="E1366" t="s">
        <v>1414</v>
      </c>
      <c r="F1366">
        <v>75</v>
      </c>
      <c r="G1366" t="b">
        <v>0</v>
      </c>
      <c r="H1366">
        <v>1</v>
      </c>
    </row>
    <row r="1367" spans="1:8" x14ac:dyDescent="0.25">
      <c r="A1367" t="s">
        <v>3356</v>
      </c>
      <c r="B1367" t="s">
        <v>3380</v>
      </c>
      <c r="C1367">
        <v>107.2</v>
      </c>
      <c r="D1367" t="s">
        <v>3249</v>
      </c>
      <c r="E1367" t="s">
        <v>1414</v>
      </c>
      <c r="F1367">
        <v>75</v>
      </c>
      <c r="G1367" t="b">
        <v>0</v>
      </c>
      <c r="H1367">
        <v>1</v>
      </c>
    </row>
    <row r="1368" spans="1:8" x14ac:dyDescent="0.25">
      <c r="A1368" t="s">
        <v>3356</v>
      </c>
      <c r="B1368" t="s">
        <v>3381</v>
      </c>
      <c r="C1368">
        <v>117.3</v>
      </c>
      <c r="D1368" t="s">
        <v>3249</v>
      </c>
      <c r="E1368" t="s">
        <v>1414</v>
      </c>
      <c r="F1368">
        <v>75</v>
      </c>
      <c r="G1368" t="b">
        <v>0</v>
      </c>
      <c r="H1368">
        <v>1</v>
      </c>
    </row>
    <row r="1369" spans="1:8" x14ac:dyDescent="0.25">
      <c r="A1369" t="s">
        <v>3356</v>
      </c>
      <c r="B1369" t="s">
        <v>3382</v>
      </c>
      <c r="C1369">
        <v>117.3</v>
      </c>
      <c r="D1369" t="s">
        <v>3249</v>
      </c>
      <c r="E1369" t="s">
        <v>1414</v>
      </c>
      <c r="F1369">
        <v>75</v>
      </c>
      <c r="G1369" t="b">
        <v>0</v>
      </c>
      <c r="H1369">
        <v>1</v>
      </c>
    </row>
    <row r="1370" spans="1:8" x14ac:dyDescent="0.25">
      <c r="A1370" t="s">
        <v>3356</v>
      </c>
      <c r="B1370" t="s">
        <v>3383</v>
      </c>
      <c r="C1370">
        <v>117.3</v>
      </c>
      <c r="D1370" t="s">
        <v>3249</v>
      </c>
      <c r="E1370" t="s">
        <v>1414</v>
      </c>
      <c r="F1370">
        <v>75</v>
      </c>
      <c r="G1370" t="b">
        <v>0</v>
      </c>
      <c r="H1370">
        <v>1</v>
      </c>
    </row>
    <row r="1371" spans="1:8" x14ac:dyDescent="0.25">
      <c r="A1371" t="s">
        <v>3356</v>
      </c>
      <c r="B1371" t="s">
        <v>3384</v>
      </c>
      <c r="C1371">
        <v>117.3</v>
      </c>
      <c r="D1371" t="s">
        <v>3249</v>
      </c>
      <c r="E1371" t="s">
        <v>1414</v>
      </c>
      <c r="F1371">
        <v>75</v>
      </c>
      <c r="G1371" t="b">
        <v>0</v>
      </c>
      <c r="H1371">
        <v>1</v>
      </c>
    </row>
    <row r="1372" spans="1:8" x14ac:dyDescent="0.25">
      <c r="A1372" t="s">
        <v>3356</v>
      </c>
      <c r="B1372" t="s">
        <v>3385</v>
      </c>
      <c r="C1372">
        <v>127.2</v>
      </c>
      <c r="D1372" t="s">
        <v>3249</v>
      </c>
      <c r="E1372" t="s">
        <v>1414</v>
      </c>
      <c r="F1372">
        <v>75</v>
      </c>
      <c r="G1372" t="b">
        <v>0</v>
      </c>
      <c r="H1372">
        <v>1</v>
      </c>
    </row>
    <row r="1373" spans="1:8" x14ac:dyDescent="0.25">
      <c r="A1373" t="s">
        <v>3356</v>
      </c>
      <c r="B1373" t="s">
        <v>3386</v>
      </c>
      <c r="C1373">
        <v>127.2</v>
      </c>
      <c r="D1373" t="s">
        <v>3249</v>
      </c>
      <c r="E1373" t="s">
        <v>1414</v>
      </c>
      <c r="F1373">
        <v>75</v>
      </c>
      <c r="G1373" t="b">
        <v>0</v>
      </c>
      <c r="H1373">
        <v>1</v>
      </c>
    </row>
    <row r="1374" spans="1:8" x14ac:dyDescent="0.25">
      <c r="A1374" t="s">
        <v>3356</v>
      </c>
      <c r="B1374" t="s">
        <v>3387</v>
      </c>
      <c r="C1374">
        <v>127.2</v>
      </c>
      <c r="D1374" t="s">
        <v>3249</v>
      </c>
      <c r="E1374" t="s">
        <v>1414</v>
      </c>
      <c r="F1374">
        <v>75</v>
      </c>
      <c r="G1374" t="b">
        <v>0</v>
      </c>
      <c r="H1374">
        <v>1</v>
      </c>
    </row>
    <row r="1375" spans="1:8" x14ac:dyDescent="0.25">
      <c r="A1375" t="s">
        <v>3356</v>
      </c>
      <c r="B1375" t="s">
        <v>3388</v>
      </c>
      <c r="C1375">
        <v>127.2</v>
      </c>
      <c r="D1375" t="s">
        <v>3249</v>
      </c>
      <c r="E1375" t="s">
        <v>1414</v>
      </c>
      <c r="F1375">
        <v>75</v>
      </c>
      <c r="G1375" t="b">
        <v>0</v>
      </c>
      <c r="H1375">
        <v>1</v>
      </c>
    </row>
    <row r="1376" spans="1:8" x14ac:dyDescent="0.25">
      <c r="A1376" t="s">
        <v>3356</v>
      </c>
      <c r="B1376" t="s">
        <v>3389</v>
      </c>
      <c r="C1376">
        <v>137.35</v>
      </c>
      <c r="D1376" t="s">
        <v>3249</v>
      </c>
      <c r="E1376" t="s">
        <v>1414</v>
      </c>
      <c r="F1376">
        <v>75</v>
      </c>
      <c r="G1376" t="b">
        <v>0</v>
      </c>
      <c r="H1376">
        <v>1</v>
      </c>
    </row>
    <row r="1377" spans="1:8" x14ac:dyDescent="0.25">
      <c r="A1377" t="s">
        <v>3356</v>
      </c>
      <c r="B1377" t="s">
        <v>3390</v>
      </c>
      <c r="C1377">
        <v>137.35</v>
      </c>
      <c r="D1377" t="s">
        <v>3249</v>
      </c>
      <c r="E1377" t="s">
        <v>1414</v>
      </c>
      <c r="F1377">
        <v>75</v>
      </c>
      <c r="G1377" t="b">
        <v>0</v>
      </c>
      <c r="H1377">
        <v>1</v>
      </c>
    </row>
    <row r="1378" spans="1:8" x14ac:dyDescent="0.25">
      <c r="A1378" t="s">
        <v>3356</v>
      </c>
      <c r="B1378" t="s">
        <v>3391</v>
      </c>
      <c r="C1378">
        <v>137.35</v>
      </c>
      <c r="D1378" t="s">
        <v>3249</v>
      </c>
      <c r="E1378" t="s">
        <v>1414</v>
      </c>
      <c r="F1378">
        <v>75</v>
      </c>
      <c r="G1378" t="b">
        <v>0</v>
      </c>
      <c r="H1378">
        <v>1</v>
      </c>
    </row>
    <row r="1379" spans="1:8" x14ac:dyDescent="0.25">
      <c r="A1379" t="s">
        <v>3356</v>
      </c>
      <c r="B1379" t="s">
        <v>3392</v>
      </c>
      <c r="C1379">
        <v>137.35</v>
      </c>
      <c r="D1379" t="s">
        <v>3249</v>
      </c>
      <c r="E1379" t="s">
        <v>1414</v>
      </c>
      <c r="F1379">
        <v>75</v>
      </c>
      <c r="G1379" t="b">
        <v>0</v>
      </c>
      <c r="H1379">
        <v>1</v>
      </c>
    </row>
    <row r="1380" spans="1:8" x14ac:dyDescent="0.25">
      <c r="A1380" t="s">
        <v>3356</v>
      </c>
      <c r="B1380" t="s">
        <v>3393</v>
      </c>
      <c r="C1380">
        <v>147.25</v>
      </c>
      <c r="D1380" t="s">
        <v>3249</v>
      </c>
      <c r="E1380" t="s">
        <v>1414</v>
      </c>
      <c r="F1380">
        <v>75</v>
      </c>
      <c r="G1380" t="b">
        <v>0</v>
      </c>
      <c r="H1380">
        <v>1</v>
      </c>
    </row>
    <row r="1381" spans="1:8" x14ac:dyDescent="0.25">
      <c r="A1381" t="s">
        <v>3356</v>
      </c>
      <c r="B1381" t="s">
        <v>3394</v>
      </c>
      <c r="C1381">
        <v>147.25</v>
      </c>
      <c r="D1381" t="s">
        <v>3249</v>
      </c>
      <c r="E1381" t="s">
        <v>1414</v>
      </c>
      <c r="F1381">
        <v>75</v>
      </c>
      <c r="G1381" t="b">
        <v>0</v>
      </c>
      <c r="H1381">
        <v>1</v>
      </c>
    </row>
    <row r="1382" spans="1:8" x14ac:dyDescent="0.25">
      <c r="A1382" t="s">
        <v>3356</v>
      </c>
      <c r="B1382" t="s">
        <v>3395</v>
      </c>
      <c r="C1382">
        <v>147.25</v>
      </c>
      <c r="D1382" t="s">
        <v>3249</v>
      </c>
      <c r="E1382" t="s">
        <v>1414</v>
      </c>
      <c r="F1382">
        <v>75</v>
      </c>
      <c r="G1382" t="b">
        <v>0</v>
      </c>
      <c r="H1382">
        <v>1</v>
      </c>
    </row>
    <row r="1383" spans="1:8" x14ac:dyDescent="0.25">
      <c r="A1383" t="s">
        <v>3356</v>
      </c>
      <c r="B1383" t="s">
        <v>3396</v>
      </c>
      <c r="C1383">
        <v>147.25</v>
      </c>
      <c r="D1383" t="s">
        <v>3249</v>
      </c>
      <c r="E1383" t="s">
        <v>1414</v>
      </c>
      <c r="F1383">
        <v>75</v>
      </c>
      <c r="G1383" t="b">
        <v>0</v>
      </c>
      <c r="H1383">
        <v>1</v>
      </c>
    </row>
    <row r="1384" spans="1:8" x14ac:dyDescent="0.25">
      <c r="A1384" t="s">
        <v>3356</v>
      </c>
      <c r="B1384" t="s">
        <v>3397</v>
      </c>
      <c r="C1384">
        <v>157.15</v>
      </c>
      <c r="D1384" t="s">
        <v>3249</v>
      </c>
      <c r="E1384" t="s">
        <v>1414</v>
      </c>
      <c r="F1384">
        <v>75</v>
      </c>
      <c r="G1384" t="b">
        <v>0</v>
      </c>
      <c r="H1384">
        <v>1</v>
      </c>
    </row>
    <row r="1385" spans="1:8" x14ac:dyDescent="0.25">
      <c r="A1385" t="s">
        <v>3356</v>
      </c>
      <c r="B1385" t="s">
        <v>3398</v>
      </c>
      <c r="C1385">
        <v>157.15</v>
      </c>
      <c r="D1385" t="s">
        <v>3249</v>
      </c>
      <c r="E1385" t="s">
        <v>1414</v>
      </c>
      <c r="F1385">
        <v>75</v>
      </c>
      <c r="G1385" t="b">
        <v>0</v>
      </c>
      <c r="H1385">
        <v>1</v>
      </c>
    </row>
    <row r="1386" spans="1:8" x14ac:dyDescent="0.25">
      <c r="A1386" t="s">
        <v>3356</v>
      </c>
      <c r="B1386" t="s">
        <v>3399</v>
      </c>
      <c r="C1386">
        <v>157.15</v>
      </c>
      <c r="D1386" t="s">
        <v>3249</v>
      </c>
      <c r="E1386" t="s">
        <v>1414</v>
      </c>
      <c r="F1386">
        <v>75</v>
      </c>
      <c r="G1386" t="b">
        <v>0</v>
      </c>
      <c r="H1386">
        <v>1</v>
      </c>
    </row>
    <row r="1387" spans="1:8" x14ac:dyDescent="0.25">
      <c r="A1387" t="s">
        <v>3356</v>
      </c>
      <c r="B1387" t="s">
        <v>3400</v>
      </c>
      <c r="C1387">
        <v>157.15</v>
      </c>
      <c r="D1387" t="s">
        <v>3249</v>
      </c>
      <c r="E1387" t="s">
        <v>1414</v>
      </c>
      <c r="F1387">
        <v>75</v>
      </c>
      <c r="G1387" t="b">
        <v>0</v>
      </c>
      <c r="H1387">
        <v>1</v>
      </c>
    </row>
    <row r="1388" spans="1:8" x14ac:dyDescent="0.25">
      <c r="A1388" t="s">
        <v>3356</v>
      </c>
      <c r="B1388" t="s">
        <v>3401</v>
      </c>
      <c r="C1388">
        <v>167.25</v>
      </c>
      <c r="D1388" t="s">
        <v>3249</v>
      </c>
      <c r="E1388" t="s">
        <v>1414</v>
      </c>
      <c r="F1388">
        <v>75</v>
      </c>
      <c r="G1388" t="b">
        <v>0</v>
      </c>
      <c r="H1388">
        <v>1</v>
      </c>
    </row>
    <row r="1389" spans="1:8" x14ac:dyDescent="0.25">
      <c r="A1389" t="s">
        <v>3356</v>
      </c>
      <c r="B1389" t="s">
        <v>3402</v>
      </c>
      <c r="C1389">
        <v>167.25</v>
      </c>
      <c r="D1389" t="s">
        <v>3249</v>
      </c>
      <c r="E1389" t="s">
        <v>1414</v>
      </c>
      <c r="F1389">
        <v>75</v>
      </c>
      <c r="G1389" t="b">
        <v>0</v>
      </c>
      <c r="H1389">
        <v>1</v>
      </c>
    </row>
    <row r="1390" spans="1:8" x14ac:dyDescent="0.25">
      <c r="A1390" t="s">
        <v>3356</v>
      </c>
      <c r="B1390" t="s">
        <v>3403</v>
      </c>
      <c r="C1390">
        <v>167.25</v>
      </c>
      <c r="D1390" t="s">
        <v>3249</v>
      </c>
      <c r="E1390" t="s">
        <v>1414</v>
      </c>
      <c r="F1390">
        <v>75</v>
      </c>
      <c r="G1390" t="b">
        <v>0</v>
      </c>
      <c r="H1390">
        <v>1</v>
      </c>
    </row>
    <row r="1391" spans="1:8" x14ac:dyDescent="0.25">
      <c r="A1391" t="s">
        <v>3356</v>
      </c>
      <c r="B1391" t="s">
        <v>3404</v>
      </c>
      <c r="C1391">
        <v>167.25</v>
      </c>
      <c r="D1391" t="s">
        <v>3249</v>
      </c>
      <c r="E1391" t="s">
        <v>1414</v>
      </c>
      <c r="F1391">
        <v>75</v>
      </c>
      <c r="G1391" t="b">
        <v>0</v>
      </c>
      <c r="H1391">
        <v>1</v>
      </c>
    </row>
    <row r="1392" spans="1:8" x14ac:dyDescent="0.25">
      <c r="A1392" t="s">
        <v>3356</v>
      </c>
      <c r="B1392" t="s">
        <v>3405</v>
      </c>
      <c r="C1392">
        <v>177.15</v>
      </c>
      <c r="D1392" t="s">
        <v>3249</v>
      </c>
      <c r="E1392" t="s">
        <v>1414</v>
      </c>
      <c r="F1392">
        <v>75</v>
      </c>
      <c r="G1392" t="b">
        <v>0</v>
      </c>
      <c r="H1392">
        <v>1</v>
      </c>
    </row>
    <row r="1393" spans="1:8" x14ac:dyDescent="0.25">
      <c r="A1393" t="s">
        <v>3356</v>
      </c>
      <c r="B1393" t="s">
        <v>3406</v>
      </c>
      <c r="C1393">
        <v>177.15</v>
      </c>
      <c r="D1393" t="s">
        <v>3249</v>
      </c>
      <c r="E1393" t="s">
        <v>1414</v>
      </c>
      <c r="F1393">
        <v>75</v>
      </c>
      <c r="G1393" t="b">
        <v>0</v>
      </c>
      <c r="H1393">
        <v>1</v>
      </c>
    </row>
    <row r="1394" spans="1:8" x14ac:dyDescent="0.25">
      <c r="A1394" t="s">
        <v>3356</v>
      </c>
      <c r="B1394" t="s">
        <v>3407</v>
      </c>
      <c r="C1394">
        <v>177.15</v>
      </c>
      <c r="D1394" t="s">
        <v>3249</v>
      </c>
      <c r="E1394" t="s">
        <v>1414</v>
      </c>
      <c r="F1394">
        <v>75</v>
      </c>
      <c r="G1394" t="b">
        <v>0</v>
      </c>
      <c r="H1394">
        <v>1</v>
      </c>
    </row>
    <row r="1395" spans="1:8" x14ac:dyDescent="0.25">
      <c r="A1395" t="s">
        <v>3356</v>
      </c>
      <c r="B1395" t="s">
        <v>3408</v>
      </c>
      <c r="C1395">
        <v>177.15</v>
      </c>
      <c r="D1395" t="s">
        <v>3249</v>
      </c>
      <c r="E1395" t="s">
        <v>1414</v>
      </c>
      <c r="F1395">
        <v>75</v>
      </c>
      <c r="G1395" t="b">
        <v>0</v>
      </c>
      <c r="H1395">
        <v>1</v>
      </c>
    </row>
    <row r="1396" spans="1:8" x14ac:dyDescent="0.25">
      <c r="A1396" t="s">
        <v>3356</v>
      </c>
      <c r="B1396" t="s">
        <v>3409</v>
      </c>
      <c r="C1396">
        <v>187.25</v>
      </c>
      <c r="D1396" t="s">
        <v>3249</v>
      </c>
      <c r="E1396" t="s">
        <v>1414</v>
      </c>
      <c r="F1396">
        <v>75</v>
      </c>
      <c r="G1396" t="b">
        <v>0</v>
      </c>
      <c r="H1396">
        <v>1</v>
      </c>
    </row>
    <row r="1397" spans="1:8" x14ac:dyDescent="0.25">
      <c r="A1397" t="s">
        <v>3356</v>
      </c>
      <c r="B1397" t="s">
        <v>3410</v>
      </c>
      <c r="C1397">
        <v>187.25</v>
      </c>
      <c r="D1397" t="s">
        <v>3249</v>
      </c>
      <c r="E1397" t="s">
        <v>1414</v>
      </c>
      <c r="F1397">
        <v>75</v>
      </c>
      <c r="G1397" t="b">
        <v>0</v>
      </c>
      <c r="H1397">
        <v>1</v>
      </c>
    </row>
    <row r="1398" spans="1:8" x14ac:dyDescent="0.25">
      <c r="A1398" t="s">
        <v>3356</v>
      </c>
      <c r="B1398" t="s">
        <v>3411</v>
      </c>
      <c r="C1398">
        <v>187.25</v>
      </c>
      <c r="D1398" t="s">
        <v>3249</v>
      </c>
      <c r="E1398" t="s">
        <v>1414</v>
      </c>
      <c r="F1398">
        <v>75</v>
      </c>
      <c r="G1398" t="b">
        <v>0</v>
      </c>
      <c r="H1398">
        <v>1</v>
      </c>
    </row>
    <row r="1399" spans="1:8" x14ac:dyDescent="0.25">
      <c r="A1399" t="s">
        <v>3356</v>
      </c>
      <c r="B1399" t="s">
        <v>3412</v>
      </c>
      <c r="C1399">
        <v>187.25</v>
      </c>
      <c r="D1399" t="s">
        <v>3249</v>
      </c>
      <c r="E1399" t="s">
        <v>1414</v>
      </c>
      <c r="F1399">
        <v>75</v>
      </c>
      <c r="G1399" t="b">
        <v>0</v>
      </c>
      <c r="H1399">
        <v>1</v>
      </c>
    </row>
    <row r="1400" spans="1:8" x14ac:dyDescent="0.25">
      <c r="A1400" t="s">
        <v>3356</v>
      </c>
      <c r="B1400" t="s">
        <v>3413</v>
      </c>
      <c r="C1400">
        <v>197.15</v>
      </c>
      <c r="D1400" t="s">
        <v>3249</v>
      </c>
      <c r="E1400" t="s">
        <v>1414</v>
      </c>
      <c r="F1400">
        <v>75</v>
      </c>
      <c r="G1400" t="b">
        <v>0</v>
      </c>
      <c r="H1400">
        <v>1</v>
      </c>
    </row>
    <row r="1401" spans="1:8" x14ac:dyDescent="0.25">
      <c r="A1401" t="s">
        <v>3356</v>
      </c>
      <c r="B1401" t="s">
        <v>3414</v>
      </c>
      <c r="C1401">
        <v>197.15</v>
      </c>
      <c r="D1401" t="s">
        <v>3249</v>
      </c>
      <c r="E1401" t="s">
        <v>1414</v>
      </c>
      <c r="F1401">
        <v>75</v>
      </c>
      <c r="G1401" t="b">
        <v>0</v>
      </c>
      <c r="H1401">
        <v>1</v>
      </c>
    </row>
    <row r="1402" spans="1:8" x14ac:dyDescent="0.25">
      <c r="A1402" t="s">
        <v>3356</v>
      </c>
      <c r="B1402" t="s">
        <v>3415</v>
      </c>
      <c r="C1402">
        <v>197.15</v>
      </c>
      <c r="D1402" t="s">
        <v>3249</v>
      </c>
      <c r="E1402" t="s">
        <v>1414</v>
      </c>
      <c r="F1402">
        <v>75</v>
      </c>
      <c r="G1402" t="b">
        <v>0</v>
      </c>
      <c r="H1402">
        <v>1</v>
      </c>
    </row>
    <row r="1403" spans="1:8" x14ac:dyDescent="0.25">
      <c r="A1403" t="s">
        <v>3356</v>
      </c>
      <c r="B1403" t="s">
        <v>3416</v>
      </c>
      <c r="C1403">
        <v>197.15</v>
      </c>
      <c r="D1403" t="s">
        <v>3249</v>
      </c>
      <c r="E1403" t="s">
        <v>1414</v>
      </c>
      <c r="F1403">
        <v>75</v>
      </c>
      <c r="G1403" t="b">
        <v>0</v>
      </c>
      <c r="H1403">
        <v>1</v>
      </c>
    </row>
    <row r="1404" spans="1:8" x14ac:dyDescent="0.25">
      <c r="A1404" t="s">
        <v>3356</v>
      </c>
      <c r="B1404" t="s">
        <v>3417</v>
      </c>
      <c r="C1404">
        <v>206.65</v>
      </c>
      <c r="D1404" t="s">
        <v>3249</v>
      </c>
      <c r="E1404" t="s">
        <v>1414</v>
      </c>
      <c r="F1404">
        <v>75</v>
      </c>
      <c r="G1404" t="b">
        <v>0</v>
      </c>
      <c r="H1404">
        <v>1</v>
      </c>
    </row>
    <row r="1405" spans="1:8" x14ac:dyDescent="0.25">
      <c r="A1405" t="s">
        <v>3356</v>
      </c>
      <c r="B1405" t="s">
        <v>3418</v>
      </c>
      <c r="C1405">
        <v>206.65</v>
      </c>
      <c r="D1405" t="s">
        <v>3249</v>
      </c>
      <c r="E1405" t="s">
        <v>1414</v>
      </c>
      <c r="F1405">
        <v>75</v>
      </c>
      <c r="G1405" t="b">
        <v>0</v>
      </c>
      <c r="H1405">
        <v>1</v>
      </c>
    </row>
    <row r="1406" spans="1:8" x14ac:dyDescent="0.25">
      <c r="A1406" t="s">
        <v>3356</v>
      </c>
      <c r="B1406" t="s">
        <v>3419</v>
      </c>
      <c r="C1406">
        <v>206.65</v>
      </c>
      <c r="D1406" t="s">
        <v>3249</v>
      </c>
      <c r="E1406" t="s">
        <v>1414</v>
      </c>
      <c r="F1406">
        <v>75</v>
      </c>
      <c r="G1406" t="b">
        <v>0</v>
      </c>
      <c r="H1406">
        <v>1</v>
      </c>
    </row>
    <row r="1407" spans="1:8" x14ac:dyDescent="0.25">
      <c r="A1407" t="s">
        <v>3356</v>
      </c>
      <c r="B1407" t="s">
        <v>3420</v>
      </c>
      <c r="C1407">
        <v>206.65</v>
      </c>
      <c r="D1407" t="s">
        <v>3249</v>
      </c>
      <c r="E1407" t="s">
        <v>1414</v>
      </c>
      <c r="F1407">
        <v>75</v>
      </c>
      <c r="G1407" t="b">
        <v>0</v>
      </c>
      <c r="H1407">
        <v>1</v>
      </c>
    </row>
    <row r="1408" spans="1:8" x14ac:dyDescent="0.25">
      <c r="A1408" t="s">
        <v>3356</v>
      </c>
      <c r="B1408" t="s">
        <v>3421</v>
      </c>
      <c r="C1408">
        <v>216.75</v>
      </c>
      <c r="D1408" t="s">
        <v>3249</v>
      </c>
      <c r="E1408" t="s">
        <v>1414</v>
      </c>
      <c r="F1408">
        <v>75</v>
      </c>
      <c r="G1408" t="b">
        <v>0</v>
      </c>
      <c r="H1408">
        <v>1</v>
      </c>
    </row>
    <row r="1409" spans="1:8" x14ac:dyDescent="0.25">
      <c r="A1409" t="s">
        <v>3356</v>
      </c>
      <c r="B1409" t="s">
        <v>3422</v>
      </c>
      <c r="C1409">
        <v>216.75</v>
      </c>
      <c r="D1409" t="s">
        <v>3249</v>
      </c>
      <c r="E1409" t="s">
        <v>1414</v>
      </c>
      <c r="F1409">
        <v>75</v>
      </c>
      <c r="G1409" t="b">
        <v>0</v>
      </c>
      <c r="H1409">
        <v>1</v>
      </c>
    </row>
    <row r="1410" spans="1:8" x14ac:dyDescent="0.25">
      <c r="A1410" t="s">
        <v>3356</v>
      </c>
      <c r="B1410" t="s">
        <v>3423</v>
      </c>
      <c r="C1410">
        <v>216.75</v>
      </c>
      <c r="D1410" t="s">
        <v>3249</v>
      </c>
      <c r="E1410" t="s">
        <v>1414</v>
      </c>
      <c r="F1410">
        <v>75</v>
      </c>
      <c r="G1410" t="b">
        <v>0</v>
      </c>
      <c r="H1410">
        <v>1</v>
      </c>
    </row>
    <row r="1411" spans="1:8" x14ac:dyDescent="0.25">
      <c r="A1411" t="s">
        <v>3356</v>
      </c>
      <c r="B1411" t="s">
        <v>3424</v>
      </c>
      <c r="C1411">
        <v>216.75</v>
      </c>
      <c r="D1411" t="s">
        <v>3249</v>
      </c>
      <c r="E1411" t="s">
        <v>1414</v>
      </c>
      <c r="F1411">
        <v>75</v>
      </c>
      <c r="G1411" t="b">
        <v>0</v>
      </c>
      <c r="H1411">
        <v>1</v>
      </c>
    </row>
    <row r="1412" spans="1:8" x14ac:dyDescent="0.25">
      <c r="A1412" t="s">
        <v>3356</v>
      </c>
      <c r="B1412" t="s">
        <v>3425</v>
      </c>
      <c r="C1412">
        <v>226.65</v>
      </c>
      <c r="D1412" t="s">
        <v>3249</v>
      </c>
      <c r="E1412" t="s">
        <v>1414</v>
      </c>
      <c r="F1412">
        <v>75</v>
      </c>
      <c r="G1412" t="b">
        <v>0</v>
      </c>
      <c r="H1412">
        <v>1</v>
      </c>
    </row>
    <row r="1413" spans="1:8" x14ac:dyDescent="0.25">
      <c r="A1413" t="s">
        <v>3356</v>
      </c>
      <c r="B1413" t="s">
        <v>3426</v>
      </c>
      <c r="C1413">
        <v>226.65</v>
      </c>
      <c r="D1413" t="s">
        <v>3249</v>
      </c>
      <c r="E1413" t="s">
        <v>1414</v>
      </c>
      <c r="F1413">
        <v>75</v>
      </c>
      <c r="G1413" t="b">
        <v>0</v>
      </c>
      <c r="H1413">
        <v>1</v>
      </c>
    </row>
    <row r="1414" spans="1:8" x14ac:dyDescent="0.25">
      <c r="A1414" t="s">
        <v>3356</v>
      </c>
      <c r="B1414" t="s">
        <v>3427</v>
      </c>
      <c r="C1414">
        <v>226.65</v>
      </c>
      <c r="D1414" t="s">
        <v>3249</v>
      </c>
      <c r="E1414" t="s">
        <v>1414</v>
      </c>
      <c r="F1414">
        <v>75</v>
      </c>
      <c r="G1414" t="b">
        <v>0</v>
      </c>
      <c r="H1414">
        <v>1</v>
      </c>
    </row>
    <row r="1415" spans="1:8" x14ac:dyDescent="0.25">
      <c r="A1415" t="s">
        <v>3356</v>
      </c>
      <c r="B1415" t="s">
        <v>3428</v>
      </c>
      <c r="C1415">
        <v>226.65</v>
      </c>
      <c r="D1415" t="s">
        <v>3249</v>
      </c>
      <c r="E1415" t="s">
        <v>1414</v>
      </c>
      <c r="F1415">
        <v>75</v>
      </c>
      <c r="G1415" t="b">
        <v>0</v>
      </c>
      <c r="H1415">
        <v>1</v>
      </c>
    </row>
    <row r="1416" spans="1:8" x14ac:dyDescent="0.25">
      <c r="A1416" t="s">
        <v>3356</v>
      </c>
      <c r="B1416" t="s">
        <v>3429</v>
      </c>
      <c r="C1416">
        <v>236.8</v>
      </c>
      <c r="D1416" t="s">
        <v>3249</v>
      </c>
      <c r="E1416" t="s">
        <v>1414</v>
      </c>
      <c r="F1416">
        <v>75</v>
      </c>
      <c r="G1416" t="b">
        <v>0</v>
      </c>
      <c r="H1416">
        <v>1</v>
      </c>
    </row>
    <row r="1417" spans="1:8" x14ac:dyDescent="0.25">
      <c r="A1417" t="s">
        <v>3356</v>
      </c>
      <c r="B1417" t="s">
        <v>3430</v>
      </c>
      <c r="C1417">
        <v>236.8</v>
      </c>
      <c r="D1417" t="s">
        <v>3249</v>
      </c>
      <c r="E1417" t="s">
        <v>1414</v>
      </c>
      <c r="F1417">
        <v>75</v>
      </c>
      <c r="G1417" t="b">
        <v>0</v>
      </c>
      <c r="H1417">
        <v>1</v>
      </c>
    </row>
    <row r="1418" spans="1:8" x14ac:dyDescent="0.25">
      <c r="A1418" t="s">
        <v>3356</v>
      </c>
      <c r="B1418" t="s">
        <v>3431</v>
      </c>
      <c r="C1418">
        <v>236.8</v>
      </c>
      <c r="D1418" t="s">
        <v>3249</v>
      </c>
      <c r="E1418" t="s">
        <v>1414</v>
      </c>
      <c r="F1418">
        <v>75</v>
      </c>
      <c r="G1418" t="b">
        <v>0</v>
      </c>
      <c r="H1418">
        <v>1</v>
      </c>
    </row>
    <row r="1419" spans="1:8" x14ac:dyDescent="0.25">
      <c r="A1419" t="s">
        <v>3356</v>
      </c>
      <c r="B1419" t="s">
        <v>3432</v>
      </c>
      <c r="C1419">
        <v>236.8</v>
      </c>
      <c r="D1419" t="s">
        <v>3249</v>
      </c>
      <c r="E1419" t="s">
        <v>1414</v>
      </c>
      <c r="F1419">
        <v>75</v>
      </c>
      <c r="G1419" t="b">
        <v>0</v>
      </c>
      <c r="H1419">
        <v>1</v>
      </c>
    </row>
    <row r="1420" spans="1:8" x14ac:dyDescent="0.25">
      <c r="A1420" t="s">
        <v>3356</v>
      </c>
      <c r="B1420" t="s">
        <v>3433</v>
      </c>
      <c r="C1420">
        <v>246.65</v>
      </c>
      <c r="D1420" t="s">
        <v>3249</v>
      </c>
      <c r="E1420" t="s">
        <v>1414</v>
      </c>
      <c r="F1420">
        <v>75</v>
      </c>
      <c r="G1420" t="b">
        <v>0</v>
      </c>
      <c r="H1420">
        <v>1</v>
      </c>
    </row>
    <row r="1421" spans="1:8" x14ac:dyDescent="0.25">
      <c r="A1421" t="s">
        <v>3356</v>
      </c>
      <c r="B1421" t="s">
        <v>3434</v>
      </c>
      <c r="C1421">
        <v>246.65</v>
      </c>
      <c r="D1421" t="s">
        <v>3249</v>
      </c>
      <c r="E1421" t="s">
        <v>1414</v>
      </c>
      <c r="F1421">
        <v>75</v>
      </c>
      <c r="G1421" t="b">
        <v>0</v>
      </c>
      <c r="H1421">
        <v>1</v>
      </c>
    </row>
    <row r="1422" spans="1:8" x14ac:dyDescent="0.25">
      <c r="A1422" t="s">
        <v>3356</v>
      </c>
      <c r="B1422" t="s">
        <v>3435</v>
      </c>
      <c r="C1422">
        <v>246.65</v>
      </c>
      <c r="D1422" t="s">
        <v>3249</v>
      </c>
      <c r="E1422" t="s">
        <v>1414</v>
      </c>
      <c r="F1422">
        <v>75</v>
      </c>
      <c r="G1422" t="b">
        <v>0</v>
      </c>
      <c r="H1422">
        <v>1</v>
      </c>
    </row>
    <row r="1423" spans="1:8" x14ac:dyDescent="0.25">
      <c r="A1423" t="s">
        <v>3356</v>
      </c>
      <c r="B1423" t="s">
        <v>3436</v>
      </c>
      <c r="C1423">
        <v>246.65</v>
      </c>
      <c r="D1423" t="s">
        <v>3249</v>
      </c>
      <c r="E1423" t="s">
        <v>1414</v>
      </c>
      <c r="F1423">
        <v>75</v>
      </c>
      <c r="G1423" t="b">
        <v>0</v>
      </c>
      <c r="H1423">
        <v>1</v>
      </c>
    </row>
    <row r="1424" spans="1:8" x14ac:dyDescent="0.25">
      <c r="A1424" t="s">
        <v>3356</v>
      </c>
      <c r="B1424" t="s">
        <v>3437</v>
      </c>
      <c r="C1424">
        <v>256.55</v>
      </c>
      <c r="D1424" t="s">
        <v>3249</v>
      </c>
      <c r="E1424" t="s">
        <v>1414</v>
      </c>
      <c r="F1424">
        <v>75</v>
      </c>
      <c r="G1424" t="b">
        <v>0</v>
      </c>
      <c r="H1424">
        <v>1</v>
      </c>
    </row>
    <row r="1425" spans="1:8" x14ac:dyDescent="0.25">
      <c r="A1425" t="s">
        <v>3356</v>
      </c>
      <c r="B1425" t="s">
        <v>3438</v>
      </c>
      <c r="C1425">
        <v>256.55</v>
      </c>
      <c r="D1425" t="s">
        <v>3249</v>
      </c>
      <c r="E1425" t="s">
        <v>1414</v>
      </c>
      <c r="F1425">
        <v>75</v>
      </c>
      <c r="G1425" t="b">
        <v>0</v>
      </c>
      <c r="H1425">
        <v>1</v>
      </c>
    </row>
    <row r="1426" spans="1:8" x14ac:dyDescent="0.25">
      <c r="A1426" t="s">
        <v>3356</v>
      </c>
      <c r="B1426" t="s">
        <v>3439</v>
      </c>
      <c r="C1426">
        <v>256.55</v>
      </c>
      <c r="D1426" t="s">
        <v>3249</v>
      </c>
      <c r="E1426" t="s">
        <v>1414</v>
      </c>
      <c r="F1426">
        <v>75</v>
      </c>
      <c r="G1426" t="b">
        <v>0</v>
      </c>
      <c r="H1426">
        <v>1</v>
      </c>
    </row>
    <row r="1427" spans="1:8" x14ac:dyDescent="0.25">
      <c r="A1427" t="s">
        <v>3356</v>
      </c>
      <c r="B1427" t="s">
        <v>3440</v>
      </c>
      <c r="C1427">
        <v>256.55</v>
      </c>
      <c r="D1427" t="s">
        <v>3249</v>
      </c>
      <c r="E1427" t="s">
        <v>1414</v>
      </c>
      <c r="F1427">
        <v>75</v>
      </c>
      <c r="G1427" t="b">
        <v>0</v>
      </c>
      <c r="H1427">
        <v>1</v>
      </c>
    </row>
    <row r="1428" spans="1:8" x14ac:dyDescent="0.25">
      <c r="A1428" t="s">
        <v>3356</v>
      </c>
      <c r="B1428" t="s">
        <v>3441</v>
      </c>
      <c r="C1428">
        <v>266.7</v>
      </c>
      <c r="D1428" t="s">
        <v>3249</v>
      </c>
      <c r="E1428" t="s">
        <v>1414</v>
      </c>
      <c r="F1428">
        <v>75</v>
      </c>
      <c r="G1428" t="b">
        <v>0</v>
      </c>
      <c r="H1428">
        <v>1</v>
      </c>
    </row>
    <row r="1429" spans="1:8" x14ac:dyDescent="0.25">
      <c r="A1429" t="s">
        <v>3356</v>
      </c>
      <c r="B1429" t="s">
        <v>3442</v>
      </c>
      <c r="C1429">
        <v>266.7</v>
      </c>
      <c r="D1429" t="s">
        <v>3249</v>
      </c>
      <c r="E1429" t="s">
        <v>1414</v>
      </c>
      <c r="F1429">
        <v>75</v>
      </c>
      <c r="G1429" t="b">
        <v>0</v>
      </c>
      <c r="H1429">
        <v>1</v>
      </c>
    </row>
    <row r="1430" spans="1:8" x14ac:dyDescent="0.25">
      <c r="A1430" t="s">
        <v>3356</v>
      </c>
      <c r="B1430" t="s">
        <v>3443</v>
      </c>
      <c r="C1430">
        <v>266.7</v>
      </c>
      <c r="D1430" t="s">
        <v>3249</v>
      </c>
      <c r="E1430" t="s">
        <v>1414</v>
      </c>
      <c r="F1430">
        <v>75</v>
      </c>
      <c r="G1430" t="b">
        <v>0</v>
      </c>
      <c r="H1430">
        <v>1</v>
      </c>
    </row>
    <row r="1431" spans="1:8" x14ac:dyDescent="0.25">
      <c r="A1431" t="s">
        <v>3356</v>
      </c>
      <c r="B1431" t="s">
        <v>3444</v>
      </c>
      <c r="C1431">
        <v>266.7</v>
      </c>
      <c r="D1431" t="s">
        <v>3249</v>
      </c>
      <c r="E1431" t="s">
        <v>1414</v>
      </c>
      <c r="F1431">
        <v>75</v>
      </c>
      <c r="G1431" t="b">
        <v>0</v>
      </c>
      <c r="H1431">
        <v>1</v>
      </c>
    </row>
    <row r="1432" spans="1:8" x14ac:dyDescent="0.25">
      <c r="A1432" t="s">
        <v>3356</v>
      </c>
      <c r="B1432" t="s">
        <v>3445</v>
      </c>
      <c r="C1432">
        <v>274.45</v>
      </c>
      <c r="D1432" t="s">
        <v>3249</v>
      </c>
      <c r="E1432" t="s">
        <v>1414</v>
      </c>
      <c r="F1432">
        <v>75</v>
      </c>
      <c r="G1432" t="b">
        <v>0</v>
      </c>
      <c r="H1432">
        <v>1</v>
      </c>
    </row>
    <row r="1433" spans="1:8" x14ac:dyDescent="0.25">
      <c r="A1433" t="s">
        <v>3356</v>
      </c>
      <c r="B1433" t="s">
        <v>3446</v>
      </c>
      <c r="C1433">
        <v>274.45</v>
      </c>
      <c r="D1433" t="s">
        <v>3249</v>
      </c>
      <c r="E1433" t="s">
        <v>1414</v>
      </c>
      <c r="F1433">
        <v>75</v>
      </c>
      <c r="G1433" t="b">
        <v>0</v>
      </c>
      <c r="H1433">
        <v>1</v>
      </c>
    </row>
    <row r="1434" spans="1:8" x14ac:dyDescent="0.25">
      <c r="A1434" t="s">
        <v>3356</v>
      </c>
      <c r="B1434" t="s">
        <v>3447</v>
      </c>
      <c r="C1434">
        <v>274.45</v>
      </c>
      <c r="D1434" t="s">
        <v>3249</v>
      </c>
      <c r="E1434" t="s">
        <v>1414</v>
      </c>
      <c r="F1434">
        <v>75</v>
      </c>
      <c r="G1434" t="b">
        <v>0</v>
      </c>
      <c r="H1434">
        <v>1</v>
      </c>
    </row>
    <row r="1435" spans="1:8" x14ac:dyDescent="0.25">
      <c r="A1435" t="s">
        <v>3356</v>
      </c>
      <c r="B1435" t="s">
        <v>3448</v>
      </c>
      <c r="C1435">
        <v>274.45</v>
      </c>
      <c r="D1435" t="s">
        <v>3249</v>
      </c>
      <c r="E1435" t="s">
        <v>1414</v>
      </c>
      <c r="F1435">
        <v>75</v>
      </c>
      <c r="G1435" t="b">
        <v>0</v>
      </c>
      <c r="H1435">
        <v>1</v>
      </c>
    </row>
    <row r="1436" spans="1:8" x14ac:dyDescent="0.25">
      <c r="A1436" t="s">
        <v>3356</v>
      </c>
      <c r="B1436" t="s">
        <v>3449</v>
      </c>
      <c r="C1436">
        <v>286.05</v>
      </c>
      <c r="D1436" t="s">
        <v>3249</v>
      </c>
      <c r="E1436" t="s">
        <v>1414</v>
      </c>
      <c r="F1436">
        <v>75</v>
      </c>
      <c r="G1436" t="b">
        <v>0</v>
      </c>
      <c r="H1436">
        <v>1</v>
      </c>
    </row>
    <row r="1437" spans="1:8" x14ac:dyDescent="0.25">
      <c r="A1437" t="s">
        <v>3356</v>
      </c>
      <c r="B1437" t="s">
        <v>3450</v>
      </c>
      <c r="C1437">
        <v>286.05</v>
      </c>
      <c r="D1437" t="s">
        <v>3249</v>
      </c>
      <c r="E1437" t="s">
        <v>1414</v>
      </c>
      <c r="F1437">
        <v>75</v>
      </c>
      <c r="G1437" t="b">
        <v>0</v>
      </c>
      <c r="H1437">
        <v>1</v>
      </c>
    </row>
    <row r="1438" spans="1:8" x14ac:dyDescent="0.25">
      <c r="A1438" t="s">
        <v>3356</v>
      </c>
      <c r="B1438" t="s">
        <v>3451</v>
      </c>
      <c r="C1438">
        <v>286.05</v>
      </c>
      <c r="D1438" t="s">
        <v>3249</v>
      </c>
      <c r="E1438" t="s">
        <v>1414</v>
      </c>
      <c r="F1438">
        <v>75</v>
      </c>
      <c r="G1438" t="b">
        <v>0</v>
      </c>
      <c r="H1438">
        <v>1</v>
      </c>
    </row>
    <row r="1439" spans="1:8" x14ac:dyDescent="0.25">
      <c r="A1439" t="s">
        <v>3356</v>
      </c>
      <c r="B1439" t="s">
        <v>3452</v>
      </c>
      <c r="C1439">
        <v>286.05</v>
      </c>
      <c r="D1439" t="s">
        <v>3249</v>
      </c>
      <c r="E1439" t="s">
        <v>1414</v>
      </c>
      <c r="F1439">
        <v>75</v>
      </c>
      <c r="G1439" t="b">
        <v>0</v>
      </c>
      <c r="H1439">
        <v>1</v>
      </c>
    </row>
    <row r="1440" spans="1:8" x14ac:dyDescent="0.25">
      <c r="A1440" t="s">
        <v>3453</v>
      </c>
      <c r="B1440" t="s">
        <v>3454</v>
      </c>
      <c r="C1440">
        <v>43.9</v>
      </c>
      <c r="D1440" t="s">
        <v>3249</v>
      </c>
      <c r="E1440" t="s">
        <v>1414</v>
      </c>
      <c r="F1440">
        <v>75</v>
      </c>
      <c r="G1440" t="b">
        <v>0</v>
      </c>
      <c r="H1440">
        <v>1</v>
      </c>
    </row>
    <row r="1441" spans="1:8" x14ac:dyDescent="0.25">
      <c r="A1441" t="s">
        <v>3453</v>
      </c>
      <c r="B1441" t="s">
        <v>3455</v>
      </c>
      <c r="C1441">
        <v>43.9</v>
      </c>
      <c r="D1441" t="s">
        <v>3249</v>
      </c>
      <c r="E1441" t="s">
        <v>1414</v>
      </c>
      <c r="F1441">
        <v>75</v>
      </c>
      <c r="G1441" t="b">
        <v>0</v>
      </c>
      <c r="H1441">
        <v>1</v>
      </c>
    </row>
    <row r="1442" spans="1:8" x14ac:dyDescent="0.25">
      <c r="A1442" t="s">
        <v>3453</v>
      </c>
      <c r="B1442" t="s">
        <v>3456</v>
      </c>
      <c r="C1442">
        <v>43.9</v>
      </c>
      <c r="D1442" t="s">
        <v>3249</v>
      </c>
      <c r="E1442" t="s">
        <v>1414</v>
      </c>
      <c r="F1442">
        <v>75</v>
      </c>
      <c r="G1442" t="b">
        <v>0</v>
      </c>
      <c r="H1442">
        <v>1</v>
      </c>
    </row>
    <row r="1443" spans="1:8" x14ac:dyDescent="0.25">
      <c r="A1443" t="s">
        <v>3453</v>
      </c>
      <c r="B1443" t="s">
        <v>3457</v>
      </c>
      <c r="C1443">
        <v>62.2</v>
      </c>
      <c r="D1443" t="s">
        <v>3249</v>
      </c>
      <c r="E1443" t="s">
        <v>1414</v>
      </c>
      <c r="F1443">
        <v>75</v>
      </c>
      <c r="G1443" t="b">
        <v>0</v>
      </c>
      <c r="H1443">
        <v>1</v>
      </c>
    </row>
    <row r="1444" spans="1:8" x14ac:dyDescent="0.25">
      <c r="A1444" t="s">
        <v>3453</v>
      </c>
      <c r="B1444" t="s">
        <v>3458</v>
      </c>
      <c r="C1444">
        <v>62.2</v>
      </c>
      <c r="D1444" t="s">
        <v>3249</v>
      </c>
      <c r="E1444" t="s">
        <v>1414</v>
      </c>
      <c r="F1444">
        <v>75</v>
      </c>
      <c r="G1444" t="b">
        <v>0</v>
      </c>
      <c r="H1444">
        <v>1</v>
      </c>
    </row>
    <row r="1445" spans="1:8" x14ac:dyDescent="0.25">
      <c r="A1445" t="s">
        <v>3453</v>
      </c>
      <c r="B1445" t="s">
        <v>3459</v>
      </c>
      <c r="C1445">
        <v>62.2</v>
      </c>
      <c r="D1445" t="s">
        <v>3249</v>
      </c>
      <c r="E1445" t="s">
        <v>1414</v>
      </c>
      <c r="F1445">
        <v>75</v>
      </c>
      <c r="G1445" t="b">
        <v>0</v>
      </c>
      <c r="H1445">
        <v>1</v>
      </c>
    </row>
    <row r="1446" spans="1:8" x14ac:dyDescent="0.25">
      <c r="A1446" t="s">
        <v>3453</v>
      </c>
      <c r="B1446" t="s">
        <v>3460</v>
      </c>
      <c r="C1446">
        <v>62.2</v>
      </c>
      <c r="D1446" t="s">
        <v>3249</v>
      </c>
      <c r="E1446" t="s">
        <v>1414</v>
      </c>
      <c r="F1446">
        <v>75</v>
      </c>
      <c r="G1446" t="b">
        <v>0</v>
      </c>
      <c r="H1446">
        <v>1</v>
      </c>
    </row>
    <row r="1447" spans="1:8" x14ac:dyDescent="0.25">
      <c r="A1447" t="s">
        <v>3453</v>
      </c>
      <c r="B1447" t="s">
        <v>3461</v>
      </c>
      <c r="C1447">
        <v>43.9</v>
      </c>
      <c r="D1447" t="s">
        <v>3249</v>
      </c>
      <c r="E1447" t="s">
        <v>1414</v>
      </c>
      <c r="F1447">
        <v>75</v>
      </c>
      <c r="G1447" t="b">
        <v>0</v>
      </c>
      <c r="H1447">
        <v>1</v>
      </c>
    </row>
    <row r="1448" spans="1:8" x14ac:dyDescent="0.25">
      <c r="A1448" t="s">
        <v>3453</v>
      </c>
      <c r="B1448" t="s">
        <v>3462</v>
      </c>
      <c r="C1448">
        <v>80.5</v>
      </c>
      <c r="D1448" t="s">
        <v>3249</v>
      </c>
      <c r="E1448" t="s">
        <v>1414</v>
      </c>
      <c r="F1448">
        <v>75</v>
      </c>
      <c r="G1448" t="b">
        <v>0</v>
      </c>
      <c r="H1448">
        <v>1</v>
      </c>
    </row>
    <row r="1449" spans="1:8" x14ac:dyDescent="0.25">
      <c r="A1449" t="s">
        <v>3453</v>
      </c>
      <c r="B1449" t="s">
        <v>3463</v>
      </c>
      <c r="C1449">
        <v>98.8</v>
      </c>
      <c r="D1449" t="s">
        <v>3249</v>
      </c>
      <c r="E1449" t="s">
        <v>1414</v>
      </c>
      <c r="F1449">
        <v>75</v>
      </c>
      <c r="G1449" t="b">
        <v>0</v>
      </c>
      <c r="H1449">
        <v>1</v>
      </c>
    </row>
    <row r="1450" spans="1:8" x14ac:dyDescent="0.25">
      <c r="A1450" t="s">
        <v>3453</v>
      </c>
      <c r="B1450" t="s">
        <v>3464</v>
      </c>
      <c r="C1450">
        <v>117.1</v>
      </c>
      <c r="D1450" t="s">
        <v>3249</v>
      </c>
      <c r="E1450" t="s">
        <v>1414</v>
      </c>
      <c r="F1450">
        <v>75</v>
      </c>
      <c r="G1450" t="b">
        <v>0</v>
      </c>
      <c r="H1450">
        <v>1</v>
      </c>
    </row>
    <row r="1451" spans="1:8" x14ac:dyDescent="0.25">
      <c r="A1451" t="s">
        <v>3453</v>
      </c>
      <c r="B1451" t="s">
        <v>3465</v>
      </c>
      <c r="C1451">
        <v>135.4</v>
      </c>
      <c r="D1451" t="s">
        <v>3249</v>
      </c>
      <c r="E1451" t="s">
        <v>1414</v>
      </c>
      <c r="F1451">
        <v>75</v>
      </c>
      <c r="G1451" t="b">
        <v>0</v>
      </c>
      <c r="H1451">
        <v>1</v>
      </c>
    </row>
    <row r="1452" spans="1:8" x14ac:dyDescent="0.25">
      <c r="A1452" t="s">
        <v>3453</v>
      </c>
      <c r="B1452" t="s">
        <v>3466</v>
      </c>
      <c r="C1452">
        <v>80.5</v>
      </c>
      <c r="D1452" t="s">
        <v>3249</v>
      </c>
      <c r="E1452" t="s">
        <v>1414</v>
      </c>
      <c r="F1452">
        <v>75</v>
      </c>
      <c r="G1452" t="b">
        <v>0</v>
      </c>
      <c r="H1452">
        <v>1</v>
      </c>
    </row>
    <row r="1453" spans="1:8" x14ac:dyDescent="0.25">
      <c r="A1453" t="s">
        <v>3453</v>
      </c>
      <c r="B1453" t="s">
        <v>3467</v>
      </c>
      <c r="C1453">
        <v>98.8</v>
      </c>
      <c r="D1453" t="s">
        <v>3249</v>
      </c>
      <c r="E1453" t="s">
        <v>1414</v>
      </c>
      <c r="F1453">
        <v>75</v>
      </c>
      <c r="G1453" t="b">
        <v>0</v>
      </c>
      <c r="H1453">
        <v>1</v>
      </c>
    </row>
    <row r="1454" spans="1:8" x14ac:dyDescent="0.25">
      <c r="A1454" t="s">
        <v>3453</v>
      </c>
      <c r="B1454" t="s">
        <v>3468</v>
      </c>
      <c r="C1454">
        <v>117.1</v>
      </c>
      <c r="D1454" t="s">
        <v>3249</v>
      </c>
      <c r="E1454" t="s">
        <v>1414</v>
      </c>
      <c r="F1454">
        <v>75</v>
      </c>
      <c r="G1454" t="b">
        <v>0</v>
      </c>
      <c r="H1454">
        <v>1</v>
      </c>
    </row>
    <row r="1455" spans="1:8" x14ac:dyDescent="0.25">
      <c r="A1455" t="s">
        <v>3453</v>
      </c>
      <c r="B1455" t="s">
        <v>3469</v>
      </c>
      <c r="C1455">
        <v>135.4</v>
      </c>
      <c r="D1455" t="s">
        <v>3249</v>
      </c>
      <c r="E1455" t="s">
        <v>1414</v>
      </c>
      <c r="F1455">
        <v>75</v>
      </c>
      <c r="G1455" t="b">
        <v>0</v>
      </c>
      <c r="H1455">
        <v>1</v>
      </c>
    </row>
    <row r="1456" spans="1:8" x14ac:dyDescent="0.25">
      <c r="A1456" t="s">
        <v>3453</v>
      </c>
      <c r="B1456" t="s">
        <v>3470</v>
      </c>
      <c r="C1456">
        <v>80.5</v>
      </c>
      <c r="D1456" t="s">
        <v>3249</v>
      </c>
      <c r="E1456" t="s">
        <v>1414</v>
      </c>
      <c r="F1456">
        <v>75</v>
      </c>
      <c r="G1456" t="b">
        <v>0</v>
      </c>
      <c r="H1456">
        <v>1</v>
      </c>
    </row>
    <row r="1457" spans="1:8" x14ac:dyDescent="0.25">
      <c r="A1457" t="s">
        <v>3453</v>
      </c>
      <c r="B1457" t="s">
        <v>3471</v>
      </c>
      <c r="C1457">
        <v>98.8</v>
      </c>
      <c r="D1457" t="s">
        <v>3249</v>
      </c>
      <c r="E1457" t="s">
        <v>1414</v>
      </c>
      <c r="F1457">
        <v>75</v>
      </c>
      <c r="G1457" t="b">
        <v>0</v>
      </c>
      <c r="H1457">
        <v>1</v>
      </c>
    </row>
    <row r="1458" spans="1:8" x14ac:dyDescent="0.25">
      <c r="A1458" t="s">
        <v>3453</v>
      </c>
      <c r="B1458" t="s">
        <v>3472</v>
      </c>
      <c r="C1458">
        <v>117.1</v>
      </c>
      <c r="D1458" t="s">
        <v>3249</v>
      </c>
      <c r="E1458" t="s">
        <v>1414</v>
      </c>
      <c r="F1458">
        <v>75</v>
      </c>
      <c r="G1458" t="b">
        <v>0</v>
      </c>
      <c r="H1458">
        <v>1</v>
      </c>
    </row>
    <row r="1459" spans="1:8" x14ac:dyDescent="0.25">
      <c r="A1459" t="s">
        <v>3453</v>
      </c>
      <c r="B1459" t="s">
        <v>3473</v>
      </c>
      <c r="C1459">
        <v>135.4</v>
      </c>
      <c r="D1459" t="s">
        <v>3249</v>
      </c>
      <c r="E1459" t="s">
        <v>1414</v>
      </c>
      <c r="F1459">
        <v>75</v>
      </c>
      <c r="G1459" t="b">
        <v>0</v>
      </c>
      <c r="H1459">
        <v>1</v>
      </c>
    </row>
    <row r="1460" spans="1:8" x14ac:dyDescent="0.25">
      <c r="A1460" t="s">
        <v>3453</v>
      </c>
      <c r="B1460" t="s">
        <v>3474</v>
      </c>
      <c r="C1460">
        <v>80.5</v>
      </c>
      <c r="D1460" t="s">
        <v>3249</v>
      </c>
      <c r="E1460" t="s">
        <v>1414</v>
      </c>
      <c r="F1460">
        <v>75</v>
      </c>
      <c r="G1460" t="b">
        <v>0</v>
      </c>
      <c r="H1460">
        <v>1</v>
      </c>
    </row>
    <row r="1461" spans="1:8" x14ac:dyDescent="0.25">
      <c r="A1461" t="s">
        <v>3453</v>
      </c>
      <c r="B1461" t="s">
        <v>3475</v>
      </c>
      <c r="C1461">
        <v>98.8</v>
      </c>
      <c r="D1461" t="s">
        <v>3249</v>
      </c>
      <c r="E1461" t="s">
        <v>1414</v>
      </c>
      <c r="F1461">
        <v>75</v>
      </c>
      <c r="G1461" t="b">
        <v>0</v>
      </c>
      <c r="H1461">
        <v>1</v>
      </c>
    </row>
    <row r="1462" spans="1:8" x14ac:dyDescent="0.25">
      <c r="A1462" t="s">
        <v>3453</v>
      </c>
      <c r="B1462" t="s">
        <v>3476</v>
      </c>
      <c r="C1462">
        <v>117.1</v>
      </c>
      <c r="D1462" t="s">
        <v>3249</v>
      </c>
      <c r="E1462" t="s">
        <v>1414</v>
      </c>
      <c r="F1462">
        <v>75</v>
      </c>
      <c r="G1462" t="b">
        <v>0</v>
      </c>
      <c r="H1462">
        <v>1</v>
      </c>
    </row>
    <row r="1463" spans="1:8" x14ac:dyDescent="0.25">
      <c r="A1463" t="s">
        <v>3453</v>
      </c>
      <c r="B1463" t="s">
        <v>3477</v>
      </c>
      <c r="C1463">
        <v>135.4</v>
      </c>
      <c r="D1463" t="s">
        <v>3249</v>
      </c>
      <c r="E1463" t="s">
        <v>1414</v>
      </c>
      <c r="F1463">
        <v>75</v>
      </c>
      <c r="G1463" t="b">
        <v>0</v>
      </c>
      <c r="H1463">
        <v>1</v>
      </c>
    </row>
    <row r="1464" spans="1:8" x14ac:dyDescent="0.25">
      <c r="A1464" t="s">
        <v>3453</v>
      </c>
      <c r="B1464" t="s">
        <v>3478</v>
      </c>
      <c r="C1464">
        <v>153.69999999999999</v>
      </c>
      <c r="D1464" t="s">
        <v>3249</v>
      </c>
      <c r="E1464" t="s">
        <v>1414</v>
      </c>
      <c r="F1464">
        <v>75</v>
      </c>
      <c r="G1464" t="b">
        <v>0</v>
      </c>
      <c r="H1464">
        <v>1</v>
      </c>
    </row>
    <row r="1465" spans="1:8" x14ac:dyDescent="0.25">
      <c r="A1465" t="s">
        <v>3453</v>
      </c>
      <c r="B1465" t="s">
        <v>3479</v>
      </c>
      <c r="C1465">
        <v>172</v>
      </c>
      <c r="D1465" t="s">
        <v>3249</v>
      </c>
      <c r="E1465" t="s">
        <v>1414</v>
      </c>
      <c r="F1465">
        <v>75</v>
      </c>
      <c r="G1465" t="b">
        <v>0</v>
      </c>
      <c r="H1465">
        <v>1</v>
      </c>
    </row>
    <row r="1466" spans="1:8" x14ac:dyDescent="0.25">
      <c r="A1466" t="s">
        <v>3453</v>
      </c>
      <c r="B1466" t="s">
        <v>3480</v>
      </c>
      <c r="C1466">
        <v>190.3</v>
      </c>
      <c r="D1466" t="s">
        <v>3249</v>
      </c>
      <c r="E1466" t="s">
        <v>1414</v>
      </c>
      <c r="F1466">
        <v>75</v>
      </c>
      <c r="G1466" t="b">
        <v>0</v>
      </c>
      <c r="H1466">
        <v>1</v>
      </c>
    </row>
    <row r="1467" spans="1:8" x14ac:dyDescent="0.25">
      <c r="A1467" t="s">
        <v>3453</v>
      </c>
      <c r="B1467" t="s">
        <v>3481</v>
      </c>
      <c r="C1467">
        <v>208.6</v>
      </c>
      <c r="D1467" t="s">
        <v>3249</v>
      </c>
      <c r="E1467" t="s">
        <v>1414</v>
      </c>
      <c r="F1467">
        <v>75</v>
      </c>
      <c r="G1467" t="b">
        <v>0</v>
      </c>
      <c r="H1467">
        <v>1</v>
      </c>
    </row>
    <row r="1468" spans="1:8" x14ac:dyDescent="0.25">
      <c r="A1468" t="s">
        <v>3453</v>
      </c>
      <c r="B1468" t="s">
        <v>3482</v>
      </c>
      <c r="C1468">
        <v>226.85</v>
      </c>
      <c r="D1468" t="s">
        <v>3249</v>
      </c>
      <c r="E1468" t="s">
        <v>1414</v>
      </c>
      <c r="F1468">
        <v>75</v>
      </c>
      <c r="G1468" t="b">
        <v>0</v>
      </c>
      <c r="H1468">
        <v>1</v>
      </c>
    </row>
    <row r="1469" spans="1:8" x14ac:dyDescent="0.25">
      <c r="A1469" t="s">
        <v>3453</v>
      </c>
      <c r="B1469" t="s">
        <v>3483</v>
      </c>
      <c r="C1469">
        <v>245.15</v>
      </c>
      <c r="D1469" t="s">
        <v>3249</v>
      </c>
      <c r="E1469" t="s">
        <v>1414</v>
      </c>
      <c r="F1469">
        <v>75</v>
      </c>
      <c r="G1469" t="b">
        <v>0</v>
      </c>
      <c r="H1469">
        <v>1</v>
      </c>
    </row>
    <row r="1470" spans="1:8" x14ac:dyDescent="0.25">
      <c r="A1470" t="s">
        <v>3453</v>
      </c>
      <c r="B1470" t="s">
        <v>3484</v>
      </c>
      <c r="C1470">
        <v>263.45</v>
      </c>
      <c r="D1470" t="s">
        <v>3249</v>
      </c>
      <c r="E1470" t="s">
        <v>1414</v>
      </c>
      <c r="F1470">
        <v>75</v>
      </c>
      <c r="G1470" t="b">
        <v>0</v>
      </c>
      <c r="H1470">
        <v>1</v>
      </c>
    </row>
    <row r="1471" spans="1:8" x14ac:dyDescent="0.25">
      <c r="A1471" t="s">
        <v>3453</v>
      </c>
      <c r="B1471" t="s">
        <v>3485</v>
      </c>
      <c r="C1471">
        <v>281.75</v>
      </c>
      <c r="D1471" t="s">
        <v>3249</v>
      </c>
      <c r="E1471" t="s">
        <v>1414</v>
      </c>
      <c r="F1471">
        <v>75</v>
      </c>
      <c r="G1471" t="b">
        <v>0</v>
      </c>
      <c r="H1471">
        <v>1</v>
      </c>
    </row>
    <row r="1472" spans="1:8" x14ac:dyDescent="0.25">
      <c r="A1472" t="s">
        <v>3453</v>
      </c>
      <c r="B1472" t="s">
        <v>3486</v>
      </c>
      <c r="C1472">
        <v>300.05</v>
      </c>
      <c r="D1472" t="s">
        <v>3249</v>
      </c>
      <c r="E1472" t="s">
        <v>1414</v>
      </c>
      <c r="F1472">
        <v>75</v>
      </c>
      <c r="G1472" t="b">
        <v>0</v>
      </c>
      <c r="H1472">
        <v>1</v>
      </c>
    </row>
    <row r="1473" spans="1:8" x14ac:dyDescent="0.25">
      <c r="A1473" t="s">
        <v>3453</v>
      </c>
      <c r="B1473" t="s">
        <v>3487</v>
      </c>
      <c r="C1473">
        <v>153.69999999999999</v>
      </c>
      <c r="D1473" t="s">
        <v>3249</v>
      </c>
      <c r="E1473" t="s">
        <v>1414</v>
      </c>
      <c r="F1473">
        <v>75</v>
      </c>
      <c r="G1473" t="b">
        <v>0</v>
      </c>
      <c r="H1473">
        <v>1</v>
      </c>
    </row>
    <row r="1474" spans="1:8" x14ac:dyDescent="0.25">
      <c r="A1474" t="s">
        <v>3453</v>
      </c>
      <c r="B1474" t="s">
        <v>3488</v>
      </c>
      <c r="C1474">
        <v>172</v>
      </c>
      <c r="D1474" t="s">
        <v>3249</v>
      </c>
      <c r="E1474" t="s">
        <v>1414</v>
      </c>
      <c r="F1474">
        <v>75</v>
      </c>
      <c r="G1474" t="b">
        <v>0</v>
      </c>
      <c r="H1474">
        <v>1</v>
      </c>
    </row>
    <row r="1475" spans="1:8" x14ac:dyDescent="0.25">
      <c r="A1475" t="s">
        <v>3453</v>
      </c>
      <c r="B1475" t="s">
        <v>3489</v>
      </c>
      <c r="C1475">
        <v>190.3</v>
      </c>
      <c r="D1475" t="s">
        <v>3249</v>
      </c>
      <c r="E1475" t="s">
        <v>1414</v>
      </c>
      <c r="F1475">
        <v>75</v>
      </c>
      <c r="G1475" t="b">
        <v>0</v>
      </c>
      <c r="H1475">
        <v>1</v>
      </c>
    </row>
    <row r="1476" spans="1:8" x14ac:dyDescent="0.25">
      <c r="A1476" t="s">
        <v>3453</v>
      </c>
      <c r="B1476" t="s">
        <v>3490</v>
      </c>
      <c r="C1476">
        <v>208.6</v>
      </c>
      <c r="D1476" t="s">
        <v>3249</v>
      </c>
      <c r="E1476" t="s">
        <v>1414</v>
      </c>
      <c r="F1476">
        <v>75</v>
      </c>
      <c r="G1476" t="b">
        <v>0</v>
      </c>
      <c r="H1476">
        <v>1</v>
      </c>
    </row>
    <row r="1477" spans="1:8" x14ac:dyDescent="0.25">
      <c r="A1477" t="s">
        <v>3453</v>
      </c>
      <c r="B1477" t="s">
        <v>3491</v>
      </c>
      <c r="C1477">
        <v>226.85</v>
      </c>
      <c r="D1477" t="s">
        <v>3249</v>
      </c>
      <c r="E1477" t="s">
        <v>1414</v>
      </c>
      <c r="F1477">
        <v>75</v>
      </c>
      <c r="G1477" t="b">
        <v>0</v>
      </c>
      <c r="H1477">
        <v>1</v>
      </c>
    </row>
    <row r="1478" spans="1:8" x14ac:dyDescent="0.25">
      <c r="A1478" t="s">
        <v>3453</v>
      </c>
      <c r="B1478" t="s">
        <v>3492</v>
      </c>
      <c r="C1478">
        <v>245.15</v>
      </c>
      <c r="D1478" t="s">
        <v>3249</v>
      </c>
      <c r="E1478" t="s">
        <v>1414</v>
      </c>
      <c r="F1478">
        <v>75</v>
      </c>
      <c r="G1478" t="b">
        <v>0</v>
      </c>
      <c r="H1478">
        <v>1</v>
      </c>
    </row>
    <row r="1479" spans="1:8" x14ac:dyDescent="0.25">
      <c r="A1479" t="s">
        <v>3453</v>
      </c>
      <c r="B1479" t="s">
        <v>3493</v>
      </c>
      <c r="C1479">
        <v>263.45</v>
      </c>
      <c r="D1479" t="s">
        <v>3249</v>
      </c>
      <c r="E1479" t="s">
        <v>1414</v>
      </c>
      <c r="F1479">
        <v>75</v>
      </c>
      <c r="G1479" t="b">
        <v>0</v>
      </c>
      <c r="H1479">
        <v>1</v>
      </c>
    </row>
    <row r="1480" spans="1:8" x14ac:dyDescent="0.25">
      <c r="A1480" t="s">
        <v>3453</v>
      </c>
      <c r="B1480" t="s">
        <v>3494</v>
      </c>
      <c r="C1480">
        <v>281.75</v>
      </c>
      <c r="D1480" t="s">
        <v>3249</v>
      </c>
      <c r="E1480" t="s">
        <v>1414</v>
      </c>
      <c r="F1480">
        <v>75</v>
      </c>
      <c r="G1480" t="b">
        <v>0</v>
      </c>
      <c r="H1480">
        <v>1</v>
      </c>
    </row>
    <row r="1481" spans="1:8" x14ac:dyDescent="0.25">
      <c r="A1481" t="s">
        <v>3453</v>
      </c>
      <c r="B1481" t="s">
        <v>3495</v>
      </c>
      <c r="C1481">
        <v>300.05</v>
      </c>
      <c r="D1481" t="s">
        <v>3249</v>
      </c>
      <c r="E1481" t="s">
        <v>1414</v>
      </c>
      <c r="F1481">
        <v>75</v>
      </c>
      <c r="G1481" t="b">
        <v>0</v>
      </c>
      <c r="H1481">
        <v>1</v>
      </c>
    </row>
    <row r="1482" spans="1:8" x14ac:dyDescent="0.25">
      <c r="A1482" t="s">
        <v>3453</v>
      </c>
      <c r="B1482" t="s">
        <v>3496</v>
      </c>
      <c r="C1482">
        <v>153.69999999999999</v>
      </c>
      <c r="D1482" t="s">
        <v>3249</v>
      </c>
      <c r="E1482" t="s">
        <v>1414</v>
      </c>
      <c r="F1482">
        <v>75</v>
      </c>
      <c r="G1482" t="b">
        <v>0</v>
      </c>
      <c r="H1482">
        <v>1</v>
      </c>
    </row>
    <row r="1483" spans="1:8" x14ac:dyDescent="0.25">
      <c r="A1483" t="s">
        <v>3453</v>
      </c>
      <c r="B1483" t="s">
        <v>3497</v>
      </c>
      <c r="C1483">
        <v>172</v>
      </c>
      <c r="D1483" t="s">
        <v>3249</v>
      </c>
      <c r="E1483" t="s">
        <v>1414</v>
      </c>
      <c r="F1483">
        <v>75</v>
      </c>
      <c r="G1483" t="b">
        <v>0</v>
      </c>
      <c r="H1483">
        <v>1</v>
      </c>
    </row>
    <row r="1484" spans="1:8" x14ac:dyDescent="0.25">
      <c r="A1484" t="s">
        <v>3453</v>
      </c>
      <c r="B1484" t="s">
        <v>3498</v>
      </c>
      <c r="C1484">
        <v>190.3</v>
      </c>
      <c r="D1484" t="s">
        <v>3249</v>
      </c>
      <c r="E1484" t="s">
        <v>1414</v>
      </c>
      <c r="F1484">
        <v>75</v>
      </c>
      <c r="G1484" t="b">
        <v>0</v>
      </c>
      <c r="H1484">
        <v>1</v>
      </c>
    </row>
    <row r="1485" spans="1:8" x14ac:dyDescent="0.25">
      <c r="A1485" t="s">
        <v>3453</v>
      </c>
      <c r="B1485" t="s">
        <v>3499</v>
      </c>
      <c r="C1485">
        <v>208.6</v>
      </c>
      <c r="D1485" t="s">
        <v>3249</v>
      </c>
      <c r="E1485" t="s">
        <v>1414</v>
      </c>
      <c r="F1485">
        <v>75</v>
      </c>
      <c r="G1485" t="b">
        <v>0</v>
      </c>
      <c r="H1485">
        <v>1</v>
      </c>
    </row>
    <row r="1486" spans="1:8" x14ac:dyDescent="0.25">
      <c r="A1486" t="s">
        <v>3453</v>
      </c>
      <c r="B1486" t="s">
        <v>3500</v>
      </c>
      <c r="C1486">
        <v>226.85</v>
      </c>
      <c r="D1486" t="s">
        <v>3249</v>
      </c>
      <c r="E1486" t="s">
        <v>1414</v>
      </c>
      <c r="F1486">
        <v>75</v>
      </c>
      <c r="G1486" t="b">
        <v>0</v>
      </c>
      <c r="H1486">
        <v>1</v>
      </c>
    </row>
    <row r="1487" spans="1:8" x14ac:dyDescent="0.25">
      <c r="A1487" t="s">
        <v>3453</v>
      </c>
      <c r="B1487" t="s">
        <v>3501</v>
      </c>
      <c r="C1487">
        <v>245.15</v>
      </c>
      <c r="D1487" t="s">
        <v>3249</v>
      </c>
      <c r="E1487" t="s">
        <v>1414</v>
      </c>
      <c r="F1487">
        <v>75</v>
      </c>
      <c r="G1487" t="b">
        <v>0</v>
      </c>
      <c r="H1487">
        <v>1</v>
      </c>
    </row>
    <row r="1488" spans="1:8" x14ac:dyDescent="0.25">
      <c r="A1488" t="s">
        <v>3453</v>
      </c>
      <c r="B1488" t="s">
        <v>3502</v>
      </c>
      <c r="C1488">
        <v>263.45</v>
      </c>
      <c r="D1488" t="s">
        <v>3249</v>
      </c>
      <c r="E1488" t="s">
        <v>1414</v>
      </c>
      <c r="F1488">
        <v>75</v>
      </c>
      <c r="G1488" t="b">
        <v>0</v>
      </c>
      <c r="H1488">
        <v>1</v>
      </c>
    </row>
    <row r="1489" spans="1:8" x14ac:dyDescent="0.25">
      <c r="A1489" t="s">
        <v>3453</v>
      </c>
      <c r="B1489" t="s">
        <v>3503</v>
      </c>
      <c r="C1489">
        <v>281.75</v>
      </c>
      <c r="D1489" t="s">
        <v>3249</v>
      </c>
      <c r="E1489" t="s">
        <v>1414</v>
      </c>
      <c r="F1489">
        <v>75</v>
      </c>
      <c r="G1489" t="b">
        <v>0</v>
      </c>
      <c r="H1489">
        <v>1</v>
      </c>
    </row>
    <row r="1490" spans="1:8" x14ac:dyDescent="0.25">
      <c r="A1490" t="s">
        <v>3453</v>
      </c>
      <c r="B1490" t="s">
        <v>3504</v>
      </c>
      <c r="C1490">
        <v>300.05</v>
      </c>
      <c r="D1490" t="s">
        <v>3249</v>
      </c>
      <c r="E1490" t="s">
        <v>1414</v>
      </c>
      <c r="F1490">
        <v>75</v>
      </c>
      <c r="G1490" t="b">
        <v>0</v>
      </c>
      <c r="H1490">
        <v>1</v>
      </c>
    </row>
    <row r="1491" spans="1:8" x14ac:dyDescent="0.25">
      <c r="A1491" t="s">
        <v>3453</v>
      </c>
      <c r="B1491" t="s">
        <v>3505</v>
      </c>
      <c r="C1491">
        <v>153.69999999999999</v>
      </c>
      <c r="D1491" t="s">
        <v>3249</v>
      </c>
      <c r="E1491" t="s">
        <v>1414</v>
      </c>
      <c r="F1491">
        <v>75</v>
      </c>
      <c r="G1491" t="b">
        <v>0</v>
      </c>
      <c r="H1491">
        <v>1</v>
      </c>
    </row>
    <row r="1492" spans="1:8" x14ac:dyDescent="0.25">
      <c r="A1492" t="s">
        <v>3453</v>
      </c>
      <c r="B1492" t="s">
        <v>3506</v>
      </c>
      <c r="C1492">
        <v>172</v>
      </c>
      <c r="D1492" t="s">
        <v>3249</v>
      </c>
      <c r="E1492" t="s">
        <v>1414</v>
      </c>
      <c r="F1492">
        <v>75</v>
      </c>
      <c r="G1492" t="b">
        <v>0</v>
      </c>
      <c r="H1492">
        <v>1</v>
      </c>
    </row>
    <row r="1493" spans="1:8" x14ac:dyDescent="0.25">
      <c r="A1493" t="s">
        <v>3453</v>
      </c>
      <c r="B1493" t="s">
        <v>3507</v>
      </c>
      <c r="C1493">
        <v>190.3</v>
      </c>
      <c r="D1493" t="s">
        <v>3249</v>
      </c>
      <c r="E1493" t="s">
        <v>1414</v>
      </c>
      <c r="F1493">
        <v>75</v>
      </c>
      <c r="G1493" t="b">
        <v>0</v>
      </c>
      <c r="H1493">
        <v>1</v>
      </c>
    </row>
    <row r="1494" spans="1:8" x14ac:dyDescent="0.25">
      <c r="A1494" t="s">
        <v>3453</v>
      </c>
      <c r="B1494" t="s">
        <v>3508</v>
      </c>
      <c r="C1494">
        <v>208.6</v>
      </c>
      <c r="D1494" t="s">
        <v>3249</v>
      </c>
      <c r="E1494" t="s">
        <v>1414</v>
      </c>
      <c r="F1494">
        <v>75</v>
      </c>
      <c r="G1494" t="b">
        <v>0</v>
      </c>
      <c r="H1494">
        <v>1</v>
      </c>
    </row>
    <row r="1495" spans="1:8" x14ac:dyDescent="0.25">
      <c r="A1495" t="s">
        <v>3453</v>
      </c>
      <c r="B1495" t="s">
        <v>3509</v>
      </c>
      <c r="C1495">
        <v>226.85</v>
      </c>
      <c r="D1495" t="s">
        <v>3249</v>
      </c>
      <c r="E1495" t="s">
        <v>1414</v>
      </c>
      <c r="F1495">
        <v>75</v>
      </c>
      <c r="G1495" t="b">
        <v>0</v>
      </c>
      <c r="H1495">
        <v>1</v>
      </c>
    </row>
    <row r="1496" spans="1:8" x14ac:dyDescent="0.25">
      <c r="A1496" t="s">
        <v>3453</v>
      </c>
      <c r="B1496" t="s">
        <v>3510</v>
      </c>
      <c r="C1496">
        <v>245.15</v>
      </c>
      <c r="D1496" t="s">
        <v>3249</v>
      </c>
      <c r="E1496" t="s">
        <v>1414</v>
      </c>
      <c r="F1496">
        <v>75</v>
      </c>
      <c r="G1496" t="b">
        <v>0</v>
      </c>
      <c r="H1496">
        <v>1</v>
      </c>
    </row>
    <row r="1497" spans="1:8" x14ac:dyDescent="0.25">
      <c r="A1497" t="s">
        <v>3453</v>
      </c>
      <c r="B1497" t="s">
        <v>3511</v>
      </c>
      <c r="C1497">
        <v>263.45</v>
      </c>
      <c r="D1497" t="s">
        <v>3249</v>
      </c>
      <c r="E1497" t="s">
        <v>1414</v>
      </c>
      <c r="F1497">
        <v>75</v>
      </c>
      <c r="G1497" t="b">
        <v>0</v>
      </c>
      <c r="H1497">
        <v>1</v>
      </c>
    </row>
    <row r="1498" spans="1:8" x14ac:dyDescent="0.25">
      <c r="A1498" t="s">
        <v>3453</v>
      </c>
      <c r="B1498" t="s">
        <v>3512</v>
      </c>
      <c r="C1498">
        <v>281.75</v>
      </c>
      <c r="D1498" t="s">
        <v>3249</v>
      </c>
      <c r="E1498" t="s">
        <v>1414</v>
      </c>
      <c r="F1498">
        <v>75</v>
      </c>
      <c r="G1498" t="b">
        <v>0</v>
      </c>
      <c r="H1498">
        <v>1</v>
      </c>
    </row>
    <row r="1499" spans="1:8" x14ac:dyDescent="0.25">
      <c r="A1499" t="s">
        <v>3453</v>
      </c>
      <c r="B1499" t="s">
        <v>3513</v>
      </c>
      <c r="C1499">
        <v>300.05</v>
      </c>
      <c r="D1499" t="s">
        <v>3249</v>
      </c>
      <c r="E1499" t="s">
        <v>1414</v>
      </c>
      <c r="F1499">
        <v>75</v>
      </c>
      <c r="G1499" t="b">
        <v>0</v>
      </c>
      <c r="H1499">
        <v>1</v>
      </c>
    </row>
    <row r="1500" spans="1:8" x14ac:dyDescent="0.25">
      <c r="A1500" t="s">
        <v>3453</v>
      </c>
      <c r="B1500" t="s">
        <v>3514</v>
      </c>
      <c r="C1500">
        <v>318.35000000000002</v>
      </c>
      <c r="D1500" t="s">
        <v>3249</v>
      </c>
      <c r="E1500" t="s">
        <v>1414</v>
      </c>
      <c r="F1500">
        <v>75</v>
      </c>
      <c r="G1500" t="b">
        <v>0</v>
      </c>
      <c r="H1500">
        <v>1</v>
      </c>
    </row>
    <row r="1501" spans="1:8" x14ac:dyDescent="0.25">
      <c r="A1501" t="s">
        <v>3453</v>
      </c>
      <c r="B1501" t="s">
        <v>3515</v>
      </c>
      <c r="C1501">
        <v>336.65</v>
      </c>
      <c r="D1501" t="s">
        <v>3249</v>
      </c>
      <c r="E1501" t="s">
        <v>1414</v>
      </c>
      <c r="F1501">
        <v>75</v>
      </c>
      <c r="G1501" t="b">
        <v>0</v>
      </c>
      <c r="H1501">
        <v>1</v>
      </c>
    </row>
    <row r="1502" spans="1:8" x14ac:dyDescent="0.25">
      <c r="A1502" t="s">
        <v>3453</v>
      </c>
      <c r="B1502" t="s">
        <v>3516</v>
      </c>
      <c r="C1502">
        <v>354.95</v>
      </c>
      <c r="D1502" t="s">
        <v>3249</v>
      </c>
      <c r="E1502" t="s">
        <v>1414</v>
      </c>
      <c r="F1502">
        <v>75</v>
      </c>
      <c r="G1502" t="b">
        <v>0</v>
      </c>
      <c r="H1502">
        <v>1</v>
      </c>
    </row>
    <row r="1503" spans="1:8" x14ac:dyDescent="0.25">
      <c r="A1503" t="s">
        <v>3453</v>
      </c>
      <c r="B1503" t="s">
        <v>3517</v>
      </c>
      <c r="C1503">
        <v>373.25</v>
      </c>
      <c r="D1503" t="s">
        <v>3249</v>
      </c>
      <c r="E1503" t="s">
        <v>1414</v>
      </c>
      <c r="F1503">
        <v>75</v>
      </c>
      <c r="G1503" t="b">
        <v>0</v>
      </c>
      <c r="H1503">
        <v>1</v>
      </c>
    </row>
    <row r="1504" spans="1:8" x14ac:dyDescent="0.25">
      <c r="A1504" t="s">
        <v>3453</v>
      </c>
      <c r="B1504" t="s">
        <v>3518</v>
      </c>
      <c r="C1504">
        <v>391.5</v>
      </c>
      <c r="D1504" t="s">
        <v>3249</v>
      </c>
      <c r="E1504" t="s">
        <v>1414</v>
      </c>
      <c r="F1504">
        <v>75</v>
      </c>
      <c r="G1504" t="b">
        <v>0</v>
      </c>
      <c r="H1504">
        <v>1</v>
      </c>
    </row>
    <row r="1505" spans="1:8" x14ac:dyDescent="0.25">
      <c r="A1505" t="s">
        <v>3453</v>
      </c>
      <c r="B1505" t="s">
        <v>3519</v>
      </c>
      <c r="C1505">
        <v>409.85</v>
      </c>
      <c r="D1505" t="s">
        <v>3249</v>
      </c>
      <c r="E1505" t="s">
        <v>1414</v>
      </c>
      <c r="F1505">
        <v>75</v>
      </c>
      <c r="G1505" t="b">
        <v>0</v>
      </c>
      <c r="H1505">
        <v>1</v>
      </c>
    </row>
    <row r="1506" spans="1:8" x14ac:dyDescent="0.25">
      <c r="A1506" t="s">
        <v>3453</v>
      </c>
      <c r="B1506" t="s">
        <v>3520</v>
      </c>
      <c r="C1506">
        <v>428.15</v>
      </c>
      <c r="D1506" t="s">
        <v>3249</v>
      </c>
      <c r="E1506" t="s">
        <v>1414</v>
      </c>
      <c r="F1506">
        <v>75</v>
      </c>
      <c r="G1506" t="b">
        <v>0</v>
      </c>
      <c r="H1506">
        <v>1</v>
      </c>
    </row>
    <row r="1507" spans="1:8" x14ac:dyDescent="0.25">
      <c r="A1507" t="s">
        <v>3453</v>
      </c>
      <c r="B1507" t="s">
        <v>3521</v>
      </c>
      <c r="C1507">
        <v>446.4</v>
      </c>
      <c r="D1507" t="s">
        <v>3249</v>
      </c>
      <c r="E1507" t="s">
        <v>1414</v>
      </c>
      <c r="F1507">
        <v>75</v>
      </c>
      <c r="G1507" t="b">
        <v>0</v>
      </c>
      <c r="H1507">
        <v>1</v>
      </c>
    </row>
    <row r="1508" spans="1:8" x14ac:dyDescent="0.25">
      <c r="A1508" t="s">
        <v>3453</v>
      </c>
      <c r="B1508" t="s">
        <v>3522</v>
      </c>
      <c r="C1508">
        <v>318.35000000000002</v>
      </c>
      <c r="D1508" t="s">
        <v>3249</v>
      </c>
      <c r="E1508" t="s">
        <v>1414</v>
      </c>
      <c r="F1508">
        <v>75</v>
      </c>
      <c r="G1508" t="b">
        <v>0</v>
      </c>
      <c r="H1508">
        <v>1</v>
      </c>
    </row>
    <row r="1509" spans="1:8" x14ac:dyDescent="0.25">
      <c r="A1509" t="s">
        <v>3453</v>
      </c>
      <c r="B1509" t="s">
        <v>3523</v>
      </c>
      <c r="C1509">
        <v>336.65</v>
      </c>
      <c r="D1509" t="s">
        <v>3249</v>
      </c>
      <c r="E1509" t="s">
        <v>1414</v>
      </c>
      <c r="F1509">
        <v>75</v>
      </c>
      <c r="G1509" t="b">
        <v>0</v>
      </c>
      <c r="H1509">
        <v>1</v>
      </c>
    </row>
    <row r="1510" spans="1:8" x14ac:dyDescent="0.25">
      <c r="A1510" t="s">
        <v>3453</v>
      </c>
      <c r="B1510" t="s">
        <v>3524</v>
      </c>
      <c r="C1510">
        <v>354.95</v>
      </c>
      <c r="D1510" t="s">
        <v>3249</v>
      </c>
      <c r="E1510" t="s">
        <v>1414</v>
      </c>
      <c r="F1510">
        <v>75</v>
      </c>
      <c r="G1510" t="b">
        <v>0</v>
      </c>
      <c r="H1510">
        <v>1</v>
      </c>
    </row>
    <row r="1511" spans="1:8" x14ac:dyDescent="0.25">
      <c r="A1511" t="s">
        <v>3453</v>
      </c>
      <c r="B1511" t="s">
        <v>3525</v>
      </c>
      <c r="C1511">
        <v>373.25</v>
      </c>
      <c r="D1511" t="s">
        <v>3249</v>
      </c>
      <c r="E1511" t="s">
        <v>1414</v>
      </c>
      <c r="F1511">
        <v>75</v>
      </c>
      <c r="G1511" t="b">
        <v>0</v>
      </c>
      <c r="H1511">
        <v>1</v>
      </c>
    </row>
    <row r="1512" spans="1:8" x14ac:dyDescent="0.25">
      <c r="A1512" t="s">
        <v>3453</v>
      </c>
      <c r="B1512" t="s">
        <v>3526</v>
      </c>
      <c r="C1512">
        <v>391.5</v>
      </c>
      <c r="D1512" t="s">
        <v>3249</v>
      </c>
      <c r="E1512" t="s">
        <v>1414</v>
      </c>
      <c r="F1512">
        <v>75</v>
      </c>
      <c r="G1512" t="b">
        <v>0</v>
      </c>
      <c r="H1512">
        <v>1</v>
      </c>
    </row>
    <row r="1513" spans="1:8" x14ac:dyDescent="0.25">
      <c r="A1513" t="s">
        <v>3453</v>
      </c>
      <c r="B1513" t="s">
        <v>3527</v>
      </c>
      <c r="C1513">
        <v>409.85</v>
      </c>
      <c r="D1513" t="s">
        <v>3249</v>
      </c>
      <c r="E1513" t="s">
        <v>1414</v>
      </c>
      <c r="F1513">
        <v>75</v>
      </c>
      <c r="G1513" t="b">
        <v>0</v>
      </c>
      <c r="H1513">
        <v>1</v>
      </c>
    </row>
    <row r="1514" spans="1:8" x14ac:dyDescent="0.25">
      <c r="A1514" t="s">
        <v>3453</v>
      </c>
      <c r="B1514" t="s">
        <v>3528</v>
      </c>
      <c r="C1514">
        <v>428.15</v>
      </c>
      <c r="D1514" t="s">
        <v>3249</v>
      </c>
      <c r="E1514" t="s">
        <v>1414</v>
      </c>
      <c r="F1514">
        <v>75</v>
      </c>
      <c r="G1514" t="b">
        <v>0</v>
      </c>
      <c r="H1514">
        <v>1</v>
      </c>
    </row>
    <row r="1515" spans="1:8" x14ac:dyDescent="0.25">
      <c r="A1515" t="s">
        <v>3453</v>
      </c>
      <c r="B1515" t="s">
        <v>3529</v>
      </c>
      <c r="C1515">
        <v>446.4</v>
      </c>
      <c r="D1515" t="s">
        <v>3249</v>
      </c>
      <c r="E1515" t="s">
        <v>1414</v>
      </c>
      <c r="F1515">
        <v>75</v>
      </c>
      <c r="G1515" t="b">
        <v>0</v>
      </c>
      <c r="H1515">
        <v>1</v>
      </c>
    </row>
    <row r="1516" spans="1:8" x14ac:dyDescent="0.25">
      <c r="A1516" t="s">
        <v>3453</v>
      </c>
      <c r="B1516" t="s">
        <v>3530</v>
      </c>
      <c r="C1516">
        <v>318.35000000000002</v>
      </c>
      <c r="D1516" t="s">
        <v>3249</v>
      </c>
      <c r="E1516" t="s">
        <v>1414</v>
      </c>
      <c r="F1516">
        <v>75</v>
      </c>
      <c r="G1516" t="b">
        <v>0</v>
      </c>
      <c r="H1516">
        <v>1</v>
      </c>
    </row>
    <row r="1517" spans="1:8" x14ac:dyDescent="0.25">
      <c r="A1517" t="s">
        <v>3453</v>
      </c>
      <c r="B1517" t="s">
        <v>3531</v>
      </c>
      <c r="C1517">
        <v>336.65</v>
      </c>
      <c r="D1517" t="s">
        <v>3249</v>
      </c>
      <c r="E1517" t="s">
        <v>1414</v>
      </c>
      <c r="F1517">
        <v>75</v>
      </c>
      <c r="G1517" t="b">
        <v>0</v>
      </c>
      <c r="H1517">
        <v>1</v>
      </c>
    </row>
    <row r="1518" spans="1:8" x14ac:dyDescent="0.25">
      <c r="A1518" t="s">
        <v>3453</v>
      </c>
      <c r="B1518" t="s">
        <v>3532</v>
      </c>
      <c r="C1518">
        <v>354.95</v>
      </c>
      <c r="D1518" t="s">
        <v>3249</v>
      </c>
      <c r="E1518" t="s">
        <v>1414</v>
      </c>
      <c r="F1518">
        <v>75</v>
      </c>
      <c r="G1518" t="b">
        <v>0</v>
      </c>
      <c r="H1518">
        <v>1</v>
      </c>
    </row>
    <row r="1519" spans="1:8" x14ac:dyDescent="0.25">
      <c r="A1519" t="s">
        <v>3453</v>
      </c>
      <c r="B1519" t="s">
        <v>3533</v>
      </c>
      <c r="C1519">
        <v>373.25</v>
      </c>
      <c r="D1519" t="s">
        <v>3249</v>
      </c>
      <c r="E1519" t="s">
        <v>1414</v>
      </c>
      <c r="F1519">
        <v>75</v>
      </c>
      <c r="G1519" t="b">
        <v>0</v>
      </c>
      <c r="H1519">
        <v>1</v>
      </c>
    </row>
    <row r="1520" spans="1:8" x14ac:dyDescent="0.25">
      <c r="A1520" t="s">
        <v>3453</v>
      </c>
      <c r="B1520" t="s">
        <v>3534</v>
      </c>
      <c r="C1520">
        <v>391.5</v>
      </c>
      <c r="D1520" t="s">
        <v>3249</v>
      </c>
      <c r="E1520" t="s">
        <v>1414</v>
      </c>
      <c r="F1520">
        <v>75</v>
      </c>
      <c r="G1520" t="b">
        <v>0</v>
      </c>
      <c r="H1520">
        <v>1</v>
      </c>
    </row>
    <row r="1521" spans="1:8" x14ac:dyDescent="0.25">
      <c r="A1521" t="s">
        <v>3453</v>
      </c>
      <c r="B1521" t="s">
        <v>3535</v>
      </c>
      <c r="C1521">
        <v>409.85</v>
      </c>
      <c r="D1521" t="s">
        <v>3249</v>
      </c>
      <c r="E1521" t="s">
        <v>1414</v>
      </c>
      <c r="F1521">
        <v>75</v>
      </c>
      <c r="G1521" t="b">
        <v>0</v>
      </c>
      <c r="H1521">
        <v>1</v>
      </c>
    </row>
    <row r="1522" spans="1:8" x14ac:dyDescent="0.25">
      <c r="A1522" t="s">
        <v>3453</v>
      </c>
      <c r="B1522" t="s">
        <v>3536</v>
      </c>
      <c r="C1522">
        <v>428.15</v>
      </c>
      <c r="D1522" t="s">
        <v>3249</v>
      </c>
      <c r="E1522" t="s">
        <v>1414</v>
      </c>
      <c r="F1522">
        <v>75</v>
      </c>
      <c r="G1522" t="b">
        <v>0</v>
      </c>
      <c r="H1522">
        <v>1</v>
      </c>
    </row>
    <row r="1523" spans="1:8" x14ac:dyDescent="0.25">
      <c r="A1523" t="s">
        <v>3453</v>
      </c>
      <c r="B1523" t="s">
        <v>3537</v>
      </c>
      <c r="C1523">
        <v>446.4</v>
      </c>
      <c r="D1523" t="s">
        <v>3249</v>
      </c>
      <c r="E1523" t="s">
        <v>1414</v>
      </c>
      <c r="F1523">
        <v>75</v>
      </c>
      <c r="G1523" t="b">
        <v>0</v>
      </c>
      <c r="H1523">
        <v>1</v>
      </c>
    </row>
    <row r="1524" spans="1:8" x14ac:dyDescent="0.25">
      <c r="A1524" t="s">
        <v>3453</v>
      </c>
      <c r="B1524" t="s">
        <v>3538</v>
      </c>
      <c r="C1524">
        <v>318.35000000000002</v>
      </c>
      <c r="D1524" t="s">
        <v>3249</v>
      </c>
      <c r="E1524" t="s">
        <v>1414</v>
      </c>
      <c r="F1524">
        <v>75</v>
      </c>
      <c r="G1524" t="b">
        <v>0</v>
      </c>
      <c r="H1524">
        <v>1</v>
      </c>
    </row>
    <row r="1525" spans="1:8" x14ac:dyDescent="0.25">
      <c r="A1525" t="s">
        <v>3453</v>
      </c>
      <c r="B1525" t="s">
        <v>3539</v>
      </c>
      <c r="C1525">
        <v>336.65</v>
      </c>
      <c r="D1525" t="s">
        <v>3249</v>
      </c>
      <c r="E1525" t="s">
        <v>1414</v>
      </c>
      <c r="F1525">
        <v>75</v>
      </c>
      <c r="G1525" t="b">
        <v>0</v>
      </c>
      <c r="H1525">
        <v>1</v>
      </c>
    </row>
    <row r="1526" spans="1:8" x14ac:dyDescent="0.25">
      <c r="A1526" t="s">
        <v>3453</v>
      </c>
      <c r="B1526" t="s">
        <v>3540</v>
      </c>
      <c r="C1526">
        <v>354.95</v>
      </c>
      <c r="D1526" t="s">
        <v>3249</v>
      </c>
      <c r="E1526" t="s">
        <v>1414</v>
      </c>
      <c r="F1526">
        <v>75</v>
      </c>
      <c r="G1526" t="b">
        <v>0</v>
      </c>
      <c r="H1526">
        <v>1</v>
      </c>
    </row>
    <row r="1527" spans="1:8" x14ac:dyDescent="0.25">
      <c r="A1527" t="s">
        <v>3453</v>
      </c>
      <c r="B1527" t="s">
        <v>3541</v>
      </c>
      <c r="C1527">
        <v>373.25</v>
      </c>
      <c r="D1527" t="s">
        <v>3249</v>
      </c>
      <c r="E1527" t="s">
        <v>1414</v>
      </c>
      <c r="F1527">
        <v>75</v>
      </c>
      <c r="G1527" t="b">
        <v>0</v>
      </c>
      <c r="H1527">
        <v>1</v>
      </c>
    </row>
    <row r="1528" spans="1:8" x14ac:dyDescent="0.25">
      <c r="A1528" t="s">
        <v>3453</v>
      </c>
      <c r="B1528" t="s">
        <v>3542</v>
      </c>
      <c r="C1528">
        <v>391.5</v>
      </c>
      <c r="D1528" t="s">
        <v>3249</v>
      </c>
      <c r="E1528" t="s">
        <v>1414</v>
      </c>
      <c r="F1528">
        <v>75</v>
      </c>
      <c r="G1528" t="b">
        <v>0</v>
      </c>
      <c r="H1528">
        <v>1</v>
      </c>
    </row>
    <row r="1529" spans="1:8" x14ac:dyDescent="0.25">
      <c r="A1529" t="s">
        <v>3453</v>
      </c>
      <c r="B1529" t="s">
        <v>3543</v>
      </c>
      <c r="C1529">
        <v>409.85</v>
      </c>
      <c r="D1529" t="s">
        <v>3249</v>
      </c>
      <c r="E1529" t="s">
        <v>1414</v>
      </c>
      <c r="F1529">
        <v>75</v>
      </c>
      <c r="G1529" t="b">
        <v>0</v>
      </c>
      <c r="H1529">
        <v>1</v>
      </c>
    </row>
    <row r="1530" spans="1:8" x14ac:dyDescent="0.25">
      <c r="A1530" t="s">
        <v>3453</v>
      </c>
      <c r="B1530" t="s">
        <v>3544</v>
      </c>
      <c r="C1530">
        <v>428.15</v>
      </c>
      <c r="D1530" t="s">
        <v>3249</v>
      </c>
      <c r="E1530" t="s">
        <v>1414</v>
      </c>
      <c r="F1530">
        <v>75</v>
      </c>
      <c r="G1530" t="b">
        <v>0</v>
      </c>
      <c r="H1530">
        <v>1</v>
      </c>
    </row>
    <row r="1531" spans="1:8" x14ac:dyDescent="0.25">
      <c r="A1531" t="s">
        <v>3453</v>
      </c>
      <c r="B1531" t="s">
        <v>3545</v>
      </c>
      <c r="C1531">
        <v>446.4</v>
      </c>
      <c r="D1531" t="s">
        <v>3249</v>
      </c>
      <c r="E1531" t="s">
        <v>1414</v>
      </c>
      <c r="F1531">
        <v>75</v>
      </c>
      <c r="G1531" t="b">
        <v>0</v>
      </c>
      <c r="H1531">
        <v>1</v>
      </c>
    </row>
    <row r="1532" spans="1:8" x14ac:dyDescent="0.25">
      <c r="A1532" t="s">
        <v>3546</v>
      </c>
      <c r="B1532" t="s">
        <v>3547</v>
      </c>
      <c r="C1532">
        <v>57.25</v>
      </c>
      <c r="D1532" t="s">
        <v>3249</v>
      </c>
      <c r="E1532" t="s">
        <v>1414</v>
      </c>
      <c r="F1532">
        <v>75</v>
      </c>
      <c r="G1532" t="b">
        <v>0</v>
      </c>
      <c r="H1532">
        <v>1</v>
      </c>
    </row>
    <row r="1533" spans="1:8" x14ac:dyDescent="0.25">
      <c r="A1533" t="s">
        <v>3546</v>
      </c>
      <c r="B1533" t="s">
        <v>3548</v>
      </c>
      <c r="C1533">
        <v>57.25</v>
      </c>
      <c r="D1533" t="s">
        <v>3249</v>
      </c>
      <c r="E1533" t="s">
        <v>1414</v>
      </c>
      <c r="F1533">
        <v>75</v>
      </c>
      <c r="G1533" t="b">
        <v>0</v>
      </c>
      <c r="H1533">
        <v>1</v>
      </c>
    </row>
    <row r="1534" spans="1:8" x14ac:dyDescent="0.25">
      <c r="A1534" t="s">
        <v>3546</v>
      </c>
      <c r="B1534" t="s">
        <v>3549</v>
      </c>
      <c r="C1534">
        <v>57.25</v>
      </c>
      <c r="D1534" t="s">
        <v>3249</v>
      </c>
      <c r="E1534" t="s">
        <v>1414</v>
      </c>
      <c r="F1534">
        <v>75</v>
      </c>
      <c r="G1534" t="b">
        <v>0</v>
      </c>
      <c r="H1534">
        <v>1</v>
      </c>
    </row>
    <row r="1535" spans="1:8" x14ac:dyDescent="0.25">
      <c r="A1535" t="s">
        <v>3546</v>
      </c>
      <c r="B1535" t="s">
        <v>3550</v>
      </c>
      <c r="C1535">
        <v>57.25</v>
      </c>
      <c r="D1535" t="s">
        <v>3249</v>
      </c>
      <c r="E1535" t="s">
        <v>1414</v>
      </c>
      <c r="F1535">
        <v>75</v>
      </c>
      <c r="G1535" t="b">
        <v>0</v>
      </c>
      <c r="H1535">
        <v>1</v>
      </c>
    </row>
    <row r="1536" spans="1:8" x14ac:dyDescent="0.25">
      <c r="A1536" t="s">
        <v>3546</v>
      </c>
      <c r="B1536" t="s">
        <v>3551</v>
      </c>
      <c r="C1536">
        <v>67.400000000000006</v>
      </c>
      <c r="D1536" t="s">
        <v>3249</v>
      </c>
      <c r="E1536" t="s">
        <v>1414</v>
      </c>
      <c r="F1536">
        <v>75</v>
      </c>
      <c r="G1536" t="b">
        <v>0</v>
      </c>
      <c r="H1536">
        <v>1</v>
      </c>
    </row>
    <row r="1537" spans="1:8" x14ac:dyDescent="0.25">
      <c r="A1537" t="s">
        <v>3546</v>
      </c>
      <c r="B1537" t="s">
        <v>3552</v>
      </c>
      <c r="C1537">
        <v>67.400000000000006</v>
      </c>
      <c r="D1537" t="s">
        <v>3249</v>
      </c>
      <c r="E1537" t="s">
        <v>1414</v>
      </c>
      <c r="F1537">
        <v>75</v>
      </c>
      <c r="G1537" t="b">
        <v>0</v>
      </c>
      <c r="H1537">
        <v>1</v>
      </c>
    </row>
    <row r="1538" spans="1:8" x14ac:dyDescent="0.25">
      <c r="A1538" t="s">
        <v>3546</v>
      </c>
      <c r="B1538" t="s">
        <v>3553</v>
      </c>
      <c r="C1538">
        <v>67.400000000000006</v>
      </c>
      <c r="D1538" t="s">
        <v>3249</v>
      </c>
      <c r="E1538" t="s">
        <v>1414</v>
      </c>
      <c r="F1538">
        <v>75</v>
      </c>
      <c r="G1538" t="b">
        <v>0</v>
      </c>
      <c r="H1538">
        <v>1</v>
      </c>
    </row>
    <row r="1539" spans="1:8" x14ac:dyDescent="0.25">
      <c r="A1539" t="s">
        <v>3546</v>
      </c>
      <c r="B1539" t="s">
        <v>3554</v>
      </c>
      <c r="C1539">
        <v>67.400000000000006</v>
      </c>
      <c r="D1539" t="s">
        <v>3249</v>
      </c>
      <c r="E1539" t="s">
        <v>1414</v>
      </c>
      <c r="F1539">
        <v>75</v>
      </c>
      <c r="G1539" t="b">
        <v>0</v>
      </c>
      <c r="H1539">
        <v>1</v>
      </c>
    </row>
    <row r="1540" spans="1:8" x14ac:dyDescent="0.25">
      <c r="A1540" t="s">
        <v>3546</v>
      </c>
      <c r="B1540" t="s">
        <v>3555</v>
      </c>
      <c r="C1540">
        <v>77.3</v>
      </c>
      <c r="D1540" t="s">
        <v>3249</v>
      </c>
      <c r="E1540" t="s">
        <v>1414</v>
      </c>
      <c r="F1540">
        <v>75</v>
      </c>
      <c r="G1540" t="b">
        <v>0</v>
      </c>
      <c r="H1540">
        <v>1</v>
      </c>
    </row>
    <row r="1541" spans="1:8" x14ac:dyDescent="0.25">
      <c r="A1541" t="s">
        <v>3546</v>
      </c>
      <c r="B1541" t="s">
        <v>3556</v>
      </c>
      <c r="C1541">
        <v>77.3</v>
      </c>
      <c r="D1541" t="s">
        <v>3249</v>
      </c>
      <c r="E1541" t="s">
        <v>1414</v>
      </c>
      <c r="F1541">
        <v>75</v>
      </c>
      <c r="G1541" t="b">
        <v>0</v>
      </c>
      <c r="H1541">
        <v>1</v>
      </c>
    </row>
    <row r="1542" spans="1:8" x14ac:dyDescent="0.25">
      <c r="A1542" t="s">
        <v>3546</v>
      </c>
      <c r="B1542" t="s">
        <v>3557</v>
      </c>
      <c r="C1542">
        <v>77.3</v>
      </c>
      <c r="D1542" t="s">
        <v>3249</v>
      </c>
      <c r="E1542" t="s">
        <v>1414</v>
      </c>
      <c r="F1542">
        <v>75</v>
      </c>
      <c r="G1542" t="b">
        <v>0</v>
      </c>
      <c r="H1542">
        <v>1</v>
      </c>
    </row>
    <row r="1543" spans="1:8" x14ac:dyDescent="0.25">
      <c r="A1543" t="s">
        <v>3546</v>
      </c>
      <c r="B1543" t="s">
        <v>3558</v>
      </c>
      <c r="C1543">
        <v>77.3</v>
      </c>
      <c r="D1543" t="s">
        <v>3249</v>
      </c>
      <c r="E1543" t="s">
        <v>1414</v>
      </c>
      <c r="F1543">
        <v>75</v>
      </c>
      <c r="G1543" t="b">
        <v>0</v>
      </c>
      <c r="H1543">
        <v>1</v>
      </c>
    </row>
    <row r="1544" spans="1:8" x14ac:dyDescent="0.25">
      <c r="A1544" t="s">
        <v>3546</v>
      </c>
      <c r="B1544" t="s">
        <v>3559</v>
      </c>
      <c r="C1544">
        <v>87.4</v>
      </c>
      <c r="D1544" t="s">
        <v>3249</v>
      </c>
      <c r="E1544" t="s">
        <v>1414</v>
      </c>
      <c r="F1544">
        <v>75</v>
      </c>
      <c r="G1544" t="b">
        <v>0</v>
      </c>
      <c r="H1544">
        <v>1</v>
      </c>
    </row>
    <row r="1545" spans="1:8" x14ac:dyDescent="0.25">
      <c r="A1545" t="s">
        <v>3546</v>
      </c>
      <c r="B1545" t="s">
        <v>3560</v>
      </c>
      <c r="C1545">
        <v>87.4</v>
      </c>
      <c r="D1545" t="s">
        <v>3249</v>
      </c>
      <c r="E1545" t="s">
        <v>1414</v>
      </c>
      <c r="F1545">
        <v>75</v>
      </c>
      <c r="G1545" t="b">
        <v>0</v>
      </c>
      <c r="H1545">
        <v>1</v>
      </c>
    </row>
    <row r="1546" spans="1:8" x14ac:dyDescent="0.25">
      <c r="A1546" t="s">
        <v>3546</v>
      </c>
      <c r="B1546" t="s">
        <v>3561</v>
      </c>
      <c r="C1546">
        <v>87.4</v>
      </c>
      <c r="D1546" t="s">
        <v>3249</v>
      </c>
      <c r="E1546" t="s">
        <v>1414</v>
      </c>
      <c r="F1546">
        <v>75</v>
      </c>
      <c r="G1546" t="b">
        <v>0</v>
      </c>
      <c r="H1546">
        <v>1</v>
      </c>
    </row>
    <row r="1547" spans="1:8" x14ac:dyDescent="0.25">
      <c r="A1547" t="s">
        <v>3546</v>
      </c>
      <c r="B1547" t="s">
        <v>3562</v>
      </c>
      <c r="C1547">
        <v>87.4</v>
      </c>
      <c r="D1547" t="s">
        <v>3249</v>
      </c>
      <c r="E1547" t="s">
        <v>1414</v>
      </c>
      <c r="F1547">
        <v>75</v>
      </c>
      <c r="G1547" t="b">
        <v>0</v>
      </c>
      <c r="H1547">
        <v>1</v>
      </c>
    </row>
    <row r="1548" spans="1:8" x14ac:dyDescent="0.25">
      <c r="A1548" t="s">
        <v>3546</v>
      </c>
      <c r="B1548" t="s">
        <v>3563</v>
      </c>
      <c r="C1548">
        <v>97.5</v>
      </c>
      <c r="D1548" t="s">
        <v>3249</v>
      </c>
      <c r="E1548" t="s">
        <v>1414</v>
      </c>
      <c r="F1548">
        <v>75</v>
      </c>
      <c r="G1548" t="b">
        <v>0</v>
      </c>
      <c r="H1548">
        <v>1</v>
      </c>
    </row>
    <row r="1549" spans="1:8" x14ac:dyDescent="0.25">
      <c r="A1549" t="s">
        <v>3546</v>
      </c>
      <c r="B1549" t="s">
        <v>3564</v>
      </c>
      <c r="C1549">
        <v>97.5</v>
      </c>
      <c r="D1549" t="s">
        <v>3249</v>
      </c>
      <c r="E1549" t="s">
        <v>1414</v>
      </c>
      <c r="F1549">
        <v>75</v>
      </c>
      <c r="G1549" t="b">
        <v>0</v>
      </c>
      <c r="H1549">
        <v>1</v>
      </c>
    </row>
    <row r="1550" spans="1:8" x14ac:dyDescent="0.25">
      <c r="A1550" t="s">
        <v>3546</v>
      </c>
      <c r="B1550" t="s">
        <v>3565</v>
      </c>
      <c r="C1550">
        <v>97.5</v>
      </c>
      <c r="D1550" t="s">
        <v>3249</v>
      </c>
      <c r="E1550" t="s">
        <v>1414</v>
      </c>
      <c r="F1550">
        <v>75</v>
      </c>
      <c r="G1550" t="b">
        <v>0</v>
      </c>
      <c r="H1550">
        <v>1</v>
      </c>
    </row>
    <row r="1551" spans="1:8" x14ac:dyDescent="0.25">
      <c r="A1551" t="s">
        <v>3546</v>
      </c>
      <c r="B1551" t="s">
        <v>3566</v>
      </c>
      <c r="C1551">
        <v>97.5</v>
      </c>
      <c r="D1551" t="s">
        <v>3249</v>
      </c>
      <c r="E1551" t="s">
        <v>1414</v>
      </c>
      <c r="F1551">
        <v>75</v>
      </c>
      <c r="G1551" t="b">
        <v>0</v>
      </c>
      <c r="H1551">
        <v>1</v>
      </c>
    </row>
    <row r="1552" spans="1:8" x14ac:dyDescent="0.25">
      <c r="A1552" t="s">
        <v>3546</v>
      </c>
      <c r="B1552" t="s">
        <v>3567</v>
      </c>
      <c r="C1552">
        <v>107.2</v>
      </c>
      <c r="D1552" t="s">
        <v>3249</v>
      </c>
      <c r="E1552" t="s">
        <v>1414</v>
      </c>
      <c r="F1552">
        <v>75</v>
      </c>
      <c r="G1552" t="b">
        <v>0</v>
      </c>
      <c r="H1552">
        <v>1</v>
      </c>
    </row>
    <row r="1553" spans="1:8" x14ac:dyDescent="0.25">
      <c r="A1553" t="s">
        <v>3546</v>
      </c>
      <c r="B1553" t="s">
        <v>3568</v>
      </c>
      <c r="C1553">
        <v>107.2</v>
      </c>
      <c r="D1553" t="s">
        <v>3249</v>
      </c>
      <c r="E1553" t="s">
        <v>1414</v>
      </c>
      <c r="F1553">
        <v>75</v>
      </c>
      <c r="G1553" t="b">
        <v>0</v>
      </c>
      <c r="H1553">
        <v>1</v>
      </c>
    </row>
    <row r="1554" spans="1:8" x14ac:dyDescent="0.25">
      <c r="A1554" t="s">
        <v>3546</v>
      </c>
      <c r="B1554" t="s">
        <v>3569</v>
      </c>
      <c r="C1554">
        <v>107.2</v>
      </c>
      <c r="D1554" t="s">
        <v>3249</v>
      </c>
      <c r="E1554" t="s">
        <v>1414</v>
      </c>
      <c r="F1554">
        <v>75</v>
      </c>
      <c r="G1554" t="b">
        <v>0</v>
      </c>
      <c r="H1554">
        <v>1</v>
      </c>
    </row>
    <row r="1555" spans="1:8" x14ac:dyDescent="0.25">
      <c r="A1555" t="s">
        <v>3546</v>
      </c>
      <c r="B1555" t="s">
        <v>3570</v>
      </c>
      <c r="C1555">
        <v>107.2</v>
      </c>
      <c r="D1555" t="s">
        <v>3249</v>
      </c>
      <c r="E1555" t="s">
        <v>1414</v>
      </c>
      <c r="F1555">
        <v>75</v>
      </c>
      <c r="G1555" t="b">
        <v>0</v>
      </c>
      <c r="H1555">
        <v>1</v>
      </c>
    </row>
    <row r="1556" spans="1:8" x14ac:dyDescent="0.25">
      <c r="A1556" t="s">
        <v>3546</v>
      </c>
      <c r="B1556" t="s">
        <v>3571</v>
      </c>
      <c r="C1556">
        <v>117.3</v>
      </c>
      <c r="D1556" t="s">
        <v>3249</v>
      </c>
      <c r="E1556" t="s">
        <v>1414</v>
      </c>
      <c r="F1556">
        <v>75</v>
      </c>
      <c r="G1556" t="b">
        <v>0</v>
      </c>
      <c r="H1556">
        <v>1</v>
      </c>
    </row>
    <row r="1557" spans="1:8" x14ac:dyDescent="0.25">
      <c r="A1557" t="s">
        <v>3546</v>
      </c>
      <c r="B1557" t="s">
        <v>3572</v>
      </c>
      <c r="C1557">
        <v>117.3</v>
      </c>
      <c r="D1557" t="s">
        <v>3249</v>
      </c>
      <c r="E1557" t="s">
        <v>1414</v>
      </c>
      <c r="F1557">
        <v>75</v>
      </c>
      <c r="G1557" t="b">
        <v>0</v>
      </c>
      <c r="H1557">
        <v>1</v>
      </c>
    </row>
    <row r="1558" spans="1:8" x14ac:dyDescent="0.25">
      <c r="A1558" t="s">
        <v>3546</v>
      </c>
      <c r="B1558" t="s">
        <v>3573</v>
      </c>
      <c r="C1558">
        <v>117.3</v>
      </c>
      <c r="D1558" t="s">
        <v>3249</v>
      </c>
      <c r="E1558" t="s">
        <v>1414</v>
      </c>
      <c r="F1558">
        <v>75</v>
      </c>
      <c r="G1558" t="b">
        <v>0</v>
      </c>
      <c r="H1558">
        <v>1</v>
      </c>
    </row>
    <row r="1559" spans="1:8" x14ac:dyDescent="0.25">
      <c r="A1559" t="s">
        <v>3546</v>
      </c>
      <c r="B1559" t="s">
        <v>3574</v>
      </c>
      <c r="C1559">
        <v>117.3</v>
      </c>
      <c r="D1559" t="s">
        <v>3249</v>
      </c>
      <c r="E1559" t="s">
        <v>1414</v>
      </c>
      <c r="F1559">
        <v>75</v>
      </c>
      <c r="G1559" t="b">
        <v>0</v>
      </c>
      <c r="H1559">
        <v>1</v>
      </c>
    </row>
    <row r="1560" spans="1:8" x14ac:dyDescent="0.25">
      <c r="A1560" t="s">
        <v>3546</v>
      </c>
      <c r="B1560" t="s">
        <v>3575</v>
      </c>
      <c r="C1560">
        <v>127.2</v>
      </c>
      <c r="D1560" t="s">
        <v>3249</v>
      </c>
      <c r="E1560" t="s">
        <v>1414</v>
      </c>
      <c r="F1560">
        <v>75</v>
      </c>
      <c r="G1560" t="b">
        <v>0</v>
      </c>
      <c r="H1560">
        <v>1</v>
      </c>
    </row>
    <row r="1561" spans="1:8" x14ac:dyDescent="0.25">
      <c r="A1561" t="s">
        <v>3546</v>
      </c>
      <c r="B1561" t="s">
        <v>3576</v>
      </c>
      <c r="C1561">
        <v>127.2</v>
      </c>
      <c r="D1561" t="s">
        <v>3249</v>
      </c>
      <c r="E1561" t="s">
        <v>1414</v>
      </c>
      <c r="F1561">
        <v>75</v>
      </c>
      <c r="G1561" t="b">
        <v>0</v>
      </c>
      <c r="H1561">
        <v>1</v>
      </c>
    </row>
    <row r="1562" spans="1:8" x14ac:dyDescent="0.25">
      <c r="A1562" t="s">
        <v>3546</v>
      </c>
      <c r="B1562" t="s">
        <v>3577</v>
      </c>
      <c r="C1562">
        <v>127.2</v>
      </c>
      <c r="D1562" t="s">
        <v>3249</v>
      </c>
      <c r="E1562" t="s">
        <v>1414</v>
      </c>
      <c r="F1562">
        <v>75</v>
      </c>
      <c r="G1562" t="b">
        <v>0</v>
      </c>
      <c r="H1562">
        <v>1</v>
      </c>
    </row>
    <row r="1563" spans="1:8" x14ac:dyDescent="0.25">
      <c r="A1563" t="s">
        <v>3546</v>
      </c>
      <c r="B1563" t="s">
        <v>3578</v>
      </c>
      <c r="C1563">
        <v>127.2</v>
      </c>
      <c r="D1563" t="s">
        <v>3249</v>
      </c>
      <c r="E1563" t="s">
        <v>1414</v>
      </c>
      <c r="F1563">
        <v>75</v>
      </c>
      <c r="G1563" t="b">
        <v>0</v>
      </c>
      <c r="H1563">
        <v>1</v>
      </c>
    </row>
    <row r="1564" spans="1:8" x14ac:dyDescent="0.25">
      <c r="A1564" t="s">
        <v>3546</v>
      </c>
      <c r="B1564" t="s">
        <v>3579</v>
      </c>
      <c r="C1564">
        <v>137.35</v>
      </c>
      <c r="D1564" t="s">
        <v>3249</v>
      </c>
      <c r="E1564" t="s">
        <v>1414</v>
      </c>
      <c r="F1564">
        <v>75</v>
      </c>
      <c r="G1564" t="b">
        <v>0</v>
      </c>
      <c r="H1564">
        <v>1</v>
      </c>
    </row>
    <row r="1565" spans="1:8" x14ac:dyDescent="0.25">
      <c r="A1565" t="s">
        <v>3546</v>
      </c>
      <c r="B1565" t="s">
        <v>3580</v>
      </c>
      <c r="C1565">
        <v>137.35</v>
      </c>
      <c r="D1565" t="s">
        <v>3249</v>
      </c>
      <c r="E1565" t="s">
        <v>1414</v>
      </c>
      <c r="F1565">
        <v>75</v>
      </c>
      <c r="G1565" t="b">
        <v>0</v>
      </c>
      <c r="H1565">
        <v>1</v>
      </c>
    </row>
    <row r="1566" spans="1:8" x14ac:dyDescent="0.25">
      <c r="A1566" t="s">
        <v>3546</v>
      </c>
      <c r="B1566" t="s">
        <v>3581</v>
      </c>
      <c r="C1566">
        <v>137.35</v>
      </c>
      <c r="D1566" t="s">
        <v>3249</v>
      </c>
      <c r="E1566" t="s">
        <v>1414</v>
      </c>
      <c r="F1566">
        <v>75</v>
      </c>
      <c r="G1566" t="b">
        <v>0</v>
      </c>
      <c r="H1566">
        <v>1</v>
      </c>
    </row>
    <row r="1567" spans="1:8" x14ac:dyDescent="0.25">
      <c r="A1567" t="s">
        <v>3546</v>
      </c>
      <c r="B1567" t="s">
        <v>3582</v>
      </c>
      <c r="C1567">
        <v>137.35</v>
      </c>
      <c r="D1567" t="s">
        <v>3249</v>
      </c>
      <c r="E1567" t="s">
        <v>1414</v>
      </c>
      <c r="F1567">
        <v>75</v>
      </c>
      <c r="G1567" t="b">
        <v>0</v>
      </c>
      <c r="H1567">
        <v>1</v>
      </c>
    </row>
    <row r="1568" spans="1:8" x14ac:dyDescent="0.25">
      <c r="A1568" t="s">
        <v>3546</v>
      </c>
      <c r="B1568" t="s">
        <v>3583</v>
      </c>
      <c r="C1568">
        <v>147.25</v>
      </c>
      <c r="D1568" t="s">
        <v>3249</v>
      </c>
      <c r="E1568" t="s">
        <v>1414</v>
      </c>
      <c r="F1568">
        <v>75</v>
      </c>
      <c r="G1568" t="b">
        <v>0</v>
      </c>
      <c r="H1568">
        <v>1</v>
      </c>
    </row>
    <row r="1569" spans="1:8" x14ac:dyDescent="0.25">
      <c r="A1569" t="s">
        <v>3546</v>
      </c>
      <c r="B1569" t="s">
        <v>3584</v>
      </c>
      <c r="C1569">
        <v>147.25</v>
      </c>
      <c r="D1569" t="s">
        <v>3249</v>
      </c>
      <c r="E1569" t="s">
        <v>1414</v>
      </c>
      <c r="F1569">
        <v>75</v>
      </c>
      <c r="G1569" t="b">
        <v>0</v>
      </c>
      <c r="H1569">
        <v>1</v>
      </c>
    </row>
    <row r="1570" spans="1:8" x14ac:dyDescent="0.25">
      <c r="A1570" t="s">
        <v>3546</v>
      </c>
      <c r="B1570" t="s">
        <v>3585</v>
      </c>
      <c r="C1570">
        <v>147.25</v>
      </c>
      <c r="D1570" t="s">
        <v>3249</v>
      </c>
      <c r="E1570" t="s">
        <v>1414</v>
      </c>
      <c r="F1570">
        <v>75</v>
      </c>
      <c r="G1570" t="b">
        <v>0</v>
      </c>
      <c r="H1570">
        <v>1</v>
      </c>
    </row>
    <row r="1571" spans="1:8" x14ac:dyDescent="0.25">
      <c r="A1571" t="s">
        <v>3546</v>
      </c>
      <c r="B1571" t="s">
        <v>3586</v>
      </c>
      <c r="C1571">
        <v>147.25</v>
      </c>
      <c r="D1571" t="s">
        <v>3249</v>
      </c>
      <c r="E1571" t="s">
        <v>1414</v>
      </c>
      <c r="F1571">
        <v>75</v>
      </c>
      <c r="G1571" t="b">
        <v>0</v>
      </c>
      <c r="H1571">
        <v>1</v>
      </c>
    </row>
    <row r="1572" spans="1:8" x14ac:dyDescent="0.25">
      <c r="A1572" t="s">
        <v>3546</v>
      </c>
      <c r="B1572" t="s">
        <v>3587</v>
      </c>
      <c r="C1572">
        <v>157.15</v>
      </c>
      <c r="D1572" t="s">
        <v>3249</v>
      </c>
      <c r="E1572" t="s">
        <v>1414</v>
      </c>
      <c r="F1572">
        <v>75</v>
      </c>
      <c r="G1572" t="b">
        <v>0</v>
      </c>
      <c r="H1572">
        <v>1</v>
      </c>
    </row>
    <row r="1573" spans="1:8" x14ac:dyDescent="0.25">
      <c r="A1573" t="s">
        <v>3546</v>
      </c>
      <c r="B1573" t="s">
        <v>3588</v>
      </c>
      <c r="C1573">
        <v>157.15</v>
      </c>
      <c r="D1573" t="s">
        <v>3249</v>
      </c>
      <c r="E1573" t="s">
        <v>1414</v>
      </c>
      <c r="F1573">
        <v>75</v>
      </c>
      <c r="G1573" t="b">
        <v>0</v>
      </c>
      <c r="H1573">
        <v>1</v>
      </c>
    </row>
    <row r="1574" spans="1:8" x14ac:dyDescent="0.25">
      <c r="A1574" t="s">
        <v>3546</v>
      </c>
      <c r="B1574" t="s">
        <v>3589</v>
      </c>
      <c r="C1574">
        <v>157.15</v>
      </c>
      <c r="D1574" t="s">
        <v>3249</v>
      </c>
      <c r="E1574" t="s">
        <v>1414</v>
      </c>
      <c r="F1574">
        <v>75</v>
      </c>
      <c r="G1574" t="b">
        <v>0</v>
      </c>
      <c r="H1574">
        <v>1</v>
      </c>
    </row>
    <row r="1575" spans="1:8" x14ac:dyDescent="0.25">
      <c r="A1575" t="s">
        <v>3546</v>
      </c>
      <c r="B1575" t="s">
        <v>3590</v>
      </c>
      <c r="C1575">
        <v>157.15</v>
      </c>
      <c r="D1575" t="s">
        <v>3249</v>
      </c>
      <c r="E1575" t="s">
        <v>1414</v>
      </c>
      <c r="F1575">
        <v>75</v>
      </c>
      <c r="G1575" t="b">
        <v>0</v>
      </c>
      <c r="H1575">
        <v>1</v>
      </c>
    </row>
    <row r="1576" spans="1:8" x14ac:dyDescent="0.25">
      <c r="A1576" t="s">
        <v>3546</v>
      </c>
      <c r="B1576" t="s">
        <v>3591</v>
      </c>
      <c r="C1576">
        <v>167.25</v>
      </c>
      <c r="D1576" t="s">
        <v>3249</v>
      </c>
      <c r="E1576" t="s">
        <v>1414</v>
      </c>
      <c r="F1576">
        <v>75</v>
      </c>
      <c r="G1576" t="b">
        <v>0</v>
      </c>
      <c r="H1576">
        <v>1</v>
      </c>
    </row>
    <row r="1577" spans="1:8" x14ac:dyDescent="0.25">
      <c r="A1577" t="s">
        <v>3546</v>
      </c>
      <c r="B1577" t="s">
        <v>3592</v>
      </c>
      <c r="C1577">
        <v>167.25</v>
      </c>
      <c r="D1577" t="s">
        <v>3249</v>
      </c>
      <c r="E1577" t="s">
        <v>1414</v>
      </c>
      <c r="F1577">
        <v>75</v>
      </c>
      <c r="G1577" t="b">
        <v>0</v>
      </c>
      <c r="H1577">
        <v>1</v>
      </c>
    </row>
    <row r="1578" spans="1:8" x14ac:dyDescent="0.25">
      <c r="A1578" t="s">
        <v>3546</v>
      </c>
      <c r="B1578" t="s">
        <v>3593</v>
      </c>
      <c r="C1578">
        <v>167.25</v>
      </c>
      <c r="D1578" t="s">
        <v>3249</v>
      </c>
      <c r="E1578" t="s">
        <v>1414</v>
      </c>
      <c r="F1578">
        <v>75</v>
      </c>
      <c r="G1578" t="b">
        <v>0</v>
      </c>
      <c r="H1578">
        <v>1</v>
      </c>
    </row>
    <row r="1579" spans="1:8" x14ac:dyDescent="0.25">
      <c r="A1579" t="s">
        <v>3546</v>
      </c>
      <c r="B1579" t="s">
        <v>3594</v>
      </c>
      <c r="C1579">
        <v>167.25</v>
      </c>
      <c r="D1579" t="s">
        <v>3249</v>
      </c>
      <c r="E1579" t="s">
        <v>1414</v>
      </c>
      <c r="F1579">
        <v>75</v>
      </c>
      <c r="G1579" t="b">
        <v>0</v>
      </c>
      <c r="H1579">
        <v>1</v>
      </c>
    </row>
    <row r="1580" spans="1:8" x14ac:dyDescent="0.25">
      <c r="A1580" t="s">
        <v>3546</v>
      </c>
      <c r="B1580" t="s">
        <v>3595</v>
      </c>
      <c r="C1580">
        <v>177.15</v>
      </c>
      <c r="D1580" t="s">
        <v>3249</v>
      </c>
      <c r="E1580" t="s">
        <v>1414</v>
      </c>
      <c r="F1580">
        <v>75</v>
      </c>
      <c r="G1580" t="b">
        <v>0</v>
      </c>
      <c r="H1580">
        <v>1</v>
      </c>
    </row>
    <row r="1581" spans="1:8" x14ac:dyDescent="0.25">
      <c r="A1581" t="s">
        <v>3546</v>
      </c>
      <c r="B1581" t="s">
        <v>3596</v>
      </c>
      <c r="C1581">
        <v>177.15</v>
      </c>
      <c r="D1581" t="s">
        <v>3249</v>
      </c>
      <c r="E1581" t="s">
        <v>1414</v>
      </c>
      <c r="F1581">
        <v>75</v>
      </c>
      <c r="G1581" t="b">
        <v>0</v>
      </c>
      <c r="H1581">
        <v>1</v>
      </c>
    </row>
    <row r="1582" spans="1:8" x14ac:dyDescent="0.25">
      <c r="A1582" t="s">
        <v>3546</v>
      </c>
      <c r="B1582" t="s">
        <v>3597</v>
      </c>
      <c r="C1582">
        <v>177.15</v>
      </c>
      <c r="D1582" t="s">
        <v>3249</v>
      </c>
      <c r="E1582" t="s">
        <v>1414</v>
      </c>
      <c r="F1582">
        <v>75</v>
      </c>
      <c r="G1582" t="b">
        <v>0</v>
      </c>
      <c r="H1582">
        <v>1</v>
      </c>
    </row>
    <row r="1583" spans="1:8" x14ac:dyDescent="0.25">
      <c r="A1583" t="s">
        <v>3546</v>
      </c>
      <c r="B1583" t="s">
        <v>3598</v>
      </c>
      <c r="C1583">
        <v>177.15</v>
      </c>
      <c r="D1583" t="s">
        <v>3249</v>
      </c>
      <c r="E1583" t="s">
        <v>1414</v>
      </c>
      <c r="F1583">
        <v>75</v>
      </c>
      <c r="G1583" t="b">
        <v>0</v>
      </c>
      <c r="H1583">
        <v>1</v>
      </c>
    </row>
    <row r="1584" spans="1:8" x14ac:dyDescent="0.25">
      <c r="A1584" t="s">
        <v>3546</v>
      </c>
      <c r="B1584" t="s">
        <v>3599</v>
      </c>
      <c r="C1584">
        <v>187.25</v>
      </c>
      <c r="D1584" t="s">
        <v>3249</v>
      </c>
      <c r="E1584" t="s">
        <v>1414</v>
      </c>
      <c r="F1584">
        <v>75</v>
      </c>
      <c r="G1584" t="b">
        <v>0</v>
      </c>
      <c r="H1584">
        <v>1</v>
      </c>
    </row>
    <row r="1585" spans="1:8" x14ac:dyDescent="0.25">
      <c r="A1585" t="s">
        <v>3546</v>
      </c>
      <c r="B1585" t="s">
        <v>3600</v>
      </c>
      <c r="C1585">
        <v>187.25</v>
      </c>
      <c r="D1585" t="s">
        <v>3249</v>
      </c>
      <c r="E1585" t="s">
        <v>1414</v>
      </c>
      <c r="F1585">
        <v>75</v>
      </c>
      <c r="G1585" t="b">
        <v>0</v>
      </c>
      <c r="H1585">
        <v>1</v>
      </c>
    </row>
    <row r="1586" spans="1:8" x14ac:dyDescent="0.25">
      <c r="A1586" t="s">
        <v>3546</v>
      </c>
      <c r="B1586" t="s">
        <v>3601</v>
      </c>
      <c r="C1586">
        <v>187.25</v>
      </c>
      <c r="D1586" t="s">
        <v>3249</v>
      </c>
      <c r="E1586" t="s">
        <v>1414</v>
      </c>
      <c r="F1586">
        <v>75</v>
      </c>
      <c r="G1586" t="b">
        <v>0</v>
      </c>
      <c r="H1586">
        <v>1</v>
      </c>
    </row>
    <row r="1587" spans="1:8" x14ac:dyDescent="0.25">
      <c r="A1587" t="s">
        <v>3546</v>
      </c>
      <c r="B1587" t="s">
        <v>3602</v>
      </c>
      <c r="C1587">
        <v>187.25</v>
      </c>
      <c r="D1587" t="s">
        <v>3249</v>
      </c>
      <c r="E1587" t="s">
        <v>1414</v>
      </c>
      <c r="F1587">
        <v>75</v>
      </c>
      <c r="G1587" t="b">
        <v>0</v>
      </c>
      <c r="H1587">
        <v>1</v>
      </c>
    </row>
    <row r="1588" spans="1:8" x14ac:dyDescent="0.25">
      <c r="A1588" t="s">
        <v>3546</v>
      </c>
      <c r="B1588" t="s">
        <v>3603</v>
      </c>
      <c r="C1588">
        <v>197.15</v>
      </c>
      <c r="D1588" t="s">
        <v>3249</v>
      </c>
      <c r="E1588" t="s">
        <v>1414</v>
      </c>
      <c r="F1588">
        <v>75</v>
      </c>
      <c r="G1588" t="b">
        <v>0</v>
      </c>
      <c r="H1588">
        <v>1</v>
      </c>
    </row>
    <row r="1589" spans="1:8" x14ac:dyDescent="0.25">
      <c r="A1589" t="s">
        <v>3546</v>
      </c>
      <c r="B1589" t="s">
        <v>3604</v>
      </c>
      <c r="C1589">
        <v>197.15</v>
      </c>
      <c r="D1589" t="s">
        <v>3249</v>
      </c>
      <c r="E1589" t="s">
        <v>1414</v>
      </c>
      <c r="F1589">
        <v>75</v>
      </c>
      <c r="G1589" t="b">
        <v>0</v>
      </c>
      <c r="H1589">
        <v>1</v>
      </c>
    </row>
    <row r="1590" spans="1:8" x14ac:dyDescent="0.25">
      <c r="A1590" t="s">
        <v>3546</v>
      </c>
      <c r="B1590" t="s">
        <v>3605</v>
      </c>
      <c r="C1590">
        <v>197.15</v>
      </c>
      <c r="D1590" t="s">
        <v>3249</v>
      </c>
      <c r="E1590" t="s">
        <v>1414</v>
      </c>
      <c r="F1590">
        <v>75</v>
      </c>
      <c r="G1590" t="b">
        <v>0</v>
      </c>
      <c r="H1590">
        <v>1</v>
      </c>
    </row>
    <row r="1591" spans="1:8" x14ac:dyDescent="0.25">
      <c r="A1591" t="s">
        <v>3546</v>
      </c>
      <c r="B1591" t="s">
        <v>3606</v>
      </c>
      <c r="C1591">
        <v>197.15</v>
      </c>
      <c r="D1591" t="s">
        <v>3249</v>
      </c>
      <c r="E1591" t="s">
        <v>1414</v>
      </c>
      <c r="F1591">
        <v>75</v>
      </c>
      <c r="G1591" t="b">
        <v>0</v>
      </c>
      <c r="H1591">
        <v>1</v>
      </c>
    </row>
    <row r="1592" spans="1:8" x14ac:dyDescent="0.25">
      <c r="A1592" t="s">
        <v>3607</v>
      </c>
      <c r="B1592" t="s">
        <v>163</v>
      </c>
      <c r="C1592">
        <v>75.349999999999994</v>
      </c>
      <c r="D1592" t="s">
        <v>3249</v>
      </c>
      <c r="E1592" t="s">
        <v>1414</v>
      </c>
      <c r="F1592">
        <v>75</v>
      </c>
      <c r="G1592" t="b">
        <v>0</v>
      </c>
      <c r="H1592">
        <v>1</v>
      </c>
    </row>
    <row r="1593" spans="1:8" x14ac:dyDescent="0.25">
      <c r="A1593" t="s">
        <v>3607</v>
      </c>
      <c r="B1593" t="s">
        <v>165</v>
      </c>
      <c r="C1593">
        <v>115.15</v>
      </c>
      <c r="D1593" t="s">
        <v>3249</v>
      </c>
      <c r="E1593" t="s">
        <v>1414</v>
      </c>
      <c r="F1593">
        <v>75</v>
      </c>
      <c r="G1593" t="b">
        <v>0</v>
      </c>
      <c r="H1593">
        <v>1</v>
      </c>
    </row>
    <row r="1594" spans="1:8" x14ac:dyDescent="0.25">
      <c r="A1594" t="s">
        <v>3607</v>
      </c>
      <c r="B1594" t="s">
        <v>167</v>
      </c>
      <c r="C1594">
        <v>155.19999999999999</v>
      </c>
      <c r="D1594" t="s">
        <v>3249</v>
      </c>
      <c r="E1594" t="s">
        <v>1414</v>
      </c>
      <c r="F1594">
        <v>75</v>
      </c>
      <c r="G1594" t="b">
        <v>0</v>
      </c>
      <c r="H1594">
        <v>1</v>
      </c>
    </row>
    <row r="1595" spans="1:8" x14ac:dyDescent="0.25">
      <c r="A1595" t="s">
        <v>3607</v>
      </c>
      <c r="B1595" t="s">
        <v>169</v>
      </c>
      <c r="C1595">
        <v>195</v>
      </c>
      <c r="D1595" t="s">
        <v>3249</v>
      </c>
      <c r="E1595" t="s">
        <v>1414</v>
      </c>
      <c r="F1595">
        <v>75</v>
      </c>
      <c r="G1595" t="b">
        <v>0</v>
      </c>
      <c r="H1595">
        <v>1</v>
      </c>
    </row>
    <row r="1596" spans="1:8" x14ac:dyDescent="0.25">
      <c r="A1596" t="s">
        <v>3607</v>
      </c>
      <c r="B1596" t="s">
        <v>171</v>
      </c>
      <c r="C1596">
        <v>235</v>
      </c>
      <c r="D1596" t="s">
        <v>3249</v>
      </c>
      <c r="E1596" t="s">
        <v>1414</v>
      </c>
      <c r="F1596">
        <v>75</v>
      </c>
      <c r="G1596" t="b">
        <v>0</v>
      </c>
      <c r="H1596">
        <v>1</v>
      </c>
    </row>
    <row r="1597" spans="1:8" x14ac:dyDescent="0.25">
      <c r="A1597" t="s">
        <v>3608</v>
      </c>
      <c r="B1597" t="s">
        <v>3609</v>
      </c>
      <c r="C1597">
        <v>94.35</v>
      </c>
      <c r="D1597" t="s">
        <v>3249</v>
      </c>
      <c r="E1597" t="s">
        <v>1414</v>
      </c>
      <c r="F1597">
        <v>75</v>
      </c>
      <c r="G1597" t="b">
        <v>0</v>
      </c>
      <c r="H1597">
        <v>1</v>
      </c>
    </row>
    <row r="1598" spans="1:8" x14ac:dyDescent="0.25">
      <c r="A1598" t="s">
        <v>3608</v>
      </c>
      <c r="B1598" t="s">
        <v>3610</v>
      </c>
      <c r="C1598">
        <v>35.1</v>
      </c>
      <c r="D1598" t="s">
        <v>3249</v>
      </c>
      <c r="E1598" t="s">
        <v>1414</v>
      </c>
      <c r="F1598">
        <v>75</v>
      </c>
      <c r="G1598" t="b">
        <v>0</v>
      </c>
      <c r="H1598">
        <v>1</v>
      </c>
    </row>
    <row r="1599" spans="1:8" x14ac:dyDescent="0.25">
      <c r="A1599" t="s">
        <v>1165</v>
      </c>
      <c r="B1599" t="s">
        <v>1166</v>
      </c>
      <c r="C1599">
        <v>63.7</v>
      </c>
      <c r="D1599" t="s">
        <v>3147</v>
      </c>
      <c r="E1599" t="s">
        <v>1414</v>
      </c>
      <c r="F1599">
        <v>75</v>
      </c>
      <c r="G1599" t="b">
        <v>1</v>
      </c>
      <c r="H1599">
        <v>1</v>
      </c>
    </row>
    <row r="1600" spans="1:8" x14ac:dyDescent="0.25">
      <c r="A1600" t="s">
        <v>1173</v>
      </c>
      <c r="B1600" t="s">
        <v>1174</v>
      </c>
      <c r="C1600">
        <v>50.45</v>
      </c>
      <c r="D1600" t="s">
        <v>3147</v>
      </c>
      <c r="E1600" t="s">
        <v>1414</v>
      </c>
      <c r="F1600">
        <v>75</v>
      </c>
      <c r="G1600" t="b">
        <v>1</v>
      </c>
      <c r="H1600">
        <v>1</v>
      </c>
    </row>
    <row r="1601" spans="1:8" x14ac:dyDescent="0.25">
      <c r="A1601" t="s">
        <v>2426</v>
      </c>
      <c r="B1601" t="s">
        <v>2427</v>
      </c>
      <c r="C1601">
        <v>41</v>
      </c>
      <c r="D1601" t="s">
        <v>3147</v>
      </c>
      <c r="E1601" t="s">
        <v>1414</v>
      </c>
      <c r="F1601">
        <v>75</v>
      </c>
      <c r="G1601" t="b">
        <v>1</v>
      </c>
      <c r="H1601">
        <v>1</v>
      </c>
    </row>
    <row r="1602" spans="1:8" x14ac:dyDescent="0.25">
      <c r="A1602" t="s">
        <v>1108</v>
      </c>
      <c r="B1602" t="s">
        <v>1109</v>
      </c>
      <c r="C1602">
        <v>36</v>
      </c>
      <c r="D1602" t="s">
        <v>3147</v>
      </c>
      <c r="E1602" t="s">
        <v>1414</v>
      </c>
      <c r="F1602">
        <v>75</v>
      </c>
      <c r="G1602" t="b">
        <v>1</v>
      </c>
      <c r="H1602">
        <v>1</v>
      </c>
    </row>
    <row r="1603" spans="1:8" x14ac:dyDescent="0.25">
      <c r="A1603" t="s">
        <v>1111</v>
      </c>
      <c r="B1603" t="s">
        <v>1112</v>
      </c>
      <c r="C1603">
        <v>27.75</v>
      </c>
      <c r="D1603" t="s">
        <v>3147</v>
      </c>
      <c r="E1603" t="s">
        <v>1414</v>
      </c>
      <c r="F1603">
        <v>75</v>
      </c>
      <c r="G1603" t="b">
        <v>1</v>
      </c>
      <c r="H1603">
        <v>1</v>
      </c>
    </row>
    <row r="1604" spans="1:8" x14ac:dyDescent="0.25">
      <c r="A1604" t="s">
        <v>950</v>
      </c>
      <c r="B1604" t="s">
        <v>951</v>
      </c>
      <c r="C1604">
        <v>41</v>
      </c>
      <c r="D1604" t="s">
        <v>3147</v>
      </c>
      <c r="E1604" t="s">
        <v>1414</v>
      </c>
      <c r="F1604">
        <v>75</v>
      </c>
      <c r="G1604" t="b">
        <v>1</v>
      </c>
      <c r="H1604">
        <v>1</v>
      </c>
    </row>
    <row r="1605" spans="1:8" x14ac:dyDescent="0.25">
      <c r="A1605" t="s">
        <v>1114</v>
      </c>
      <c r="B1605" t="s">
        <v>1115</v>
      </c>
      <c r="C1605">
        <v>31.25</v>
      </c>
      <c r="D1605" t="s">
        <v>3147</v>
      </c>
      <c r="E1605" t="s">
        <v>1414</v>
      </c>
      <c r="F1605">
        <v>75</v>
      </c>
      <c r="G1605" t="b">
        <v>1</v>
      </c>
      <c r="H1605">
        <v>1</v>
      </c>
    </row>
    <row r="1606" spans="1:8" x14ac:dyDescent="0.25">
      <c r="A1606" t="s">
        <v>1117</v>
      </c>
      <c r="B1606" t="s">
        <v>1118</v>
      </c>
      <c r="C1606">
        <v>31.25</v>
      </c>
      <c r="D1606" t="s">
        <v>3147</v>
      </c>
      <c r="E1606" t="s">
        <v>1414</v>
      </c>
      <c r="F1606">
        <v>75</v>
      </c>
      <c r="G1606" t="b">
        <v>1</v>
      </c>
      <c r="H1606">
        <v>1</v>
      </c>
    </row>
    <row r="1607" spans="1:8" x14ac:dyDescent="0.25">
      <c r="A1607" t="s">
        <v>1090</v>
      </c>
      <c r="B1607" t="s">
        <v>1091</v>
      </c>
      <c r="C1607">
        <v>84.9</v>
      </c>
      <c r="D1607" t="s">
        <v>3147</v>
      </c>
      <c r="E1607" t="s">
        <v>1414</v>
      </c>
      <c r="F1607">
        <v>75</v>
      </c>
      <c r="G1607" t="b">
        <v>1</v>
      </c>
      <c r="H1607">
        <v>1</v>
      </c>
    </row>
    <row r="1608" spans="1:8" x14ac:dyDescent="0.25">
      <c r="A1608" t="s">
        <v>953</v>
      </c>
      <c r="B1608" t="s">
        <v>954</v>
      </c>
      <c r="C1608">
        <v>43.3</v>
      </c>
      <c r="D1608" t="s">
        <v>3147</v>
      </c>
      <c r="E1608" t="s">
        <v>1414</v>
      </c>
      <c r="F1608">
        <v>75</v>
      </c>
      <c r="G1608" t="b">
        <v>1</v>
      </c>
      <c r="H1608">
        <v>1</v>
      </c>
    </row>
    <row r="1609" spans="1:8" x14ac:dyDescent="0.25">
      <c r="A1609" t="s">
        <v>1120</v>
      </c>
      <c r="B1609" t="s">
        <v>1121</v>
      </c>
      <c r="C1609">
        <v>43.3</v>
      </c>
      <c r="D1609" t="s">
        <v>3147</v>
      </c>
      <c r="E1609" t="s">
        <v>1414</v>
      </c>
      <c r="F1609">
        <v>75</v>
      </c>
      <c r="G1609" t="b">
        <v>1</v>
      </c>
      <c r="H1609">
        <v>1</v>
      </c>
    </row>
    <row r="1610" spans="1:8" x14ac:dyDescent="0.25">
      <c r="A1610" t="s">
        <v>955</v>
      </c>
      <c r="B1610" t="s">
        <v>956</v>
      </c>
      <c r="C1610">
        <v>38.65</v>
      </c>
      <c r="D1610" t="s">
        <v>3147</v>
      </c>
      <c r="E1610" t="s">
        <v>1414</v>
      </c>
      <c r="F1610">
        <v>75</v>
      </c>
      <c r="G1610" t="b">
        <v>1</v>
      </c>
      <c r="H1610">
        <v>1</v>
      </c>
    </row>
    <row r="1611" spans="1:8" x14ac:dyDescent="0.25">
      <c r="A1611" t="s">
        <v>1094</v>
      </c>
      <c r="B1611" t="s">
        <v>1095</v>
      </c>
      <c r="C1611">
        <v>91.35</v>
      </c>
      <c r="D1611" t="s">
        <v>3147</v>
      </c>
      <c r="E1611" t="s">
        <v>1414</v>
      </c>
      <c r="F1611">
        <v>75</v>
      </c>
      <c r="G1611" t="b">
        <v>1</v>
      </c>
      <c r="H1611">
        <v>1</v>
      </c>
    </row>
    <row r="1612" spans="1:8" x14ac:dyDescent="0.25">
      <c r="A1612" t="s">
        <v>1099</v>
      </c>
      <c r="B1612" t="s">
        <v>1100</v>
      </c>
      <c r="C1612">
        <v>84.9</v>
      </c>
      <c r="D1612" t="s">
        <v>3147</v>
      </c>
      <c r="E1612" t="s">
        <v>1414</v>
      </c>
      <c r="F1612">
        <v>75</v>
      </c>
      <c r="G1612" t="b">
        <v>1</v>
      </c>
      <c r="H1612">
        <v>1</v>
      </c>
    </row>
    <row r="1613" spans="1:8" x14ac:dyDescent="0.25">
      <c r="A1613" t="s">
        <v>1097</v>
      </c>
      <c r="B1613" t="s">
        <v>1098</v>
      </c>
      <c r="C1613">
        <v>84.9</v>
      </c>
      <c r="D1613" t="s">
        <v>3147</v>
      </c>
      <c r="E1613" t="s">
        <v>1414</v>
      </c>
      <c r="F1613">
        <v>75</v>
      </c>
      <c r="G1613" t="b">
        <v>1</v>
      </c>
      <c r="H1613">
        <v>1</v>
      </c>
    </row>
    <row r="1614" spans="1:8" x14ac:dyDescent="0.25">
      <c r="A1614" t="s">
        <v>961</v>
      </c>
      <c r="B1614" t="s">
        <v>962</v>
      </c>
      <c r="C1614">
        <v>93.45</v>
      </c>
      <c r="D1614" t="s">
        <v>3147</v>
      </c>
      <c r="E1614" t="s">
        <v>1414</v>
      </c>
      <c r="F1614">
        <v>75</v>
      </c>
      <c r="G1614" t="b">
        <v>1</v>
      </c>
      <c r="H1614">
        <v>1</v>
      </c>
    </row>
    <row r="1615" spans="1:8" x14ac:dyDescent="0.25">
      <c r="A1615" t="s">
        <v>2424</v>
      </c>
      <c r="B1615" t="s">
        <v>2425</v>
      </c>
      <c r="C1615">
        <v>34.549999999999997</v>
      </c>
      <c r="D1615" t="s">
        <v>3147</v>
      </c>
      <c r="E1615" t="s">
        <v>1414</v>
      </c>
      <c r="F1615">
        <v>75</v>
      </c>
      <c r="G1615" t="b">
        <v>1</v>
      </c>
      <c r="H1615">
        <v>1</v>
      </c>
    </row>
    <row r="1616" spans="1:8" x14ac:dyDescent="0.25">
      <c r="A1616" t="s">
        <v>1162</v>
      </c>
      <c r="B1616" t="s">
        <v>1163</v>
      </c>
      <c r="C1616">
        <v>63.7</v>
      </c>
      <c r="D1616" t="s">
        <v>3147</v>
      </c>
      <c r="E1616" t="s">
        <v>1414</v>
      </c>
      <c r="F1616">
        <v>75</v>
      </c>
      <c r="G1616" t="b">
        <v>1</v>
      </c>
      <c r="H1616">
        <v>1</v>
      </c>
    </row>
    <row r="1617" spans="1:8" x14ac:dyDescent="0.25">
      <c r="A1617" t="s">
        <v>2432</v>
      </c>
      <c r="B1617" t="s">
        <v>2433</v>
      </c>
      <c r="C1617">
        <v>57.2</v>
      </c>
      <c r="D1617" t="s">
        <v>3147</v>
      </c>
      <c r="E1617" t="s">
        <v>1414</v>
      </c>
      <c r="F1617">
        <v>75</v>
      </c>
      <c r="G1617" t="b">
        <v>1</v>
      </c>
      <c r="H1617">
        <v>1</v>
      </c>
    </row>
    <row r="1618" spans="1:8" x14ac:dyDescent="0.25">
      <c r="A1618" t="s">
        <v>2429</v>
      </c>
      <c r="B1618" t="s">
        <v>2430</v>
      </c>
      <c r="C1618">
        <v>91.35</v>
      </c>
      <c r="D1618" t="s">
        <v>3147</v>
      </c>
      <c r="E1618" t="s">
        <v>1414</v>
      </c>
      <c r="F1618">
        <v>75</v>
      </c>
      <c r="G1618" t="b">
        <v>1</v>
      </c>
      <c r="H1618">
        <v>1</v>
      </c>
    </row>
    <row r="1619" spans="1:8" x14ac:dyDescent="0.25">
      <c r="A1619" t="s">
        <v>1140</v>
      </c>
      <c r="B1619" t="s">
        <v>1141</v>
      </c>
      <c r="C1619">
        <v>23.35</v>
      </c>
      <c r="D1619" t="s">
        <v>3147</v>
      </c>
      <c r="E1619" t="s">
        <v>1414</v>
      </c>
      <c r="F1619">
        <v>75</v>
      </c>
      <c r="G1619" t="b">
        <v>1</v>
      </c>
      <c r="H1619">
        <v>1</v>
      </c>
    </row>
    <row r="1620" spans="1:8" x14ac:dyDescent="0.25">
      <c r="A1620" t="s">
        <v>1171</v>
      </c>
      <c r="B1620" t="s">
        <v>1172</v>
      </c>
      <c r="C1620">
        <v>38.700000000000003</v>
      </c>
      <c r="D1620" t="s">
        <v>3147</v>
      </c>
      <c r="E1620" t="s">
        <v>1414</v>
      </c>
      <c r="F1620">
        <v>75</v>
      </c>
      <c r="G1620" t="b">
        <v>1</v>
      </c>
      <c r="H1620">
        <v>1</v>
      </c>
    </row>
    <row r="1621" spans="1:8" x14ac:dyDescent="0.25">
      <c r="A1621" t="s">
        <v>2418</v>
      </c>
      <c r="B1621" t="s">
        <v>2419</v>
      </c>
      <c r="C1621">
        <v>28.95</v>
      </c>
      <c r="D1621" t="s">
        <v>3147</v>
      </c>
      <c r="E1621" t="s">
        <v>1414</v>
      </c>
      <c r="F1621">
        <v>75</v>
      </c>
      <c r="G1621" t="b">
        <v>1</v>
      </c>
      <c r="H1621">
        <v>1</v>
      </c>
    </row>
    <row r="1622" spans="1:8" x14ac:dyDescent="0.25">
      <c r="A1622" t="s">
        <v>2421</v>
      </c>
      <c r="B1622" t="s">
        <v>2422</v>
      </c>
      <c r="C1622">
        <v>37.75</v>
      </c>
      <c r="D1622" t="s">
        <v>3147</v>
      </c>
      <c r="E1622" t="s">
        <v>1414</v>
      </c>
      <c r="F1622">
        <v>75</v>
      </c>
      <c r="G1622" t="b">
        <v>1</v>
      </c>
      <c r="H1622">
        <v>1</v>
      </c>
    </row>
    <row r="1623" spans="1:8" x14ac:dyDescent="0.25">
      <c r="A1623" t="s">
        <v>2391</v>
      </c>
      <c r="B1623" t="s">
        <v>2392</v>
      </c>
      <c r="C1623">
        <v>44.55</v>
      </c>
      <c r="D1623" t="s">
        <v>3147</v>
      </c>
      <c r="E1623" t="s">
        <v>1414</v>
      </c>
      <c r="F1623">
        <v>75</v>
      </c>
      <c r="G1623" t="b">
        <v>1</v>
      </c>
      <c r="H1623">
        <v>1</v>
      </c>
    </row>
    <row r="1624" spans="1:8" x14ac:dyDescent="0.25">
      <c r="A1624" t="s">
        <v>2397</v>
      </c>
      <c r="B1624" t="s">
        <v>2398</v>
      </c>
      <c r="C1624">
        <v>73.7</v>
      </c>
      <c r="D1624" t="s">
        <v>3147</v>
      </c>
      <c r="E1624" t="s">
        <v>1414</v>
      </c>
      <c r="F1624">
        <v>75</v>
      </c>
      <c r="G1624" t="b">
        <v>1</v>
      </c>
      <c r="H1624">
        <v>1</v>
      </c>
    </row>
    <row r="1625" spans="1:8" x14ac:dyDescent="0.25">
      <c r="A1625" t="s">
        <v>2399</v>
      </c>
      <c r="B1625" t="s">
        <v>2400</v>
      </c>
      <c r="C1625">
        <v>7.1</v>
      </c>
      <c r="D1625" t="s">
        <v>3147</v>
      </c>
      <c r="E1625" t="s">
        <v>1414</v>
      </c>
      <c r="F1625">
        <v>75</v>
      </c>
      <c r="G1625" t="b">
        <v>1</v>
      </c>
      <c r="H1625">
        <v>1</v>
      </c>
    </row>
    <row r="1626" spans="1:8" x14ac:dyDescent="0.25">
      <c r="A1626" t="s">
        <v>2415</v>
      </c>
      <c r="B1626" t="s">
        <v>2416</v>
      </c>
      <c r="C1626">
        <v>12.1</v>
      </c>
      <c r="D1626" t="s">
        <v>3147</v>
      </c>
      <c r="E1626" t="s">
        <v>1414</v>
      </c>
      <c r="F1626">
        <v>75</v>
      </c>
      <c r="G1626" t="b">
        <v>1</v>
      </c>
      <c r="H1626">
        <v>1</v>
      </c>
    </row>
    <row r="1627" spans="1:8" x14ac:dyDescent="0.25">
      <c r="A1627" t="s">
        <v>2381</v>
      </c>
      <c r="B1627" t="s">
        <v>2382</v>
      </c>
      <c r="C1627">
        <v>42.3</v>
      </c>
      <c r="D1627" t="s">
        <v>3147</v>
      </c>
      <c r="E1627" t="s">
        <v>1414</v>
      </c>
      <c r="F1627">
        <v>75</v>
      </c>
      <c r="G1627" t="b">
        <v>1</v>
      </c>
      <c r="H1627">
        <v>1</v>
      </c>
    </row>
    <row r="1628" spans="1:8" x14ac:dyDescent="0.25">
      <c r="A1628" t="s">
        <v>2389</v>
      </c>
      <c r="B1628" t="s">
        <v>2390</v>
      </c>
      <c r="C1628">
        <v>39.799999999999997</v>
      </c>
      <c r="D1628" t="s">
        <v>3147</v>
      </c>
      <c r="E1628" t="s">
        <v>1414</v>
      </c>
      <c r="F1628">
        <v>75</v>
      </c>
      <c r="G1628" t="b">
        <v>1</v>
      </c>
      <c r="H1628">
        <v>1</v>
      </c>
    </row>
    <row r="1629" spans="1:8" x14ac:dyDescent="0.25">
      <c r="A1629" t="s">
        <v>2386</v>
      </c>
      <c r="B1629" t="s">
        <v>2387</v>
      </c>
      <c r="C1629">
        <v>39.799999999999997</v>
      </c>
      <c r="D1629" t="s">
        <v>3147</v>
      </c>
      <c r="E1629" t="s">
        <v>1414</v>
      </c>
      <c r="F1629">
        <v>75</v>
      </c>
      <c r="G1629" t="b">
        <v>1</v>
      </c>
      <c r="H1629">
        <v>1</v>
      </c>
    </row>
    <row r="1630" spans="1:8" x14ac:dyDescent="0.25">
      <c r="A1630" t="s">
        <v>992</v>
      </c>
      <c r="B1630" t="s">
        <v>993</v>
      </c>
      <c r="C1630">
        <v>90.15</v>
      </c>
      <c r="D1630" t="s">
        <v>3147</v>
      </c>
      <c r="E1630" t="s">
        <v>1414</v>
      </c>
      <c r="F1630">
        <v>75</v>
      </c>
      <c r="G1630" t="b">
        <v>1</v>
      </c>
      <c r="H1630">
        <v>1</v>
      </c>
    </row>
    <row r="1631" spans="1:8" x14ac:dyDescent="0.25">
      <c r="A1631" t="s">
        <v>1133</v>
      </c>
      <c r="B1631" t="s">
        <v>1134</v>
      </c>
      <c r="C1631">
        <v>68.7</v>
      </c>
      <c r="D1631" t="s">
        <v>3147</v>
      </c>
      <c r="E1631" t="s">
        <v>1414</v>
      </c>
      <c r="F1631">
        <v>75</v>
      </c>
      <c r="G1631" t="b">
        <v>1</v>
      </c>
      <c r="H1631">
        <v>1</v>
      </c>
    </row>
    <row r="1632" spans="1:8" x14ac:dyDescent="0.25">
      <c r="A1632" t="s">
        <v>1168</v>
      </c>
      <c r="B1632" t="s">
        <v>1169</v>
      </c>
      <c r="C1632">
        <v>42.2</v>
      </c>
      <c r="D1632" t="s">
        <v>3147</v>
      </c>
      <c r="E1632" t="s">
        <v>1414</v>
      </c>
      <c r="F1632">
        <v>75</v>
      </c>
      <c r="G1632" t="b">
        <v>1</v>
      </c>
      <c r="H1632">
        <v>1</v>
      </c>
    </row>
    <row r="1633" spans="1:8" x14ac:dyDescent="0.25">
      <c r="A1633" t="s">
        <v>1143</v>
      </c>
      <c r="B1633" t="s">
        <v>1144</v>
      </c>
      <c r="C1633">
        <v>25.95</v>
      </c>
      <c r="D1633" t="s">
        <v>3147</v>
      </c>
      <c r="E1633" t="s">
        <v>1414</v>
      </c>
      <c r="F1633">
        <v>75</v>
      </c>
      <c r="G1633" t="b">
        <v>1</v>
      </c>
      <c r="H1633">
        <v>1</v>
      </c>
    </row>
    <row r="1634" spans="1:8" x14ac:dyDescent="0.25">
      <c r="A1634" t="s">
        <v>1148</v>
      </c>
      <c r="B1634" t="s">
        <v>1149</v>
      </c>
      <c r="C1634">
        <v>51</v>
      </c>
      <c r="D1634" t="s">
        <v>3147</v>
      </c>
      <c r="E1634" t="s">
        <v>1414</v>
      </c>
      <c r="F1634">
        <v>75</v>
      </c>
      <c r="G1634" t="b">
        <v>1</v>
      </c>
      <c r="H1634">
        <v>1</v>
      </c>
    </row>
    <row r="1635" spans="1:8" x14ac:dyDescent="0.25">
      <c r="A1635" t="s">
        <v>1157</v>
      </c>
      <c r="B1635" t="s">
        <v>1158</v>
      </c>
      <c r="C1635">
        <v>75.599999999999994</v>
      </c>
      <c r="D1635" t="s">
        <v>3147</v>
      </c>
      <c r="E1635" t="s">
        <v>1414</v>
      </c>
      <c r="F1635">
        <v>75</v>
      </c>
      <c r="G1635" t="b">
        <v>1</v>
      </c>
      <c r="H1635">
        <v>1</v>
      </c>
    </row>
    <row r="1636" spans="1:8" x14ac:dyDescent="0.25">
      <c r="A1636" t="s">
        <v>1123</v>
      </c>
      <c r="B1636" t="s">
        <v>1124</v>
      </c>
      <c r="C1636">
        <v>43.35</v>
      </c>
      <c r="D1636" t="s">
        <v>3147</v>
      </c>
      <c r="E1636" t="s">
        <v>1414</v>
      </c>
      <c r="F1636">
        <v>75</v>
      </c>
      <c r="G1636" t="b">
        <v>1</v>
      </c>
      <c r="H1636">
        <v>1</v>
      </c>
    </row>
    <row r="1637" spans="1:8" x14ac:dyDescent="0.25">
      <c r="A1637" t="s">
        <v>1126</v>
      </c>
      <c r="B1637" t="s">
        <v>1127</v>
      </c>
      <c r="C1637">
        <v>55.05</v>
      </c>
      <c r="D1637" t="s">
        <v>3147</v>
      </c>
      <c r="E1637" t="s">
        <v>1414</v>
      </c>
      <c r="F1637">
        <v>75</v>
      </c>
      <c r="G1637" t="b">
        <v>1</v>
      </c>
      <c r="H1637">
        <v>1</v>
      </c>
    </row>
    <row r="1638" spans="1:8" x14ac:dyDescent="0.25">
      <c r="A1638" t="s">
        <v>2394</v>
      </c>
      <c r="B1638" t="s">
        <v>2395</v>
      </c>
      <c r="C1638">
        <v>64.849999999999994</v>
      </c>
      <c r="D1638" t="s">
        <v>3147</v>
      </c>
      <c r="E1638" t="s">
        <v>1414</v>
      </c>
      <c r="F1638">
        <v>75</v>
      </c>
      <c r="G1638" t="b">
        <v>1</v>
      </c>
      <c r="H1638">
        <v>1</v>
      </c>
    </row>
    <row r="1639" spans="1:8" x14ac:dyDescent="0.25">
      <c r="A1639" t="s">
        <v>1146</v>
      </c>
      <c r="B1639" t="s">
        <v>1147</v>
      </c>
      <c r="C1639">
        <v>46.35</v>
      </c>
      <c r="D1639" t="s">
        <v>3147</v>
      </c>
      <c r="E1639" t="s">
        <v>1414</v>
      </c>
      <c r="F1639">
        <v>75</v>
      </c>
      <c r="G1639" t="b">
        <v>1</v>
      </c>
      <c r="H1639">
        <v>1</v>
      </c>
    </row>
    <row r="1640" spans="1:8" x14ac:dyDescent="0.25">
      <c r="A1640" t="s">
        <v>1151</v>
      </c>
      <c r="B1640" t="s">
        <v>1152</v>
      </c>
      <c r="C1640">
        <v>59.6</v>
      </c>
      <c r="D1640" t="s">
        <v>3147</v>
      </c>
      <c r="E1640" t="s">
        <v>1414</v>
      </c>
      <c r="F1640">
        <v>75</v>
      </c>
      <c r="G1640" t="b">
        <v>1</v>
      </c>
      <c r="H1640">
        <v>1</v>
      </c>
    </row>
    <row r="1641" spans="1:8" x14ac:dyDescent="0.25">
      <c r="A1641" t="s">
        <v>1154</v>
      </c>
      <c r="B1641" t="s">
        <v>1155</v>
      </c>
      <c r="C1641">
        <v>82</v>
      </c>
      <c r="D1641" t="s">
        <v>3147</v>
      </c>
      <c r="E1641" t="s">
        <v>1414</v>
      </c>
      <c r="F1641">
        <v>75</v>
      </c>
      <c r="G1641" t="b">
        <v>1</v>
      </c>
      <c r="H1641">
        <v>1</v>
      </c>
    </row>
    <row r="1642" spans="1:8" x14ac:dyDescent="0.25">
      <c r="A1642" t="s">
        <v>1102</v>
      </c>
      <c r="B1642" t="s">
        <v>1103</v>
      </c>
      <c r="C1642">
        <v>39.799999999999997</v>
      </c>
      <c r="D1642" t="s">
        <v>3147</v>
      </c>
      <c r="E1642" t="s">
        <v>1414</v>
      </c>
      <c r="F1642">
        <v>75</v>
      </c>
      <c r="G1642" t="b">
        <v>1</v>
      </c>
      <c r="H1642">
        <v>1</v>
      </c>
    </row>
    <row r="1643" spans="1:8" x14ac:dyDescent="0.25">
      <c r="A1643" t="s">
        <v>2435</v>
      </c>
      <c r="B1643" t="s">
        <v>2436</v>
      </c>
      <c r="C1643">
        <v>47.05</v>
      </c>
      <c r="D1643" t="s">
        <v>3147</v>
      </c>
      <c r="E1643" t="s">
        <v>1414</v>
      </c>
      <c r="F1643">
        <v>75</v>
      </c>
      <c r="G1643" t="b">
        <v>1</v>
      </c>
      <c r="H1643">
        <v>1</v>
      </c>
    </row>
    <row r="1644" spans="1:8" x14ac:dyDescent="0.25">
      <c r="A1644" t="s">
        <v>2437</v>
      </c>
      <c r="B1644" t="s">
        <v>2438</v>
      </c>
      <c r="C1644">
        <v>74.05</v>
      </c>
      <c r="D1644" t="s">
        <v>3147</v>
      </c>
      <c r="E1644" t="s">
        <v>1414</v>
      </c>
      <c r="F1644">
        <v>75</v>
      </c>
      <c r="G1644" t="b">
        <v>1</v>
      </c>
      <c r="H1644">
        <v>1</v>
      </c>
    </row>
    <row r="1645" spans="1:8" x14ac:dyDescent="0.25">
      <c r="A1645" t="s">
        <v>957</v>
      </c>
      <c r="B1645" t="s">
        <v>2385</v>
      </c>
      <c r="C1645">
        <v>74.05</v>
      </c>
      <c r="D1645" t="s">
        <v>3147</v>
      </c>
      <c r="E1645" t="s">
        <v>1414</v>
      </c>
      <c r="F1645">
        <v>75</v>
      </c>
      <c r="G1645" t="b">
        <v>1</v>
      </c>
      <c r="H1645">
        <v>1</v>
      </c>
    </row>
    <row r="1646" spans="1:8" x14ac:dyDescent="0.25">
      <c r="A1646" t="s">
        <v>957</v>
      </c>
      <c r="B1646" t="s">
        <v>958</v>
      </c>
      <c r="C1646">
        <v>74.05</v>
      </c>
      <c r="D1646" t="s">
        <v>3147</v>
      </c>
      <c r="E1646" t="s">
        <v>1414</v>
      </c>
      <c r="F1646">
        <v>75</v>
      </c>
      <c r="G1646" t="b">
        <v>1</v>
      </c>
      <c r="H1646">
        <v>1</v>
      </c>
    </row>
    <row r="1647" spans="1:8" x14ac:dyDescent="0.25">
      <c r="A1647" t="s">
        <v>995</v>
      </c>
      <c r="B1647" t="s">
        <v>996</v>
      </c>
      <c r="C1647">
        <v>52.65</v>
      </c>
      <c r="D1647" t="s">
        <v>3147</v>
      </c>
      <c r="E1647" t="s">
        <v>1414</v>
      </c>
      <c r="F1647">
        <v>75</v>
      </c>
      <c r="G1647" t="b">
        <v>1</v>
      </c>
      <c r="H1647">
        <v>1</v>
      </c>
    </row>
    <row r="1648" spans="1:8" x14ac:dyDescent="0.25">
      <c r="A1648" t="s">
        <v>959</v>
      </c>
      <c r="B1648" t="s">
        <v>960</v>
      </c>
      <c r="C1648">
        <v>96.2</v>
      </c>
      <c r="D1648" t="s">
        <v>3147</v>
      </c>
      <c r="E1648" t="s">
        <v>1414</v>
      </c>
      <c r="F1648">
        <v>75</v>
      </c>
      <c r="G1648" t="b">
        <v>1</v>
      </c>
      <c r="H1648">
        <v>1</v>
      </c>
    </row>
    <row r="1649" spans="1:8" x14ac:dyDescent="0.25">
      <c r="A1649" t="s">
        <v>1105</v>
      </c>
      <c r="B1649" t="s">
        <v>1106</v>
      </c>
      <c r="C1649">
        <v>96.2</v>
      </c>
      <c r="D1649" t="s">
        <v>3147</v>
      </c>
      <c r="E1649" t="s">
        <v>1414</v>
      </c>
      <c r="F1649">
        <v>75</v>
      </c>
      <c r="G1649" t="b">
        <v>1</v>
      </c>
      <c r="H1649">
        <v>1</v>
      </c>
    </row>
    <row r="1650" spans="1:8" x14ac:dyDescent="0.25">
      <c r="A1650" t="s">
        <v>2112</v>
      </c>
      <c r="B1650" t="s">
        <v>2113</v>
      </c>
      <c r="C1650">
        <v>51</v>
      </c>
      <c r="D1650" t="s">
        <v>3151</v>
      </c>
      <c r="E1650" t="s">
        <v>1414</v>
      </c>
      <c r="F1650">
        <v>75</v>
      </c>
      <c r="G1650" t="b">
        <v>1</v>
      </c>
      <c r="H1650">
        <v>1</v>
      </c>
    </row>
    <row r="1651" spans="1:8" x14ac:dyDescent="0.25">
      <c r="A1651" t="s">
        <v>2119</v>
      </c>
      <c r="B1651" t="s">
        <v>2120</v>
      </c>
      <c r="C1651">
        <v>63.15</v>
      </c>
      <c r="D1651" t="s">
        <v>3151</v>
      </c>
      <c r="E1651" t="s">
        <v>1414</v>
      </c>
      <c r="F1651">
        <v>75</v>
      </c>
      <c r="G1651" t="b">
        <v>1</v>
      </c>
      <c r="H1651">
        <v>1</v>
      </c>
    </row>
    <row r="1652" spans="1:8" x14ac:dyDescent="0.25">
      <c r="A1652" t="s">
        <v>2122</v>
      </c>
      <c r="B1652" t="s">
        <v>2123</v>
      </c>
      <c r="C1652">
        <v>65.75</v>
      </c>
      <c r="D1652" t="s">
        <v>3151</v>
      </c>
      <c r="E1652" t="s">
        <v>1414</v>
      </c>
      <c r="F1652">
        <v>75</v>
      </c>
      <c r="G1652" t="b">
        <v>1</v>
      </c>
      <c r="H1652">
        <v>1</v>
      </c>
    </row>
    <row r="1653" spans="1:8" x14ac:dyDescent="0.25">
      <c r="A1653" t="s">
        <v>2116</v>
      </c>
      <c r="B1653" t="s">
        <v>2117</v>
      </c>
      <c r="C1653">
        <v>57.8</v>
      </c>
      <c r="D1653" t="s">
        <v>3151</v>
      </c>
      <c r="E1653" t="s">
        <v>1414</v>
      </c>
      <c r="F1653">
        <v>75</v>
      </c>
      <c r="G1653" t="b">
        <v>1</v>
      </c>
      <c r="H1653">
        <v>1</v>
      </c>
    </row>
    <row r="1654" spans="1:8" x14ac:dyDescent="0.25">
      <c r="A1654" t="s">
        <v>2135</v>
      </c>
      <c r="B1654" t="s">
        <v>2136</v>
      </c>
      <c r="C1654">
        <v>71.150000000000006</v>
      </c>
      <c r="D1654" t="s">
        <v>3151</v>
      </c>
      <c r="E1654" t="s">
        <v>1414</v>
      </c>
      <c r="F1654">
        <v>75</v>
      </c>
      <c r="G1654" t="b">
        <v>1</v>
      </c>
      <c r="H1654">
        <v>1</v>
      </c>
    </row>
    <row r="1655" spans="1:8" x14ac:dyDescent="0.25">
      <c r="A1655" t="s">
        <v>2125</v>
      </c>
      <c r="B1655" t="s">
        <v>2126</v>
      </c>
      <c r="C1655">
        <v>107.35</v>
      </c>
      <c r="D1655" t="s">
        <v>3151</v>
      </c>
      <c r="E1655" t="s">
        <v>1414</v>
      </c>
      <c r="F1655">
        <v>75</v>
      </c>
      <c r="G1655" t="b">
        <v>1</v>
      </c>
      <c r="H1655">
        <v>1</v>
      </c>
    </row>
    <row r="1656" spans="1:8" x14ac:dyDescent="0.25">
      <c r="A1656" t="s">
        <v>2128</v>
      </c>
      <c r="B1656" t="s">
        <v>2129</v>
      </c>
      <c r="C1656">
        <v>141.19999999999999</v>
      </c>
      <c r="D1656" t="s">
        <v>3151</v>
      </c>
      <c r="E1656" t="s">
        <v>1414</v>
      </c>
      <c r="F1656">
        <v>75</v>
      </c>
      <c r="G1656" t="b">
        <v>1</v>
      </c>
      <c r="H1656">
        <v>1</v>
      </c>
    </row>
    <row r="1657" spans="1:8" x14ac:dyDescent="0.25">
      <c r="A1657" t="s">
        <v>2130</v>
      </c>
      <c r="B1657" t="s">
        <v>2131</v>
      </c>
      <c r="C1657">
        <v>174.3</v>
      </c>
      <c r="D1657" t="s">
        <v>3151</v>
      </c>
      <c r="E1657" t="s">
        <v>1414</v>
      </c>
      <c r="F1657">
        <v>75</v>
      </c>
      <c r="G1657" t="b">
        <v>1</v>
      </c>
      <c r="H1657">
        <v>1</v>
      </c>
    </row>
    <row r="1658" spans="1:8" x14ac:dyDescent="0.25">
      <c r="A1658" t="s">
        <v>2132</v>
      </c>
      <c r="B1658" t="s">
        <v>2133</v>
      </c>
      <c r="C1658">
        <v>181.6</v>
      </c>
      <c r="D1658" t="s">
        <v>3151</v>
      </c>
      <c r="E1658" t="s">
        <v>1414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3260</v>
      </c>
      <c r="B2" t="s">
        <v>3611</v>
      </c>
      <c r="C2" t="s">
        <v>3261</v>
      </c>
      <c r="D2">
        <v>185.65</v>
      </c>
      <c r="E2" t="s">
        <v>3249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3260</v>
      </c>
      <c r="B3" t="s">
        <v>3611</v>
      </c>
      <c r="C3" t="s">
        <v>3262</v>
      </c>
      <c r="D3">
        <v>210.9</v>
      </c>
      <c r="E3" t="s">
        <v>3249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3260</v>
      </c>
      <c r="B4" t="s">
        <v>3611</v>
      </c>
      <c r="C4" t="s">
        <v>3263</v>
      </c>
      <c r="D4">
        <v>248.6</v>
      </c>
      <c r="E4" t="s">
        <v>3249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3260</v>
      </c>
      <c r="B5" t="s">
        <v>3611</v>
      </c>
      <c r="C5" t="s">
        <v>3264</v>
      </c>
      <c r="D5">
        <v>298.55</v>
      </c>
      <c r="E5" t="s">
        <v>3249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3344</v>
      </c>
      <c r="B6" t="s">
        <v>3245</v>
      </c>
      <c r="C6" t="s">
        <v>3345</v>
      </c>
      <c r="D6">
        <v>67.55</v>
      </c>
      <c r="E6" t="s">
        <v>3249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3260</v>
      </c>
      <c r="B7" t="s">
        <v>3611</v>
      </c>
      <c r="C7" t="s">
        <v>3265</v>
      </c>
      <c r="D7">
        <v>311.05</v>
      </c>
      <c r="E7" t="s">
        <v>3249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3260</v>
      </c>
      <c r="B8" t="s">
        <v>3611</v>
      </c>
      <c r="C8" t="s">
        <v>3266</v>
      </c>
      <c r="D8">
        <v>360.75</v>
      </c>
      <c r="E8" t="s">
        <v>3249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3260</v>
      </c>
      <c r="B9" t="s">
        <v>3611</v>
      </c>
      <c r="C9" t="s">
        <v>3267</v>
      </c>
      <c r="D9">
        <v>311.05</v>
      </c>
      <c r="E9" t="s">
        <v>3249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3351</v>
      </c>
      <c r="B10" t="s">
        <v>3612</v>
      </c>
      <c r="C10" t="s">
        <v>3352</v>
      </c>
      <c r="D10">
        <v>135.05000000000001</v>
      </c>
      <c r="E10" t="s">
        <v>3249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3260</v>
      </c>
      <c r="B11" t="s">
        <v>3611</v>
      </c>
      <c r="C11" t="s">
        <v>3268</v>
      </c>
      <c r="D11">
        <v>285.8</v>
      </c>
      <c r="E11" t="s">
        <v>3249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3260</v>
      </c>
      <c r="B12" t="s">
        <v>3611</v>
      </c>
      <c r="C12" t="s">
        <v>3269</v>
      </c>
      <c r="D12">
        <v>285.8</v>
      </c>
      <c r="E12" t="s">
        <v>3249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3260</v>
      </c>
      <c r="B13" t="s">
        <v>3611</v>
      </c>
      <c r="C13" t="s">
        <v>3270</v>
      </c>
      <c r="D13">
        <v>248.6</v>
      </c>
      <c r="E13" t="s">
        <v>3249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3260</v>
      </c>
      <c r="B14" t="s">
        <v>3611</v>
      </c>
      <c r="C14" t="s">
        <v>3271</v>
      </c>
      <c r="D14">
        <v>260.55</v>
      </c>
      <c r="E14" t="s">
        <v>3249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3260</v>
      </c>
      <c r="B15" t="s">
        <v>3611</v>
      </c>
      <c r="C15" t="s">
        <v>3272</v>
      </c>
      <c r="D15">
        <v>260.55</v>
      </c>
      <c r="E15" t="s">
        <v>3249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3260</v>
      </c>
      <c r="B16" t="s">
        <v>3611</v>
      </c>
      <c r="C16" t="s">
        <v>3273</v>
      </c>
      <c r="D16">
        <v>273.3</v>
      </c>
      <c r="E16" t="s">
        <v>3249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3260</v>
      </c>
      <c r="B17" t="s">
        <v>3611</v>
      </c>
      <c r="C17" t="s">
        <v>3274</v>
      </c>
      <c r="D17">
        <v>273.3</v>
      </c>
      <c r="E17" t="s">
        <v>3249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3260</v>
      </c>
      <c r="B18" t="s">
        <v>3611</v>
      </c>
      <c r="C18" t="s">
        <v>3275</v>
      </c>
      <c r="D18">
        <v>346.05</v>
      </c>
      <c r="E18" t="s">
        <v>3249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3260</v>
      </c>
      <c r="B19" t="s">
        <v>3611</v>
      </c>
      <c r="C19" t="s">
        <v>3276</v>
      </c>
      <c r="D19">
        <v>336.3</v>
      </c>
      <c r="E19" t="s">
        <v>3249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3311</v>
      </c>
      <c r="B20" t="s">
        <v>3613</v>
      </c>
      <c r="C20" t="s">
        <v>3312</v>
      </c>
      <c r="D20">
        <v>72.2</v>
      </c>
      <c r="E20" t="s">
        <v>3249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3311</v>
      </c>
      <c r="B21" t="s">
        <v>3613</v>
      </c>
      <c r="C21" t="s">
        <v>3313</v>
      </c>
      <c r="D21">
        <v>72.2</v>
      </c>
      <c r="E21" t="s">
        <v>3249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3311</v>
      </c>
      <c r="B22" t="s">
        <v>3613</v>
      </c>
      <c r="C22" t="s">
        <v>3314</v>
      </c>
      <c r="D22">
        <v>84.95</v>
      </c>
      <c r="E22" t="s">
        <v>3249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3311</v>
      </c>
      <c r="B23" t="s">
        <v>3613</v>
      </c>
      <c r="C23" t="s">
        <v>3315</v>
      </c>
      <c r="D23">
        <v>84.95</v>
      </c>
      <c r="E23" t="s">
        <v>3249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3311</v>
      </c>
      <c r="B24" t="s">
        <v>3613</v>
      </c>
      <c r="C24" t="s">
        <v>3316</v>
      </c>
      <c r="D24">
        <v>97.45</v>
      </c>
      <c r="E24" t="s">
        <v>3249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3311</v>
      </c>
      <c r="B25" t="s">
        <v>3613</v>
      </c>
      <c r="C25" t="s">
        <v>3317</v>
      </c>
      <c r="D25">
        <v>97.45</v>
      </c>
      <c r="E25" t="s">
        <v>3249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3311</v>
      </c>
      <c r="B26" t="s">
        <v>3613</v>
      </c>
      <c r="C26" t="s">
        <v>3318</v>
      </c>
      <c r="D26">
        <v>110.2</v>
      </c>
      <c r="E26" t="s">
        <v>3249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3311</v>
      </c>
      <c r="B27" t="s">
        <v>3613</v>
      </c>
      <c r="C27" t="s">
        <v>3319</v>
      </c>
      <c r="D27">
        <v>110.2</v>
      </c>
      <c r="E27" t="s">
        <v>3249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3311</v>
      </c>
      <c r="B28" t="s">
        <v>3613</v>
      </c>
      <c r="C28" t="s">
        <v>3320</v>
      </c>
      <c r="D28">
        <v>113.6</v>
      </c>
      <c r="E28" t="s">
        <v>3249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3311</v>
      </c>
      <c r="B29" t="s">
        <v>3613</v>
      </c>
      <c r="C29" t="s">
        <v>3321</v>
      </c>
      <c r="D29">
        <v>113.6</v>
      </c>
      <c r="E29" t="s">
        <v>3249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3311</v>
      </c>
      <c r="B30" t="s">
        <v>3613</v>
      </c>
      <c r="C30" t="s">
        <v>3322</v>
      </c>
      <c r="D30">
        <v>135.15</v>
      </c>
      <c r="E30" t="s">
        <v>3249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3311</v>
      </c>
      <c r="B31" t="s">
        <v>3613</v>
      </c>
      <c r="C31" t="s">
        <v>3323</v>
      </c>
      <c r="D31">
        <v>135.15</v>
      </c>
      <c r="E31" t="s">
        <v>3249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3311</v>
      </c>
      <c r="B32" t="s">
        <v>3613</v>
      </c>
      <c r="C32" t="s">
        <v>3324</v>
      </c>
      <c r="D32">
        <v>147.94999999999999</v>
      </c>
      <c r="E32" t="s">
        <v>3249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3311</v>
      </c>
      <c r="B33" t="s">
        <v>3613</v>
      </c>
      <c r="C33" t="s">
        <v>3325</v>
      </c>
      <c r="D33">
        <v>147.94999999999999</v>
      </c>
      <c r="E33" t="s">
        <v>3249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3311</v>
      </c>
      <c r="B34" t="s">
        <v>3613</v>
      </c>
      <c r="C34" t="s">
        <v>3326</v>
      </c>
      <c r="D34">
        <v>160.4</v>
      </c>
      <c r="E34" t="s">
        <v>3249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3311</v>
      </c>
      <c r="B35" t="s">
        <v>3613</v>
      </c>
      <c r="C35" t="s">
        <v>3327</v>
      </c>
      <c r="D35">
        <v>160.4</v>
      </c>
      <c r="E35" t="s">
        <v>3249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3311</v>
      </c>
      <c r="B36" t="s">
        <v>3613</v>
      </c>
      <c r="C36" t="s">
        <v>3328</v>
      </c>
      <c r="D36">
        <v>173.15</v>
      </c>
      <c r="E36" t="s">
        <v>3249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3311</v>
      </c>
      <c r="B37" t="s">
        <v>3613</v>
      </c>
      <c r="C37" t="s">
        <v>3329</v>
      </c>
      <c r="D37">
        <v>173.15</v>
      </c>
      <c r="E37" t="s">
        <v>3249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3311</v>
      </c>
      <c r="B38" t="s">
        <v>3613</v>
      </c>
      <c r="C38" t="s">
        <v>3330</v>
      </c>
      <c r="D38">
        <v>185.65</v>
      </c>
      <c r="E38" t="s">
        <v>3249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3311</v>
      </c>
      <c r="B39" t="s">
        <v>3613</v>
      </c>
      <c r="C39" t="s">
        <v>3331</v>
      </c>
      <c r="D39">
        <v>185.65</v>
      </c>
      <c r="E39" t="s">
        <v>3249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3311</v>
      </c>
      <c r="B40" t="s">
        <v>3613</v>
      </c>
      <c r="C40" t="s">
        <v>3332</v>
      </c>
      <c r="D40">
        <v>198.15</v>
      </c>
      <c r="E40" t="s">
        <v>3249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3311</v>
      </c>
      <c r="B41" t="s">
        <v>3613</v>
      </c>
      <c r="C41" t="s">
        <v>3333</v>
      </c>
      <c r="D41">
        <v>198.15</v>
      </c>
      <c r="E41" t="s">
        <v>3249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3311</v>
      </c>
      <c r="B42" t="s">
        <v>3613</v>
      </c>
      <c r="C42" t="s">
        <v>3334</v>
      </c>
      <c r="D42">
        <v>210.9</v>
      </c>
      <c r="E42" t="s">
        <v>3249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3311</v>
      </c>
      <c r="B43" t="s">
        <v>3613</v>
      </c>
      <c r="C43" t="s">
        <v>3335</v>
      </c>
      <c r="D43">
        <v>210.9</v>
      </c>
      <c r="E43" t="s">
        <v>3249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3311</v>
      </c>
      <c r="B44" t="s">
        <v>3613</v>
      </c>
      <c r="C44" t="s">
        <v>3336</v>
      </c>
      <c r="D44">
        <v>223.4</v>
      </c>
      <c r="E44" t="s">
        <v>3249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3311</v>
      </c>
      <c r="B45" t="s">
        <v>3613</v>
      </c>
      <c r="C45" t="s">
        <v>3337</v>
      </c>
      <c r="D45">
        <v>223.4</v>
      </c>
      <c r="E45" t="s">
        <v>3249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3311</v>
      </c>
      <c r="B46" t="s">
        <v>3613</v>
      </c>
      <c r="C46" t="s">
        <v>3338</v>
      </c>
      <c r="D46">
        <v>236.15</v>
      </c>
      <c r="E46" t="s">
        <v>3249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3311</v>
      </c>
      <c r="B47" t="s">
        <v>3613</v>
      </c>
      <c r="C47" t="s">
        <v>3339</v>
      </c>
      <c r="D47">
        <v>236.15</v>
      </c>
      <c r="E47" t="s">
        <v>3249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3311</v>
      </c>
      <c r="B48" t="s">
        <v>3613</v>
      </c>
      <c r="C48" t="s">
        <v>3340</v>
      </c>
      <c r="D48">
        <v>248.6</v>
      </c>
      <c r="E48" t="s">
        <v>3249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3344</v>
      </c>
      <c r="B49" t="s">
        <v>3245</v>
      </c>
      <c r="C49" t="s">
        <v>3346</v>
      </c>
      <c r="D49">
        <v>17.149999999999999</v>
      </c>
      <c r="E49" t="s">
        <v>3249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3311</v>
      </c>
      <c r="B50" t="s">
        <v>3613</v>
      </c>
      <c r="C50" t="s">
        <v>3341</v>
      </c>
      <c r="D50">
        <v>248.6</v>
      </c>
      <c r="E50" t="s">
        <v>3249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3344</v>
      </c>
      <c r="B51" t="s">
        <v>3245</v>
      </c>
      <c r="C51" t="s">
        <v>3347</v>
      </c>
      <c r="D51">
        <v>17.149999999999999</v>
      </c>
      <c r="E51" t="s">
        <v>3249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3344</v>
      </c>
      <c r="B52" t="s">
        <v>3245</v>
      </c>
      <c r="C52" t="s">
        <v>3348</v>
      </c>
      <c r="D52">
        <v>17.149999999999999</v>
      </c>
      <c r="E52" t="s">
        <v>3249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3311</v>
      </c>
      <c r="B53" t="s">
        <v>3613</v>
      </c>
      <c r="C53" t="s">
        <v>3342</v>
      </c>
      <c r="D53">
        <v>59.45</v>
      </c>
      <c r="E53" t="s">
        <v>3249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3311</v>
      </c>
      <c r="B54" t="s">
        <v>3613</v>
      </c>
      <c r="C54" t="s">
        <v>3343</v>
      </c>
      <c r="D54">
        <v>59.45</v>
      </c>
      <c r="E54" t="s">
        <v>3249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3260</v>
      </c>
      <c r="B55" t="s">
        <v>3611</v>
      </c>
      <c r="C55" t="s">
        <v>3277</v>
      </c>
      <c r="D55">
        <v>360.75</v>
      </c>
      <c r="E55" t="s">
        <v>3249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3260</v>
      </c>
      <c r="B56" t="s">
        <v>3611</v>
      </c>
      <c r="C56" t="s">
        <v>3278</v>
      </c>
      <c r="D56">
        <v>346.05</v>
      </c>
      <c r="E56" t="s">
        <v>3249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3260</v>
      </c>
      <c r="B57" t="s">
        <v>3611</v>
      </c>
      <c r="C57" t="s">
        <v>3279</v>
      </c>
      <c r="D57">
        <v>323.55</v>
      </c>
      <c r="E57" t="s">
        <v>3249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3260</v>
      </c>
      <c r="B58" t="s">
        <v>3611</v>
      </c>
      <c r="C58" t="s">
        <v>3280</v>
      </c>
      <c r="D58">
        <v>323.55</v>
      </c>
      <c r="E58" t="s">
        <v>3249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3260</v>
      </c>
      <c r="B59" t="s">
        <v>3611</v>
      </c>
      <c r="C59" t="s">
        <v>3281</v>
      </c>
      <c r="D59">
        <v>336.3</v>
      </c>
      <c r="E59" t="s">
        <v>3249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3344</v>
      </c>
      <c r="B60" t="s">
        <v>3245</v>
      </c>
      <c r="C60" t="s">
        <v>3349</v>
      </c>
      <c r="D60">
        <v>64.849999999999994</v>
      </c>
      <c r="E60" t="s">
        <v>3249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3344</v>
      </c>
      <c r="B61" t="s">
        <v>3245</v>
      </c>
      <c r="C61" t="s">
        <v>3350</v>
      </c>
      <c r="D61">
        <v>70.2</v>
      </c>
      <c r="E61" t="s">
        <v>3249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3351</v>
      </c>
      <c r="B62" t="s">
        <v>3612</v>
      </c>
      <c r="C62" t="s">
        <v>3353</v>
      </c>
      <c r="D62">
        <v>98.8</v>
      </c>
      <c r="E62" t="s">
        <v>3249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3351</v>
      </c>
      <c r="B63" t="s">
        <v>3612</v>
      </c>
      <c r="C63" t="s">
        <v>3354</v>
      </c>
      <c r="D63">
        <v>114.7</v>
      </c>
      <c r="E63" t="s">
        <v>3249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3351</v>
      </c>
      <c r="B64" t="s">
        <v>3612</v>
      </c>
      <c r="C64" t="s">
        <v>3355</v>
      </c>
      <c r="D64">
        <v>125.6</v>
      </c>
      <c r="E64" t="s">
        <v>3249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3356</v>
      </c>
      <c r="B65" t="s">
        <v>3614</v>
      </c>
      <c r="C65" t="s">
        <v>3357</v>
      </c>
      <c r="D65">
        <v>57.25</v>
      </c>
      <c r="E65" t="s">
        <v>3249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3356</v>
      </c>
      <c r="B66" t="s">
        <v>3614</v>
      </c>
      <c r="C66" t="s">
        <v>3358</v>
      </c>
      <c r="D66">
        <v>57.25</v>
      </c>
      <c r="E66" t="s">
        <v>3249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3356</v>
      </c>
      <c r="B67" t="s">
        <v>3614</v>
      </c>
      <c r="C67" t="s">
        <v>3359</v>
      </c>
      <c r="D67">
        <v>57.25</v>
      </c>
      <c r="E67" t="s">
        <v>3249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3356</v>
      </c>
      <c r="B68" t="s">
        <v>3614</v>
      </c>
      <c r="C68" t="s">
        <v>3360</v>
      </c>
      <c r="D68">
        <v>57.25</v>
      </c>
      <c r="E68" t="s">
        <v>3249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3356</v>
      </c>
      <c r="B69" t="s">
        <v>3614</v>
      </c>
      <c r="C69" t="s">
        <v>3361</v>
      </c>
      <c r="D69">
        <v>67.400000000000006</v>
      </c>
      <c r="E69" t="s">
        <v>3249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3356</v>
      </c>
      <c r="B70" t="s">
        <v>3614</v>
      </c>
      <c r="C70" t="s">
        <v>3362</v>
      </c>
      <c r="D70">
        <v>67.400000000000006</v>
      </c>
      <c r="E70" t="s">
        <v>3249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3356</v>
      </c>
      <c r="B71" t="s">
        <v>3614</v>
      </c>
      <c r="C71" t="s">
        <v>3363</v>
      </c>
      <c r="D71">
        <v>67.400000000000006</v>
      </c>
      <c r="E71" t="s">
        <v>3249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3356</v>
      </c>
      <c r="B72" t="s">
        <v>3614</v>
      </c>
      <c r="C72" t="s">
        <v>3364</v>
      </c>
      <c r="D72">
        <v>67.400000000000006</v>
      </c>
      <c r="E72" t="s">
        <v>3249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3356</v>
      </c>
      <c r="B73" t="s">
        <v>3614</v>
      </c>
      <c r="C73" t="s">
        <v>3365</v>
      </c>
      <c r="D73">
        <v>77.3</v>
      </c>
      <c r="E73" t="s">
        <v>3249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3356</v>
      </c>
      <c r="B74" t="s">
        <v>3614</v>
      </c>
      <c r="C74" t="s">
        <v>3366</v>
      </c>
      <c r="D74">
        <v>77.3</v>
      </c>
      <c r="E74" t="s">
        <v>3249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3356</v>
      </c>
      <c r="B75" t="s">
        <v>3614</v>
      </c>
      <c r="C75" t="s">
        <v>3367</v>
      </c>
      <c r="D75">
        <v>77.3</v>
      </c>
      <c r="E75" t="s">
        <v>3249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3356</v>
      </c>
      <c r="B76" t="s">
        <v>3614</v>
      </c>
      <c r="C76" t="s">
        <v>3368</v>
      </c>
      <c r="D76">
        <v>77.3</v>
      </c>
      <c r="E76" t="s">
        <v>3249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3356</v>
      </c>
      <c r="B77" t="s">
        <v>3614</v>
      </c>
      <c r="C77" t="s">
        <v>3369</v>
      </c>
      <c r="D77">
        <v>87.4</v>
      </c>
      <c r="E77" t="s">
        <v>3249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3356</v>
      </c>
      <c r="B78" t="s">
        <v>3614</v>
      </c>
      <c r="C78" t="s">
        <v>3370</v>
      </c>
      <c r="D78">
        <v>87.4</v>
      </c>
      <c r="E78" t="s">
        <v>3249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3356</v>
      </c>
      <c r="B79" t="s">
        <v>3614</v>
      </c>
      <c r="C79" t="s">
        <v>3371</v>
      </c>
      <c r="D79">
        <v>87.4</v>
      </c>
      <c r="E79" t="s">
        <v>3249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3356</v>
      </c>
      <c r="B80" t="s">
        <v>3614</v>
      </c>
      <c r="C80" t="s">
        <v>3372</v>
      </c>
      <c r="D80">
        <v>87.4</v>
      </c>
      <c r="E80" t="s">
        <v>3249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3356</v>
      </c>
      <c r="B81" t="s">
        <v>3614</v>
      </c>
      <c r="C81" t="s">
        <v>3373</v>
      </c>
      <c r="D81">
        <v>97.5</v>
      </c>
      <c r="E81" t="s">
        <v>3249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3356</v>
      </c>
      <c r="B82" t="s">
        <v>3614</v>
      </c>
      <c r="C82" t="s">
        <v>3374</v>
      </c>
      <c r="D82">
        <v>97.5</v>
      </c>
      <c r="E82" t="s">
        <v>3249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3356</v>
      </c>
      <c r="B83" t="s">
        <v>3614</v>
      </c>
      <c r="C83" t="s">
        <v>3375</v>
      </c>
      <c r="D83">
        <v>97.5</v>
      </c>
      <c r="E83" t="s">
        <v>3249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3356</v>
      </c>
      <c r="B84" t="s">
        <v>3614</v>
      </c>
      <c r="C84" t="s">
        <v>3376</v>
      </c>
      <c r="D84">
        <v>97.5</v>
      </c>
      <c r="E84" t="s">
        <v>3249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3356</v>
      </c>
      <c r="B85" t="s">
        <v>3614</v>
      </c>
      <c r="C85" t="s">
        <v>3377</v>
      </c>
      <c r="D85">
        <v>107.2</v>
      </c>
      <c r="E85" t="s">
        <v>3249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3356</v>
      </c>
      <c r="B86" t="s">
        <v>3614</v>
      </c>
      <c r="C86" t="s">
        <v>3378</v>
      </c>
      <c r="D86">
        <v>107.2</v>
      </c>
      <c r="E86" t="s">
        <v>3249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3356</v>
      </c>
      <c r="B87" t="s">
        <v>3614</v>
      </c>
      <c r="C87" t="s">
        <v>3379</v>
      </c>
      <c r="D87">
        <v>107.2</v>
      </c>
      <c r="E87" t="s">
        <v>3249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3356</v>
      </c>
      <c r="B88" t="s">
        <v>3614</v>
      </c>
      <c r="C88" t="s">
        <v>3380</v>
      </c>
      <c r="D88">
        <v>107.2</v>
      </c>
      <c r="E88" t="s">
        <v>3249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3356</v>
      </c>
      <c r="B89" t="s">
        <v>3614</v>
      </c>
      <c r="C89" t="s">
        <v>3381</v>
      </c>
      <c r="D89">
        <v>117.3</v>
      </c>
      <c r="E89" t="s">
        <v>3249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3356</v>
      </c>
      <c r="B90" t="s">
        <v>3614</v>
      </c>
      <c r="C90" t="s">
        <v>3382</v>
      </c>
      <c r="D90">
        <v>117.3</v>
      </c>
      <c r="E90" t="s">
        <v>3249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3356</v>
      </c>
      <c r="B91" t="s">
        <v>3614</v>
      </c>
      <c r="C91" t="s">
        <v>3383</v>
      </c>
      <c r="D91">
        <v>117.3</v>
      </c>
      <c r="E91" t="s">
        <v>3249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3356</v>
      </c>
      <c r="B92" t="s">
        <v>3614</v>
      </c>
      <c r="C92" t="s">
        <v>3384</v>
      </c>
      <c r="D92">
        <v>117.3</v>
      </c>
      <c r="E92" t="s">
        <v>3249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3356</v>
      </c>
      <c r="B93" t="s">
        <v>3614</v>
      </c>
      <c r="C93" t="s">
        <v>3385</v>
      </c>
      <c r="D93">
        <v>127.2</v>
      </c>
      <c r="E93" t="s">
        <v>3249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3356</v>
      </c>
      <c r="B94" t="s">
        <v>3614</v>
      </c>
      <c r="C94" t="s">
        <v>3386</v>
      </c>
      <c r="D94">
        <v>127.2</v>
      </c>
      <c r="E94" t="s">
        <v>3249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3356</v>
      </c>
      <c r="B95" t="s">
        <v>3614</v>
      </c>
      <c r="C95" t="s">
        <v>3387</v>
      </c>
      <c r="D95">
        <v>127.2</v>
      </c>
      <c r="E95" t="s">
        <v>3249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3356</v>
      </c>
      <c r="B96" t="s">
        <v>3614</v>
      </c>
      <c r="C96" t="s">
        <v>3388</v>
      </c>
      <c r="D96">
        <v>127.2</v>
      </c>
      <c r="E96" t="s">
        <v>3249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3356</v>
      </c>
      <c r="B97" t="s">
        <v>3614</v>
      </c>
      <c r="C97" t="s">
        <v>3389</v>
      </c>
      <c r="D97">
        <v>137.35</v>
      </c>
      <c r="E97" t="s">
        <v>3249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3356</v>
      </c>
      <c r="B98" t="s">
        <v>3614</v>
      </c>
      <c r="C98" t="s">
        <v>3390</v>
      </c>
      <c r="D98">
        <v>137.35</v>
      </c>
      <c r="E98" t="s">
        <v>3249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3356</v>
      </c>
      <c r="B99" t="s">
        <v>3614</v>
      </c>
      <c r="C99" t="s">
        <v>3391</v>
      </c>
      <c r="D99">
        <v>137.35</v>
      </c>
      <c r="E99" t="s">
        <v>3249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3356</v>
      </c>
      <c r="B100" t="s">
        <v>3614</v>
      </c>
      <c r="C100" t="s">
        <v>3392</v>
      </c>
      <c r="D100">
        <v>137.35</v>
      </c>
      <c r="E100" t="s">
        <v>3249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3356</v>
      </c>
      <c r="B101" t="s">
        <v>3614</v>
      </c>
      <c r="C101" t="s">
        <v>3393</v>
      </c>
      <c r="D101">
        <v>147.25</v>
      </c>
      <c r="E101" t="s">
        <v>3249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3356</v>
      </c>
      <c r="B102" t="s">
        <v>3614</v>
      </c>
      <c r="C102" t="s">
        <v>3394</v>
      </c>
      <c r="D102">
        <v>147.25</v>
      </c>
      <c r="E102" t="s">
        <v>3249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3356</v>
      </c>
      <c r="B103" t="s">
        <v>3614</v>
      </c>
      <c r="C103" t="s">
        <v>3395</v>
      </c>
      <c r="D103">
        <v>147.25</v>
      </c>
      <c r="E103" t="s">
        <v>3249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3356</v>
      </c>
      <c r="B104" t="s">
        <v>3614</v>
      </c>
      <c r="C104" t="s">
        <v>3396</v>
      </c>
      <c r="D104">
        <v>147.25</v>
      </c>
      <c r="E104" t="s">
        <v>3249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3356</v>
      </c>
      <c r="B105" t="s">
        <v>3614</v>
      </c>
      <c r="C105" t="s">
        <v>3397</v>
      </c>
      <c r="D105">
        <v>157.15</v>
      </c>
      <c r="E105" t="s">
        <v>3249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3356</v>
      </c>
      <c r="B106" t="s">
        <v>3614</v>
      </c>
      <c r="C106" t="s">
        <v>3398</v>
      </c>
      <c r="D106">
        <v>157.15</v>
      </c>
      <c r="E106" t="s">
        <v>3249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3356</v>
      </c>
      <c r="B107" t="s">
        <v>3614</v>
      </c>
      <c r="C107" t="s">
        <v>3399</v>
      </c>
      <c r="D107">
        <v>157.15</v>
      </c>
      <c r="E107" t="s">
        <v>3249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3356</v>
      </c>
      <c r="B108" t="s">
        <v>3614</v>
      </c>
      <c r="C108" t="s">
        <v>3400</v>
      </c>
      <c r="D108">
        <v>157.15</v>
      </c>
      <c r="E108" t="s">
        <v>3249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3356</v>
      </c>
      <c r="B109" t="s">
        <v>3614</v>
      </c>
      <c r="C109" t="s">
        <v>3401</v>
      </c>
      <c r="D109">
        <v>167.25</v>
      </c>
      <c r="E109" t="s">
        <v>3249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3356</v>
      </c>
      <c r="B110" t="s">
        <v>3614</v>
      </c>
      <c r="C110" t="s">
        <v>3402</v>
      </c>
      <c r="D110">
        <v>167.25</v>
      </c>
      <c r="E110" t="s">
        <v>3249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3356</v>
      </c>
      <c r="B111" t="s">
        <v>3614</v>
      </c>
      <c r="C111" t="s">
        <v>3403</v>
      </c>
      <c r="D111">
        <v>167.25</v>
      </c>
      <c r="E111" t="s">
        <v>3249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3356</v>
      </c>
      <c r="B112" t="s">
        <v>3614</v>
      </c>
      <c r="C112" t="s">
        <v>3404</v>
      </c>
      <c r="D112">
        <v>167.25</v>
      </c>
      <c r="E112" t="s">
        <v>3249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3356</v>
      </c>
      <c r="B113" t="s">
        <v>3614</v>
      </c>
      <c r="C113" t="s">
        <v>3405</v>
      </c>
      <c r="D113">
        <v>177.15</v>
      </c>
      <c r="E113" t="s">
        <v>3249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3356</v>
      </c>
      <c r="B114" t="s">
        <v>3614</v>
      </c>
      <c r="C114" t="s">
        <v>3406</v>
      </c>
      <c r="D114">
        <v>177.15</v>
      </c>
      <c r="E114" t="s">
        <v>3249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3356</v>
      </c>
      <c r="B115" t="s">
        <v>3614</v>
      </c>
      <c r="C115" t="s">
        <v>3407</v>
      </c>
      <c r="D115">
        <v>177.15</v>
      </c>
      <c r="E115" t="s">
        <v>3249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3356</v>
      </c>
      <c r="B116" t="s">
        <v>3614</v>
      </c>
      <c r="C116" t="s">
        <v>3408</v>
      </c>
      <c r="D116">
        <v>177.15</v>
      </c>
      <c r="E116" t="s">
        <v>3249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3356</v>
      </c>
      <c r="B117" t="s">
        <v>3614</v>
      </c>
      <c r="C117" t="s">
        <v>3409</v>
      </c>
      <c r="D117">
        <v>187.25</v>
      </c>
      <c r="E117" t="s">
        <v>3249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3356</v>
      </c>
      <c r="B118" t="s">
        <v>3614</v>
      </c>
      <c r="C118" t="s">
        <v>3410</v>
      </c>
      <c r="D118">
        <v>187.25</v>
      </c>
      <c r="E118" t="s">
        <v>3249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3356</v>
      </c>
      <c r="B119" t="s">
        <v>3614</v>
      </c>
      <c r="C119" t="s">
        <v>3411</v>
      </c>
      <c r="D119">
        <v>187.25</v>
      </c>
      <c r="E119" t="s">
        <v>3249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3356</v>
      </c>
      <c r="B120" t="s">
        <v>3614</v>
      </c>
      <c r="C120" t="s">
        <v>3412</v>
      </c>
      <c r="D120">
        <v>187.25</v>
      </c>
      <c r="E120" t="s">
        <v>3249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3356</v>
      </c>
      <c r="B121" t="s">
        <v>3614</v>
      </c>
      <c r="C121" t="s">
        <v>3413</v>
      </c>
      <c r="D121">
        <v>197.15</v>
      </c>
      <c r="E121" t="s">
        <v>3249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3356</v>
      </c>
      <c r="B122" t="s">
        <v>3614</v>
      </c>
      <c r="C122" t="s">
        <v>3414</v>
      </c>
      <c r="D122">
        <v>197.15</v>
      </c>
      <c r="E122" t="s">
        <v>3249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3356</v>
      </c>
      <c r="B123" t="s">
        <v>3614</v>
      </c>
      <c r="C123" t="s">
        <v>3415</v>
      </c>
      <c r="D123">
        <v>197.15</v>
      </c>
      <c r="E123" t="s">
        <v>3249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3356</v>
      </c>
      <c r="B124" t="s">
        <v>3614</v>
      </c>
      <c r="C124" t="s">
        <v>3416</v>
      </c>
      <c r="D124">
        <v>197.15</v>
      </c>
      <c r="E124" t="s">
        <v>3249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3356</v>
      </c>
      <c r="B125" t="s">
        <v>3614</v>
      </c>
      <c r="C125" t="s">
        <v>3417</v>
      </c>
      <c r="D125">
        <v>206.65</v>
      </c>
      <c r="E125" t="s">
        <v>3249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3356</v>
      </c>
      <c r="B126" t="s">
        <v>3614</v>
      </c>
      <c r="C126" t="s">
        <v>3418</v>
      </c>
      <c r="D126">
        <v>206.65</v>
      </c>
      <c r="E126" t="s">
        <v>3249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3356</v>
      </c>
      <c r="B127" t="s">
        <v>3614</v>
      </c>
      <c r="C127" t="s">
        <v>3419</v>
      </c>
      <c r="D127">
        <v>206.65</v>
      </c>
      <c r="E127" t="s">
        <v>3249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3356</v>
      </c>
      <c r="B128" t="s">
        <v>3614</v>
      </c>
      <c r="C128" t="s">
        <v>3420</v>
      </c>
      <c r="D128">
        <v>206.65</v>
      </c>
      <c r="E128" t="s">
        <v>3249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3356</v>
      </c>
      <c r="B129" t="s">
        <v>3614</v>
      </c>
      <c r="C129" t="s">
        <v>3421</v>
      </c>
      <c r="D129">
        <v>216.75</v>
      </c>
      <c r="E129" t="s">
        <v>3249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3356</v>
      </c>
      <c r="B130" t="s">
        <v>3614</v>
      </c>
      <c r="C130" t="s">
        <v>3422</v>
      </c>
      <c r="D130">
        <v>216.75</v>
      </c>
      <c r="E130" t="s">
        <v>3249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3356</v>
      </c>
      <c r="B131" t="s">
        <v>3614</v>
      </c>
      <c r="C131" t="s">
        <v>3423</v>
      </c>
      <c r="D131">
        <v>216.75</v>
      </c>
      <c r="E131" t="s">
        <v>3249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3356</v>
      </c>
      <c r="B132" t="s">
        <v>3614</v>
      </c>
      <c r="C132" t="s">
        <v>3424</v>
      </c>
      <c r="D132">
        <v>216.75</v>
      </c>
      <c r="E132" t="s">
        <v>3249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3356</v>
      </c>
      <c r="B133" t="s">
        <v>3614</v>
      </c>
      <c r="C133" t="s">
        <v>3425</v>
      </c>
      <c r="D133">
        <v>226.65</v>
      </c>
      <c r="E133" t="s">
        <v>3249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3356</v>
      </c>
      <c r="B134" t="s">
        <v>3614</v>
      </c>
      <c r="C134" t="s">
        <v>3426</v>
      </c>
      <c r="D134">
        <v>226.65</v>
      </c>
      <c r="E134" t="s">
        <v>3249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3356</v>
      </c>
      <c r="B135" t="s">
        <v>3614</v>
      </c>
      <c r="C135" t="s">
        <v>3427</v>
      </c>
      <c r="D135">
        <v>226.65</v>
      </c>
      <c r="E135" t="s">
        <v>3249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3356</v>
      </c>
      <c r="B136" t="s">
        <v>3614</v>
      </c>
      <c r="C136" t="s">
        <v>3428</v>
      </c>
      <c r="D136">
        <v>226.65</v>
      </c>
      <c r="E136" t="s">
        <v>3249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3356</v>
      </c>
      <c r="B137" t="s">
        <v>3614</v>
      </c>
      <c r="C137" t="s">
        <v>3429</v>
      </c>
      <c r="D137">
        <v>236.8</v>
      </c>
      <c r="E137" t="s">
        <v>3249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3356</v>
      </c>
      <c r="B138" t="s">
        <v>3614</v>
      </c>
      <c r="C138" t="s">
        <v>3430</v>
      </c>
      <c r="D138">
        <v>236.8</v>
      </c>
      <c r="E138" t="s">
        <v>3249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3356</v>
      </c>
      <c r="B139" t="s">
        <v>3614</v>
      </c>
      <c r="C139" t="s">
        <v>3431</v>
      </c>
      <c r="D139">
        <v>236.8</v>
      </c>
      <c r="E139" t="s">
        <v>3249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3356</v>
      </c>
      <c r="B140" t="s">
        <v>3614</v>
      </c>
      <c r="C140" t="s">
        <v>3432</v>
      </c>
      <c r="D140">
        <v>236.8</v>
      </c>
      <c r="E140" t="s">
        <v>3249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3356</v>
      </c>
      <c r="B141" t="s">
        <v>3614</v>
      </c>
      <c r="C141" t="s">
        <v>3433</v>
      </c>
      <c r="D141">
        <v>246.65</v>
      </c>
      <c r="E141" t="s">
        <v>3249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3356</v>
      </c>
      <c r="B142" t="s">
        <v>3614</v>
      </c>
      <c r="C142" t="s">
        <v>3434</v>
      </c>
      <c r="D142">
        <v>246.65</v>
      </c>
      <c r="E142" t="s">
        <v>3249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3356</v>
      </c>
      <c r="B143" t="s">
        <v>3614</v>
      </c>
      <c r="C143" t="s">
        <v>3435</v>
      </c>
      <c r="D143">
        <v>246.65</v>
      </c>
      <c r="E143" t="s">
        <v>3249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3356</v>
      </c>
      <c r="B144" t="s">
        <v>3614</v>
      </c>
      <c r="C144" t="s">
        <v>3436</v>
      </c>
      <c r="D144">
        <v>246.65</v>
      </c>
      <c r="E144" t="s">
        <v>3249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3356</v>
      </c>
      <c r="B145" t="s">
        <v>3614</v>
      </c>
      <c r="C145" t="s">
        <v>3437</v>
      </c>
      <c r="D145">
        <v>256.55</v>
      </c>
      <c r="E145" t="s">
        <v>3249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3356</v>
      </c>
      <c r="B146" t="s">
        <v>3614</v>
      </c>
      <c r="C146" t="s">
        <v>3438</v>
      </c>
      <c r="D146">
        <v>256.55</v>
      </c>
      <c r="E146" t="s">
        <v>3249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3356</v>
      </c>
      <c r="B147" t="s">
        <v>3614</v>
      </c>
      <c r="C147" t="s">
        <v>3439</v>
      </c>
      <c r="D147">
        <v>256.55</v>
      </c>
      <c r="E147" t="s">
        <v>3249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3356</v>
      </c>
      <c r="B148" t="s">
        <v>3614</v>
      </c>
      <c r="C148" t="s">
        <v>3440</v>
      </c>
      <c r="D148">
        <v>256.55</v>
      </c>
      <c r="E148" t="s">
        <v>3249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3356</v>
      </c>
      <c r="B149" t="s">
        <v>3614</v>
      </c>
      <c r="C149" t="s">
        <v>3441</v>
      </c>
      <c r="D149">
        <v>266.7</v>
      </c>
      <c r="E149" t="s">
        <v>3249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3356</v>
      </c>
      <c r="B150" t="s">
        <v>3614</v>
      </c>
      <c r="C150" t="s">
        <v>3442</v>
      </c>
      <c r="D150">
        <v>266.7</v>
      </c>
      <c r="E150" t="s">
        <v>3249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3356</v>
      </c>
      <c r="B151" t="s">
        <v>3614</v>
      </c>
      <c r="C151" t="s">
        <v>3443</v>
      </c>
      <c r="D151">
        <v>266.7</v>
      </c>
      <c r="E151" t="s">
        <v>3249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3356</v>
      </c>
      <c r="B152" t="s">
        <v>3614</v>
      </c>
      <c r="C152" t="s">
        <v>3444</v>
      </c>
      <c r="D152">
        <v>266.7</v>
      </c>
      <c r="E152" t="s">
        <v>3249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3356</v>
      </c>
      <c r="B153" t="s">
        <v>3614</v>
      </c>
      <c r="C153" t="s">
        <v>3445</v>
      </c>
      <c r="D153">
        <v>274.45</v>
      </c>
      <c r="E153" t="s">
        <v>3249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3356</v>
      </c>
      <c r="B154" t="s">
        <v>3614</v>
      </c>
      <c r="C154" t="s">
        <v>3446</v>
      </c>
      <c r="D154">
        <v>274.45</v>
      </c>
      <c r="E154" t="s">
        <v>3249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3356</v>
      </c>
      <c r="B155" t="s">
        <v>3614</v>
      </c>
      <c r="C155" t="s">
        <v>3447</v>
      </c>
      <c r="D155">
        <v>274.45</v>
      </c>
      <c r="E155" t="s">
        <v>3249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3356</v>
      </c>
      <c r="B156" t="s">
        <v>3614</v>
      </c>
      <c r="C156" t="s">
        <v>3448</v>
      </c>
      <c r="D156">
        <v>274.45</v>
      </c>
      <c r="E156" t="s">
        <v>3249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3356</v>
      </c>
      <c r="B157" t="s">
        <v>3614</v>
      </c>
      <c r="C157" t="s">
        <v>3449</v>
      </c>
      <c r="D157">
        <v>286.05</v>
      </c>
      <c r="E157" t="s">
        <v>3249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3356</v>
      </c>
      <c r="B158" t="s">
        <v>3614</v>
      </c>
      <c r="C158" t="s">
        <v>3450</v>
      </c>
      <c r="D158">
        <v>286.05</v>
      </c>
      <c r="E158" t="s">
        <v>3249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3356</v>
      </c>
      <c r="B159" t="s">
        <v>3614</v>
      </c>
      <c r="C159" t="s">
        <v>3451</v>
      </c>
      <c r="D159">
        <v>286.05</v>
      </c>
      <c r="E159" t="s">
        <v>3249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3356</v>
      </c>
      <c r="B160" t="s">
        <v>3614</v>
      </c>
      <c r="C160" t="s">
        <v>3452</v>
      </c>
      <c r="D160">
        <v>286.05</v>
      </c>
      <c r="E160" t="s">
        <v>3249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3260</v>
      </c>
      <c r="B161" t="s">
        <v>3611</v>
      </c>
      <c r="C161" t="s">
        <v>3282</v>
      </c>
      <c r="D161">
        <v>236.15</v>
      </c>
      <c r="E161" t="s">
        <v>3249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3260</v>
      </c>
      <c r="B162" t="s">
        <v>3611</v>
      </c>
      <c r="C162" t="s">
        <v>3283</v>
      </c>
      <c r="D162">
        <v>236.15</v>
      </c>
      <c r="E162" t="s">
        <v>3249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3260</v>
      </c>
      <c r="B163" t="s">
        <v>3611</v>
      </c>
      <c r="C163" t="s">
        <v>3284</v>
      </c>
      <c r="D163">
        <v>298.55</v>
      </c>
      <c r="E163" t="s">
        <v>3249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3546</v>
      </c>
      <c r="B164" t="s">
        <v>3615</v>
      </c>
      <c r="C164" t="s">
        <v>3547</v>
      </c>
      <c r="D164">
        <v>57.25</v>
      </c>
      <c r="E164" t="s">
        <v>3249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3546</v>
      </c>
      <c r="B165" t="s">
        <v>3615</v>
      </c>
      <c r="C165" t="s">
        <v>3548</v>
      </c>
      <c r="D165">
        <v>57.25</v>
      </c>
      <c r="E165" t="s">
        <v>3249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3546</v>
      </c>
      <c r="B166" t="s">
        <v>3615</v>
      </c>
      <c r="C166" t="s">
        <v>3549</v>
      </c>
      <c r="D166">
        <v>57.25</v>
      </c>
      <c r="E166" t="s">
        <v>3249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3546</v>
      </c>
      <c r="B167" t="s">
        <v>3615</v>
      </c>
      <c r="C167" t="s">
        <v>3550</v>
      </c>
      <c r="D167">
        <v>57.25</v>
      </c>
      <c r="E167" t="s">
        <v>3249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3546</v>
      </c>
      <c r="B168" t="s">
        <v>3615</v>
      </c>
      <c r="C168" t="s">
        <v>3551</v>
      </c>
      <c r="D168">
        <v>67.400000000000006</v>
      </c>
      <c r="E168" t="s">
        <v>3249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3546</v>
      </c>
      <c r="B169" t="s">
        <v>3615</v>
      </c>
      <c r="C169" t="s">
        <v>3552</v>
      </c>
      <c r="D169">
        <v>67.400000000000006</v>
      </c>
      <c r="E169" t="s">
        <v>3249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3546</v>
      </c>
      <c r="B170" t="s">
        <v>3615</v>
      </c>
      <c r="C170" t="s">
        <v>3553</v>
      </c>
      <c r="D170">
        <v>67.400000000000006</v>
      </c>
      <c r="E170" t="s">
        <v>3249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3546</v>
      </c>
      <c r="B171" t="s">
        <v>3615</v>
      </c>
      <c r="C171" t="s">
        <v>3554</v>
      </c>
      <c r="D171">
        <v>67.400000000000006</v>
      </c>
      <c r="E171" t="s">
        <v>3249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3546</v>
      </c>
      <c r="B172" t="s">
        <v>3615</v>
      </c>
      <c r="C172" t="s">
        <v>3555</v>
      </c>
      <c r="D172">
        <v>77.3</v>
      </c>
      <c r="E172" t="s">
        <v>3249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3546</v>
      </c>
      <c r="B173" t="s">
        <v>3615</v>
      </c>
      <c r="C173" t="s">
        <v>3556</v>
      </c>
      <c r="D173">
        <v>77.3</v>
      </c>
      <c r="E173" t="s">
        <v>3249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3546</v>
      </c>
      <c r="B174" t="s">
        <v>3615</v>
      </c>
      <c r="C174" t="s">
        <v>3557</v>
      </c>
      <c r="D174">
        <v>77.3</v>
      </c>
      <c r="E174" t="s">
        <v>3249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3546</v>
      </c>
      <c r="B175" t="s">
        <v>3615</v>
      </c>
      <c r="C175" t="s">
        <v>3558</v>
      </c>
      <c r="D175">
        <v>77.3</v>
      </c>
      <c r="E175" t="s">
        <v>3249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3546</v>
      </c>
      <c r="B176" t="s">
        <v>3615</v>
      </c>
      <c r="C176" t="s">
        <v>3559</v>
      </c>
      <c r="D176">
        <v>87.4</v>
      </c>
      <c r="E176" t="s">
        <v>3249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3546</v>
      </c>
      <c r="B177" t="s">
        <v>3615</v>
      </c>
      <c r="C177" t="s">
        <v>3560</v>
      </c>
      <c r="D177">
        <v>87.4</v>
      </c>
      <c r="E177" t="s">
        <v>3249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3546</v>
      </c>
      <c r="B178" t="s">
        <v>3615</v>
      </c>
      <c r="C178" t="s">
        <v>3561</v>
      </c>
      <c r="D178">
        <v>87.4</v>
      </c>
      <c r="E178" t="s">
        <v>3249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3546</v>
      </c>
      <c r="B179" t="s">
        <v>3615</v>
      </c>
      <c r="C179" t="s">
        <v>3562</v>
      </c>
      <c r="D179">
        <v>87.4</v>
      </c>
      <c r="E179" t="s">
        <v>3249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3546</v>
      </c>
      <c r="B180" t="s">
        <v>3615</v>
      </c>
      <c r="C180" t="s">
        <v>3563</v>
      </c>
      <c r="D180">
        <v>97.5</v>
      </c>
      <c r="E180" t="s">
        <v>3249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3546</v>
      </c>
      <c r="B181" t="s">
        <v>3615</v>
      </c>
      <c r="C181" t="s">
        <v>3564</v>
      </c>
      <c r="D181">
        <v>97.5</v>
      </c>
      <c r="E181" t="s">
        <v>3249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3546</v>
      </c>
      <c r="B182" t="s">
        <v>3615</v>
      </c>
      <c r="C182" t="s">
        <v>3565</v>
      </c>
      <c r="D182">
        <v>97.5</v>
      </c>
      <c r="E182" t="s">
        <v>3249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3546</v>
      </c>
      <c r="B183" t="s">
        <v>3615</v>
      </c>
      <c r="C183" t="s">
        <v>3566</v>
      </c>
      <c r="D183">
        <v>97.5</v>
      </c>
      <c r="E183" t="s">
        <v>3249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3546</v>
      </c>
      <c r="B184" t="s">
        <v>3615</v>
      </c>
      <c r="C184" t="s">
        <v>3567</v>
      </c>
      <c r="D184">
        <v>107.2</v>
      </c>
      <c r="E184" t="s">
        <v>3249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3546</v>
      </c>
      <c r="B185" t="s">
        <v>3615</v>
      </c>
      <c r="C185" t="s">
        <v>3568</v>
      </c>
      <c r="D185">
        <v>107.2</v>
      </c>
      <c r="E185" t="s">
        <v>3249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3546</v>
      </c>
      <c r="B186" t="s">
        <v>3615</v>
      </c>
      <c r="C186" t="s">
        <v>3569</v>
      </c>
      <c r="D186">
        <v>107.2</v>
      </c>
      <c r="E186" t="s">
        <v>3249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3546</v>
      </c>
      <c r="B187" t="s">
        <v>3615</v>
      </c>
      <c r="C187" t="s">
        <v>3570</v>
      </c>
      <c r="D187">
        <v>107.2</v>
      </c>
      <c r="E187" t="s">
        <v>3249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3546</v>
      </c>
      <c r="B188" t="s">
        <v>3615</v>
      </c>
      <c r="C188" t="s">
        <v>3571</v>
      </c>
      <c r="D188">
        <v>117.3</v>
      </c>
      <c r="E188" t="s">
        <v>3249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3546</v>
      </c>
      <c r="B189" t="s">
        <v>3615</v>
      </c>
      <c r="C189" t="s">
        <v>3572</v>
      </c>
      <c r="D189">
        <v>117.3</v>
      </c>
      <c r="E189" t="s">
        <v>3249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3546</v>
      </c>
      <c r="B190" t="s">
        <v>3615</v>
      </c>
      <c r="C190" t="s">
        <v>3573</v>
      </c>
      <c r="D190">
        <v>117.3</v>
      </c>
      <c r="E190" t="s">
        <v>3249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3546</v>
      </c>
      <c r="B191" t="s">
        <v>3615</v>
      </c>
      <c r="C191" t="s">
        <v>3574</v>
      </c>
      <c r="D191">
        <v>117.3</v>
      </c>
      <c r="E191" t="s">
        <v>3249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3546</v>
      </c>
      <c r="B192" t="s">
        <v>3615</v>
      </c>
      <c r="C192" t="s">
        <v>3575</v>
      </c>
      <c r="D192">
        <v>127.2</v>
      </c>
      <c r="E192" t="s">
        <v>3249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3546</v>
      </c>
      <c r="B193" t="s">
        <v>3615</v>
      </c>
      <c r="C193" t="s">
        <v>3576</v>
      </c>
      <c r="D193">
        <v>127.2</v>
      </c>
      <c r="E193" t="s">
        <v>3249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3546</v>
      </c>
      <c r="B194" t="s">
        <v>3615</v>
      </c>
      <c r="C194" t="s">
        <v>3577</v>
      </c>
      <c r="D194">
        <v>127.2</v>
      </c>
      <c r="E194" t="s">
        <v>3249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3546</v>
      </c>
      <c r="B195" t="s">
        <v>3615</v>
      </c>
      <c r="C195" t="s">
        <v>3578</v>
      </c>
      <c r="D195">
        <v>127.2</v>
      </c>
      <c r="E195" t="s">
        <v>3249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3546</v>
      </c>
      <c r="B196" t="s">
        <v>3615</v>
      </c>
      <c r="C196" t="s">
        <v>3579</v>
      </c>
      <c r="D196">
        <v>137.35</v>
      </c>
      <c r="E196" t="s">
        <v>3249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3546</v>
      </c>
      <c r="B197" t="s">
        <v>3615</v>
      </c>
      <c r="C197" t="s">
        <v>3580</v>
      </c>
      <c r="D197">
        <v>137.35</v>
      </c>
      <c r="E197" t="s">
        <v>3249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3546</v>
      </c>
      <c r="B198" t="s">
        <v>3615</v>
      </c>
      <c r="C198" t="s">
        <v>3581</v>
      </c>
      <c r="D198">
        <v>137.35</v>
      </c>
      <c r="E198" t="s">
        <v>3249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3546</v>
      </c>
      <c r="B199" t="s">
        <v>3615</v>
      </c>
      <c r="C199" t="s">
        <v>3582</v>
      </c>
      <c r="D199">
        <v>137.35</v>
      </c>
      <c r="E199" t="s">
        <v>3249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3546</v>
      </c>
      <c r="B200" t="s">
        <v>3615</v>
      </c>
      <c r="C200" t="s">
        <v>3583</v>
      </c>
      <c r="D200">
        <v>147.25</v>
      </c>
      <c r="E200" t="s">
        <v>3249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3546</v>
      </c>
      <c r="B201" t="s">
        <v>3615</v>
      </c>
      <c r="C201" t="s">
        <v>3584</v>
      </c>
      <c r="D201">
        <v>147.25</v>
      </c>
      <c r="E201" t="s">
        <v>3249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3546</v>
      </c>
      <c r="B202" t="s">
        <v>3615</v>
      </c>
      <c r="C202" t="s">
        <v>3585</v>
      </c>
      <c r="D202">
        <v>147.25</v>
      </c>
      <c r="E202" t="s">
        <v>3249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3546</v>
      </c>
      <c r="B203" t="s">
        <v>3615</v>
      </c>
      <c r="C203" t="s">
        <v>3586</v>
      </c>
      <c r="D203">
        <v>147.25</v>
      </c>
      <c r="E203" t="s">
        <v>3249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3546</v>
      </c>
      <c r="B204" t="s">
        <v>3615</v>
      </c>
      <c r="C204" t="s">
        <v>3587</v>
      </c>
      <c r="D204">
        <v>157.15</v>
      </c>
      <c r="E204" t="s">
        <v>3249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3546</v>
      </c>
      <c r="B205" t="s">
        <v>3615</v>
      </c>
      <c r="C205" t="s">
        <v>3588</v>
      </c>
      <c r="D205">
        <v>157.15</v>
      </c>
      <c r="E205" t="s">
        <v>3249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3546</v>
      </c>
      <c r="B206" t="s">
        <v>3615</v>
      </c>
      <c r="C206" t="s">
        <v>3589</v>
      </c>
      <c r="D206">
        <v>157.15</v>
      </c>
      <c r="E206" t="s">
        <v>3249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3546</v>
      </c>
      <c r="B207" t="s">
        <v>3615</v>
      </c>
      <c r="C207" t="s">
        <v>3590</v>
      </c>
      <c r="D207">
        <v>157.15</v>
      </c>
      <c r="E207" t="s">
        <v>3249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3546</v>
      </c>
      <c r="B208" t="s">
        <v>3615</v>
      </c>
      <c r="C208" t="s">
        <v>3591</v>
      </c>
      <c r="D208">
        <v>167.25</v>
      </c>
      <c r="E208" t="s">
        <v>3249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3546</v>
      </c>
      <c r="B209" t="s">
        <v>3615</v>
      </c>
      <c r="C209" t="s">
        <v>3592</v>
      </c>
      <c r="D209">
        <v>167.25</v>
      </c>
      <c r="E209" t="s">
        <v>3249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3546</v>
      </c>
      <c r="B210" t="s">
        <v>3615</v>
      </c>
      <c r="C210" t="s">
        <v>3593</v>
      </c>
      <c r="D210">
        <v>167.25</v>
      </c>
      <c r="E210" t="s">
        <v>3249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3546</v>
      </c>
      <c r="B211" t="s">
        <v>3615</v>
      </c>
      <c r="C211" t="s">
        <v>3594</v>
      </c>
      <c r="D211">
        <v>167.25</v>
      </c>
      <c r="E211" t="s">
        <v>3249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3546</v>
      </c>
      <c r="B212" t="s">
        <v>3615</v>
      </c>
      <c r="C212" t="s">
        <v>3595</v>
      </c>
      <c r="D212">
        <v>177.15</v>
      </c>
      <c r="E212" t="s">
        <v>3249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3546</v>
      </c>
      <c r="B213" t="s">
        <v>3615</v>
      </c>
      <c r="C213" t="s">
        <v>3596</v>
      </c>
      <c r="D213">
        <v>177.15</v>
      </c>
      <c r="E213" t="s">
        <v>3249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3546</v>
      </c>
      <c r="B214" t="s">
        <v>3615</v>
      </c>
      <c r="C214" t="s">
        <v>3597</v>
      </c>
      <c r="D214">
        <v>177.15</v>
      </c>
      <c r="E214" t="s">
        <v>3249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3546</v>
      </c>
      <c r="B215" t="s">
        <v>3615</v>
      </c>
      <c r="C215" t="s">
        <v>3598</v>
      </c>
      <c r="D215">
        <v>177.15</v>
      </c>
      <c r="E215" t="s">
        <v>3249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3546</v>
      </c>
      <c r="B216" t="s">
        <v>3615</v>
      </c>
      <c r="C216" t="s">
        <v>3599</v>
      </c>
      <c r="D216">
        <v>187.25</v>
      </c>
      <c r="E216" t="s">
        <v>3249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3546</v>
      </c>
      <c r="B217" t="s">
        <v>3615</v>
      </c>
      <c r="C217" t="s">
        <v>3600</v>
      </c>
      <c r="D217">
        <v>187.25</v>
      </c>
      <c r="E217" t="s">
        <v>3249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3546</v>
      </c>
      <c r="B218" t="s">
        <v>3615</v>
      </c>
      <c r="C218" t="s">
        <v>3601</v>
      </c>
      <c r="D218">
        <v>187.25</v>
      </c>
      <c r="E218" t="s">
        <v>3249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3546</v>
      </c>
      <c r="B219" t="s">
        <v>3615</v>
      </c>
      <c r="C219" t="s">
        <v>3602</v>
      </c>
      <c r="D219">
        <v>187.25</v>
      </c>
      <c r="E219" t="s">
        <v>3249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3546</v>
      </c>
      <c r="B220" t="s">
        <v>3615</v>
      </c>
      <c r="C220" t="s">
        <v>3603</v>
      </c>
      <c r="D220">
        <v>197.15</v>
      </c>
      <c r="E220" t="s">
        <v>3249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3546</v>
      </c>
      <c r="B221" t="s">
        <v>3615</v>
      </c>
      <c r="C221" t="s">
        <v>3604</v>
      </c>
      <c r="D221">
        <v>197.15</v>
      </c>
      <c r="E221" t="s">
        <v>3249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3546</v>
      </c>
      <c r="B222" t="s">
        <v>3615</v>
      </c>
      <c r="C222" t="s">
        <v>3605</v>
      </c>
      <c r="D222">
        <v>197.15</v>
      </c>
      <c r="E222" t="s">
        <v>3249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3546</v>
      </c>
      <c r="B223" t="s">
        <v>3615</v>
      </c>
      <c r="C223" t="s">
        <v>3606</v>
      </c>
      <c r="D223">
        <v>197.15</v>
      </c>
      <c r="E223" t="s">
        <v>3249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3608</v>
      </c>
      <c r="B224" t="s">
        <v>3616</v>
      </c>
      <c r="C224" t="s">
        <v>3609</v>
      </c>
      <c r="D224">
        <v>94.35</v>
      </c>
      <c r="E224" t="s">
        <v>3249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3608</v>
      </c>
      <c r="B225" t="s">
        <v>3616</v>
      </c>
      <c r="C225" t="s">
        <v>3610</v>
      </c>
      <c r="D225">
        <v>35.1</v>
      </c>
      <c r="E225" t="s">
        <v>3249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3453</v>
      </c>
      <c r="B226" t="s">
        <v>3617</v>
      </c>
      <c r="C226" t="s">
        <v>3454</v>
      </c>
      <c r="D226">
        <v>43.9</v>
      </c>
      <c r="E226" t="s">
        <v>3249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3453</v>
      </c>
      <c r="B227" t="s">
        <v>3617</v>
      </c>
      <c r="C227" t="s">
        <v>3455</v>
      </c>
      <c r="D227">
        <v>43.9</v>
      </c>
      <c r="E227" t="s">
        <v>3249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3453</v>
      </c>
      <c r="B228" t="s">
        <v>3617</v>
      </c>
      <c r="C228" t="s">
        <v>3456</v>
      </c>
      <c r="D228">
        <v>43.9</v>
      </c>
      <c r="E228" t="s">
        <v>3249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3453</v>
      </c>
      <c r="B229" t="s">
        <v>3617</v>
      </c>
      <c r="C229" t="s">
        <v>3457</v>
      </c>
      <c r="D229">
        <v>62.2</v>
      </c>
      <c r="E229" t="s">
        <v>3249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3453</v>
      </c>
      <c r="B230" t="s">
        <v>3617</v>
      </c>
      <c r="C230" t="s">
        <v>3458</v>
      </c>
      <c r="D230">
        <v>62.2</v>
      </c>
      <c r="E230" t="s">
        <v>3249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3260</v>
      </c>
      <c r="B231" t="s">
        <v>3611</v>
      </c>
      <c r="C231" t="s">
        <v>3285</v>
      </c>
      <c r="D231">
        <v>72.2</v>
      </c>
      <c r="E231" t="s">
        <v>3249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3260</v>
      </c>
      <c r="B232" t="s">
        <v>3611</v>
      </c>
      <c r="C232" t="s">
        <v>3286</v>
      </c>
      <c r="D232">
        <v>72.2</v>
      </c>
      <c r="E232" t="s">
        <v>3249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3260</v>
      </c>
      <c r="B233" t="s">
        <v>3611</v>
      </c>
      <c r="C233" t="s">
        <v>3287</v>
      </c>
      <c r="D233">
        <v>84.95</v>
      </c>
      <c r="E233" t="s">
        <v>3249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3260</v>
      </c>
      <c r="B234" t="s">
        <v>3611</v>
      </c>
      <c r="C234" t="s">
        <v>3288</v>
      </c>
      <c r="D234">
        <v>84.95</v>
      </c>
      <c r="E234" t="s">
        <v>3249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3260</v>
      </c>
      <c r="B235" t="s">
        <v>3611</v>
      </c>
      <c r="C235" t="s">
        <v>3289</v>
      </c>
      <c r="D235">
        <v>97.45</v>
      </c>
      <c r="E235" t="s">
        <v>3249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3260</v>
      </c>
      <c r="B236" t="s">
        <v>3611</v>
      </c>
      <c r="C236" t="s">
        <v>3290</v>
      </c>
      <c r="D236">
        <v>97.45</v>
      </c>
      <c r="E236" t="s">
        <v>3249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3260</v>
      </c>
      <c r="B237" t="s">
        <v>3611</v>
      </c>
      <c r="C237" t="s">
        <v>3291</v>
      </c>
      <c r="D237">
        <v>110.2</v>
      </c>
      <c r="E237" t="s">
        <v>3249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3260</v>
      </c>
      <c r="B238" t="s">
        <v>3611</v>
      </c>
      <c r="C238" t="s">
        <v>3292</v>
      </c>
      <c r="D238">
        <v>110.2</v>
      </c>
      <c r="E238" t="s">
        <v>3249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3260</v>
      </c>
      <c r="B239" t="s">
        <v>3611</v>
      </c>
      <c r="C239" t="s">
        <v>3293</v>
      </c>
      <c r="D239">
        <v>122.95</v>
      </c>
      <c r="E239" t="s">
        <v>3249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3260</v>
      </c>
      <c r="B240" t="s">
        <v>3611</v>
      </c>
      <c r="C240" t="s">
        <v>3294</v>
      </c>
      <c r="D240">
        <v>122.95</v>
      </c>
      <c r="E240" t="s">
        <v>3249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3260</v>
      </c>
      <c r="B241" t="s">
        <v>3611</v>
      </c>
      <c r="C241" t="s">
        <v>3295</v>
      </c>
      <c r="D241">
        <v>135.15</v>
      </c>
      <c r="E241" t="s">
        <v>3249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3260</v>
      </c>
      <c r="B242" t="s">
        <v>3611</v>
      </c>
      <c r="C242" t="s">
        <v>3296</v>
      </c>
      <c r="D242">
        <v>135.15</v>
      </c>
      <c r="E242" t="s">
        <v>3249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3453</v>
      </c>
      <c r="B243" t="s">
        <v>3617</v>
      </c>
      <c r="C243" t="s">
        <v>3459</v>
      </c>
      <c r="D243">
        <v>62.2</v>
      </c>
      <c r="E243" t="s">
        <v>3249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3453</v>
      </c>
      <c r="B244" t="s">
        <v>3617</v>
      </c>
      <c r="C244" t="s">
        <v>3460</v>
      </c>
      <c r="D244">
        <v>62.2</v>
      </c>
      <c r="E244" t="s">
        <v>3249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3453</v>
      </c>
      <c r="B245" t="s">
        <v>3617</v>
      </c>
      <c r="C245" t="s">
        <v>3461</v>
      </c>
      <c r="D245">
        <v>43.9</v>
      </c>
      <c r="E245" t="s">
        <v>3249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3453</v>
      </c>
      <c r="B246" t="s">
        <v>3617</v>
      </c>
      <c r="C246" t="s">
        <v>3462</v>
      </c>
      <c r="D246">
        <v>80.5</v>
      </c>
      <c r="E246" t="s">
        <v>3249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3453</v>
      </c>
      <c r="B247" t="s">
        <v>3617</v>
      </c>
      <c r="C247" t="s">
        <v>3463</v>
      </c>
      <c r="D247">
        <v>98.8</v>
      </c>
      <c r="E247" t="s">
        <v>3249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3453</v>
      </c>
      <c r="B248" t="s">
        <v>3617</v>
      </c>
      <c r="C248" t="s">
        <v>3464</v>
      </c>
      <c r="D248">
        <v>117.1</v>
      </c>
      <c r="E248" t="s">
        <v>3249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3453</v>
      </c>
      <c r="B249" t="s">
        <v>3617</v>
      </c>
      <c r="C249" t="s">
        <v>3465</v>
      </c>
      <c r="D249">
        <v>135.4</v>
      </c>
      <c r="E249" t="s">
        <v>3249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3453</v>
      </c>
      <c r="B250" t="s">
        <v>3617</v>
      </c>
      <c r="C250" t="s">
        <v>3466</v>
      </c>
      <c r="D250">
        <v>80.5</v>
      </c>
      <c r="E250" t="s">
        <v>3249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3453</v>
      </c>
      <c r="B251" t="s">
        <v>3617</v>
      </c>
      <c r="C251" t="s">
        <v>3467</v>
      </c>
      <c r="D251">
        <v>98.8</v>
      </c>
      <c r="E251" t="s">
        <v>3249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3453</v>
      </c>
      <c r="B252" t="s">
        <v>3617</v>
      </c>
      <c r="C252" t="s">
        <v>3468</v>
      </c>
      <c r="D252">
        <v>117.1</v>
      </c>
      <c r="E252" t="s">
        <v>3249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3453</v>
      </c>
      <c r="B253" t="s">
        <v>3617</v>
      </c>
      <c r="C253" t="s">
        <v>3469</v>
      </c>
      <c r="D253">
        <v>135.4</v>
      </c>
      <c r="E253" t="s">
        <v>3249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3453</v>
      </c>
      <c r="B254" t="s">
        <v>3617</v>
      </c>
      <c r="C254" t="s">
        <v>3470</v>
      </c>
      <c r="D254">
        <v>80.5</v>
      </c>
      <c r="E254" t="s">
        <v>3249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3453</v>
      </c>
      <c r="B255" t="s">
        <v>3617</v>
      </c>
      <c r="C255" t="s">
        <v>3471</v>
      </c>
      <c r="D255">
        <v>98.8</v>
      </c>
      <c r="E255" t="s">
        <v>3249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3453</v>
      </c>
      <c r="B256" t="s">
        <v>3617</v>
      </c>
      <c r="C256" t="s">
        <v>3472</v>
      </c>
      <c r="D256">
        <v>117.1</v>
      </c>
      <c r="E256" t="s">
        <v>3249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3453</v>
      </c>
      <c r="B257" t="s">
        <v>3617</v>
      </c>
      <c r="C257" t="s">
        <v>3473</v>
      </c>
      <c r="D257">
        <v>135.4</v>
      </c>
      <c r="E257" t="s">
        <v>3249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3453</v>
      </c>
      <c r="B258" t="s">
        <v>3617</v>
      </c>
      <c r="C258" t="s">
        <v>3474</v>
      </c>
      <c r="D258">
        <v>80.5</v>
      </c>
      <c r="E258" t="s">
        <v>3249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3453</v>
      </c>
      <c r="B259" t="s">
        <v>3617</v>
      </c>
      <c r="C259" t="s">
        <v>3475</v>
      </c>
      <c r="D259">
        <v>98.8</v>
      </c>
      <c r="E259" t="s">
        <v>3249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3453</v>
      </c>
      <c r="B260" t="s">
        <v>3617</v>
      </c>
      <c r="C260" t="s">
        <v>3476</v>
      </c>
      <c r="D260">
        <v>117.1</v>
      </c>
      <c r="E260" t="s">
        <v>3249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3453</v>
      </c>
      <c r="B261" t="s">
        <v>3617</v>
      </c>
      <c r="C261" t="s">
        <v>3477</v>
      </c>
      <c r="D261">
        <v>135.4</v>
      </c>
      <c r="E261" t="s">
        <v>3249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3260</v>
      </c>
      <c r="B262" t="s">
        <v>3611</v>
      </c>
      <c r="C262" t="s">
        <v>3297</v>
      </c>
      <c r="D262">
        <v>223.4</v>
      </c>
      <c r="E262" t="s">
        <v>3249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3260</v>
      </c>
      <c r="B263" t="s">
        <v>3611</v>
      </c>
      <c r="C263" t="s">
        <v>3298</v>
      </c>
      <c r="D263">
        <v>223.4</v>
      </c>
      <c r="E263" t="s">
        <v>3249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3453</v>
      </c>
      <c r="B264" t="s">
        <v>3617</v>
      </c>
      <c r="C264" t="s">
        <v>3478</v>
      </c>
      <c r="D264">
        <v>153.69999999999999</v>
      </c>
      <c r="E264" t="s">
        <v>3249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3453</v>
      </c>
      <c r="B265" t="s">
        <v>3617</v>
      </c>
      <c r="C265" t="s">
        <v>3479</v>
      </c>
      <c r="D265">
        <v>172</v>
      </c>
      <c r="E265" t="s">
        <v>3249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3453</v>
      </c>
      <c r="B266" t="s">
        <v>3617</v>
      </c>
      <c r="C266" t="s">
        <v>3480</v>
      </c>
      <c r="D266">
        <v>190.3</v>
      </c>
      <c r="E266" t="s">
        <v>3249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3453</v>
      </c>
      <c r="B267" t="s">
        <v>3617</v>
      </c>
      <c r="C267" t="s">
        <v>3481</v>
      </c>
      <c r="D267">
        <v>208.6</v>
      </c>
      <c r="E267" t="s">
        <v>3249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3453</v>
      </c>
      <c r="B268" t="s">
        <v>3617</v>
      </c>
      <c r="C268" t="s">
        <v>3482</v>
      </c>
      <c r="D268">
        <v>226.85</v>
      </c>
      <c r="E268" t="s">
        <v>3249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3453</v>
      </c>
      <c r="B269" t="s">
        <v>3617</v>
      </c>
      <c r="C269" t="s">
        <v>3483</v>
      </c>
      <c r="D269">
        <v>245.15</v>
      </c>
      <c r="E269" t="s">
        <v>3249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3453</v>
      </c>
      <c r="B270" t="s">
        <v>3617</v>
      </c>
      <c r="C270" t="s">
        <v>3484</v>
      </c>
      <c r="D270">
        <v>263.45</v>
      </c>
      <c r="E270" t="s">
        <v>3249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3453</v>
      </c>
      <c r="B271" t="s">
        <v>3617</v>
      </c>
      <c r="C271" t="s">
        <v>3485</v>
      </c>
      <c r="D271">
        <v>281.75</v>
      </c>
      <c r="E271" t="s">
        <v>3249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3453</v>
      </c>
      <c r="B272" t="s">
        <v>3617</v>
      </c>
      <c r="C272" t="s">
        <v>3486</v>
      </c>
      <c r="D272">
        <v>300.05</v>
      </c>
      <c r="E272" t="s">
        <v>3249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3453</v>
      </c>
      <c r="B273" t="s">
        <v>3617</v>
      </c>
      <c r="C273" t="s">
        <v>3487</v>
      </c>
      <c r="D273">
        <v>153.69999999999999</v>
      </c>
      <c r="E273" t="s">
        <v>3249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3453</v>
      </c>
      <c r="B274" t="s">
        <v>3617</v>
      </c>
      <c r="C274" t="s">
        <v>3488</v>
      </c>
      <c r="D274">
        <v>172</v>
      </c>
      <c r="E274" t="s">
        <v>3249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3453</v>
      </c>
      <c r="B275" t="s">
        <v>3617</v>
      </c>
      <c r="C275" t="s">
        <v>3489</v>
      </c>
      <c r="D275">
        <v>190.3</v>
      </c>
      <c r="E275" t="s">
        <v>3249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3453</v>
      </c>
      <c r="B276" t="s">
        <v>3617</v>
      </c>
      <c r="C276" t="s">
        <v>3490</v>
      </c>
      <c r="D276">
        <v>208.6</v>
      </c>
      <c r="E276" t="s">
        <v>3249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3453</v>
      </c>
      <c r="B277" t="s">
        <v>3617</v>
      </c>
      <c r="C277" t="s">
        <v>3491</v>
      </c>
      <c r="D277">
        <v>226.85</v>
      </c>
      <c r="E277" t="s">
        <v>3249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3453</v>
      </c>
      <c r="B278" t="s">
        <v>3617</v>
      </c>
      <c r="C278" t="s">
        <v>3492</v>
      </c>
      <c r="D278">
        <v>245.15</v>
      </c>
      <c r="E278" t="s">
        <v>3249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3453</v>
      </c>
      <c r="B279" t="s">
        <v>3617</v>
      </c>
      <c r="C279" t="s">
        <v>3493</v>
      </c>
      <c r="D279">
        <v>263.45</v>
      </c>
      <c r="E279" t="s">
        <v>3249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3453</v>
      </c>
      <c r="B280" t="s">
        <v>3617</v>
      </c>
      <c r="C280" t="s">
        <v>3494</v>
      </c>
      <c r="D280">
        <v>281.75</v>
      </c>
      <c r="E280" t="s">
        <v>3249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3453</v>
      </c>
      <c r="B281" t="s">
        <v>3617</v>
      </c>
      <c r="C281" t="s">
        <v>3495</v>
      </c>
      <c r="D281">
        <v>300.05</v>
      </c>
      <c r="E281" t="s">
        <v>3249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3453</v>
      </c>
      <c r="B282" t="s">
        <v>3617</v>
      </c>
      <c r="C282" t="s">
        <v>3496</v>
      </c>
      <c r="D282">
        <v>153.69999999999999</v>
      </c>
      <c r="E282" t="s">
        <v>3249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3453</v>
      </c>
      <c r="B283" t="s">
        <v>3617</v>
      </c>
      <c r="C283" t="s">
        <v>3497</v>
      </c>
      <c r="D283">
        <v>172</v>
      </c>
      <c r="E283" t="s">
        <v>3249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3453</v>
      </c>
      <c r="B284" t="s">
        <v>3617</v>
      </c>
      <c r="C284" t="s">
        <v>3498</v>
      </c>
      <c r="D284">
        <v>190.3</v>
      </c>
      <c r="E284" t="s">
        <v>3249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3453</v>
      </c>
      <c r="B285" t="s">
        <v>3617</v>
      </c>
      <c r="C285" t="s">
        <v>3499</v>
      </c>
      <c r="D285">
        <v>208.6</v>
      </c>
      <c r="E285" t="s">
        <v>3249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3453</v>
      </c>
      <c r="B286" t="s">
        <v>3617</v>
      </c>
      <c r="C286" t="s">
        <v>3500</v>
      </c>
      <c r="D286">
        <v>226.85</v>
      </c>
      <c r="E286" t="s">
        <v>3249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3453</v>
      </c>
      <c r="B287" t="s">
        <v>3617</v>
      </c>
      <c r="C287" t="s">
        <v>3501</v>
      </c>
      <c r="D287">
        <v>245.15</v>
      </c>
      <c r="E287" t="s">
        <v>3249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3453</v>
      </c>
      <c r="B288" t="s">
        <v>3617</v>
      </c>
      <c r="C288" t="s">
        <v>3502</v>
      </c>
      <c r="D288">
        <v>263.45</v>
      </c>
      <c r="E288" t="s">
        <v>3249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3453</v>
      </c>
      <c r="B289" t="s">
        <v>3617</v>
      </c>
      <c r="C289" t="s">
        <v>3503</v>
      </c>
      <c r="D289">
        <v>281.75</v>
      </c>
      <c r="E289" t="s">
        <v>3249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3453</v>
      </c>
      <c r="B290" t="s">
        <v>3617</v>
      </c>
      <c r="C290" t="s">
        <v>3504</v>
      </c>
      <c r="D290">
        <v>300.05</v>
      </c>
      <c r="E290" t="s">
        <v>3249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3453</v>
      </c>
      <c r="B291" t="s">
        <v>3617</v>
      </c>
      <c r="C291" t="s">
        <v>3505</v>
      </c>
      <c r="D291">
        <v>153.69999999999999</v>
      </c>
      <c r="E291" t="s">
        <v>3249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3453</v>
      </c>
      <c r="B292" t="s">
        <v>3617</v>
      </c>
      <c r="C292" t="s">
        <v>3506</v>
      </c>
      <c r="D292">
        <v>172</v>
      </c>
      <c r="E292" t="s">
        <v>3249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3453</v>
      </c>
      <c r="B293" t="s">
        <v>3617</v>
      </c>
      <c r="C293" t="s">
        <v>3507</v>
      </c>
      <c r="D293">
        <v>190.3</v>
      </c>
      <c r="E293" t="s">
        <v>3249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3453</v>
      </c>
      <c r="B294" t="s">
        <v>3617</v>
      </c>
      <c r="C294" t="s">
        <v>3508</v>
      </c>
      <c r="D294">
        <v>208.6</v>
      </c>
      <c r="E294" t="s">
        <v>3249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3453</v>
      </c>
      <c r="B295" t="s">
        <v>3617</v>
      </c>
      <c r="C295" t="s">
        <v>3509</v>
      </c>
      <c r="D295">
        <v>226.85</v>
      </c>
      <c r="E295" t="s">
        <v>3249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3453</v>
      </c>
      <c r="B296" t="s">
        <v>3617</v>
      </c>
      <c r="C296" t="s">
        <v>3510</v>
      </c>
      <c r="D296">
        <v>245.15</v>
      </c>
      <c r="E296" t="s">
        <v>3249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3453</v>
      </c>
      <c r="B297" t="s">
        <v>3617</v>
      </c>
      <c r="C297" t="s">
        <v>3511</v>
      </c>
      <c r="D297">
        <v>263.45</v>
      </c>
      <c r="E297" t="s">
        <v>3249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3453</v>
      </c>
      <c r="B298" t="s">
        <v>3617</v>
      </c>
      <c r="C298" t="s">
        <v>3512</v>
      </c>
      <c r="D298">
        <v>281.75</v>
      </c>
      <c r="E298" t="s">
        <v>3249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3453</v>
      </c>
      <c r="B299" t="s">
        <v>3617</v>
      </c>
      <c r="C299" t="s">
        <v>3513</v>
      </c>
      <c r="D299">
        <v>300.05</v>
      </c>
      <c r="E299" t="s">
        <v>3249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3453</v>
      </c>
      <c r="B300" t="s">
        <v>3617</v>
      </c>
      <c r="C300" t="s">
        <v>3514</v>
      </c>
      <c r="D300">
        <v>318.35000000000002</v>
      </c>
      <c r="E300" t="s">
        <v>3249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3453</v>
      </c>
      <c r="B301" t="s">
        <v>3617</v>
      </c>
      <c r="C301" t="s">
        <v>3515</v>
      </c>
      <c r="D301">
        <v>336.65</v>
      </c>
      <c r="E301" t="s">
        <v>3249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3453</v>
      </c>
      <c r="B302" t="s">
        <v>3617</v>
      </c>
      <c r="C302" t="s">
        <v>3516</v>
      </c>
      <c r="D302">
        <v>354.95</v>
      </c>
      <c r="E302" t="s">
        <v>3249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3453</v>
      </c>
      <c r="B303" t="s">
        <v>3617</v>
      </c>
      <c r="C303" t="s">
        <v>3517</v>
      </c>
      <c r="D303">
        <v>373.25</v>
      </c>
      <c r="E303" t="s">
        <v>3249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3453</v>
      </c>
      <c r="B304" t="s">
        <v>3617</v>
      </c>
      <c r="C304" t="s">
        <v>3518</v>
      </c>
      <c r="D304">
        <v>391.5</v>
      </c>
      <c r="E304" t="s">
        <v>3249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3453</v>
      </c>
      <c r="B305" t="s">
        <v>3617</v>
      </c>
      <c r="C305" t="s">
        <v>3519</v>
      </c>
      <c r="D305">
        <v>409.85</v>
      </c>
      <c r="E305" t="s">
        <v>3249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3453</v>
      </c>
      <c r="B306" t="s">
        <v>3617</v>
      </c>
      <c r="C306" t="s">
        <v>3520</v>
      </c>
      <c r="D306">
        <v>428.15</v>
      </c>
      <c r="E306" t="s">
        <v>3249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3453</v>
      </c>
      <c r="B307" t="s">
        <v>3617</v>
      </c>
      <c r="C307" t="s">
        <v>3521</v>
      </c>
      <c r="D307">
        <v>446.4</v>
      </c>
      <c r="E307" t="s">
        <v>3249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3453</v>
      </c>
      <c r="B308" t="s">
        <v>3617</v>
      </c>
      <c r="C308" t="s">
        <v>3522</v>
      </c>
      <c r="D308">
        <v>318.35000000000002</v>
      </c>
      <c r="E308" t="s">
        <v>3249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3453</v>
      </c>
      <c r="B309" t="s">
        <v>3617</v>
      </c>
      <c r="C309" t="s">
        <v>3523</v>
      </c>
      <c r="D309">
        <v>336.65</v>
      </c>
      <c r="E309" t="s">
        <v>3249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3453</v>
      </c>
      <c r="B310" t="s">
        <v>3617</v>
      </c>
      <c r="C310" t="s">
        <v>3524</v>
      </c>
      <c r="D310">
        <v>354.95</v>
      </c>
      <c r="E310" t="s">
        <v>3249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3453</v>
      </c>
      <c r="B311" t="s">
        <v>3617</v>
      </c>
      <c r="C311" t="s">
        <v>3525</v>
      </c>
      <c r="D311">
        <v>373.25</v>
      </c>
      <c r="E311" t="s">
        <v>3249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3453</v>
      </c>
      <c r="B312" t="s">
        <v>3617</v>
      </c>
      <c r="C312" t="s">
        <v>3526</v>
      </c>
      <c r="D312">
        <v>391.5</v>
      </c>
      <c r="E312" t="s">
        <v>3249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3453</v>
      </c>
      <c r="B313" t="s">
        <v>3617</v>
      </c>
      <c r="C313" t="s">
        <v>3527</v>
      </c>
      <c r="D313">
        <v>409.85</v>
      </c>
      <c r="E313" t="s">
        <v>3249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3453</v>
      </c>
      <c r="B314" t="s">
        <v>3617</v>
      </c>
      <c r="C314" t="s">
        <v>3528</v>
      </c>
      <c r="D314">
        <v>428.15</v>
      </c>
      <c r="E314" t="s">
        <v>3249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3453</v>
      </c>
      <c r="B315" t="s">
        <v>3617</v>
      </c>
      <c r="C315" t="s">
        <v>3529</v>
      </c>
      <c r="D315">
        <v>446.4</v>
      </c>
      <c r="E315" t="s">
        <v>3249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3453</v>
      </c>
      <c r="B316" t="s">
        <v>3617</v>
      </c>
      <c r="C316" t="s">
        <v>3530</v>
      </c>
      <c r="D316">
        <v>318.35000000000002</v>
      </c>
      <c r="E316" t="s">
        <v>3249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3453</v>
      </c>
      <c r="B317" t="s">
        <v>3617</v>
      </c>
      <c r="C317" t="s">
        <v>3531</v>
      </c>
      <c r="D317">
        <v>336.65</v>
      </c>
      <c r="E317" t="s">
        <v>3249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3453</v>
      </c>
      <c r="B318" t="s">
        <v>3617</v>
      </c>
      <c r="C318" t="s">
        <v>3532</v>
      </c>
      <c r="D318">
        <v>354.95</v>
      </c>
      <c r="E318" t="s">
        <v>3249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3453</v>
      </c>
      <c r="B319" t="s">
        <v>3617</v>
      </c>
      <c r="C319" t="s">
        <v>3533</v>
      </c>
      <c r="D319">
        <v>373.25</v>
      </c>
      <c r="E319" t="s">
        <v>3249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3453</v>
      </c>
      <c r="B320" t="s">
        <v>3617</v>
      </c>
      <c r="C320" t="s">
        <v>3534</v>
      </c>
      <c r="D320">
        <v>391.5</v>
      </c>
      <c r="E320" t="s">
        <v>3249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3453</v>
      </c>
      <c r="B321" t="s">
        <v>3617</v>
      </c>
      <c r="C321" t="s">
        <v>3535</v>
      </c>
      <c r="D321">
        <v>409.85</v>
      </c>
      <c r="E321" t="s">
        <v>3249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3453</v>
      </c>
      <c r="B322" t="s">
        <v>3617</v>
      </c>
      <c r="C322" t="s">
        <v>3536</v>
      </c>
      <c r="D322">
        <v>428.15</v>
      </c>
      <c r="E322" t="s">
        <v>3249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3453</v>
      </c>
      <c r="B323" t="s">
        <v>3617</v>
      </c>
      <c r="C323" t="s">
        <v>3537</v>
      </c>
      <c r="D323">
        <v>446.4</v>
      </c>
      <c r="E323" t="s">
        <v>3249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3453</v>
      </c>
      <c r="B324" t="s">
        <v>3617</v>
      </c>
      <c r="C324" t="s">
        <v>3538</v>
      </c>
      <c r="D324">
        <v>318.35000000000002</v>
      </c>
      <c r="E324" t="s">
        <v>3249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3453</v>
      </c>
      <c r="B325" t="s">
        <v>3617</v>
      </c>
      <c r="C325" t="s">
        <v>3539</v>
      </c>
      <c r="D325">
        <v>336.65</v>
      </c>
      <c r="E325" t="s">
        <v>3249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3453</v>
      </c>
      <c r="B326" t="s">
        <v>3617</v>
      </c>
      <c r="C326" t="s">
        <v>3540</v>
      </c>
      <c r="D326">
        <v>354.95</v>
      </c>
      <c r="E326" t="s">
        <v>3249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3453</v>
      </c>
      <c r="B327" t="s">
        <v>3617</v>
      </c>
      <c r="C327" t="s">
        <v>3541</v>
      </c>
      <c r="D327">
        <v>373.25</v>
      </c>
      <c r="E327" t="s">
        <v>3249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3453</v>
      </c>
      <c r="B328" t="s">
        <v>3617</v>
      </c>
      <c r="C328" t="s">
        <v>3542</v>
      </c>
      <c r="D328">
        <v>391.5</v>
      </c>
      <c r="E328" t="s">
        <v>3249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3453</v>
      </c>
      <c r="B329" t="s">
        <v>3617</v>
      </c>
      <c r="C329" t="s">
        <v>3543</v>
      </c>
      <c r="D329">
        <v>409.85</v>
      </c>
      <c r="E329" t="s">
        <v>3249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3453</v>
      </c>
      <c r="B330" t="s">
        <v>3617</v>
      </c>
      <c r="C330" t="s">
        <v>3544</v>
      </c>
      <c r="D330">
        <v>428.15</v>
      </c>
      <c r="E330" t="s">
        <v>3249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3453</v>
      </c>
      <c r="B331" t="s">
        <v>3617</v>
      </c>
      <c r="C331" t="s">
        <v>3545</v>
      </c>
      <c r="D331">
        <v>446.4</v>
      </c>
      <c r="E331" t="s">
        <v>3249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3260</v>
      </c>
      <c r="B332" t="s">
        <v>3611</v>
      </c>
      <c r="C332" t="s">
        <v>3299</v>
      </c>
      <c r="D332">
        <v>185.65</v>
      </c>
      <c r="E332" t="s">
        <v>3249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3260</v>
      </c>
      <c r="B333" t="s">
        <v>3611</v>
      </c>
      <c r="C333" t="s">
        <v>3300</v>
      </c>
      <c r="D333">
        <v>198.15</v>
      </c>
      <c r="E333" t="s">
        <v>3249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3260</v>
      </c>
      <c r="B334" t="s">
        <v>3611</v>
      </c>
      <c r="C334" t="s">
        <v>3301</v>
      </c>
      <c r="D334">
        <v>198.15</v>
      </c>
      <c r="E334" t="s">
        <v>3249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3260</v>
      </c>
      <c r="B335" t="s">
        <v>3611</v>
      </c>
      <c r="C335" t="s">
        <v>3302</v>
      </c>
      <c r="D335">
        <v>210.9</v>
      </c>
      <c r="E335" t="s">
        <v>3249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3260</v>
      </c>
      <c r="B336" t="s">
        <v>3611</v>
      </c>
      <c r="C336" t="s">
        <v>3303</v>
      </c>
      <c r="D336">
        <v>147.94999999999999</v>
      </c>
      <c r="E336" t="s">
        <v>3249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3260</v>
      </c>
      <c r="B337" t="s">
        <v>3611</v>
      </c>
      <c r="C337" t="s">
        <v>3304</v>
      </c>
      <c r="D337">
        <v>59.45</v>
      </c>
      <c r="E337" t="s">
        <v>3249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3607</v>
      </c>
      <c r="B338" t="s">
        <v>3618</v>
      </c>
      <c r="C338" t="s">
        <v>163</v>
      </c>
      <c r="D338">
        <v>75.349999999999994</v>
      </c>
      <c r="E338" t="s">
        <v>3249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3607</v>
      </c>
      <c r="B339" t="s">
        <v>3618</v>
      </c>
      <c r="C339" t="s">
        <v>165</v>
      </c>
      <c r="D339">
        <v>115.15</v>
      </c>
      <c r="E339" t="s">
        <v>3249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3607</v>
      </c>
      <c r="B340" t="s">
        <v>3618</v>
      </c>
      <c r="C340" t="s">
        <v>167</v>
      </c>
      <c r="D340">
        <v>155.19999999999999</v>
      </c>
      <c r="E340" t="s">
        <v>3249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3607</v>
      </c>
      <c r="B341" t="s">
        <v>3618</v>
      </c>
      <c r="C341" t="s">
        <v>169</v>
      </c>
      <c r="D341">
        <v>195</v>
      </c>
      <c r="E341" t="s">
        <v>3249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3607</v>
      </c>
      <c r="B342" t="s">
        <v>3618</v>
      </c>
      <c r="C342" t="s">
        <v>171</v>
      </c>
      <c r="D342">
        <v>235</v>
      </c>
      <c r="E342" t="s">
        <v>3249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3260</v>
      </c>
      <c r="B343" t="s">
        <v>3611</v>
      </c>
      <c r="C343" t="s">
        <v>3305</v>
      </c>
      <c r="D343">
        <v>147.94999999999999</v>
      </c>
      <c r="E343" t="s">
        <v>3249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3260</v>
      </c>
      <c r="B344" t="s">
        <v>3611</v>
      </c>
      <c r="C344" t="s">
        <v>3306</v>
      </c>
      <c r="D344">
        <v>59.45</v>
      </c>
      <c r="E344" t="s">
        <v>3249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3260</v>
      </c>
      <c r="B345" t="s">
        <v>3611</v>
      </c>
      <c r="C345" t="s">
        <v>3307</v>
      </c>
      <c r="D345">
        <v>160.4</v>
      </c>
      <c r="E345" t="s">
        <v>3249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3260</v>
      </c>
      <c r="B346" t="s">
        <v>3611</v>
      </c>
      <c r="C346" t="s">
        <v>3308</v>
      </c>
      <c r="D346">
        <v>160.4</v>
      </c>
      <c r="E346" t="s">
        <v>3249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3260</v>
      </c>
      <c r="B347" t="s">
        <v>3611</v>
      </c>
      <c r="C347" t="s">
        <v>3309</v>
      </c>
      <c r="D347">
        <v>173.15</v>
      </c>
      <c r="E347" t="s">
        <v>3249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3260</v>
      </c>
      <c r="B348" t="s">
        <v>3611</v>
      </c>
      <c r="C348" t="s">
        <v>3310</v>
      </c>
      <c r="D348">
        <v>173.15</v>
      </c>
      <c r="E348" t="s">
        <v>3249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3619</v>
      </c>
      <c r="B4" s="25" t="s">
        <v>3620</v>
      </c>
      <c r="C4" s="26"/>
      <c r="D4" s="27" t="s">
        <v>3621</v>
      </c>
      <c r="E4" s="28"/>
      <c r="G4" s="29" t="s">
        <v>3622</v>
      </c>
      <c r="H4" s="30" t="s">
        <v>3623</v>
      </c>
      <c r="J4" s="31" t="s">
        <v>3624</v>
      </c>
      <c r="K4" s="32" t="s">
        <v>3625</v>
      </c>
      <c r="L4" s="32" t="s">
        <v>3626</v>
      </c>
      <c r="M4" s="33" t="s">
        <v>3627</v>
      </c>
      <c r="N4" s="34" t="s">
        <v>3628</v>
      </c>
      <c r="O4" s="35" t="s">
        <v>3629</v>
      </c>
      <c r="P4" s="36" t="s">
        <v>3630</v>
      </c>
      <c r="Q4" s="2"/>
      <c r="R4" s="37" t="s">
        <v>3631</v>
      </c>
      <c r="S4" s="37" t="s">
        <v>3632</v>
      </c>
      <c r="T4" s="37" t="s">
        <v>3633</v>
      </c>
      <c r="U4" s="37" t="s">
        <v>3634</v>
      </c>
      <c r="V4" s="37" t="s">
        <v>3635</v>
      </c>
      <c r="W4" s="37" t="s">
        <v>3636</v>
      </c>
      <c r="Y4" s="37" t="s">
        <v>3637</v>
      </c>
      <c r="Z4" s="38" t="s">
        <v>3638</v>
      </c>
      <c r="AA4" s="37" t="s">
        <v>3639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3640</v>
      </c>
      <c r="B6" s="39"/>
      <c r="C6" s="40"/>
      <c r="E6" s="46"/>
      <c r="L6" s="47" t="s">
        <v>3641</v>
      </c>
      <c r="M6" s="48" t="s">
        <v>3642</v>
      </c>
      <c r="N6" s="48" t="s">
        <v>3642</v>
      </c>
      <c r="O6" s="48" t="s">
        <v>3642</v>
      </c>
      <c r="P6" s="49" t="s">
        <v>3642</v>
      </c>
      <c r="Q6" s="48" t="s">
        <v>3642</v>
      </c>
      <c r="U6" s="18" t="e">
        <v>#REF!</v>
      </c>
      <c r="Y6" s="48" t="s">
        <v>3642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3643</v>
      </c>
      <c r="B23" s="61" t="s">
        <v>3644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3645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150</v>
      </c>
      <c r="B25" s="51">
        <v>36.6</v>
      </c>
      <c r="C25" s="52"/>
      <c r="D25" s="2" t="s">
        <v>149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152</v>
      </c>
      <c r="B26" s="51">
        <v>36.6</v>
      </c>
      <c r="C26" s="52"/>
      <c r="D26" s="2" t="s">
        <v>151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154</v>
      </c>
      <c r="B27" s="51">
        <v>36.6</v>
      </c>
      <c r="C27" s="52"/>
      <c r="D27" s="2" t="s">
        <v>153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156</v>
      </c>
      <c r="B28" s="51">
        <v>36.6</v>
      </c>
      <c r="C28" s="52"/>
      <c r="D28" s="2" t="s">
        <v>155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3646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3647</v>
      </c>
      <c r="B31" s="61" t="s">
        <v>3644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3645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116</v>
      </c>
      <c r="B33" s="67">
        <v>21.5</v>
      </c>
      <c r="C33" s="68"/>
      <c r="D33" s="69" t="s">
        <v>115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118</v>
      </c>
      <c r="B34" s="67">
        <v>21.5</v>
      </c>
      <c r="C34" s="68"/>
      <c r="D34" s="69" t="s">
        <v>117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120</v>
      </c>
      <c r="B35" s="67">
        <v>21.5</v>
      </c>
      <c r="C35" s="68"/>
      <c r="D35" s="69" t="s">
        <v>119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122</v>
      </c>
      <c r="B36" s="67">
        <v>21.5</v>
      </c>
      <c r="C36" s="68"/>
      <c r="D36" s="69" t="s">
        <v>121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124</v>
      </c>
      <c r="B37" s="67">
        <v>21.5</v>
      </c>
      <c r="C37" s="68"/>
      <c r="D37" s="69" t="s">
        <v>123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126</v>
      </c>
      <c r="B38" s="67">
        <v>21.5</v>
      </c>
      <c r="C38" s="68"/>
      <c r="D38" s="69" t="s">
        <v>125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3648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3649</v>
      </c>
      <c r="B41" s="61" t="s">
        <v>3644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116</v>
      </c>
      <c r="B43" s="51">
        <v>27.15</v>
      </c>
      <c r="C43" s="52"/>
      <c r="D43" s="2" t="s">
        <v>127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118</v>
      </c>
      <c r="B44" s="51">
        <v>27.15</v>
      </c>
      <c r="C44" s="52"/>
      <c r="D44" s="2" t="s">
        <v>128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130</v>
      </c>
      <c r="B45" s="51">
        <v>27.15</v>
      </c>
      <c r="C45" s="52"/>
      <c r="D45" s="2" t="s">
        <v>129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132</v>
      </c>
      <c r="B46" s="51">
        <v>27.15</v>
      </c>
      <c r="C46" s="52"/>
      <c r="D46" s="2" t="s">
        <v>131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3650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3648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3651</v>
      </c>
      <c r="B50" s="61" t="s">
        <v>3644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3645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174</v>
      </c>
      <c r="B52" s="67">
        <v>21.5</v>
      </c>
      <c r="C52" s="68"/>
      <c r="D52" s="69" t="s">
        <v>172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178</v>
      </c>
      <c r="B53" s="67">
        <v>21.5</v>
      </c>
      <c r="C53" s="68"/>
      <c r="D53" s="69" t="s">
        <v>176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3648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3652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3653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158</v>
      </c>
      <c r="B58" s="51">
        <v>94.350000000000009</v>
      </c>
      <c r="C58" s="52"/>
      <c r="D58" s="2" t="s">
        <v>157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3654</v>
      </c>
      <c r="Z58" s="2" t="s">
        <v>157</v>
      </c>
      <c r="AA58">
        <v>52</v>
      </c>
    </row>
    <row r="59" spans="1:27" x14ac:dyDescent="0.25">
      <c r="A59" s="1" t="s">
        <v>161</v>
      </c>
      <c r="B59" s="51">
        <v>35.1</v>
      </c>
      <c r="C59" s="52"/>
      <c r="D59" s="2" t="s">
        <v>160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3654</v>
      </c>
      <c r="Z59" s="2" t="s">
        <v>160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3245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3655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143</v>
      </c>
      <c r="B63" s="51">
        <v>64.850000000000009</v>
      </c>
      <c r="C63" s="52"/>
      <c r="D63" s="2" t="s">
        <v>142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3654</v>
      </c>
      <c r="Z63" s="2" t="e">
        <v>#N/A</v>
      </c>
      <c r="AA63">
        <v>57</v>
      </c>
    </row>
    <row r="64" spans="1:27" x14ac:dyDescent="0.25">
      <c r="A64" s="1" t="s">
        <v>146</v>
      </c>
      <c r="B64" s="51">
        <v>67.55</v>
      </c>
      <c r="C64" s="52"/>
      <c r="D64" s="2" t="s">
        <v>145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3654</v>
      </c>
      <c r="Z64" s="2" t="e">
        <v>#N/A</v>
      </c>
      <c r="AA64">
        <v>58</v>
      </c>
    </row>
    <row r="65" spans="1:27" x14ac:dyDescent="0.25">
      <c r="A65" s="1" t="s">
        <v>148</v>
      </c>
      <c r="B65" s="51">
        <v>70.2</v>
      </c>
      <c r="C65" s="52"/>
      <c r="D65" s="2" t="s">
        <v>147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3654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3656</v>
      </c>
      <c r="B67" s="25" t="s">
        <v>3620</v>
      </c>
      <c r="C67" s="26"/>
      <c r="D67" s="27" t="s">
        <v>3621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3657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3658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134</v>
      </c>
      <c r="B70" s="51">
        <v>98.800000000000011</v>
      </c>
      <c r="C70" s="52"/>
      <c r="D70" s="2" t="s">
        <v>133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3654</v>
      </c>
      <c r="Z70" s="2" t="e">
        <v>#N/A</v>
      </c>
      <c r="AA70">
        <v>64</v>
      </c>
    </row>
    <row r="71" spans="1:27" x14ac:dyDescent="0.25">
      <c r="A71" s="1" t="s">
        <v>137</v>
      </c>
      <c r="B71" s="51">
        <v>114.7</v>
      </c>
      <c r="C71" s="52"/>
      <c r="D71" s="2" t="s">
        <v>136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3654</v>
      </c>
      <c r="Z71" s="2" t="e">
        <v>#N/A</v>
      </c>
      <c r="AA71">
        <v>65</v>
      </c>
    </row>
    <row r="72" spans="1:27" x14ac:dyDescent="0.25">
      <c r="A72" s="1" t="s">
        <v>139</v>
      </c>
      <c r="B72" s="51">
        <v>125.60000000000001</v>
      </c>
      <c r="C72" s="52"/>
      <c r="D72" s="2" t="s">
        <v>138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3654</v>
      </c>
      <c r="Z72" s="2" t="e">
        <v>#N/A</v>
      </c>
      <c r="AA72">
        <v>66</v>
      </c>
    </row>
    <row r="73" spans="1:27" x14ac:dyDescent="0.25">
      <c r="A73" s="1" t="s">
        <v>141</v>
      </c>
      <c r="B73" s="51">
        <v>135.05000000000001</v>
      </c>
      <c r="C73" s="52"/>
      <c r="D73" s="2" t="s">
        <v>140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3654</v>
      </c>
      <c r="Z73" s="2" t="e">
        <v>#N/A</v>
      </c>
      <c r="AA73">
        <v>67</v>
      </c>
    </row>
    <row r="74" spans="1:27" x14ac:dyDescent="0.25">
      <c r="A74" s="45" t="s">
        <v>3659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3653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213</v>
      </c>
      <c r="B76" s="51">
        <v>62.5</v>
      </c>
      <c r="C76" s="52"/>
      <c r="D76" s="2" t="s">
        <v>211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211</v>
      </c>
      <c r="AA76">
        <v>70</v>
      </c>
    </row>
    <row r="77" spans="1:27" x14ac:dyDescent="0.25">
      <c r="A77" s="1" t="s">
        <v>216</v>
      </c>
      <c r="B77" s="51">
        <v>57.2</v>
      </c>
      <c r="C77" s="52"/>
      <c r="D77" s="2" t="s">
        <v>214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214</v>
      </c>
      <c r="AA77">
        <v>71</v>
      </c>
    </row>
    <row r="78" spans="1:27" ht="18" x14ac:dyDescent="0.25">
      <c r="A78" s="1" t="s">
        <v>219</v>
      </c>
      <c r="B78" s="51">
        <v>57.2</v>
      </c>
      <c r="C78" s="52"/>
      <c r="D78" s="75" t="s">
        <v>217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217</v>
      </c>
      <c r="AA78">
        <v>72</v>
      </c>
    </row>
    <row r="79" spans="1:27" x14ac:dyDescent="0.25">
      <c r="A79" s="1" t="s">
        <v>222</v>
      </c>
      <c r="B79" s="51">
        <v>66.350000000000009</v>
      </c>
      <c r="C79" s="52"/>
      <c r="D79" s="75" t="s">
        <v>220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220</v>
      </c>
      <c r="AA79">
        <v>73</v>
      </c>
    </row>
    <row r="80" spans="1:27" x14ac:dyDescent="0.25">
      <c r="A80" s="50" t="s">
        <v>225</v>
      </c>
      <c r="B80" s="51">
        <v>106.15</v>
      </c>
      <c r="C80" s="52"/>
      <c r="D80" s="2" t="s">
        <v>223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223</v>
      </c>
      <c r="AA80">
        <v>74</v>
      </c>
    </row>
    <row r="81" spans="1:27" x14ac:dyDescent="0.25">
      <c r="A81" s="66" t="s">
        <v>228</v>
      </c>
      <c r="B81" s="51">
        <v>141.5</v>
      </c>
      <c r="C81" s="52"/>
      <c r="D81" s="75" t="s">
        <v>226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226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3660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3653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231</v>
      </c>
      <c r="B85" s="51">
        <v>8.0500000000000007</v>
      </c>
      <c r="C85" s="52"/>
      <c r="D85" s="75" t="s">
        <v>229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229</v>
      </c>
      <c r="AA85">
        <v>79</v>
      </c>
    </row>
    <row r="86" spans="1:27" x14ac:dyDescent="0.25">
      <c r="A86" s="1" t="s">
        <v>234</v>
      </c>
      <c r="B86" s="51">
        <v>13.3</v>
      </c>
      <c r="C86" s="52"/>
      <c r="D86" s="75" t="s">
        <v>232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232</v>
      </c>
      <c r="AA86">
        <v>80</v>
      </c>
    </row>
    <row r="87" spans="1:27" x14ac:dyDescent="0.25">
      <c r="A87" s="66" t="s">
        <v>237</v>
      </c>
      <c r="B87" s="51">
        <v>13.3</v>
      </c>
      <c r="C87" s="52"/>
      <c r="D87" s="75" t="s">
        <v>235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235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3661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3653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240</v>
      </c>
      <c r="B91" s="51">
        <v>54.85</v>
      </c>
      <c r="C91" s="52"/>
      <c r="D91" s="2" t="s">
        <v>238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238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3662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3653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186</v>
      </c>
      <c r="B95" s="51">
        <v>151.55000000000001</v>
      </c>
      <c r="C95" s="52"/>
      <c r="D95" s="2" t="s">
        <v>184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184</v>
      </c>
      <c r="AA95">
        <v>89</v>
      </c>
    </row>
    <row r="96" spans="1:27" x14ac:dyDescent="0.25">
      <c r="A96" s="66" t="s">
        <v>189</v>
      </c>
      <c r="B96" s="67">
        <v>193.15</v>
      </c>
      <c r="C96" s="76"/>
      <c r="D96" s="2" t="s">
        <v>187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187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3663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3653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192</v>
      </c>
      <c r="B100" s="51">
        <v>47.150000000000006</v>
      </c>
      <c r="C100" s="52"/>
      <c r="D100" s="2" t="s">
        <v>190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190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3664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3653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195</v>
      </c>
      <c r="B104" s="51">
        <v>48.650000000000006</v>
      </c>
      <c r="C104" s="52"/>
      <c r="D104" s="2" t="s">
        <v>193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193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386</v>
      </c>
      <c r="B106" s="51">
        <v>1.25</v>
      </c>
      <c r="C106" s="52"/>
      <c r="D106" s="2" t="s">
        <v>385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3654</v>
      </c>
      <c r="Z106" s="2" t="s">
        <v>385</v>
      </c>
      <c r="AA106">
        <v>100</v>
      </c>
    </row>
    <row r="107" spans="1:27" x14ac:dyDescent="0.25">
      <c r="A107" s="79" t="s">
        <v>3665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3666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3667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3668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248</v>
      </c>
      <c r="B111" s="51">
        <v>22.400000000000002</v>
      </c>
      <c r="C111" s="52"/>
      <c r="D111" s="2" t="s">
        <v>246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246</v>
      </c>
      <c r="AA111">
        <v>105</v>
      </c>
    </row>
    <row r="112" spans="1:27" x14ac:dyDescent="0.25">
      <c r="A112" s="1" t="s">
        <v>251</v>
      </c>
      <c r="B112" s="51">
        <v>23.650000000000002</v>
      </c>
      <c r="C112" s="52"/>
      <c r="D112" s="2" t="s">
        <v>249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249</v>
      </c>
      <c r="AA112">
        <v>106</v>
      </c>
    </row>
    <row r="113" spans="1:27" x14ac:dyDescent="0.25">
      <c r="A113" s="1" t="s">
        <v>254</v>
      </c>
      <c r="B113" s="51">
        <v>25.25</v>
      </c>
      <c r="C113" s="52"/>
      <c r="D113" s="2" t="s">
        <v>252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252</v>
      </c>
      <c r="AA113">
        <v>107</v>
      </c>
    </row>
    <row r="114" spans="1:27" x14ac:dyDescent="0.25">
      <c r="A114" s="1" t="s">
        <v>257</v>
      </c>
      <c r="B114" s="51">
        <v>26.8</v>
      </c>
      <c r="C114" s="52"/>
      <c r="D114" s="2" t="s">
        <v>255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255</v>
      </c>
      <c r="AA114">
        <v>108</v>
      </c>
    </row>
    <row r="115" spans="1:27" x14ac:dyDescent="0.25">
      <c r="A115" s="45" t="s">
        <v>3669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3668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260</v>
      </c>
      <c r="B117" s="51">
        <v>25.35</v>
      </c>
      <c r="C117" s="52"/>
      <c r="D117" s="2" t="s">
        <v>258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258</v>
      </c>
      <c r="AA117">
        <v>111</v>
      </c>
    </row>
    <row r="118" spans="1:27" x14ac:dyDescent="0.25">
      <c r="A118" s="1" t="s">
        <v>263</v>
      </c>
      <c r="B118" s="51">
        <v>28.950000000000003</v>
      </c>
      <c r="C118" s="52"/>
      <c r="D118" s="2" t="s">
        <v>261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261</v>
      </c>
      <c r="AA118">
        <v>112</v>
      </c>
    </row>
    <row r="119" spans="1:27" x14ac:dyDescent="0.25">
      <c r="A119" s="1" t="s">
        <v>266</v>
      </c>
      <c r="B119" s="51">
        <v>30.400000000000002</v>
      </c>
      <c r="C119" s="52"/>
      <c r="D119" s="2" t="s">
        <v>264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264</v>
      </c>
      <c r="AA119">
        <v>113</v>
      </c>
    </row>
    <row r="120" spans="1:27" x14ac:dyDescent="0.25">
      <c r="A120" s="1" t="s">
        <v>269</v>
      </c>
      <c r="B120" s="51">
        <v>31.55</v>
      </c>
      <c r="C120" s="52"/>
      <c r="D120" s="2" t="s">
        <v>267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267</v>
      </c>
      <c r="AA120">
        <v>114</v>
      </c>
    </row>
    <row r="121" spans="1:27" x14ac:dyDescent="0.25">
      <c r="A121" s="24" t="s">
        <v>3656</v>
      </c>
      <c r="B121" s="25" t="s">
        <v>3620</v>
      </c>
      <c r="C121" s="26"/>
      <c r="D121" s="27" t="s">
        <v>3621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3670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3668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272</v>
      </c>
      <c r="B124" s="51">
        <v>35.4</v>
      </c>
      <c r="C124" s="52"/>
      <c r="D124" s="2" t="s">
        <v>270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270</v>
      </c>
      <c r="AA124">
        <v>118</v>
      </c>
    </row>
    <row r="125" spans="1:27" x14ac:dyDescent="0.25">
      <c r="A125" s="66" t="s">
        <v>275</v>
      </c>
      <c r="B125" s="51">
        <v>37.5</v>
      </c>
      <c r="C125" s="52"/>
      <c r="D125" s="2" t="s">
        <v>273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273</v>
      </c>
      <c r="AA125">
        <v>119</v>
      </c>
    </row>
    <row r="126" spans="1:27" x14ac:dyDescent="0.25">
      <c r="A126" s="66" t="s">
        <v>278</v>
      </c>
      <c r="B126" s="51">
        <v>38.950000000000003</v>
      </c>
      <c r="C126" s="52"/>
      <c r="D126" s="2" t="s">
        <v>276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276</v>
      </c>
      <c r="AA126">
        <v>120</v>
      </c>
    </row>
    <row r="127" spans="1:27" x14ac:dyDescent="0.25">
      <c r="A127" s="66" t="s">
        <v>281</v>
      </c>
      <c r="B127" s="51">
        <v>44.25</v>
      </c>
      <c r="C127" s="52"/>
      <c r="D127" s="2" t="s">
        <v>279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279</v>
      </c>
      <c r="AA127">
        <v>121</v>
      </c>
    </row>
    <row r="128" spans="1:27" x14ac:dyDescent="0.25">
      <c r="A128" s="66" t="s">
        <v>284</v>
      </c>
      <c r="B128" s="51">
        <v>50.1</v>
      </c>
      <c r="C128" s="52"/>
      <c r="D128" s="2" t="s">
        <v>282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282</v>
      </c>
      <c r="AA128">
        <v>122</v>
      </c>
    </row>
    <row r="129" spans="1:27" x14ac:dyDescent="0.25">
      <c r="A129" s="45" t="s">
        <v>3671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3668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287</v>
      </c>
      <c r="B131" s="51">
        <v>55.45</v>
      </c>
      <c r="C131" s="52"/>
      <c r="D131" s="2" t="s">
        <v>285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285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3672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3673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290</v>
      </c>
      <c r="B135" s="51">
        <v>65.05</v>
      </c>
      <c r="C135" s="52"/>
      <c r="D135" s="2" t="s">
        <v>288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288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3674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3675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296</v>
      </c>
      <c r="B139" s="51">
        <v>53.050000000000004</v>
      </c>
      <c r="C139" s="52"/>
      <c r="D139" s="2" t="s">
        <v>294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294</v>
      </c>
      <c r="AA139">
        <v>133</v>
      </c>
    </row>
    <row r="140" spans="1:27" x14ac:dyDescent="0.25">
      <c r="A140" s="1" t="s">
        <v>299</v>
      </c>
      <c r="B140" s="51">
        <v>69.3</v>
      </c>
      <c r="C140" s="52"/>
      <c r="D140" s="2" t="s">
        <v>297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297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3676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3675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302</v>
      </c>
      <c r="B144" s="51">
        <v>29.3</v>
      </c>
      <c r="C144" s="52"/>
      <c r="D144" s="2" t="s">
        <v>300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300</v>
      </c>
      <c r="AA144">
        <v>138</v>
      </c>
    </row>
    <row r="145" spans="1:27" x14ac:dyDescent="0.25">
      <c r="A145" s="1" t="s">
        <v>305</v>
      </c>
      <c r="B145" s="51">
        <v>29.85</v>
      </c>
      <c r="C145" s="52"/>
      <c r="D145" s="2" t="s">
        <v>303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303</v>
      </c>
      <c r="AA145">
        <v>139</v>
      </c>
    </row>
    <row r="146" spans="1:27" x14ac:dyDescent="0.25">
      <c r="A146" s="1" t="s">
        <v>308</v>
      </c>
      <c r="B146" s="51">
        <v>32.4</v>
      </c>
      <c r="C146" s="52"/>
      <c r="D146" s="2" t="s">
        <v>306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306</v>
      </c>
      <c r="AA146">
        <v>140</v>
      </c>
    </row>
    <row r="147" spans="1:27" x14ac:dyDescent="0.25">
      <c r="A147" s="1" t="s">
        <v>311</v>
      </c>
      <c r="B147" s="51">
        <v>34.85</v>
      </c>
      <c r="C147" s="52"/>
      <c r="D147" s="2" t="s">
        <v>309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309</v>
      </c>
      <c r="AA147">
        <v>141</v>
      </c>
    </row>
    <row r="148" spans="1:27" x14ac:dyDescent="0.25">
      <c r="A148" s="1" t="s">
        <v>314</v>
      </c>
      <c r="B148" s="51">
        <v>39.25</v>
      </c>
      <c r="C148" s="52"/>
      <c r="D148" s="2" t="s">
        <v>312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312</v>
      </c>
      <c r="AA148">
        <v>142</v>
      </c>
    </row>
    <row r="149" spans="1:27" x14ac:dyDescent="0.25">
      <c r="A149" s="1" t="s">
        <v>317</v>
      </c>
      <c r="B149" s="51">
        <v>42</v>
      </c>
      <c r="C149" s="52"/>
      <c r="D149" s="2" t="s">
        <v>315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315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3677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3675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320</v>
      </c>
      <c r="B153" s="51">
        <v>42</v>
      </c>
      <c r="C153" s="52"/>
      <c r="D153" s="2" t="s">
        <v>318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318</v>
      </c>
      <c r="AA153">
        <v>147</v>
      </c>
    </row>
    <row r="154" spans="1:27" x14ac:dyDescent="0.25">
      <c r="A154" s="1" t="s">
        <v>323</v>
      </c>
      <c r="B154" s="51">
        <v>43.25</v>
      </c>
      <c r="C154" s="52"/>
      <c r="D154" s="2" t="s">
        <v>321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321</v>
      </c>
      <c r="AA154">
        <v>148</v>
      </c>
    </row>
    <row r="155" spans="1:27" x14ac:dyDescent="0.25">
      <c r="A155" s="1" t="s">
        <v>326</v>
      </c>
      <c r="B155" s="51">
        <v>45.800000000000004</v>
      </c>
      <c r="C155" s="52"/>
      <c r="D155" s="2" t="s">
        <v>324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324</v>
      </c>
      <c r="AA155">
        <v>149</v>
      </c>
    </row>
    <row r="156" spans="1:27" x14ac:dyDescent="0.25">
      <c r="A156" s="1" t="s">
        <v>329</v>
      </c>
      <c r="B156" s="51">
        <v>73.45</v>
      </c>
      <c r="C156" s="52"/>
      <c r="D156" s="2" t="s">
        <v>327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327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332</v>
      </c>
      <c r="B158" s="51">
        <v>10.050000000000001</v>
      </c>
      <c r="C158" s="52"/>
      <c r="D158" s="75" t="s">
        <v>330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330</v>
      </c>
      <c r="AA158">
        <v>152</v>
      </c>
    </row>
    <row r="159" spans="1:27" x14ac:dyDescent="0.25">
      <c r="A159" s="1" t="s">
        <v>334</v>
      </c>
      <c r="B159" s="51">
        <v>6.25</v>
      </c>
      <c r="C159" s="52"/>
      <c r="D159" s="2" t="s">
        <v>333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333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3678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3675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320</v>
      </c>
      <c r="B163" s="51">
        <v>40.800000000000004</v>
      </c>
      <c r="C163" s="52"/>
      <c r="D163" s="2" t="s">
        <v>335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335</v>
      </c>
      <c r="AA163">
        <v>157</v>
      </c>
    </row>
    <row r="164" spans="1:27" x14ac:dyDescent="0.25">
      <c r="A164" s="1" t="s">
        <v>339</v>
      </c>
      <c r="B164" s="51">
        <v>41.400000000000006</v>
      </c>
      <c r="C164" s="52"/>
      <c r="D164" s="2" t="s">
        <v>337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337</v>
      </c>
      <c r="AA164">
        <v>158</v>
      </c>
    </row>
    <row r="165" spans="1:27" x14ac:dyDescent="0.25">
      <c r="A165" s="1" t="s">
        <v>342</v>
      </c>
      <c r="B165" s="51">
        <v>42</v>
      </c>
      <c r="C165" s="52"/>
      <c r="D165" s="2" t="s">
        <v>340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340</v>
      </c>
      <c r="AA165">
        <v>159</v>
      </c>
    </row>
    <row r="166" spans="1:27" x14ac:dyDescent="0.25">
      <c r="A166" s="1" t="s">
        <v>345</v>
      </c>
      <c r="B166" s="51">
        <v>43.25</v>
      </c>
      <c r="C166" s="52"/>
      <c r="D166" s="2" t="s">
        <v>343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343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3679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3680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348</v>
      </c>
      <c r="B170" s="51">
        <v>34.25</v>
      </c>
      <c r="C170" s="52"/>
      <c r="D170" s="2" t="s">
        <v>346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346</v>
      </c>
      <c r="AA170">
        <v>164</v>
      </c>
    </row>
    <row r="171" spans="1:27" x14ac:dyDescent="0.25">
      <c r="A171" s="1" t="s">
        <v>351</v>
      </c>
      <c r="B171" s="51">
        <v>35.550000000000004</v>
      </c>
      <c r="C171" s="52"/>
      <c r="D171" s="2" t="s">
        <v>349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349</v>
      </c>
      <c r="AA171">
        <v>165</v>
      </c>
    </row>
    <row r="172" spans="1:27" x14ac:dyDescent="0.25">
      <c r="A172" s="1" t="s">
        <v>354</v>
      </c>
      <c r="B172" s="51">
        <v>40.800000000000004</v>
      </c>
      <c r="C172" s="52"/>
      <c r="D172" s="2" t="s">
        <v>352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352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3656</v>
      </c>
      <c r="B174" s="25" t="s">
        <v>3620</v>
      </c>
      <c r="C174" s="26"/>
      <c r="D174" s="27" t="s">
        <v>3621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3681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3682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357</v>
      </c>
      <c r="B177" s="51">
        <v>43.95</v>
      </c>
      <c r="C177" s="52"/>
      <c r="D177" s="2" t="s">
        <v>355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355</v>
      </c>
      <c r="AA177">
        <v>171</v>
      </c>
    </row>
    <row r="178" spans="1:27" x14ac:dyDescent="0.25">
      <c r="A178" s="1" t="s">
        <v>360</v>
      </c>
      <c r="B178" s="51">
        <v>46.400000000000006</v>
      </c>
      <c r="C178" s="52"/>
      <c r="D178" s="2" t="s">
        <v>358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358</v>
      </c>
      <c r="AA178">
        <v>172</v>
      </c>
    </row>
    <row r="179" spans="1:27" x14ac:dyDescent="0.25">
      <c r="A179" s="1" t="s">
        <v>363</v>
      </c>
      <c r="B179" s="51">
        <v>48.95</v>
      </c>
      <c r="C179" s="52"/>
      <c r="D179" s="2" t="s">
        <v>361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361</v>
      </c>
      <c r="AA179">
        <v>173</v>
      </c>
    </row>
    <row r="180" spans="1:27" x14ac:dyDescent="0.25">
      <c r="A180" s="9" t="s">
        <v>3683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3684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3685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389</v>
      </c>
      <c r="B184" s="51">
        <v>6.25</v>
      </c>
      <c r="C184" s="52"/>
      <c r="D184" s="75" t="s">
        <v>387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387</v>
      </c>
      <c r="AA184">
        <v>178</v>
      </c>
    </row>
    <row r="185" spans="1:27" x14ac:dyDescent="0.25">
      <c r="A185" s="1" t="s">
        <v>392</v>
      </c>
      <c r="B185" s="51">
        <v>6.25</v>
      </c>
      <c r="C185" s="52"/>
      <c r="D185" s="75" t="s">
        <v>390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390</v>
      </c>
      <c r="AA185">
        <v>179</v>
      </c>
    </row>
    <row r="186" spans="1:27" x14ac:dyDescent="0.25">
      <c r="A186" s="1" t="s">
        <v>395</v>
      </c>
      <c r="B186" s="51">
        <v>6.25</v>
      </c>
      <c r="C186" s="52"/>
      <c r="D186" s="75" t="s">
        <v>393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393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3686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3680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398</v>
      </c>
      <c r="B190" s="51">
        <v>2.85</v>
      </c>
      <c r="C190" s="52"/>
      <c r="D190" s="75" t="s">
        <v>396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396</v>
      </c>
      <c r="AA190">
        <v>184</v>
      </c>
    </row>
    <row r="191" spans="1:27" x14ac:dyDescent="0.25">
      <c r="A191" s="1" t="s">
        <v>401</v>
      </c>
      <c r="B191" s="51">
        <v>2.85</v>
      </c>
      <c r="C191" s="52"/>
      <c r="D191" s="75" t="s">
        <v>399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399</v>
      </c>
      <c r="AA191">
        <v>185</v>
      </c>
    </row>
    <row r="192" spans="1:27" x14ac:dyDescent="0.25">
      <c r="A192" s="1" t="s">
        <v>404</v>
      </c>
      <c r="B192" s="51">
        <v>2.85</v>
      </c>
      <c r="C192" s="52"/>
      <c r="D192" s="75" t="s">
        <v>402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402</v>
      </c>
      <c r="AA192">
        <v>186</v>
      </c>
    </row>
    <row r="193" spans="1:27" x14ac:dyDescent="0.25">
      <c r="A193" s="1" t="s">
        <v>407</v>
      </c>
      <c r="B193" s="51">
        <v>2.85</v>
      </c>
      <c r="C193" s="52"/>
      <c r="D193" s="75" t="s">
        <v>405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405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3687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3680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410</v>
      </c>
      <c r="B197" s="51">
        <v>17.400000000000002</v>
      </c>
      <c r="C197" s="52"/>
      <c r="D197" s="2" t="s">
        <v>408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408</v>
      </c>
      <c r="AA197">
        <v>191</v>
      </c>
    </row>
    <row r="198" spans="1:27" x14ac:dyDescent="0.25">
      <c r="A198" s="1" t="s">
        <v>139</v>
      </c>
      <c r="B198" s="51">
        <v>19.8</v>
      </c>
      <c r="C198" s="52"/>
      <c r="D198" s="2" t="s">
        <v>411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411</v>
      </c>
      <c r="AA198">
        <v>192</v>
      </c>
    </row>
    <row r="199" spans="1:27" x14ac:dyDescent="0.25">
      <c r="A199" s="1" t="s">
        <v>141</v>
      </c>
      <c r="B199" s="51">
        <v>22.400000000000002</v>
      </c>
      <c r="C199" s="52"/>
      <c r="D199" s="2" t="s">
        <v>413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413</v>
      </c>
      <c r="AA199">
        <v>193</v>
      </c>
    </row>
    <row r="200" spans="1:27" x14ac:dyDescent="0.25">
      <c r="A200" s="1" t="s">
        <v>417</v>
      </c>
      <c r="B200" s="51">
        <v>24.450000000000003</v>
      </c>
      <c r="C200" s="52"/>
      <c r="D200" s="2" t="s">
        <v>415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415</v>
      </c>
      <c r="AA200">
        <v>194</v>
      </c>
    </row>
    <row r="201" spans="1:27" x14ac:dyDescent="0.25">
      <c r="A201" s="1" t="s">
        <v>420</v>
      </c>
      <c r="B201" s="51">
        <v>27.75</v>
      </c>
      <c r="C201" s="52"/>
      <c r="D201" s="2" t="s">
        <v>418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418</v>
      </c>
      <c r="AA201">
        <v>195</v>
      </c>
    </row>
    <row r="202" spans="1:27" x14ac:dyDescent="0.25">
      <c r="A202" s="1" t="s">
        <v>423</v>
      </c>
      <c r="B202" s="51">
        <v>31.900000000000002</v>
      </c>
      <c r="C202" s="52"/>
      <c r="D202" s="2" t="s">
        <v>421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421</v>
      </c>
      <c r="AA202">
        <v>196</v>
      </c>
    </row>
    <row r="203" spans="1:27" x14ac:dyDescent="0.25">
      <c r="A203" s="1" t="s">
        <v>354</v>
      </c>
      <c r="B203" s="51">
        <v>35.700000000000003</v>
      </c>
      <c r="C203" s="52"/>
      <c r="D203" s="2" t="s">
        <v>424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424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3688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141</v>
      </c>
      <c r="B206" s="51">
        <v>41</v>
      </c>
      <c r="C206" s="52"/>
      <c r="D206" s="2" t="s">
        <v>426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426</v>
      </c>
      <c r="AA206">
        <v>200</v>
      </c>
    </row>
    <row r="207" spans="1:27" x14ac:dyDescent="0.25">
      <c r="A207" s="1" t="s">
        <v>417</v>
      </c>
      <c r="B207" s="51">
        <v>45.1</v>
      </c>
      <c r="C207" s="52"/>
      <c r="D207" s="2" t="s">
        <v>428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428</v>
      </c>
      <c r="AA207">
        <v>201</v>
      </c>
    </row>
    <row r="208" spans="1:27" x14ac:dyDescent="0.25">
      <c r="A208" s="1" t="s">
        <v>423</v>
      </c>
      <c r="B208" s="51">
        <v>51.6</v>
      </c>
      <c r="C208" s="52"/>
      <c r="D208" s="2" t="s">
        <v>430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430</v>
      </c>
      <c r="AA208">
        <v>202</v>
      </c>
    </row>
    <row r="209" spans="1:27" x14ac:dyDescent="0.25">
      <c r="A209" s="1" t="s">
        <v>354</v>
      </c>
      <c r="B209" s="51">
        <v>55.45</v>
      </c>
      <c r="C209" s="52"/>
      <c r="D209" s="2" t="s">
        <v>432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432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3689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435</v>
      </c>
      <c r="B212" s="51">
        <v>13.75</v>
      </c>
      <c r="C212" s="52"/>
      <c r="D212" s="2" t="s">
        <v>434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434</v>
      </c>
      <c r="AA212">
        <v>206</v>
      </c>
    </row>
    <row r="213" spans="1:27" x14ac:dyDescent="0.25">
      <c r="A213" s="93" t="s">
        <v>437</v>
      </c>
      <c r="B213" s="51">
        <v>17.150000000000002</v>
      </c>
      <c r="C213" s="52"/>
      <c r="D213" s="2" t="s">
        <v>436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436</v>
      </c>
      <c r="AA213">
        <v>207</v>
      </c>
    </row>
    <row r="214" spans="1:27" x14ac:dyDescent="0.25">
      <c r="A214" s="93" t="s">
        <v>439</v>
      </c>
      <c r="B214" s="51">
        <v>20.25</v>
      </c>
      <c r="C214" s="52"/>
      <c r="D214" s="2" t="s">
        <v>438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438</v>
      </c>
      <c r="AA214">
        <v>208</v>
      </c>
    </row>
    <row r="215" spans="1:27" x14ac:dyDescent="0.25">
      <c r="A215" s="93" t="s">
        <v>441</v>
      </c>
      <c r="B215" s="51">
        <v>23.650000000000002</v>
      </c>
      <c r="C215" s="52"/>
      <c r="D215" s="2" t="s">
        <v>440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440</v>
      </c>
      <c r="AA215">
        <v>209</v>
      </c>
    </row>
    <row r="216" spans="1:27" x14ac:dyDescent="0.25">
      <c r="A216" s="93" t="s">
        <v>443</v>
      </c>
      <c r="B216" s="51">
        <v>27.150000000000002</v>
      </c>
      <c r="C216" s="52"/>
      <c r="D216" s="2" t="s">
        <v>442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442</v>
      </c>
      <c r="AA216">
        <v>210</v>
      </c>
    </row>
    <row r="217" spans="1:27" x14ac:dyDescent="0.25">
      <c r="A217" s="93" t="s">
        <v>445</v>
      </c>
      <c r="B217" s="51">
        <v>30.55</v>
      </c>
      <c r="C217" s="52"/>
      <c r="D217" s="2" t="s">
        <v>444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444</v>
      </c>
      <c r="AA217">
        <v>211</v>
      </c>
    </row>
    <row r="218" spans="1:27" x14ac:dyDescent="0.25">
      <c r="A218" s="93" t="s">
        <v>447</v>
      </c>
      <c r="B218" s="51">
        <v>33.950000000000003</v>
      </c>
      <c r="C218" s="52"/>
      <c r="D218" s="2" t="s">
        <v>446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446</v>
      </c>
      <c r="AA218">
        <v>212</v>
      </c>
    </row>
    <row r="219" spans="1:27" x14ac:dyDescent="0.25">
      <c r="A219" s="93" t="s">
        <v>449</v>
      </c>
      <c r="B219" s="51">
        <v>24</v>
      </c>
      <c r="C219" s="52"/>
      <c r="D219" s="2" t="s">
        <v>448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448</v>
      </c>
      <c r="AA219">
        <v>213</v>
      </c>
    </row>
    <row r="220" spans="1:27" x14ac:dyDescent="0.25">
      <c r="A220" s="93" t="s">
        <v>451</v>
      </c>
      <c r="B220" s="51">
        <v>29.85</v>
      </c>
      <c r="C220" s="52"/>
      <c r="D220" s="2" t="s">
        <v>450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450</v>
      </c>
      <c r="AA220">
        <v>214</v>
      </c>
    </row>
    <row r="221" spans="1:27" x14ac:dyDescent="0.25">
      <c r="A221" s="93" t="s">
        <v>453</v>
      </c>
      <c r="B221" s="51">
        <v>36.1</v>
      </c>
      <c r="C221" s="52"/>
      <c r="D221" s="2" t="s">
        <v>452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452</v>
      </c>
      <c r="AA221">
        <v>215</v>
      </c>
    </row>
    <row r="222" spans="1:27" x14ac:dyDescent="0.25">
      <c r="A222" s="93" t="s">
        <v>455</v>
      </c>
      <c r="B222" s="51">
        <v>42</v>
      </c>
      <c r="C222" s="52"/>
      <c r="D222" s="2" t="s">
        <v>454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454</v>
      </c>
      <c r="AA222">
        <v>216</v>
      </c>
    </row>
    <row r="223" spans="1:27" x14ac:dyDescent="0.25">
      <c r="A223" s="93" t="s">
        <v>457</v>
      </c>
      <c r="B223" s="51">
        <v>47.95</v>
      </c>
      <c r="C223" s="52"/>
      <c r="D223" s="2" t="s">
        <v>456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456</v>
      </c>
      <c r="AA223">
        <v>217</v>
      </c>
    </row>
    <row r="224" spans="1:27" x14ac:dyDescent="0.25">
      <c r="A224" s="93" t="s">
        <v>459</v>
      </c>
      <c r="B224" s="51">
        <v>53.800000000000004</v>
      </c>
      <c r="C224" s="52"/>
      <c r="D224" s="2" t="s">
        <v>458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458</v>
      </c>
      <c r="AA224">
        <v>218</v>
      </c>
    </row>
    <row r="225" spans="1:27" x14ac:dyDescent="0.25">
      <c r="A225" s="93" t="s">
        <v>461</v>
      </c>
      <c r="B225" s="51">
        <v>60.050000000000004</v>
      </c>
      <c r="C225" s="52"/>
      <c r="D225" s="2" t="s">
        <v>460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460</v>
      </c>
      <c r="AA225">
        <v>219</v>
      </c>
    </row>
    <row r="226" spans="1:27" x14ac:dyDescent="0.25">
      <c r="A226" s="24" t="s">
        <v>3690</v>
      </c>
      <c r="B226" s="25" t="s">
        <v>3620</v>
      </c>
      <c r="C226" s="26"/>
      <c r="D226" s="27" t="s">
        <v>3621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3691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465</v>
      </c>
      <c r="B228" s="51">
        <v>219.9</v>
      </c>
      <c r="C228" s="52"/>
      <c r="D228" s="2" t="s">
        <v>462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462</v>
      </c>
      <c r="AA228">
        <v>222</v>
      </c>
    </row>
    <row r="229" spans="1:27" x14ac:dyDescent="0.25">
      <c r="A229" s="50" t="s">
        <v>468</v>
      </c>
      <c r="B229" s="51">
        <v>312.90000000000003</v>
      </c>
      <c r="C229" s="52"/>
      <c r="D229" s="2" t="s">
        <v>467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467</v>
      </c>
      <c r="AA229">
        <v>223</v>
      </c>
    </row>
    <row r="230" spans="1:27" x14ac:dyDescent="0.25">
      <c r="A230" s="1" t="s">
        <v>471</v>
      </c>
      <c r="B230" s="51">
        <v>10.600000000000001</v>
      </c>
      <c r="C230" s="52"/>
      <c r="D230" s="2" t="s">
        <v>469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469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3692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481</v>
      </c>
      <c r="B233" s="51">
        <v>53.050000000000004</v>
      </c>
      <c r="C233" s="52"/>
      <c r="D233" s="2" t="s">
        <v>479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479</v>
      </c>
      <c r="AA233">
        <v>227</v>
      </c>
    </row>
    <row r="234" spans="1:27" x14ac:dyDescent="0.25">
      <c r="A234" s="66" t="s">
        <v>485</v>
      </c>
      <c r="B234" s="51">
        <v>96.7</v>
      </c>
      <c r="C234" s="52"/>
      <c r="D234" s="2" t="s">
        <v>483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483</v>
      </c>
      <c r="AA234">
        <v>228</v>
      </c>
    </row>
    <row r="235" spans="1:27" x14ac:dyDescent="0.25">
      <c r="A235" s="1" t="s">
        <v>488</v>
      </c>
      <c r="B235" s="51">
        <v>61.650000000000006</v>
      </c>
      <c r="C235" s="52"/>
      <c r="D235" s="2" t="s">
        <v>486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486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3693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491</v>
      </c>
      <c r="B238" s="51">
        <v>51.6</v>
      </c>
      <c r="C238" s="52"/>
      <c r="D238" s="2" t="s">
        <v>489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489</v>
      </c>
      <c r="AA238">
        <v>232</v>
      </c>
    </row>
    <row r="239" spans="1:27" x14ac:dyDescent="0.25">
      <c r="A239" s="9" t="s">
        <v>3694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494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493</v>
      </c>
      <c r="B242" s="51">
        <v>51.6</v>
      </c>
      <c r="C242" s="52"/>
      <c r="D242" s="2" t="s">
        <v>492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492</v>
      </c>
      <c r="AA242">
        <v>236</v>
      </c>
    </row>
    <row r="243" spans="1:27" x14ac:dyDescent="0.25">
      <c r="A243" s="1" t="s">
        <v>497</v>
      </c>
      <c r="B243" s="51">
        <v>18.600000000000001</v>
      </c>
      <c r="C243" s="52"/>
      <c r="D243" s="2" t="s">
        <v>495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495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3695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500</v>
      </c>
      <c r="B246" s="51">
        <v>55.45</v>
      </c>
      <c r="C246" s="52"/>
      <c r="D246" s="2" t="s">
        <v>498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498</v>
      </c>
      <c r="AA246">
        <v>240</v>
      </c>
    </row>
    <row r="247" spans="1:27" x14ac:dyDescent="0.25">
      <c r="A247" s="1" t="s">
        <v>504</v>
      </c>
      <c r="B247" s="51">
        <v>66.350000000000009</v>
      </c>
      <c r="C247" s="52"/>
      <c r="D247" s="2" t="s">
        <v>502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502</v>
      </c>
      <c r="AA247">
        <v>241</v>
      </c>
    </row>
    <row r="248" spans="1:27" x14ac:dyDescent="0.25">
      <c r="A248" s="1" t="s">
        <v>506</v>
      </c>
      <c r="B248" s="51">
        <v>80.800000000000011</v>
      </c>
      <c r="C248" s="52"/>
      <c r="D248" s="2" t="s">
        <v>505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505</v>
      </c>
      <c r="AA248">
        <v>242</v>
      </c>
    </row>
    <row r="249" spans="1:27" x14ac:dyDescent="0.25">
      <c r="A249" s="1" t="s">
        <v>509</v>
      </c>
      <c r="B249" s="51">
        <v>353.20000000000005</v>
      </c>
      <c r="C249" s="52"/>
      <c r="D249" s="2" t="s">
        <v>507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507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513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512</v>
      </c>
      <c r="B252" s="51">
        <v>54.300000000000004</v>
      </c>
      <c r="C252" s="52"/>
      <c r="D252" s="2" t="s">
        <v>510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510</v>
      </c>
      <c r="AA252">
        <v>246</v>
      </c>
    </row>
    <row r="253" spans="1:27" x14ac:dyDescent="0.25">
      <c r="A253" s="1" t="s">
        <v>516</v>
      </c>
      <c r="B253" s="51">
        <v>58.400000000000006</v>
      </c>
      <c r="C253" s="52"/>
      <c r="D253" s="2" t="s">
        <v>514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514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3696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473</v>
      </c>
      <c r="B256" s="51">
        <v>90.25</v>
      </c>
      <c r="C256" s="52"/>
      <c r="D256" s="2" t="s">
        <v>472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472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3697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518</v>
      </c>
      <c r="B259" s="51">
        <v>56.050000000000004</v>
      </c>
      <c r="C259" s="98"/>
      <c r="D259" s="2" t="s">
        <v>517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517</v>
      </c>
      <c r="AA259">
        <v>253</v>
      </c>
    </row>
    <row r="260" spans="1:27" x14ac:dyDescent="0.25">
      <c r="A260" s="101" t="s">
        <v>3698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942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476</v>
      </c>
      <c r="B263" s="51">
        <v>9.15</v>
      </c>
      <c r="C263" s="52"/>
      <c r="D263" s="75" t="s">
        <v>474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474</v>
      </c>
      <c r="AA263">
        <v>257</v>
      </c>
    </row>
    <row r="264" spans="1:27" x14ac:dyDescent="0.25">
      <c r="A264" s="1" t="s">
        <v>478</v>
      </c>
      <c r="B264" s="51">
        <v>14.450000000000001</v>
      </c>
      <c r="C264" s="52"/>
      <c r="D264" s="2" t="s">
        <v>477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477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3699</v>
      </c>
      <c r="B266" s="25" t="s">
        <v>3620</v>
      </c>
      <c r="C266" s="26"/>
      <c r="D266" s="27" t="s">
        <v>3621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527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573</v>
      </c>
      <c r="B268" s="51">
        <v>56.900000000000006</v>
      </c>
      <c r="C268" s="52"/>
      <c r="D268" s="2" t="s">
        <v>571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571</v>
      </c>
      <c r="AA268">
        <v>262</v>
      </c>
    </row>
    <row r="269" spans="1:27" x14ac:dyDescent="0.25">
      <c r="A269" s="1" t="s">
        <v>577</v>
      </c>
      <c r="B269" s="51">
        <v>25.700000000000003</v>
      </c>
      <c r="C269" s="52"/>
      <c r="D269" s="2" t="s">
        <v>575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575</v>
      </c>
      <c r="AA269">
        <v>263</v>
      </c>
    </row>
    <row r="270" spans="1:27" ht="18" x14ac:dyDescent="0.25">
      <c r="A270" s="1" t="s">
        <v>682</v>
      </c>
      <c r="B270" s="51">
        <v>48.95</v>
      </c>
      <c r="C270" s="52"/>
      <c r="D270" s="2" t="s">
        <v>680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680</v>
      </c>
      <c r="AA270">
        <v>264</v>
      </c>
    </row>
    <row r="271" spans="1:27" x14ac:dyDescent="0.25">
      <c r="A271" s="1" t="s">
        <v>539</v>
      </c>
      <c r="B271" s="51">
        <v>55.45</v>
      </c>
      <c r="C271" s="52"/>
      <c r="D271" s="2" t="s">
        <v>536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536</v>
      </c>
      <c r="AA271">
        <v>265</v>
      </c>
    </row>
    <row r="272" spans="1:27" x14ac:dyDescent="0.25">
      <c r="A272" s="50" t="s">
        <v>541</v>
      </c>
      <c r="B272" s="51">
        <v>106.15</v>
      </c>
      <c r="C272" s="52"/>
      <c r="D272" s="2" t="s">
        <v>540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540</v>
      </c>
      <c r="AA272">
        <v>266</v>
      </c>
    </row>
    <row r="273" spans="1:27" x14ac:dyDescent="0.25">
      <c r="A273" s="1" t="s">
        <v>544</v>
      </c>
      <c r="B273" s="51">
        <v>50.45</v>
      </c>
      <c r="C273" s="52"/>
      <c r="D273" s="2" t="s">
        <v>542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542</v>
      </c>
      <c r="AA273">
        <v>267</v>
      </c>
    </row>
    <row r="274" spans="1:27" x14ac:dyDescent="0.25">
      <c r="A274" s="1" t="s">
        <v>547</v>
      </c>
      <c r="B274" s="51">
        <v>56.900000000000006</v>
      </c>
      <c r="C274" s="52"/>
      <c r="D274" s="2" t="s">
        <v>545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545</v>
      </c>
      <c r="AA274">
        <v>268</v>
      </c>
    </row>
    <row r="275" spans="1:27" x14ac:dyDescent="0.25">
      <c r="A275" s="1" t="s">
        <v>550</v>
      </c>
      <c r="B275" s="51">
        <v>50.45</v>
      </c>
      <c r="C275" s="52"/>
      <c r="D275" s="2" t="s">
        <v>548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548</v>
      </c>
      <c r="AA275">
        <v>269</v>
      </c>
    </row>
    <row r="276" spans="1:27" x14ac:dyDescent="0.25">
      <c r="A276" s="1" t="s">
        <v>685</v>
      </c>
      <c r="B276" s="51">
        <v>70.75</v>
      </c>
      <c r="C276" s="52"/>
      <c r="D276" s="2" t="s">
        <v>683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683</v>
      </c>
      <c r="AA276">
        <v>270</v>
      </c>
    </row>
    <row r="277" spans="1:27" x14ac:dyDescent="0.25">
      <c r="A277" s="1" t="s">
        <v>553</v>
      </c>
      <c r="B277" s="51">
        <v>74</v>
      </c>
      <c r="C277" s="52"/>
      <c r="D277" s="2" t="s">
        <v>551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551</v>
      </c>
      <c r="AA277">
        <v>271</v>
      </c>
    </row>
    <row r="278" spans="1:27" x14ac:dyDescent="0.25">
      <c r="A278" s="66" t="s">
        <v>556</v>
      </c>
      <c r="B278" s="51">
        <v>112</v>
      </c>
      <c r="C278" s="52"/>
      <c r="D278" s="69" t="s">
        <v>554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554</v>
      </c>
      <c r="AA278">
        <v>272</v>
      </c>
    </row>
    <row r="279" spans="1:27" x14ac:dyDescent="0.25">
      <c r="A279" s="1" t="s">
        <v>559</v>
      </c>
      <c r="B279" s="51">
        <v>81.350000000000009</v>
      </c>
      <c r="C279" s="52"/>
      <c r="D279" s="2" t="s">
        <v>557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557</v>
      </c>
      <c r="AA279">
        <v>273</v>
      </c>
    </row>
    <row r="280" spans="1:27" x14ac:dyDescent="0.25">
      <c r="A280" s="1" t="s">
        <v>562</v>
      </c>
      <c r="B280" s="51">
        <v>106.15</v>
      </c>
      <c r="C280" s="52"/>
      <c r="D280" s="2" t="s">
        <v>560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560</v>
      </c>
      <c r="AA280">
        <v>274</v>
      </c>
    </row>
    <row r="281" spans="1:27" x14ac:dyDescent="0.25">
      <c r="A281" s="1" t="s">
        <v>565</v>
      </c>
      <c r="B281" s="51">
        <v>129.4</v>
      </c>
      <c r="C281" s="52"/>
      <c r="D281" s="2" t="s">
        <v>563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563</v>
      </c>
      <c r="AA281">
        <v>275</v>
      </c>
    </row>
    <row r="282" spans="1:27" x14ac:dyDescent="0.25">
      <c r="A282" t="s">
        <v>688</v>
      </c>
      <c r="B282" s="51">
        <v>129.4</v>
      </c>
      <c r="C282" s="52"/>
      <c r="D282" s="69" t="s">
        <v>686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686</v>
      </c>
      <c r="AA282">
        <v>276</v>
      </c>
    </row>
    <row r="283" spans="1:27" x14ac:dyDescent="0.25">
      <c r="A283" s="1" t="s">
        <v>567</v>
      </c>
      <c r="B283" s="51">
        <v>42.2</v>
      </c>
      <c r="C283" s="52"/>
      <c r="D283" s="2" t="s">
        <v>566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566</v>
      </c>
      <c r="AA283">
        <v>277</v>
      </c>
    </row>
    <row r="284" spans="1:27" x14ac:dyDescent="0.25">
      <c r="A284" s="107" t="s">
        <v>570</v>
      </c>
      <c r="B284" s="51">
        <v>106.15</v>
      </c>
      <c r="C284" s="52"/>
      <c r="D284" s="2" t="s">
        <v>568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568</v>
      </c>
      <c r="AA284">
        <v>278</v>
      </c>
    </row>
    <row r="285" spans="1:27" x14ac:dyDescent="0.25">
      <c r="A285" s="9" t="s">
        <v>3700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574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580</v>
      </c>
      <c r="B288" s="51">
        <v>53.050000000000004</v>
      </c>
      <c r="C288" s="52"/>
      <c r="D288" s="2" t="s">
        <v>578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578</v>
      </c>
      <c r="AA288">
        <v>282</v>
      </c>
    </row>
    <row r="289" spans="1:27" ht="18" x14ac:dyDescent="0.25">
      <c r="A289" s="1" t="s">
        <v>583</v>
      </c>
      <c r="B289" s="51">
        <v>58.400000000000006</v>
      </c>
      <c r="C289" s="52"/>
      <c r="D289" s="2" t="s">
        <v>581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581</v>
      </c>
      <c r="AA289">
        <v>283</v>
      </c>
    </row>
    <row r="290" spans="1:27" ht="18" x14ac:dyDescent="0.25">
      <c r="A290" s="50" t="s">
        <v>586</v>
      </c>
      <c r="B290" s="51">
        <v>74.95</v>
      </c>
      <c r="C290" s="52"/>
      <c r="D290" s="2" t="s">
        <v>584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584</v>
      </c>
      <c r="AA290">
        <v>284</v>
      </c>
    </row>
    <row r="291" spans="1:27" x14ac:dyDescent="0.25">
      <c r="A291" s="50" t="s">
        <v>589</v>
      </c>
      <c r="B291" s="51">
        <v>63.7</v>
      </c>
      <c r="C291" s="52"/>
      <c r="D291" s="2" t="s">
        <v>587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587</v>
      </c>
      <c r="AA291">
        <v>285</v>
      </c>
    </row>
    <row r="292" spans="1:27" x14ac:dyDescent="0.25">
      <c r="A292" s="50" t="s">
        <v>593</v>
      </c>
      <c r="B292" s="51">
        <v>65.100000000000009</v>
      </c>
      <c r="C292" s="52"/>
      <c r="D292" s="2" t="s">
        <v>591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591</v>
      </c>
      <c r="AA292">
        <v>286</v>
      </c>
    </row>
    <row r="293" spans="1:27" x14ac:dyDescent="0.25">
      <c r="A293" s="50" t="s">
        <v>596</v>
      </c>
      <c r="B293" s="51">
        <v>69.8</v>
      </c>
      <c r="C293" s="52"/>
      <c r="D293" s="2" t="s">
        <v>594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594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3701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598</v>
      </c>
      <c r="B296" s="51">
        <v>23.900000000000002</v>
      </c>
      <c r="C296" s="52"/>
      <c r="D296" s="2" t="s">
        <v>597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597</v>
      </c>
      <c r="AA296">
        <v>290</v>
      </c>
    </row>
    <row r="297" spans="1:27" x14ac:dyDescent="0.25">
      <c r="A297" s="1" t="s">
        <v>600</v>
      </c>
      <c r="B297" s="51">
        <v>43.95</v>
      </c>
      <c r="C297" s="52"/>
      <c r="D297" s="2" t="s">
        <v>599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599</v>
      </c>
      <c r="AA297">
        <v>291</v>
      </c>
    </row>
    <row r="298" spans="1:27" x14ac:dyDescent="0.25">
      <c r="A298" s="1" t="s">
        <v>602</v>
      </c>
      <c r="B298" s="51">
        <v>45.1</v>
      </c>
      <c r="C298" s="52"/>
      <c r="D298" s="2" t="s">
        <v>601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601</v>
      </c>
      <c r="AA298">
        <v>292</v>
      </c>
    </row>
    <row r="299" spans="1:27" ht="18" x14ac:dyDescent="0.25">
      <c r="A299" s="1" t="s">
        <v>605</v>
      </c>
      <c r="B299" s="51">
        <v>47.800000000000004</v>
      </c>
      <c r="C299" s="52"/>
      <c r="D299" s="2" t="s">
        <v>603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603</v>
      </c>
      <c r="AA299">
        <v>293</v>
      </c>
    </row>
    <row r="300" spans="1:27" ht="18" x14ac:dyDescent="0.25">
      <c r="A300" s="50" t="s">
        <v>608</v>
      </c>
      <c r="B300" s="51">
        <v>54.45</v>
      </c>
      <c r="C300" s="52"/>
      <c r="D300" s="2" t="s">
        <v>606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606</v>
      </c>
      <c r="AA300">
        <v>294</v>
      </c>
    </row>
    <row r="301" spans="1:27" ht="18" x14ac:dyDescent="0.25">
      <c r="A301" s="50" t="s">
        <v>611</v>
      </c>
      <c r="B301" s="51">
        <v>54.300000000000004</v>
      </c>
      <c r="C301" s="52"/>
      <c r="D301" s="2" t="s">
        <v>609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609</v>
      </c>
      <c r="AA301">
        <v>295</v>
      </c>
    </row>
    <row r="302" spans="1:27" x14ac:dyDescent="0.25">
      <c r="A302" s="50" t="s">
        <v>613</v>
      </c>
      <c r="B302" s="51">
        <v>28.35</v>
      </c>
      <c r="C302" s="52"/>
      <c r="D302" s="2" t="s">
        <v>612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612</v>
      </c>
      <c r="AA302">
        <v>296</v>
      </c>
    </row>
    <row r="303" spans="1:27" x14ac:dyDescent="0.25">
      <c r="A303" s="50" t="s">
        <v>616</v>
      </c>
      <c r="B303" s="51">
        <v>35</v>
      </c>
      <c r="C303" s="52"/>
      <c r="D303" s="2" t="s">
        <v>614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614</v>
      </c>
      <c r="AA303">
        <v>297</v>
      </c>
    </row>
    <row r="304" spans="1:27" x14ac:dyDescent="0.25">
      <c r="A304" s="1" t="s">
        <v>619</v>
      </c>
      <c r="B304" s="51">
        <v>49.85</v>
      </c>
      <c r="C304" s="52"/>
      <c r="D304" s="75" t="s">
        <v>617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617</v>
      </c>
      <c r="AA304">
        <v>298</v>
      </c>
    </row>
    <row r="305" spans="1:27" x14ac:dyDescent="0.25">
      <c r="A305" s="1" t="s">
        <v>621</v>
      </c>
      <c r="B305" s="51">
        <v>9.8500000000000014</v>
      </c>
      <c r="C305" s="52"/>
      <c r="D305" s="75" t="s">
        <v>620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620</v>
      </c>
      <c r="AA305">
        <v>299</v>
      </c>
    </row>
    <row r="306" spans="1:27" ht="18" x14ac:dyDescent="0.25">
      <c r="A306" s="1" t="s">
        <v>706</v>
      </c>
      <c r="B306" s="51">
        <v>47.800000000000004</v>
      </c>
      <c r="C306" s="52"/>
      <c r="D306" s="2" t="s">
        <v>705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705</v>
      </c>
      <c r="AA306">
        <v>300</v>
      </c>
    </row>
    <row r="307" spans="1:27" x14ac:dyDescent="0.25">
      <c r="A307" s="1" t="s">
        <v>624</v>
      </c>
      <c r="B307" s="51">
        <v>54.300000000000004</v>
      </c>
      <c r="C307" s="52"/>
      <c r="D307" s="2" t="s">
        <v>622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622</v>
      </c>
      <c r="AA307">
        <v>301</v>
      </c>
    </row>
    <row r="308" spans="1:27" x14ac:dyDescent="0.25">
      <c r="A308" s="1" t="s">
        <v>627</v>
      </c>
      <c r="B308" s="51">
        <v>58.150000000000006</v>
      </c>
      <c r="C308" s="52"/>
      <c r="D308" s="2" t="s">
        <v>625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625</v>
      </c>
      <c r="AA308">
        <v>302</v>
      </c>
    </row>
    <row r="309" spans="1:27" x14ac:dyDescent="0.25">
      <c r="A309" s="1" t="s">
        <v>630</v>
      </c>
      <c r="B309" s="51">
        <v>63.7</v>
      </c>
      <c r="C309" s="52"/>
      <c r="D309" s="2" t="s">
        <v>628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628</v>
      </c>
      <c r="AA309">
        <v>303</v>
      </c>
    </row>
    <row r="310" spans="1:27" x14ac:dyDescent="0.25">
      <c r="A310" s="1" t="s">
        <v>632</v>
      </c>
      <c r="B310" s="51">
        <v>14.8</v>
      </c>
      <c r="C310" s="52"/>
      <c r="D310" s="75" t="s">
        <v>631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631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3702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709</v>
      </c>
      <c r="B313" s="51">
        <v>37.15</v>
      </c>
      <c r="C313" s="52"/>
      <c r="D313" s="2" t="s">
        <v>707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707</v>
      </c>
      <c r="AA313">
        <v>307</v>
      </c>
    </row>
    <row r="314" spans="1:27" x14ac:dyDescent="0.25">
      <c r="A314" s="1" t="s">
        <v>635</v>
      </c>
      <c r="B314" s="51">
        <v>39.200000000000003</v>
      </c>
      <c r="C314" s="52"/>
      <c r="D314" s="2" t="s">
        <v>633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633</v>
      </c>
      <c r="AA314">
        <v>308</v>
      </c>
    </row>
    <row r="315" spans="1:27" x14ac:dyDescent="0.25">
      <c r="A315" s="1" t="s">
        <v>638</v>
      </c>
      <c r="B315" s="51">
        <v>47.150000000000006</v>
      </c>
      <c r="C315" s="52"/>
      <c r="D315" s="2" t="s">
        <v>636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636</v>
      </c>
      <c r="AA315">
        <v>309</v>
      </c>
    </row>
    <row r="316" spans="1:27" x14ac:dyDescent="0.25">
      <c r="A316" s="1" t="s">
        <v>641</v>
      </c>
      <c r="B316" s="51">
        <v>54.300000000000004</v>
      </c>
      <c r="C316" s="52"/>
      <c r="D316" s="2" t="s">
        <v>639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639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3703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3704</v>
      </c>
      <c r="B319" s="25" t="s">
        <v>3620</v>
      </c>
      <c r="C319" s="26"/>
      <c r="D319" s="27" t="s">
        <v>3621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3705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646</v>
      </c>
      <c r="B321" s="51">
        <v>48.95</v>
      </c>
      <c r="C321" s="52"/>
      <c r="D321" s="2" t="s">
        <v>644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644</v>
      </c>
      <c r="AA321">
        <v>315</v>
      </c>
    </row>
    <row r="322" spans="1:27" ht="18" x14ac:dyDescent="0.25">
      <c r="A322" s="66" t="s">
        <v>649</v>
      </c>
      <c r="B322" s="51">
        <v>100.2</v>
      </c>
      <c r="C322" s="52"/>
      <c r="D322" s="69" t="s">
        <v>647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647</v>
      </c>
      <c r="AA322">
        <v>316</v>
      </c>
    </row>
    <row r="323" spans="1:27" ht="18" x14ac:dyDescent="0.25">
      <c r="A323" s="66" t="s">
        <v>652</v>
      </c>
      <c r="B323" s="51">
        <v>76.650000000000006</v>
      </c>
      <c r="C323" s="52"/>
      <c r="D323" s="69" t="s">
        <v>650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650</v>
      </c>
      <c r="AA323">
        <v>317</v>
      </c>
    </row>
    <row r="324" spans="1:27" x14ac:dyDescent="0.25">
      <c r="A324" s="1" t="s">
        <v>655</v>
      </c>
      <c r="B324" s="51">
        <v>110.85000000000001</v>
      </c>
      <c r="C324" s="52"/>
      <c r="D324" s="2" t="s">
        <v>653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653</v>
      </c>
      <c r="AA324">
        <v>318</v>
      </c>
    </row>
    <row r="325" spans="1:27" x14ac:dyDescent="0.25">
      <c r="A325" s="1" t="s">
        <v>658</v>
      </c>
      <c r="B325" s="51">
        <v>16.55</v>
      </c>
      <c r="C325" s="52"/>
      <c r="D325" s="75" t="s">
        <v>656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656</v>
      </c>
      <c r="AA325">
        <v>319</v>
      </c>
    </row>
    <row r="326" spans="1:27" x14ac:dyDescent="0.25">
      <c r="A326" s="1" t="s">
        <v>534</v>
      </c>
      <c r="B326" s="51">
        <v>10.600000000000001</v>
      </c>
      <c r="C326" s="52"/>
      <c r="D326" s="75" t="s">
        <v>532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532</v>
      </c>
      <c r="AA326">
        <v>320</v>
      </c>
    </row>
    <row r="327" spans="1:27" x14ac:dyDescent="0.25">
      <c r="A327" s="1" t="s">
        <v>661</v>
      </c>
      <c r="B327" s="51">
        <v>263.90000000000003</v>
      </c>
      <c r="C327" s="52"/>
      <c r="D327" s="2" t="s">
        <v>659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659</v>
      </c>
      <c r="AA327">
        <v>321</v>
      </c>
    </row>
    <row r="328" spans="1:27" x14ac:dyDescent="0.25">
      <c r="A328" s="1" t="s">
        <v>664</v>
      </c>
      <c r="B328" s="51">
        <v>57.2</v>
      </c>
      <c r="C328" s="52"/>
      <c r="D328" s="2" t="s">
        <v>662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662</v>
      </c>
      <c r="AA328">
        <v>322</v>
      </c>
    </row>
    <row r="329" spans="1:27" x14ac:dyDescent="0.25">
      <c r="A329" s="1" t="s">
        <v>667</v>
      </c>
      <c r="B329" s="51">
        <v>23.5</v>
      </c>
      <c r="C329" s="52"/>
      <c r="D329" s="2" t="s">
        <v>665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665</v>
      </c>
      <c r="AA329">
        <v>323</v>
      </c>
    </row>
    <row r="330" spans="1:27" x14ac:dyDescent="0.25">
      <c r="A330" s="9" t="s">
        <v>3706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669</v>
      </c>
      <c r="B332" s="51">
        <v>117.95</v>
      </c>
      <c r="C332" s="52"/>
      <c r="D332" s="2" t="s">
        <v>668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668</v>
      </c>
      <c r="AA332">
        <v>326</v>
      </c>
    </row>
    <row r="333" spans="1:27" x14ac:dyDescent="0.25">
      <c r="A333" s="1" t="s">
        <v>671</v>
      </c>
      <c r="B333" s="51">
        <v>138.9</v>
      </c>
      <c r="C333" s="52"/>
      <c r="D333" s="2" t="s">
        <v>670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670</v>
      </c>
      <c r="AA333">
        <v>327</v>
      </c>
    </row>
    <row r="334" spans="1:27" x14ac:dyDescent="0.25">
      <c r="A334" s="9" t="s">
        <v>3707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3708</v>
      </c>
      <c r="B336" s="25" t="s">
        <v>3620</v>
      </c>
      <c r="C336" s="26"/>
      <c r="D336" s="27" t="s">
        <v>3621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3709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736</v>
      </c>
      <c r="B338" s="51">
        <v>26.5</v>
      </c>
      <c r="C338" s="52"/>
      <c r="D338" s="2" t="s">
        <v>733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733</v>
      </c>
      <c r="AA338">
        <v>332</v>
      </c>
    </row>
    <row r="339" spans="1:27" ht="18" x14ac:dyDescent="0.25">
      <c r="A339" s="50" t="s">
        <v>740</v>
      </c>
      <c r="B339" s="51">
        <v>64.850000000000009</v>
      </c>
      <c r="C339" s="52"/>
      <c r="D339" s="2" t="s">
        <v>738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738</v>
      </c>
      <c r="AA339">
        <v>333</v>
      </c>
    </row>
    <row r="340" spans="1:27" ht="18" x14ac:dyDescent="0.25">
      <c r="A340" s="50" t="s">
        <v>743</v>
      </c>
      <c r="B340" s="51">
        <v>64.850000000000009</v>
      </c>
      <c r="C340" s="52"/>
      <c r="D340" s="2" t="s">
        <v>741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741</v>
      </c>
      <c r="AA340">
        <v>334</v>
      </c>
    </row>
    <row r="341" spans="1:27" x14ac:dyDescent="0.25">
      <c r="A341" s="50" t="s">
        <v>746</v>
      </c>
      <c r="B341" s="51">
        <v>105.7</v>
      </c>
      <c r="C341" s="68"/>
      <c r="D341" s="69" t="s">
        <v>744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744</v>
      </c>
      <c r="AA341">
        <v>335</v>
      </c>
    </row>
    <row r="342" spans="1:27" x14ac:dyDescent="0.25">
      <c r="A342" s="9" t="s">
        <v>3710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3711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749</v>
      </c>
      <c r="B345" s="51">
        <v>79.550000000000011</v>
      </c>
      <c r="C345" s="52"/>
      <c r="D345" s="2" t="s">
        <v>747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747</v>
      </c>
      <c r="AA345">
        <v>339</v>
      </c>
    </row>
    <row r="346" spans="1:27" x14ac:dyDescent="0.25">
      <c r="A346" s="1" t="s">
        <v>751</v>
      </c>
      <c r="B346" s="51">
        <v>120.30000000000001</v>
      </c>
      <c r="C346" s="52"/>
      <c r="D346" s="69" t="s">
        <v>750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750</v>
      </c>
      <c r="AA346">
        <v>340</v>
      </c>
    </row>
    <row r="347" spans="1:27" x14ac:dyDescent="0.25">
      <c r="A347" s="1" t="s">
        <v>754</v>
      </c>
      <c r="B347" s="51">
        <v>85.800000000000011</v>
      </c>
      <c r="C347" s="52"/>
      <c r="D347" s="2" t="s">
        <v>752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752</v>
      </c>
      <c r="AA347">
        <v>341</v>
      </c>
    </row>
    <row r="348" spans="1:27" ht="18" x14ac:dyDescent="0.25">
      <c r="A348" s="50" t="s">
        <v>757</v>
      </c>
      <c r="B348" s="51">
        <v>99.65</v>
      </c>
      <c r="C348" s="52"/>
      <c r="D348" s="2" t="s">
        <v>755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755</v>
      </c>
      <c r="AA348">
        <v>342</v>
      </c>
    </row>
    <row r="349" spans="1:27" x14ac:dyDescent="0.25">
      <c r="A349" s="50" t="s">
        <v>760</v>
      </c>
      <c r="B349" s="51">
        <v>61.650000000000006</v>
      </c>
      <c r="C349" s="52"/>
      <c r="D349" s="2" t="s">
        <v>758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758</v>
      </c>
      <c r="AA349">
        <v>343</v>
      </c>
    </row>
    <row r="350" spans="1:27" x14ac:dyDescent="0.25">
      <c r="A350" s="50" t="s">
        <v>763</v>
      </c>
      <c r="B350" s="51">
        <v>94.350000000000009</v>
      </c>
      <c r="C350" s="52"/>
      <c r="D350" s="2" t="s">
        <v>762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762</v>
      </c>
      <c r="AA350">
        <v>344</v>
      </c>
    </row>
    <row r="351" spans="1:27" x14ac:dyDescent="0.25">
      <c r="A351" s="64" t="s">
        <v>765</v>
      </c>
      <c r="B351" s="51">
        <v>133.9</v>
      </c>
      <c r="C351" s="52"/>
      <c r="D351" s="69" t="s">
        <v>764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764</v>
      </c>
      <c r="AA351">
        <v>345</v>
      </c>
    </row>
    <row r="352" spans="1:27" x14ac:dyDescent="0.25">
      <c r="A352" s="50" t="s">
        <v>982</v>
      </c>
      <c r="B352" s="51">
        <v>163.5</v>
      </c>
      <c r="C352" s="52"/>
      <c r="D352" s="2" t="s">
        <v>1136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1136</v>
      </c>
      <c r="AA352">
        <v>346</v>
      </c>
    </row>
    <row r="353" spans="1:27" x14ac:dyDescent="0.25">
      <c r="A353" s="50" t="s">
        <v>1139</v>
      </c>
      <c r="B353" s="51">
        <v>180.15</v>
      </c>
      <c r="C353" s="52"/>
      <c r="D353" s="2" t="s">
        <v>1138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1138</v>
      </c>
      <c r="AA353">
        <v>347</v>
      </c>
    </row>
    <row r="354" spans="1:27" x14ac:dyDescent="0.25">
      <c r="A354" s="50" t="s">
        <v>767</v>
      </c>
      <c r="B354" s="51">
        <v>128.25</v>
      </c>
      <c r="C354" s="52"/>
      <c r="D354" s="2" t="s">
        <v>766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766</v>
      </c>
      <c r="AA354">
        <v>348</v>
      </c>
    </row>
    <row r="355" spans="1:27" x14ac:dyDescent="0.25">
      <c r="A355" s="1" t="s">
        <v>770</v>
      </c>
      <c r="B355" s="51">
        <v>15.950000000000001</v>
      </c>
      <c r="C355" s="52"/>
      <c r="D355" s="2" t="s">
        <v>768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768</v>
      </c>
      <c r="AA355">
        <v>349</v>
      </c>
    </row>
    <row r="356" spans="1:27" x14ac:dyDescent="0.25">
      <c r="A356" s="9" t="s">
        <v>3712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804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803</v>
      </c>
      <c r="B359" s="51">
        <v>74</v>
      </c>
      <c r="C359" s="52"/>
      <c r="D359" s="2" t="s">
        <v>802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802</v>
      </c>
      <c r="AA359">
        <v>353</v>
      </c>
    </row>
    <row r="360" spans="1:27" x14ac:dyDescent="0.25">
      <c r="A360" s="1" t="s">
        <v>806</v>
      </c>
      <c r="B360" s="51">
        <v>53.050000000000004</v>
      </c>
      <c r="C360" s="52"/>
      <c r="D360" s="2" t="s">
        <v>805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805</v>
      </c>
      <c r="AA360">
        <v>354</v>
      </c>
    </row>
    <row r="361" spans="1:27" x14ac:dyDescent="0.25">
      <c r="A361" s="66" t="s">
        <v>1313</v>
      </c>
      <c r="B361" s="51">
        <v>88.45</v>
      </c>
      <c r="C361" s="52"/>
      <c r="D361" s="69" t="s">
        <v>1311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1311</v>
      </c>
      <c r="AA361">
        <v>355</v>
      </c>
    </row>
    <row r="362" spans="1:27" x14ac:dyDescent="0.25">
      <c r="A362" s="9" t="s">
        <v>3713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3714</v>
      </c>
      <c r="B363" s="25" t="s">
        <v>3620</v>
      </c>
      <c r="C363" s="26"/>
      <c r="D363" s="27" t="s">
        <v>3621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774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773</v>
      </c>
      <c r="B365" s="51">
        <v>222.60000000000002</v>
      </c>
      <c r="C365" s="52"/>
      <c r="D365" s="2" t="s">
        <v>771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771</v>
      </c>
      <c r="AA365">
        <v>359</v>
      </c>
    </row>
    <row r="366" spans="1:27" x14ac:dyDescent="0.25">
      <c r="A366" s="1" t="s">
        <v>777</v>
      </c>
      <c r="B366" s="51">
        <v>88.45</v>
      </c>
      <c r="C366" s="52"/>
      <c r="D366" s="2" t="s">
        <v>775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775</v>
      </c>
      <c r="AA366">
        <v>360</v>
      </c>
    </row>
    <row r="367" spans="1:27" ht="18" x14ac:dyDescent="0.25">
      <c r="A367" s="1" t="s">
        <v>779</v>
      </c>
      <c r="B367" s="51">
        <v>108.5</v>
      </c>
      <c r="C367" s="52"/>
      <c r="D367" s="2" t="s">
        <v>778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778</v>
      </c>
      <c r="AA367">
        <v>361</v>
      </c>
    </row>
    <row r="368" spans="1:27" x14ac:dyDescent="0.25">
      <c r="A368" s="1" t="s">
        <v>782</v>
      </c>
      <c r="B368" s="51">
        <v>135.05000000000001</v>
      </c>
      <c r="C368" s="52"/>
      <c r="D368" s="2" t="s">
        <v>780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780</v>
      </c>
      <c r="AA368">
        <v>362</v>
      </c>
    </row>
    <row r="369" spans="1:27" x14ac:dyDescent="0.25">
      <c r="A369" s="50" t="s">
        <v>785</v>
      </c>
      <c r="B369" s="51">
        <v>223.4</v>
      </c>
      <c r="C369" s="52"/>
      <c r="D369" s="2" t="s">
        <v>783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783</v>
      </c>
      <c r="AA369">
        <v>363</v>
      </c>
    </row>
    <row r="370" spans="1:27" x14ac:dyDescent="0.25">
      <c r="A370" s="50" t="s">
        <v>787</v>
      </c>
      <c r="B370" s="51">
        <v>194.55</v>
      </c>
      <c r="C370" s="52"/>
      <c r="D370" s="2" t="s">
        <v>786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786</v>
      </c>
      <c r="AA370">
        <v>364</v>
      </c>
    </row>
    <row r="371" spans="1:27" x14ac:dyDescent="0.25">
      <c r="A371" s="50" t="s">
        <v>789</v>
      </c>
      <c r="B371" s="51">
        <v>193.3</v>
      </c>
      <c r="C371" s="52"/>
      <c r="D371" s="2" t="s">
        <v>788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788</v>
      </c>
      <c r="AA371">
        <v>365</v>
      </c>
    </row>
    <row r="372" spans="1:27" x14ac:dyDescent="0.25">
      <c r="A372" s="50" t="s">
        <v>791</v>
      </c>
      <c r="B372" s="51">
        <v>362.15000000000003</v>
      </c>
      <c r="C372" s="52"/>
      <c r="D372" s="2" t="s">
        <v>790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790</v>
      </c>
      <c r="AA372">
        <v>366</v>
      </c>
    </row>
    <row r="373" spans="1:27" x14ac:dyDescent="0.25">
      <c r="A373" s="1" t="s">
        <v>793</v>
      </c>
      <c r="B373" s="51">
        <v>315.45000000000005</v>
      </c>
      <c r="C373" s="52"/>
      <c r="D373" s="2" t="s">
        <v>792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792</v>
      </c>
      <c r="AA373">
        <v>367</v>
      </c>
    </row>
    <row r="374" spans="1:27" x14ac:dyDescent="0.25">
      <c r="A374" s="1" t="s">
        <v>798</v>
      </c>
      <c r="B374" s="51">
        <v>82</v>
      </c>
      <c r="C374" s="52"/>
      <c r="D374" s="2" t="s">
        <v>796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796</v>
      </c>
      <c r="AA374">
        <v>368</v>
      </c>
    </row>
    <row r="375" spans="1:27" x14ac:dyDescent="0.25">
      <c r="A375" s="1" t="s">
        <v>801</v>
      </c>
      <c r="B375" s="51">
        <v>12.100000000000001</v>
      </c>
      <c r="C375" s="52"/>
      <c r="D375" s="2" t="s">
        <v>799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799</v>
      </c>
      <c r="AA375">
        <v>369</v>
      </c>
    </row>
    <row r="376" spans="1:27" x14ac:dyDescent="0.25">
      <c r="A376" s="101" t="s">
        <v>3715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3716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3717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3718</v>
      </c>
      <c r="B380" s="25" t="s">
        <v>3620</v>
      </c>
      <c r="C380" s="26"/>
      <c r="D380" s="27" t="s">
        <v>3621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3719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1269</v>
      </c>
      <c r="B382" s="51">
        <v>66.350000000000009</v>
      </c>
      <c r="C382" s="52"/>
      <c r="D382" s="2" t="s">
        <v>1267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1267</v>
      </c>
      <c r="AA382">
        <v>376</v>
      </c>
    </row>
    <row r="383" spans="1:27" x14ac:dyDescent="0.25">
      <c r="A383" s="1" t="s">
        <v>1272</v>
      </c>
      <c r="B383" s="51">
        <v>48.95</v>
      </c>
      <c r="C383" s="52"/>
      <c r="D383" s="2" t="s">
        <v>1271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1271</v>
      </c>
      <c r="AA383">
        <v>377</v>
      </c>
    </row>
    <row r="384" spans="1:27" x14ac:dyDescent="0.25">
      <c r="A384" s="1" t="s">
        <v>1275</v>
      </c>
      <c r="B384" s="51">
        <v>22.400000000000002</v>
      </c>
      <c r="C384" s="52"/>
      <c r="D384" s="2" t="s">
        <v>1273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1273</v>
      </c>
      <c r="AA384">
        <v>378</v>
      </c>
    </row>
    <row r="385" spans="1:27" x14ac:dyDescent="0.25">
      <c r="A385" s="114" t="s">
        <v>3720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1282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1281</v>
      </c>
      <c r="B388" s="51">
        <v>48.95</v>
      </c>
      <c r="C388" s="52"/>
      <c r="D388" s="69" t="s">
        <v>1279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1279</v>
      </c>
      <c r="AA388">
        <v>382</v>
      </c>
    </row>
    <row r="389" spans="1:27" x14ac:dyDescent="0.25">
      <c r="A389" t="s">
        <v>1285</v>
      </c>
      <c r="B389" s="51">
        <v>61.1</v>
      </c>
      <c r="C389" s="52"/>
      <c r="D389" s="69" t="s">
        <v>1283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1283</v>
      </c>
      <c r="AA389">
        <v>383</v>
      </c>
    </row>
    <row r="390" spans="1:27" x14ac:dyDescent="0.25">
      <c r="A390" s="1" t="s">
        <v>1288</v>
      </c>
      <c r="B390" s="51">
        <v>35.700000000000003</v>
      </c>
      <c r="C390" s="52"/>
      <c r="D390" s="2" t="s">
        <v>1286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1286</v>
      </c>
      <c r="AA390">
        <v>384</v>
      </c>
    </row>
    <row r="391" spans="1:27" x14ac:dyDescent="0.25">
      <c r="A391" s="50" t="s">
        <v>1290</v>
      </c>
      <c r="B391" s="51">
        <v>104.95</v>
      </c>
      <c r="C391" s="52"/>
      <c r="D391" s="2" t="s">
        <v>1289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1289</v>
      </c>
      <c r="AA391">
        <v>385</v>
      </c>
    </row>
    <row r="392" spans="1:27" x14ac:dyDescent="0.25">
      <c r="A392" s="50" t="s">
        <v>1292</v>
      </c>
      <c r="B392" s="51">
        <v>16.850000000000001</v>
      </c>
      <c r="C392" s="52"/>
      <c r="D392" s="2" t="s">
        <v>1291</v>
      </c>
      <c r="E392" s="65"/>
      <c r="G392" s="54">
        <v>17.692500000000003</v>
      </c>
      <c r="H392" s="23">
        <v>17.75</v>
      </c>
      <c r="J392" s="63">
        <v>10.5</v>
      </c>
      <c r="L392" s="111" t="s">
        <v>3721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1291</v>
      </c>
      <c r="AA392">
        <v>386</v>
      </c>
    </row>
    <row r="393" spans="1:27" x14ac:dyDescent="0.25">
      <c r="A393" s="1" t="s">
        <v>1294</v>
      </c>
      <c r="B393" s="51">
        <v>16.850000000000001</v>
      </c>
      <c r="C393" s="52"/>
      <c r="D393" s="2" t="s">
        <v>1293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1293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3722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1278</v>
      </c>
      <c r="B396" s="51">
        <v>222.5</v>
      </c>
      <c r="C396" s="52"/>
      <c r="D396" s="2" t="s">
        <v>1276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1276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1297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1296</v>
      </c>
      <c r="B399" s="51">
        <v>117.95</v>
      </c>
      <c r="C399" s="52"/>
      <c r="D399" s="2" t="s">
        <v>1295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1295</v>
      </c>
      <c r="AA399">
        <v>393</v>
      </c>
    </row>
    <row r="400" spans="1:27" x14ac:dyDescent="0.25">
      <c r="A400" s="1" t="s">
        <v>1299</v>
      </c>
      <c r="B400" s="51">
        <v>23.900000000000002</v>
      </c>
      <c r="C400" s="52"/>
      <c r="D400" s="2" t="s">
        <v>1298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1298</v>
      </c>
      <c r="AA400">
        <v>394</v>
      </c>
    </row>
    <row r="401" spans="1:27" x14ac:dyDescent="0.25">
      <c r="A401" s="1" t="s">
        <v>1301</v>
      </c>
      <c r="B401" s="51">
        <v>35.700000000000003</v>
      </c>
      <c r="C401" s="52"/>
      <c r="D401" s="2" t="s">
        <v>1300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1300</v>
      </c>
      <c r="AA401">
        <v>395</v>
      </c>
    </row>
    <row r="402" spans="1:27" ht="18" x14ac:dyDescent="0.25">
      <c r="A402" s="1" t="s">
        <v>1304</v>
      </c>
      <c r="B402" s="51">
        <v>71.650000000000006</v>
      </c>
      <c r="C402" s="52"/>
      <c r="D402" s="2" t="s">
        <v>1302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1302</v>
      </c>
      <c r="AA402">
        <v>396</v>
      </c>
    </row>
    <row r="403" spans="1:27" x14ac:dyDescent="0.25">
      <c r="A403" s="1" t="s">
        <v>1307</v>
      </c>
      <c r="B403" s="51">
        <v>74</v>
      </c>
      <c r="C403" s="52"/>
      <c r="D403" s="2" t="s">
        <v>1305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1305</v>
      </c>
      <c r="AA403">
        <v>397</v>
      </c>
    </row>
    <row r="404" spans="1:27" x14ac:dyDescent="0.25">
      <c r="A404" s="1" t="s">
        <v>1310</v>
      </c>
      <c r="B404" s="51">
        <v>97.850000000000009</v>
      </c>
      <c r="C404" s="52"/>
      <c r="D404" s="69" t="s">
        <v>1308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1308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3723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1316</v>
      </c>
      <c r="B407" s="51">
        <v>79.550000000000011</v>
      </c>
      <c r="C407" s="52">
        <v>6.25E-2</v>
      </c>
      <c r="D407" s="2" t="s">
        <v>1315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1315</v>
      </c>
      <c r="AA407">
        <v>401</v>
      </c>
    </row>
    <row r="408" spans="1:27" ht="18" x14ac:dyDescent="0.25">
      <c r="A408" s="50" t="s">
        <v>1318</v>
      </c>
      <c r="B408" s="51">
        <v>113.80000000000001</v>
      </c>
      <c r="C408" s="52"/>
      <c r="D408" s="2" t="s">
        <v>1317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1317</v>
      </c>
      <c r="AA408">
        <v>402</v>
      </c>
    </row>
    <row r="409" spans="1:27" x14ac:dyDescent="0.25">
      <c r="A409" s="50" t="s">
        <v>1320</v>
      </c>
      <c r="B409" s="51">
        <v>128.85</v>
      </c>
      <c r="C409" s="52"/>
      <c r="D409" s="2" t="s">
        <v>1319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1319</v>
      </c>
      <c r="AA409">
        <v>403</v>
      </c>
    </row>
    <row r="410" spans="1:27" x14ac:dyDescent="0.25">
      <c r="A410" s="50" t="s">
        <v>1322</v>
      </c>
      <c r="B410" s="51">
        <v>144.6</v>
      </c>
      <c r="C410" s="52" t="s">
        <v>3724</v>
      </c>
      <c r="D410" s="2" t="s">
        <v>1321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1321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3725</v>
      </c>
      <c r="B412" s="25" t="s">
        <v>3620</v>
      </c>
      <c r="C412" s="26"/>
      <c r="D412" s="27" t="s">
        <v>3621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861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860</v>
      </c>
      <c r="B414" s="51">
        <v>25.35</v>
      </c>
      <c r="C414" s="52"/>
      <c r="D414" s="2" t="s">
        <v>858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858</v>
      </c>
      <c r="AA414">
        <v>408</v>
      </c>
    </row>
    <row r="415" spans="1:27" x14ac:dyDescent="0.25">
      <c r="A415" s="1" t="s">
        <v>864</v>
      </c>
      <c r="B415" s="51">
        <v>30.700000000000003</v>
      </c>
      <c r="C415" s="52"/>
      <c r="D415" s="2" t="s">
        <v>862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862</v>
      </c>
      <c r="AA415">
        <v>409</v>
      </c>
    </row>
    <row r="416" spans="1:27" x14ac:dyDescent="0.25">
      <c r="A416" s="50" t="s">
        <v>866</v>
      </c>
      <c r="B416" s="51">
        <v>112</v>
      </c>
      <c r="C416" s="52"/>
      <c r="D416" s="2" t="s">
        <v>865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865</v>
      </c>
      <c r="AA416">
        <v>410</v>
      </c>
    </row>
    <row r="417" spans="1:27" x14ac:dyDescent="0.25">
      <c r="A417" s="1" t="s">
        <v>868</v>
      </c>
      <c r="B417" s="51">
        <v>119.10000000000001</v>
      </c>
      <c r="C417" s="52"/>
      <c r="D417" s="2" t="s">
        <v>867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867</v>
      </c>
      <c r="AA417">
        <v>411</v>
      </c>
    </row>
    <row r="418" spans="1:27" x14ac:dyDescent="0.25">
      <c r="A418" s="1" t="s">
        <v>870</v>
      </c>
      <c r="B418" s="51">
        <v>239.70000000000002</v>
      </c>
      <c r="C418" s="52"/>
      <c r="D418" s="2" t="s">
        <v>869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869</v>
      </c>
      <c r="AA418">
        <v>412</v>
      </c>
    </row>
    <row r="419" spans="1:27" x14ac:dyDescent="0.25">
      <c r="A419" s="1" t="s">
        <v>873</v>
      </c>
      <c r="B419" s="51">
        <v>302.8</v>
      </c>
      <c r="C419" s="52"/>
      <c r="D419" s="2" t="s">
        <v>871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871</v>
      </c>
      <c r="AA419">
        <v>413</v>
      </c>
    </row>
    <row r="420" spans="1:27" x14ac:dyDescent="0.25">
      <c r="A420" s="114" t="s">
        <v>3726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877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876</v>
      </c>
      <c r="B423" s="51">
        <v>192.20000000000002</v>
      </c>
      <c r="C423" s="52"/>
      <c r="D423" s="2" t="s">
        <v>874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874</v>
      </c>
      <c r="AA423">
        <v>417</v>
      </c>
    </row>
    <row r="424" spans="1:27" x14ac:dyDescent="0.25">
      <c r="A424" s="50" t="s">
        <v>849</v>
      </c>
      <c r="B424" s="51">
        <v>250.3</v>
      </c>
      <c r="C424" s="52"/>
      <c r="D424" s="2" t="s">
        <v>878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878</v>
      </c>
      <c r="AA424">
        <v>418</v>
      </c>
    </row>
    <row r="425" spans="1:27" x14ac:dyDescent="0.25">
      <c r="A425" s="50" t="s">
        <v>881</v>
      </c>
      <c r="B425" s="51">
        <v>211.4</v>
      </c>
      <c r="C425" s="52"/>
      <c r="D425" s="2" t="s">
        <v>879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879</v>
      </c>
      <c r="AA425">
        <v>419</v>
      </c>
    </row>
    <row r="426" spans="1:27" x14ac:dyDescent="0.25">
      <c r="A426" s="50" t="s">
        <v>884</v>
      </c>
      <c r="B426" s="51">
        <v>178</v>
      </c>
      <c r="C426" s="52"/>
      <c r="D426" s="2" t="s">
        <v>882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882</v>
      </c>
      <c r="AA426">
        <v>420</v>
      </c>
    </row>
    <row r="427" spans="1:27" ht="18" x14ac:dyDescent="0.25">
      <c r="A427" s="1" t="s">
        <v>886</v>
      </c>
      <c r="B427" s="51">
        <v>51.6</v>
      </c>
      <c r="C427" s="52"/>
      <c r="D427" s="2" t="s">
        <v>885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885</v>
      </c>
      <c r="AA427">
        <v>421</v>
      </c>
    </row>
    <row r="428" spans="1:27" x14ac:dyDescent="0.25">
      <c r="A428" s="1" t="s">
        <v>888</v>
      </c>
      <c r="B428" s="51">
        <v>62.25</v>
      </c>
      <c r="C428" s="52"/>
      <c r="D428" s="2" t="s">
        <v>887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887</v>
      </c>
      <c r="AA428">
        <v>422</v>
      </c>
    </row>
    <row r="429" spans="1:27" x14ac:dyDescent="0.25">
      <c r="A429" s="1" t="s">
        <v>890</v>
      </c>
      <c r="B429" s="51">
        <v>30.700000000000003</v>
      </c>
      <c r="C429" s="52"/>
      <c r="D429" s="2" t="s">
        <v>889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889</v>
      </c>
      <c r="AA429">
        <v>423</v>
      </c>
    </row>
    <row r="430" spans="1:27" x14ac:dyDescent="0.25">
      <c r="A430" s="1" t="s">
        <v>892</v>
      </c>
      <c r="B430" s="51">
        <v>43.95</v>
      </c>
      <c r="C430" s="52"/>
      <c r="D430" s="2" t="s">
        <v>891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891</v>
      </c>
      <c r="AA430">
        <v>424</v>
      </c>
    </row>
    <row r="431" spans="1:27" x14ac:dyDescent="0.25">
      <c r="A431" s="1" t="s">
        <v>851</v>
      </c>
      <c r="B431" s="51">
        <v>43.95</v>
      </c>
      <c r="C431" s="52"/>
      <c r="D431" s="2" t="s">
        <v>893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898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897</v>
      </c>
      <c r="B434" s="51">
        <v>233.5</v>
      </c>
      <c r="C434" s="52"/>
      <c r="D434" s="2" t="s">
        <v>895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895</v>
      </c>
      <c r="AA434">
        <v>428</v>
      </c>
    </row>
    <row r="435" spans="1:27" x14ac:dyDescent="0.25">
      <c r="A435" s="1" t="s">
        <v>900</v>
      </c>
      <c r="B435" s="51">
        <v>117.95</v>
      </c>
      <c r="C435" s="52"/>
      <c r="D435" s="2" t="s">
        <v>899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899</v>
      </c>
      <c r="AA435">
        <v>429</v>
      </c>
    </row>
    <row r="436" spans="1:27" x14ac:dyDescent="0.25">
      <c r="A436" s="1" t="s">
        <v>902</v>
      </c>
      <c r="B436" s="51">
        <v>15.950000000000001</v>
      </c>
      <c r="C436" s="52"/>
      <c r="D436" s="75" t="s">
        <v>901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901</v>
      </c>
      <c r="AA436">
        <v>430</v>
      </c>
    </row>
    <row r="437" spans="1:27" x14ac:dyDescent="0.25">
      <c r="A437" s="1" t="s">
        <v>904</v>
      </c>
      <c r="B437" s="51">
        <v>42.2</v>
      </c>
      <c r="C437" s="52"/>
      <c r="D437" s="2" t="s">
        <v>903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903</v>
      </c>
      <c r="AA437">
        <v>431</v>
      </c>
    </row>
    <row r="438" spans="1:27" x14ac:dyDescent="0.25">
      <c r="A438" s="1" t="s">
        <v>906</v>
      </c>
      <c r="B438" s="51">
        <v>58.400000000000006</v>
      </c>
      <c r="C438" s="52"/>
      <c r="D438" s="2" t="s">
        <v>905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905</v>
      </c>
      <c r="AA438">
        <v>432</v>
      </c>
    </row>
    <row r="439" spans="1:27" x14ac:dyDescent="0.25">
      <c r="A439" s="1" t="s">
        <v>908</v>
      </c>
      <c r="B439" s="51">
        <v>55.45</v>
      </c>
      <c r="C439" s="52"/>
      <c r="D439" s="2" t="s">
        <v>907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907</v>
      </c>
      <c r="AA439">
        <v>433</v>
      </c>
    </row>
    <row r="440" spans="1:27" x14ac:dyDescent="0.25">
      <c r="A440" s="114" t="s">
        <v>3727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3728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910</v>
      </c>
      <c r="B443" s="51">
        <v>51.6</v>
      </c>
      <c r="C443" s="52"/>
      <c r="D443" s="2" t="s">
        <v>909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909</v>
      </c>
      <c r="AA443">
        <v>437</v>
      </c>
    </row>
    <row r="444" spans="1:27" x14ac:dyDescent="0.25">
      <c r="A444" s="1" t="s">
        <v>913</v>
      </c>
      <c r="B444" s="51">
        <v>13.3</v>
      </c>
      <c r="C444" s="52"/>
      <c r="D444" s="75" t="s">
        <v>911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911</v>
      </c>
      <c r="AA444">
        <v>438</v>
      </c>
    </row>
    <row r="445" spans="1:27" x14ac:dyDescent="0.25">
      <c r="A445" s="1" t="s">
        <v>915</v>
      </c>
      <c r="B445" s="51">
        <v>11.55</v>
      </c>
      <c r="C445" s="52"/>
      <c r="D445" s="75" t="s">
        <v>914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914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3729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918</v>
      </c>
      <c r="B448" s="51">
        <v>341.95000000000005</v>
      </c>
      <c r="C448" s="52"/>
      <c r="D448" s="69" t="s">
        <v>916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916</v>
      </c>
      <c r="AA448">
        <v>442</v>
      </c>
    </row>
    <row r="449" spans="1:27" x14ac:dyDescent="0.25">
      <c r="A449" s="1" t="s">
        <v>920</v>
      </c>
      <c r="B449" s="51">
        <v>53.050000000000004</v>
      </c>
      <c r="C449" s="52"/>
      <c r="D449" s="75" t="s">
        <v>919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919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833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923</v>
      </c>
      <c r="B452" s="51">
        <v>62.25</v>
      </c>
      <c r="C452" s="52"/>
      <c r="D452" s="2" t="s">
        <v>921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921</v>
      </c>
      <c r="AA452">
        <v>446</v>
      </c>
    </row>
    <row r="453" spans="1:27" ht="18" x14ac:dyDescent="0.25">
      <c r="A453" s="1" t="s">
        <v>926</v>
      </c>
      <c r="B453" s="51">
        <v>59.6</v>
      </c>
      <c r="C453" s="52"/>
      <c r="D453" s="2" t="s">
        <v>924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924</v>
      </c>
      <c r="AA453">
        <v>447</v>
      </c>
    </row>
    <row r="454" spans="1:27" x14ac:dyDescent="0.25">
      <c r="A454" s="1" t="s">
        <v>929</v>
      </c>
      <c r="B454" s="51">
        <v>18.600000000000001</v>
      </c>
      <c r="C454" s="52"/>
      <c r="D454" s="75" t="s">
        <v>927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927</v>
      </c>
      <c r="AA454">
        <v>448</v>
      </c>
    </row>
    <row r="455" spans="1:27" x14ac:dyDescent="0.25">
      <c r="A455" s="1" t="s">
        <v>931</v>
      </c>
      <c r="B455" s="51">
        <v>87.300000000000011</v>
      </c>
      <c r="C455" s="52"/>
      <c r="D455" s="2" t="s">
        <v>930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930</v>
      </c>
      <c r="AA455">
        <v>449</v>
      </c>
    </row>
    <row r="456" spans="1:27" x14ac:dyDescent="0.25">
      <c r="A456" s="1" t="s">
        <v>933</v>
      </c>
      <c r="B456" s="51">
        <v>161.55000000000001</v>
      </c>
      <c r="C456" s="52"/>
      <c r="D456" s="2" t="s">
        <v>932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932</v>
      </c>
      <c r="AA456">
        <v>450</v>
      </c>
    </row>
    <row r="457" spans="1:27" x14ac:dyDescent="0.25">
      <c r="A457" s="1" t="s">
        <v>936</v>
      </c>
      <c r="B457" s="51">
        <v>215.8</v>
      </c>
      <c r="C457" s="52"/>
      <c r="D457" s="2" t="s">
        <v>934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934</v>
      </c>
      <c r="AA457">
        <v>451</v>
      </c>
    </row>
    <row r="458" spans="1:27" x14ac:dyDescent="0.25">
      <c r="A458" s="1" t="s">
        <v>938</v>
      </c>
      <c r="B458" s="51">
        <v>113.80000000000001</v>
      </c>
      <c r="C458" s="52"/>
      <c r="D458" s="2" t="s">
        <v>937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937</v>
      </c>
      <c r="AA458">
        <v>452</v>
      </c>
    </row>
    <row r="459" spans="1:27" x14ac:dyDescent="0.25">
      <c r="A459" s="9" t="s">
        <v>3730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3731</v>
      </c>
      <c r="B460" s="25" t="s">
        <v>3620</v>
      </c>
      <c r="C460" s="26"/>
      <c r="D460" s="27" t="s">
        <v>3621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3732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998</v>
      </c>
      <c r="B462" s="51">
        <v>34.200000000000003</v>
      </c>
      <c r="C462" s="76"/>
      <c r="D462" s="118" t="s">
        <v>997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997</v>
      </c>
      <c r="AA462">
        <v>456</v>
      </c>
    </row>
    <row r="463" spans="1:27" x14ac:dyDescent="0.25">
      <c r="A463" s="1" t="s">
        <v>1000</v>
      </c>
      <c r="B463" s="51">
        <v>15.950000000000001</v>
      </c>
      <c r="C463" s="52"/>
      <c r="D463" s="2" t="s">
        <v>999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999</v>
      </c>
      <c r="AA463">
        <v>457</v>
      </c>
    </row>
    <row r="464" spans="1:27" ht="18" x14ac:dyDescent="0.25">
      <c r="A464" s="1" t="s">
        <v>1003</v>
      </c>
      <c r="B464" s="51">
        <v>18.900000000000002</v>
      </c>
      <c r="C464" s="52"/>
      <c r="D464" s="2" t="s">
        <v>1001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1001</v>
      </c>
      <c r="AA464">
        <v>458</v>
      </c>
    </row>
    <row r="465" spans="1:27" x14ac:dyDescent="0.25">
      <c r="A465" s="1" t="s">
        <v>1005</v>
      </c>
      <c r="B465" s="51">
        <v>15.350000000000001</v>
      </c>
      <c r="C465" s="52"/>
      <c r="D465" s="2" t="s">
        <v>1004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1004</v>
      </c>
      <c r="AA465">
        <v>459</v>
      </c>
    </row>
    <row r="466" spans="1:27" x14ac:dyDescent="0.25">
      <c r="A466" s="50" t="s">
        <v>1009</v>
      </c>
      <c r="B466" s="51">
        <v>55.35</v>
      </c>
      <c r="C466" s="52"/>
      <c r="D466" s="2" t="s">
        <v>1008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1008</v>
      </c>
      <c r="AA466">
        <v>460</v>
      </c>
    </row>
    <row r="467" spans="1:27" x14ac:dyDescent="0.25">
      <c r="A467" s="50" t="s">
        <v>1011</v>
      </c>
      <c r="B467" s="51">
        <v>19.450000000000003</v>
      </c>
      <c r="C467" s="52"/>
      <c r="D467" s="2" t="s">
        <v>1010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1010</v>
      </c>
      <c r="AA467">
        <v>461</v>
      </c>
    </row>
    <row r="468" spans="1:27" x14ac:dyDescent="0.25">
      <c r="A468" s="50" t="s">
        <v>1014</v>
      </c>
      <c r="B468" s="51">
        <v>22.150000000000002</v>
      </c>
      <c r="C468" s="52"/>
      <c r="D468" s="2" t="s">
        <v>1012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1012</v>
      </c>
      <c r="AA468">
        <v>462</v>
      </c>
    </row>
    <row r="469" spans="1:27" x14ac:dyDescent="0.25">
      <c r="A469" s="50" t="s">
        <v>1017</v>
      </c>
      <c r="B469" s="51">
        <v>15.350000000000001</v>
      </c>
      <c r="C469" s="52"/>
      <c r="D469" s="2" t="s">
        <v>1015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1015</v>
      </c>
      <c r="AA469">
        <v>463</v>
      </c>
    </row>
    <row r="470" spans="1:27" x14ac:dyDescent="0.25">
      <c r="A470" s="50" t="s">
        <v>1019</v>
      </c>
      <c r="B470" s="51">
        <v>66.5</v>
      </c>
      <c r="C470" s="52"/>
      <c r="D470" s="2" t="s">
        <v>1018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1018</v>
      </c>
      <c r="AA470">
        <v>464</v>
      </c>
    </row>
    <row r="471" spans="1:27" x14ac:dyDescent="0.25">
      <c r="A471" s="114" t="s">
        <v>3733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1023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1022</v>
      </c>
      <c r="B474" s="51">
        <v>47.5</v>
      </c>
      <c r="C474" s="52"/>
      <c r="D474" s="2" t="s">
        <v>1020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1020</v>
      </c>
      <c r="AA474">
        <v>468</v>
      </c>
    </row>
    <row r="475" spans="1:27" x14ac:dyDescent="0.25">
      <c r="A475" s="121" t="s">
        <v>667</v>
      </c>
      <c r="B475" s="51">
        <v>23.5</v>
      </c>
      <c r="C475" s="122"/>
      <c r="D475" s="123" t="s">
        <v>665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3734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665</v>
      </c>
      <c r="AA475">
        <v>469</v>
      </c>
    </row>
    <row r="476" spans="1:27" x14ac:dyDescent="0.25">
      <c r="A476" s="1" t="s">
        <v>1026</v>
      </c>
      <c r="B476" s="51">
        <v>25.35</v>
      </c>
      <c r="C476" s="52"/>
      <c r="D476" s="2" t="s">
        <v>1024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1024</v>
      </c>
      <c r="AA476">
        <v>470</v>
      </c>
    </row>
    <row r="477" spans="1:27" x14ac:dyDescent="0.25">
      <c r="A477" s="50" t="s">
        <v>1028</v>
      </c>
      <c r="B477" s="51">
        <v>65.100000000000009</v>
      </c>
      <c r="C477" s="52"/>
      <c r="D477" s="2" t="s">
        <v>1027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1027</v>
      </c>
      <c r="AA477">
        <v>471</v>
      </c>
    </row>
    <row r="478" spans="1:27" x14ac:dyDescent="0.25">
      <c r="A478" s="50" t="s">
        <v>1030</v>
      </c>
      <c r="B478" s="51">
        <v>116.80000000000001</v>
      </c>
      <c r="C478" s="52"/>
      <c r="D478" s="2" t="s">
        <v>1029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1029</v>
      </c>
      <c r="AA478">
        <v>472</v>
      </c>
    </row>
    <row r="479" spans="1:27" x14ac:dyDescent="0.25">
      <c r="A479" s="1" t="s">
        <v>1033</v>
      </c>
      <c r="B479" s="51">
        <v>76.350000000000009</v>
      </c>
      <c r="C479" s="52"/>
      <c r="D479" s="2" t="s">
        <v>1031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1031</v>
      </c>
      <c r="AA479">
        <v>473</v>
      </c>
    </row>
    <row r="480" spans="1:27" x14ac:dyDescent="0.25">
      <c r="A480" s="1" t="s">
        <v>1035</v>
      </c>
      <c r="B480" s="51">
        <v>142.1</v>
      </c>
      <c r="C480" s="52"/>
      <c r="D480" s="2" t="s">
        <v>1034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1034</v>
      </c>
      <c r="AA480">
        <v>474</v>
      </c>
    </row>
    <row r="481" spans="1:27" x14ac:dyDescent="0.25">
      <c r="A481" s="1" t="s">
        <v>1037</v>
      </c>
      <c r="B481" s="51">
        <v>121.2</v>
      </c>
      <c r="C481" s="52"/>
      <c r="D481" s="2" t="s">
        <v>1036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1036</v>
      </c>
      <c r="AA481">
        <v>475</v>
      </c>
    </row>
    <row r="482" spans="1:27" x14ac:dyDescent="0.25">
      <c r="A482" s="1" t="s">
        <v>1040</v>
      </c>
      <c r="B482" s="51">
        <v>122.10000000000001</v>
      </c>
      <c r="C482" s="52"/>
      <c r="D482" s="2" t="s">
        <v>1038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1038</v>
      </c>
      <c r="AA482">
        <v>476</v>
      </c>
    </row>
    <row r="483" spans="1:27" x14ac:dyDescent="0.25">
      <c r="A483" s="1" t="s">
        <v>1042</v>
      </c>
      <c r="B483" s="51">
        <v>107.35000000000001</v>
      </c>
      <c r="C483" s="52"/>
      <c r="D483" s="2" t="s">
        <v>1041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1041</v>
      </c>
      <c r="AA483">
        <v>477</v>
      </c>
    </row>
    <row r="484" spans="1:27" x14ac:dyDescent="0.25">
      <c r="A484" s="1" t="s">
        <v>1044</v>
      </c>
      <c r="B484" s="51">
        <v>149.30000000000001</v>
      </c>
      <c r="C484" s="52"/>
      <c r="D484" s="2" t="s">
        <v>1043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1043</v>
      </c>
      <c r="AA484">
        <v>478</v>
      </c>
    </row>
    <row r="485" spans="1:27" x14ac:dyDescent="0.25">
      <c r="A485" s="1" t="s">
        <v>1046</v>
      </c>
      <c r="B485" s="51">
        <v>130.05000000000001</v>
      </c>
      <c r="C485" s="52"/>
      <c r="D485" s="2" t="s">
        <v>1045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1045</v>
      </c>
      <c r="AA485">
        <v>479</v>
      </c>
    </row>
    <row r="486" spans="1:27" x14ac:dyDescent="0.25">
      <c r="A486" s="1" t="s">
        <v>1049</v>
      </c>
      <c r="B486" s="51">
        <v>176.60000000000002</v>
      </c>
      <c r="C486" s="52"/>
      <c r="D486" s="2" t="s">
        <v>1047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1047</v>
      </c>
      <c r="AA486">
        <v>480</v>
      </c>
    </row>
    <row r="487" spans="1:27" x14ac:dyDescent="0.25">
      <c r="A487" s="114" t="s">
        <v>3735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1051</v>
      </c>
      <c r="B488" s="51">
        <v>67.5</v>
      </c>
      <c r="C488" s="52"/>
      <c r="D488" s="2" t="s">
        <v>1050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1050</v>
      </c>
      <c r="AA488">
        <v>482</v>
      </c>
    </row>
    <row r="489" spans="1:27" x14ac:dyDescent="0.25">
      <c r="A489" s="130" t="s">
        <v>1054</v>
      </c>
      <c r="B489" s="51">
        <v>54.300000000000004</v>
      </c>
      <c r="C489" s="52"/>
      <c r="D489" s="2" t="s">
        <v>1052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1052</v>
      </c>
      <c r="AA489">
        <v>483</v>
      </c>
    </row>
    <row r="490" spans="1:27" x14ac:dyDescent="0.25">
      <c r="A490" s="130" t="s">
        <v>1056</v>
      </c>
      <c r="B490" s="51">
        <v>9.5</v>
      </c>
      <c r="C490" s="52"/>
      <c r="D490" s="2" t="s">
        <v>1055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1055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1059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1058</v>
      </c>
      <c r="B493" s="51">
        <v>26.5</v>
      </c>
      <c r="C493" s="52"/>
      <c r="D493" s="2" t="s">
        <v>1057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1057</v>
      </c>
      <c r="AA493">
        <v>487</v>
      </c>
    </row>
    <row r="494" spans="1:27" x14ac:dyDescent="0.25">
      <c r="A494" s="130" t="s">
        <v>1061</v>
      </c>
      <c r="B494" s="51">
        <v>80.800000000000011</v>
      </c>
      <c r="C494" s="52"/>
      <c r="D494" s="2" t="s">
        <v>1060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1060</v>
      </c>
      <c r="AA494">
        <v>488</v>
      </c>
    </row>
    <row r="495" spans="1:27" x14ac:dyDescent="0.25">
      <c r="A495" s="130" t="s">
        <v>1063</v>
      </c>
      <c r="B495" s="51">
        <v>107.35000000000001</v>
      </c>
      <c r="C495" s="52"/>
      <c r="D495" s="2" t="s">
        <v>1062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1062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3736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1141</v>
      </c>
      <c r="B498" s="51">
        <v>23.35</v>
      </c>
      <c r="C498" s="52"/>
      <c r="D498" s="2" t="s">
        <v>1140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1140</v>
      </c>
      <c r="AA498">
        <v>492</v>
      </c>
    </row>
    <row r="499" spans="1:27" x14ac:dyDescent="0.25">
      <c r="A499" s="1" t="s">
        <v>1145</v>
      </c>
      <c r="B499" s="51">
        <v>25.950000000000003</v>
      </c>
      <c r="C499" s="52"/>
      <c r="D499" s="2" t="s">
        <v>1143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1143</v>
      </c>
      <c r="AA499">
        <v>493</v>
      </c>
    </row>
    <row r="500" spans="1:27" ht="18" x14ac:dyDescent="0.25">
      <c r="A500" s="97" t="s">
        <v>1147</v>
      </c>
      <c r="B500" s="51">
        <v>46.35</v>
      </c>
      <c r="C500" s="52"/>
      <c r="D500" s="2" t="s">
        <v>1146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1146</v>
      </c>
      <c r="AA500">
        <v>494</v>
      </c>
    </row>
    <row r="501" spans="1:27" x14ac:dyDescent="0.25">
      <c r="A501" s="97" t="s">
        <v>1150</v>
      </c>
      <c r="B501" s="51">
        <v>51</v>
      </c>
      <c r="C501" s="52"/>
      <c r="D501" s="2" t="s">
        <v>1148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1148</v>
      </c>
      <c r="AA501">
        <v>495</v>
      </c>
    </row>
    <row r="502" spans="1:27" x14ac:dyDescent="0.25">
      <c r="A502" s="97" t="s">
        <v>1167</v>
      </c>
      <c r="B502" s="51">
        <v>63.7</v>
      </c>
      <c r="C502" s="52"/>
      <c r="D502" s="2" t="s">
        <v>1165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1165</v>
      </c>
      <c r="AA502">
        <v>496</v>
      </c>
    </row>
    <row r="503" spans="1:27" x14ac:dyDescent="0.25">
      <c r="A503" s="50" t="s">
        <v>1132</v>
      </c>
      <c r="B503" s="51">
        <v>66.75</v>
      </c>
      <c r="C503" s="52"/>
      <c r="D503" s="2" t="s">
        <v>1131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1131</v>
      </c>
      <c r="AA503">
        <v>497</v>
      </c>
    </row>
    <row r="504" spans="1:27" x14ac:dyDescent="0.25">
      <c r="A504" s="97" t="s">
        <v>1130</v>
      </c>
      <c r="B504" s="51">
        <v>165.70000000000002</v>
      </c>
      <c r="C504" s="52"/>
      <c r="D504" s="2" t="s">
        <v>1128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1128</v>
      </c>
      <c r="AA504">
        <v>498</v>
      </c>
    </row>
    <row r="505" spans="1:27" x14ac:dyDescent="0.25">
      <c r="A505" s="97" t="s">
        <v>1161</v>
      </c>
      <c r="B505" s="51">
        <v>30.400000000000002</v>
      </c>
      <c r="C505" s="52"/>
      <c r="D505" s="2" t="s">
        <v>1160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1160</v>
      </c>
      <c r="AA505">
        <v>499</v>
      </c>
    </row>
    <row r="506" spans="1:27" x14ac:dyDescent="0.25">
      <c r="A506" s="96" t="s">
        <v>3737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3738</v>
      </c>
      <c r="B507" s="25" t="s">
        <v>3620</v>
      </c>
      <c r="C507" s="26"/>
      <c r="D507" s="27" t="s">
        <v>3621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1069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1068</v>
      </c>
      <c r="B509" s="51">
        <v>61.1</v>
      </c>
      <c r="C509" s="52"/>
      <c r="D509" s="2" t="s">
        <v>1066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1066</v>
      </c>
      <c r="AA509">
        <v>503</v>
      </c>
    </row>
    <row r="510" spans="1:27" x14ac:dyDescent="0.25">
      <c r="A510" s="1" t="s">
        <v>1072</v>
      </c>
      <c r="B510" s="51">
        <v>92.9</v>
      </c>
      <c r="C510" s="52"/>
      <c r="D510" s="2" t="s">
        <v>1070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1070</v>
      </c>
      <c r="AA510">
        <v>504</v>
      </c>
    </row>
    <row r="511" spans="1:27" x14ac:dyDescent="0.25">
      <c r="A511" s="1" t="s">
        <v>1075</v>
      </c>
      <c r="B511" s="51">
        <v>58.400000000000006</v>
      </c>
      <c r="C511" s="52"/>
      <c r="D511" s="2" t="s">
        <v>1073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1073</v>
      </c>
      <c r="AA511">
        <v>505</v>
      </c>
    </row>
    <row r="512" spans="1:27" x14ac:dyDescent="0.25">
      <c r="A512" s="1" t="s">
        <v>1078</v>
      </c>
      <c r="B512" s="51">
        <v>84.9</v>
      </c>
      <c r="C512" s="52"/>
      <c r="D512" s="2" t="s">
        <v>1076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1076</v>
      </c>
      <c r="AA512">
        <v>506</v>
      </c>
    </row>
    <row r="513" spans="1:27" x14ac:dyDescent="0.25">
      <c r="A513" s="96" t="s">
        <v>3739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1081</v>
      </c>
      <c r="B514" s="51">
        <v>55.45</v>
      </c>
      <c r="C514" s="52"/>
      <c r="D514" s="2" t="s">
        <v>1079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1079</v>
      </c>
      <c r="AA514">
        <v>508</v>
      </c>
    </row>
    <row r="515" spans="1:27" x14ac:dyDescent="0.25">
      <c r="A515" s="130" t="s">
        <v>1084</v>
      </c>
      <c r="B515" s="51">
        <v>69.3</v>
      </c>
      <c r="D515" s="2" t="s">
        <v>1082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1082</v>
      </c>
      <c r="AA515">
        <v>509</v>
      </c>
    </row>
    <row r="516" spans="1:27" x14ac:dyDescent="0.25">
      <c r="A516" s="130" t="s">
        <v>1087</v>
      </c>
      <c r="B516" s="51">
        <v>54.300000000000004</v>
      </c>
      <c r="C516" s="52"/>
      <c r="D516" s="2" t="s">
        <v>1085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1085</v>
      </c>
      <c r="AA516">
        <v>510</v>
      </c>
    </row>
    <row r="517" spans="1:27" x14ac:dyDescent="0.25">
      <c r="A517" s="130" t="s">
        <v>1089</v>
      </c>
      <c r="B517" s="51">
        <v>25.35</v>
      </c>
      <c r="C517" s="52"/>
      <c r="D517" s="2" t="s">
        <v>1088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1088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1093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1110</v>
      </c>
      <c r="B520" s="51">
        <v>36</v>
      </c>
      <c r="C520" s="52"/>
      <c r="D520" s="2" t="s">
        <v>1108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1108</v>
      </c>
      <c r="AA520">
        <v>514</v>
      </c>
    </row>
    <row r="521" spans="1:27" x14ac:dyDescent="0.25">
      <c r="A521" s="97" t="s">
        <v>1113</v>
      </c>
      <c r="B521" s="51">
        <v>27.75</v>
      </c>
      <c r="C521" s="52"/>
      <c r="D521" s="2" t="s">
        <v>1111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1111</v>
      </c>
      <c r="AA521">
        <v>515</v>
      </c>
    </row>
    <row r="522" spans="1:27" ht="18" x14ac:dyDescent="0.25">
      <c r="A522" s="97" t="s">
        <v>1116</v>
      </c>
      <c r="B522" s="51">
        <v>31.25</v>
      </c>
      <c r="C522" s="52"/>
      <c r="D522" s="2" t="s">
        <v>1114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1114</v>
      </c>
      <c r="AA522">
        <v>516</v>
      </c>
    </row>
    <row r="523" spans="1:27" x14ac:dyDescent="0.25">
      <c r="A523" s="97" t="s">
        <v>1119</v>
      </c>
      <c r="B523" s="51">
        <v>31.25</v>
      </c>
      <c r="C523" s="52"/>
      <c r="D523" s="2" t="s">
        <v>1117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1117</v>
      </c>
      <c r="AA523">
        <v>517</v>
      </c>
    </row>
    <row r="524" spans="1:27" x14ac:dyDescent="0.25">
      <c r="A524" s="1" t="s">
        <v>1125</v>
      </c>
      <c r="B524" s="51">
        <v>43.35</v>
      </c>
      <c r="C524" s="52"/>
      <c r="D524" s="2" t="s">
        <v>1123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1123</v>
      </c>
      <c r="AA524">
        <v>518</v>
      </c>
    </row>
    <row r="525" spans="1:27" x14ac:dyDescent="0.25">
      <c r="A525" s="97" t="s">
        <v>1164</v>
      </c>
      <c r="B525" s="51">
        <v>63.7</v>
      </c>
      <c r="C525" s="52"/>
      <c r="D525" s="2" t="s">
        <v>1162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1162</v>
      </c>
      <c r="AA525">
        <v>519</v>
      </c>
    </row>
    <row r="526" spans="1:27" x14ac:dyDescent="0.25">
      <c r="A526" s="1" t="s">
        <v>1092</v>
      </c>
      <c r="B526" s="51">
        <v>84.9</v>
      </c>
      <c r="C526" s="52"/>
      <c r="D526" s="2" t="s">
        <v>1090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1090</v>
      </c>
      <c r="AA526">
        <v>520</v>
      </c>
    </row>
    <row r="527" spans="1:27" x14ac:dyDescent="0.25">
      <c r="A527" s="97" t="s">
        <v>1096</v>
      </c>
      <c r="B527" s="51">
        <v>91.350000000000009</v>
      </c>
      <c r="C527" s="52"/>
      <c r="D527" s="2" t="s">
        <v>1094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1094</v>
      </c>
      <c r="AA527">
        <v>521</v>
      </c>
    </row>
    <row r="528" spans="1:27" x14ac:dyDescent="0.25">
      <c r="A528" s="97" t="s">
        <v>1101</v>
      </c>
      <c r="B528" s="51">
        <v>84.9</v>
      </c>
      <c r="C528" s="52"/>
      <c r="D528" s="2" t="s">
        <v>1099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1099</v>
      </c>
      <c r="AA528">
        <v>522</v>
      </c>
    </row>
    <row r="529" spans="1:27" x14ac:dyDescent="0.25">
      <c r="A529" s="97" t="s">
        <v>1104</v>
      </c>
      <c r="B529" s="51">
        <v>39.800000000000004</v>
      </c>
      <c r="C529" s="52"/>
      <c r="D529" s="2" t="s">
        <v>1102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1102</v>
      </c>
      <c r="AA529">
        <v>523</v>
      </c>
    </row>
    <row r="530" spans="1:27" x14ac:dyDescent="0.25">
      <c r="A530" s="97" t="s">
        <v>963</v>
      </c>
      <c r="B530" s="51">
        <v>93.45</v>
      </c>
      <c r="C530" s="52"/>
      <c r="D530" s="2" t="s">
        <v>961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961</v>
      </c>
      <c r="AA530">
        <v>524</v>
      </c>
    </row>
    <row r="531" spans="1:27" x14ac:dyDescent="0.25">
      <c r="A531" s="97" t="s">
        <v>2843</v>
      </c>
      <c r="B531" s="51">
        <v>41</v>
      </c>
      <c r="C531" s="52"/>
      <c r="D531" s="75" t="s">
        <v>2841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2841</v>
      </c>
      <c r="AA531">
        <v>525</v>
      </c>
    </row>
    <row r="532" spans="1:27" x14ac:dyDescent="0.25">
      <c r="A532" s="97" t="s">
        <v>1135</v>
      </c>
      <c r="B532" s="51">
        <v>68.7</v>
      </c>
      <c r="C532" s="52"/>
      <c r="D532" s="2" t="s">
        <v>1133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1133</v>
      </c>
      <c r="AA532">
        <v>526</v>
      </c>
    </row>
    <row r="533" spans="1:27" x14ac:dyDescent="0.25">
      <c r="A533" s="130" t="s">
        <v>2403</v>
      </c>
      <c r="B533" s="51">
        <v>18.600000000000001</v>
      </c>
      <c r="C533" s="52"/>
      <c r="D533" s="75" t="s">
        <v>2401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2401</v>
      </c>
      <c r="AA533">
        <v>527</v>
      </c>
    </row>
    <row r="534" spans="1:27" x14ac:dyDescent="0.25">
      <c r="A534" s="96" t="s">
        <v>3739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3740</v>
      </c>
      <c r="B536" s="25" t="s">
        <v>3620</v>
      </c>
      <c r="C536" s="26"/>
      <c r="D536" s="27" t="s">
        <v>3621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1727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1726</v>
      </c>
      <c r="B538" s="51">
        <v>199.9</v>
      </c>
      <c r="C538" s="52"/>
      <c r="D538" s="2" t="s">
        <v>1725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1725</v>
      </c>
      <c r="AA538">
        <v>532</v>
      </c>
    </row>
    <row r="539" spans="1:27" x14ac:dyDescent="0.25">
      <c r="A539" s="97" t="s">
        <v>1730</v>
      </c>
      <c r="B539" s="51">
        <v>19.8</v>
      </c>
      <c r="C539" s="52"/>
      <c r="D539" s="75" t="s">
        <v>1728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1728</v>
      </c>
      <c r="AA539">
        <v>533</v>
      </c>
    </row>
    <row r="540" spans="1:27" x14ac:dyDescent="0.25">
      <c r="A540" s="97" t="s">
        <v>1732</v>
      </c>
      <c r="B540" s="51">
        <v>3.5500000000000003</v>
      </c>
      <c r="C540" s="52"/>
      <c r="D540" s="2" t="s">
        <v>1731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1731</v>
      </c>
      <c r="AA540">
        <v>534</v>
      </c>
    </row>
    <row r="541" spans="1:27" x14ac:dyDescent="0.25">
      <c r="A541" s="96" t="s">
        <v>3741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1736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1735</v>
      </c>
      <c r="B544" s="51">
        <v>41</v>
      </c>
      <c r="C544" s="52"/>
      <c r="D544" s="2" t="s">
        <v>1733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1733</v>
      </c>
      <c r="AA544">
        <v>538</v>
      </c>
    </row>
    <row r="545" spans="1:27" x14ac:dyDescent="0.25">
      <c r="A545" s="97" t="s">
        <v>1739</v>
      </c>
      <c r="B545" s="51">
        <v>10.050000000000001</v>
      </c>
      <c r="C545" s="52"/>
      <c r="D545" s="75" t="s">
        <v>1737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1737</v>
      </c>
      <c r="AA545">
        <v>539</v>
      </c>
    </row>
    <row r="546" spans="1:27" ht="18" x14ac:dyDescent="0.25">
      <c r="A546" s="97" t="s">
        <v>1741</v>
      </c>
      <c r="B546" s="51">
        <v>70.45</v>
      </c>
      <c r="C546" s="52"/>
      <c r="D546" s="2" t="s">
        <v>1740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1740</v>
      </c>
      <c r="AA546">
        <v>540</v>
      </c>
    </row>
    <row r="547" spans="1:27" ht="18" x14ac:dyDescent="0.25">
      <c r="A547" s="50" t="s">
        <v>1743</v>
      </c>
      <c r="B547" s="51">
        <v>94.550000000000011</v>
      </c>
      <c r="C547" s="52"/>
      <c r="D547" s="2" t="s">
        <v>1742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1742</v>
      </c>
      <c r="AA547">
        <v>541</v>
      </c>
    </row>
    <row r="548" spans="1:27" x14ac:dyDescent="0.25">
      <c r="A548" s="97" t="s">
        <v>1746</v>
      </c>
      <c r="B548" s="51">
        <v>26.5</v>
      </c>
      <c r="C548" s="52"/>
      <c r="D548" s="2" t="s">
        <v>1744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1744</v>
      </c>
      <c r="AA548">
        <v>542</v>
      </c>
    </row>
    <row r="549" spans="1:27" x14ac:dyDescent="0.25">
      <c r="A549" s="97" t="s">
        <v>1861</v>
      </c>
      <c r="B549" s="51">
        <v>18.600000000000001</v>
      </c>
      <c r="C549" s="52"/>
      <c r="D549" s="75" t="s">
        <v>1860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1860</v>
      </c>
      <c r="AA549">
        <v>543</v>
      </c>
    </row>
    <row r="550" spans="1:27" x14ac:dyDescent="0.25">
      <c r="A550" s="1" t="s">
        <v>1748</v>
      </c>
      <c r="B550" s="51">
        <v>19.8</v>
      </c>
      <c r="C550" s="52"/>
      <c r="D550" s="2" t="s">
        <v>1747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1747</v>
      </c>
      <c r="AA550">
        <v>544</v>
      </c>
    </row>
    <row r="551" spans="1:27" x14ac:dyDescent="0.25">
      <c r="A551" s="96" t="s">
        <v>3742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1059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1065</v>
      </c>
      <c r="B554" s="51">
        <v>20.650000000000002</v>
      </c>
      <c r="C554" s="122"/>
      <c r="D554" s="123" t="s">
        <v>1064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1064</v>
      </c>
      <c r="AA554">
        <v>548</v>
      </c>
    </row>
    <row r="555" spans="1:27" x14ac:dyDescent="0.25">
      <c r="A555" s="121" t="s">
        <v>1058</v>
      </c>
      <c r="B555" s="51">
        <v>26.5</v>
      </c>
      <c r="C555" s="122"/>
      <c r="D555" s="123" t="s">
        <v>1057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1057</v>
      </c>
      <c r="AA555">
        <v>549</v>
      </c>
    </row>
    <row r="556" spans="1:27" x14ac:dyDescent="0.25">
      <c r="A556" s="132" t="s">
        <v>3743</v>
      </c>
      <c r="B556" s="51">
        <v>80.800000000000011</v>
      </c>
      <c r="C556" s="122"/>
      <c r="D556" s="123" t="s">
        <v>1060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1060</v>
      </c>
      <c r="AA556">
        <v>550</v>
      </c>
    </row>
    <row r="557" spans="1:27" x14ac:dyDescent="0.25">
      <c r="A557" s="132" t="s">
        <v>3744</v>
      </c>
      <c r="B557" s="51">
        <v>107.35000000000001</v>
      </c>
      <c r="C557" s="122"/>
      <c r="D557" s="123" t="s">
        <v>1062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1062</v>
      </c>
      <c r="AA557">
        <v>551</v>
      </c>
    </row>
    <row r="558" spans="1:27" x14ac:dyDescent="0.25">
      <c r="A558" s="114" t="s">
        <v>3745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3746</v>
      </c>
      <c r="B560" s="25" t="s">
        <v>3620</v>
      </c>
      <c r="C560" s="26"/>
      <c r="D560" s="27" t="s">
        <v>3621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3747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1198</v>
      </c>
      <c r="B562" s="51">
        <v>57.300000000000004</v>
      </c>
      <c r="C562" s="135"/>
      <c r="D562" s="2" t="s">
        <v>1196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1196</v>
      </c>
      <c r="AA562">
        <v>556</v>
      </c>
    </row>
    <row r="563" spans="1:27" x14ac:dyDescent="0.25">
      <c r="A563" s="130" t="s">
        <v>1200</v>
      </c>
      <c r="B563" s="51">
        <v>20.650000000000002</v>
      </c>
      <c r="C563" s="135"/>
      <c r="D563" s="75" t="s">
        <v>1199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1199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3748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1203</v>
      </c>
      <c r="B566" s="51">
        <v>77.850000000000009</v>
      </c>
      <c r="C566" s="135"/>
      <c r="D566" s="2" t="s">
        <v>1201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1201</v>
      </c>
      <c r="AA566">
        <v>560</v>
      </c>
    </row>
    <row r="567" spans="1:27" x14ac:dyDescent="0.25">
      <c r="A567" s="130" t="s">
        <v>1206</v>
      </c>
      <c r="B567" s="51">
        <v>67.5</v>
      </c>
      <c r="C567" s="135"/>
      <c r="D567" s="2" t="s">
        <v>1204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1204</v>
      </c>
      <c r="AA567">
        <v>561</v>
      </c>
    </row>
    <row r="568" spans="1:27" ht="18" x14ac:dyDescent="0.25">
      <c r="A568" s="130" t="s">
        <v>1209</v>
      </c>
      <c r="B568" s="51">
        <v>70.45</v>
      </c>
      <c r="C568" s="135"/>
      <c r="D568" s="2" t="s">
        <v>1207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1207</v>
      </c>
      <c r="AA568">
        <v>562</v>
      </c>
    </row>
    <row r="569" spans="1:27" x14ac:dyDescent="0.25">
      <c r="A569" s="130" t="s">
        <v>1212</v>
      </c>
      <c r="B569" s="51">
        <v>9.8500000000000014</v>
      </c>
      <c r="C569" s="52"/>
      <c r="D569" s="75" t="s">
        <v>1210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1210</v>
      </c>
      <c r="AA569">
        <v>563</v>
      </c>
    </row>
    <row r="570" spans="1:27" x14ac:dyDescent="0.25">
      <c r="A570" s="132" t="s">
        <v>521</v>
      </c>
      <c r="B570" s="51">
        <v>35.700000000000003</v>
      </c>
      <c r="C570" s="122"/>
      <c r="D570" s="138" t="s">
        <v>520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520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3749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1214</v>
      </c>
      <c r="B573" s="51">
        <v>67.5</v>
      </c>
      <c r="C573" s="135"/>
      <c r="D573" s="2" t="s">
        <v>1213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1213</v>
      </c>
      <c r="AA573">
        <v>567</v>
      </c>
    </row>
    <row r="574" spans="1:27" x14ac:dyDescent="0.25">
      <c r="A574" s="132" t="s">
        <v>1212</v>
      </c>
      <c r="B574" s="51">
        <v>9.8500000000000014</v>
      </c>
      <c r="C574" s="122"/>
      <c r="D574" s="138" t="s">
        <v>1210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3750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1210</v>
      </c>
      <c r="AA574">
        <v>568</v>
      </c>
    </row>
    <row r="575" spans="1:27" x14ac:dyDescent="0.25">
      <c r="A575" s="130" t="s">
        <v>1217</v>
      </c>
      <c r="B575" s="51">
        <v>43.95</v>
      </c>
      <c r="C575" s="139"/>
      <c r="D575" s="2" t="s">
        <v>1215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1215</v>
      </c>
      <c r="AA575">
        <v>569</v>
      </c>
    </row>
    <row r="576" spans="1:27" x14ac:dyDescent="0.25">
      <c r="A576" s="121" t="s">
        <v>523</v>
      </c>
      <c r="B576" s="51">
        <v>55.45</v>
      </c>
      <c r="C576" s="141"/>
      <c r="D576" s="123" t="s">
        <v>522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522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1220</v>
      </c>
      <c r="B579" s="51">
        <v>54.300000000000004</v>
      </c>
      <c r="C579" s="139"/>
      <c r="D579" s="2" t="s">
        <v>1218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1218</v>
      </c>
      <c r="AA579">
        <v>573</v>
      </c>
    </row>
    <row r="580" spans="1:27" x14ac:dyDescent="0.25">
      <c r="A580" s="114" t="s">
        <v>3752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1223</v>
      </c>
      <c r="B583" s="51">
        <v>61.1</v>
      </c>
      <c r="C583" s="139"/>
      <c r="D583" s="2" t="s">
        <v>1221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1221</v>
      </c>
      <c r="AA583">
        <v>577</v>
      </c>
    </row>
    <row r="584" spans="1:27" x14ac:dyDescent="0.25">
      <c r="A584" s="1" t="s">
        <v>1226</v>
      </c>
      <c r="B584" s="51">
        <v>43.050000000000004</v>
      </c>
      <c r="C584" s="52"/>
      <c r="D584" s="2" t="s">
        <v>1224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1224</v>
      </c>
      <c r="AA584">
        <v>578</v>
      </c>
    </row>
    <row r="585" spans="1:27" x14ac:dyDescent="0.25">
      <c r="A585" s="1" t="s">
        <v>1229</v>
      </c>
      <c r="B585" s="51">
        <v>46</v>
      </c>
      <c r="C585" s="139"/>
      <c r="D585" s="2" t="s">
        <v>1227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1227</v>
      </c>
      <c r="AA585">
        <v>579</v>
      </c>
    </row>
    <row r="586" spans="1:27" x14ac:dyDescent="0.25">
      <c r="A586" s="1" t="s">
        <v>1232</v>
      </c>
      <c r="B586" s="51">
        <v>61.35</v>
      </c>
      <c r="C586" s="139"/>
      <c r="D586" s="2" t="s">
        <v>1230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1230</v>
      </c>
      <c r="AA586">
        <v>580</v>
      </c>
    </row>
    <row r="587" spans="1:27" x14ac:dyDescent="0.25">
      <c r="A587" s="1" t="s">
        <v>643</v>
      </c>
      <c r="B587" s="51">
        <v>9.8500000000000014</v>
      </c>
      <c r="C587" s="139"/>
      <c r="D587" s="2" t="s">
        <v>642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642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1235</v>
      </c>
      <c r="B590" s="51">
        <v>48.95</v>
      </c>
      <c r="C590" s="139"/>
      <c r="D590" s="69" t="s">
        <v>1233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1233</v>
      </c>
      <c r="AA590">
        <v>584</v>
      </c>
    </row>
    <row r="591" spans="1:27" x14ac:dyDescent="0.25">
      <c r="A591" s="50" t="s">
        <v>1238</v>
      </c>
      <c r="B591" s="51">
        <v>56.050000000000004</v>
      </c>
      <c r="C591" s="52"/>
      <c r="D591" s="2" t="s">
        <v>1236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1236</v>
      </c>
      <c r="AA591">
        <v>585</v>
      </c>
    </row>
    <row r="592" spans="1:27" x14ac:dyDescent="0.25">
      <c r="A592" s="50" t="s">
        <v>1241</v>
      </c>
      <c r="B592" s="51">
        <v>65.350000000000009</v>
      </c>
      <c r="C592" s="52"/>
      <c r="D592" s="2" t="s">
        <v>1239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1239</v>
      </c>
      <c r="AA592">
        <v>586</v>
      </c>
    </row>
    <row r="593" spans="1:27" x14ac:dyDescent="0.25">
      <c r="A593" s="50" t="s">
        <v>1244</v>
      </c>
      <c r="B593" s="51">
        <v>35.700000000000003</v>
      </c>
      <c r="C593" s="52"/>
      <c r="D593" s="2" t="s">
        <v>1242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1242</v>
      </c>
      <c r="AA593">
        <v>587</v>
      </c>
    </row>
    <row r="594" spans="1:27" x14ac:dyDescent="0.25">
      <c r="A594" s="50" t="s">
        <v>1247</v>
      </c>
      <c r="B594" s="51">
        <v>68.400000000000006</v>
      </c>
      <c r="C594" s="52"/>
      <c r="D594" s="2" t="s">
        <v>1245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1245</v>
      </c>
      <c r="AA594">
        <v>588</v>
      </c>
    </row>
    <row r="595" spans="1:27" x14ac:dyDescent="0.25">
      <c r="A595" s="130" t="s">
        <v>1249</v>
      </c>
      <c r="B595" s="51">
        <v>68.150000000000006</v>
      </c>
      <c r="C595" s="139"/>
      <c r="D595" s="2" t="s">
        <v>1248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1248</v>
      </c>
      <c r="AA595">
        <v>589</v>
      </c>
    </row>
    <row r="596" spans="1:27" x14ac:dyDescent="0.25">
      <c r="A596" s="132" t="s">
        <v>518</v>
      </c>
      <c r="B596" s="51">
        <v>56.050000000000004</v>
      </c>
      <c r="C596" s="144"/>
      <c r="D596" s="123" t="s">
        <v>517</v>
      </c>
      <c r="E596" s="134"/>
      <c r="F596" s="125"/>
      <c r="G596" s="126"/>
      <c r="H596" s="127"/>
      <c r="I596" s="125"/>
      <c r="J596" s="133"/>
      <c r="K596" s="125"/>
      <c r="L596" s="111" t="s">
        <v>3755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517</v>
      </c>
      <c r="AA596">
        <v>590</v>
      </c>
    </row>
    <row r="597" spans="1:27" x14ac:dyDescent="0.25">
      <c r="A597" s="114" t="s">
        <v>3756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3757</v>
      </c>
      <c r="B599" s="25" t="s">
        <v>3620</v>
      </c>
      <c r="C599" s="26"/>
      <c r="D599" s="27" t="s">
        <v>3621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3758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1335</v>
      </c>
      <c r="B601" s="51">
        <v>172.20000000000002</v>
      </c>
      <c r="C601" s="52"/>
      <c r="D601" s="2" t="s">
        <v>1334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1334</v>
      </c>
      <c r="AA601">
        <v>595</v>
      </c>
    </row>
    <row r="602" spans="1:27" ht="18" x14ac:dyDescent="0.25">
      <c r="A602" s="50" t="s">
        <v>1338</v>
      </c>
      <c r="B602" s="51">
        <v>68.7</v>
      </c>
      <c r="C602" s="52"/>
      <c r="D602" s="2" t="s">
        <v>1337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1337</v>
      </c>
      <c r="AA602">
        <v>596</v>
      </c>
    </row>
    <row r="603" spans="1:27" ht="18" x14ac:dyDescent="0.25">
      <c r="A603" s="50" t="s">
        <v>1341</v>
      </c>
      <c r="B603" s="51">
        <v>68.7</v>
      </c>
      <c r="C603" s="52"/>
      <c r="D603" s="2" t="s">
        <v>1339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1339</v>
      </c>
      <c r="AA603">
        <v>597</v>
      </c>
    </row>
    <row r="604" spans="1:27" x14ac:dyDescent="0.25">
      <c r="A604" s="50" t="s">
        <v>1343</v>
      </c>
      <c r="B604" s="51">
        <v>62.25</v>
      </c>
      <c r="C604" s="52"/>
      <c r="D604" s="2" t="s">
        <v>1342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1342</v>
      </c>
      <c r="AA604">
        <v>598</v>
      </c>
    </row>
    <row r="605" spans="1:27" x14ac:dyDescent="0.25">
      <c r="A605" s="50" t="s">
        <v>1345</v>
      </c>
      <c r="B605" s="51">
        <v>62.25</v>
      </c>
      <c r="C605" s="52"/>
      <c r="D605" s="2" t="s">
        <v>1344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1344</v>
      </c>
      <c r="AA605">
        <v>599</v>
      </c>
    </row>
    <row r="606" spans="1:27" x14ac:dyDescent="0.25">
      <c r="A606" s="1" t="s">
        <v>1347</v>
      </c>
      <c r="B606" s="51">
        <v>70.45</v>
      </c>
      <c r="C606" s="52"/>
      <c r="D606" s="2" t="s">
        <v>1346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1346</v>
      </c>
      <c r="AA606">
        <v>600</v>
      </c>
    </row>
    <row r="607" spans="1:27" x14ac:dyDescent="0.25">
      <c r="A607" s="1" t="s">
        <v>1333</v>
      </c>
      <c r="B607" s="51">
        <v>95.2</v>
      </c>
      <c r="C607" s="52"/>
      <c r="D607" s="2" t="s">
        <v>1331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1331</v>
      </c>
      <c r="AA607">
        <v>601</v>
      </c>
    </row>
    <row r="608" spans="1:27" x14ac:dyDescent="0.25">
      <c r="A608" s="1" t="s">
        <v>1364</v>
      </c>
      <c r="B608" s="51">
        <v>8.5500000000000007</v>
      </c>
      <c r="C608" s="52"/>
      <c r="D608" s="75" t="s">
        <v>1362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1362</v>
      </c>
      <c r="AA608">
        <v>602</v>
      </c>
    </row>
    <row r="609" spans="1:27" x14ac:dyDescent="0.25">
      <c r="A609" s="1" t="s">
        <v>1368</v>
      </c>
      <c r="B609" s="51">
        <v>10.050000000000001</v>
      </c>
      <c r="C609" s="52"/>
      <c r="D609" s="75" t="s">
        <v>1366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1366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3759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1371</v>
      </c>
      <c r="B612" s="51">
        <v>107.35000000000001</v>
      </c>
      <c r="C612" s="52"/>
      <c r="D612" s="2" t="s">
        <v>1369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1369</v>
      </c>
      <c r="AA612">
        <v>606</v>
      </c>
    </row>
    <row r="613" spans="1:27" x14ac:dyDescent="0.25">
      <c r="A613" s="1" t="s">
        <v>1374</v>
      </c>
      <c r="B613" s="51">
        <v>14.450000000000001</v>
      </c>
      <c r="C613" s="52"/>
      <c r="D613" s="75" t="s">
        <v>1372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1372</v>
      </c>
      <c r="AA613">
        <v>607</v>
      </c>
    </row>
    <row r="614" spans="1:27" x14ac:dyDescent="0.25">
      <c r="A614" s="24" t="s">
        <v>3760</v>
      </c>
      <c r="B614" s="25" t="s">
        <v>3620</v>
      </c>
      <c r="C614" s="26"/>
      <c r="D614" s="27" t="s">
        <v>3621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1147</v>
      </c>
      <c r="B616" s="51">
        <v>46.35</v>
      </c>
      <c r="C616" s="122"/>
      <c r="D616" s="123" t="s">
        <v>1146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3762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1146</v>
      </c>
      <c r="AA616">
        <v>610</v>
      </c>
    </row>
    <row r="617" spans="1:27" x14ac:dyDescent="0.25">
      <c r="A617" s="145" t="s">
        <v>1150</v>
      </c>
      <c r="B617" s="51">
        <v>51</v>
      </c>
      <c r="C617" s="122"/>
      <c r="D617" s="123" t="s">
        <v>1148</v>
      </c>
      <c r="E617" s="134"/>
      <c r="F617" s="125"/>
      <c r="G617" s="126"/>
      <c r="H617" s="127"/>
      <c r="I617" s="125"/>
      <c r="J617" s="133"/>
      <c r="K617" s="125"/>
      <c r="L617" s="146" t="s">
        <v>3763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1148</v>
      </c>
      <c r="AA617">
        <v>611</v>
      </c>
    </row>
    <row r="618" spans="1:27" x14ac:dyDescent="0.25">
      <c r="A618" s="145" t="s">
        <v>1167</v>
      </c>
      <c r="B618" s="51">
        <v>63.7</v>
      </c>
      <c r="C618" s="122"/>
      <c r="D618" s="123" t="s">
        <v>1165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3764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1165</v>
      </c>
      <c r="AA618">
        <v>612</v>
      </c>
    </row>
    <row r="619" spans="1:27" x14ac:dyDescent="0.25">
      <c r="A619" s="66" t="s">
        <v>1349</v>
      </c>
      <c r="B619" s="51">
        <v>68.7</v>
      </c>
      <c r="C619" s="52"/>
      <c r="D619" s="2" t="s">
        <v>1348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1348</v>
      </c>
      <c r="AA619">
        <v>613</v>
      </c>
    </row>
    <row r="620" spans="1:27" x14ac:dyDescent="0.25">
      <c r="A620" s="66" t="s">
        <v>1351</v>
      </c>
      <c r="B620" s="51">
        <v>78.850000000000009</v>
      </c>
      <c r="C620" s="52"/>
      <c r="D620" s="148" t="s">
        <v>1350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1350</v>
      </c>
      <c r="AA620">
        <v>614</v>
      </c>
    </row>
    <row r="621" spans="1:27" x14ac:dyDescent="0.25">
      <c r="A621" s="149" t="s">
        <v>3765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1354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1353</v>
      </c>
      <c r="B624" s="51">
        <v>53.050000000000004</v>
      </c>
      <c r="C624" s="52"/>
      <c r="D624" s="2" t="s">
        <v>1352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1352</v>
      </c>
      <c r="AA624">
        <v>618</v>
      </c>
    </row>
    <row r="625" spans="1:27" x14ac:dyDescent="0.25">
      <c r="A625" s="1" t="s">
        <v>1357</v>
      </c>
      <c r="B625" s="51">
        <v>98.15</v>
      </c>
      <c r="C625" s="52"/>
      <c r="D625" s="2" t="s">
        <v>1355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1355</v>
      </c>
      <c r="AA625">
        <v>619</v>
      </c>
    </row>
    <row r="626" spans="1:27" x14ac:dyDescent="0.25">
      <c r="A626" s="1" t="s">
        <v>1359</v>
      </c>
      <c r="B626" s="51">
        <v>18.600000000000001</v>
      </c>
      <c r="C626" s="52"/>
      <c r="D626" s="2" t="s">
        <v>1358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1358</v>
      </c>
      <c r="AA626">
        <v>620</v>
      </c>
    </row>
    <row r="627" spans="1:27" x14ac:dyDescent="0.25">
      <c r="A627" s="1" t="s">
        <v>1361</v>
      </c>
      <c r="B627" s="51">
        <v>21.25</v>
      </c>
      <c r="C627" s="52"/>
      <c r="D627" s="2" t="s">
        <v>1360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1360</v>
      </c>
      <c r="AA627">
        <v>621</v>
      </c>
    </row>
    <row r="628" spans="1:27" x14ac:dyDescent="0.25">
      <c r="A628" s="24" t="s">
        <v>1657</v>
      </c>
      <c r="B628" s="25" t="s">
        <v>3620</v>
      </c>
      <c r="C628" s="26"/>
      <c r="D628" s="27" t="s">
        <v>3621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1677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1676</v>
      </c>
      <c r="B630" s="51">
        <v>22.400000000000002</v>
      </c>
      <c r="C630" s="52"/>
      <c r="D630" s="2" t="s">
        <v>1674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1674</v>
      </c>
      <c r="AA630">
        <v>624</v>
      </c>
    </row>
    <row r="631" spans="1:27" x14ac:dyDescent="0.25">
      <c r="A631" s="1" t="s">
        <v>1680</v>
      </c>
      <c r="B631" s="51">
        <v>69.3</v>
      </c>
      <c r="C631" s="52"/>
      <c r="D631" s="2" t="s">
        <v>1678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1678</v>
      </c>
      <c r="AA631">
        <v>625</v>
      </c>
    </row>
    <row r="632" spans="1:27" x14ac:dyDescent="0.25">
      <c r="A632" s="1" t="s">
        <v>1683</v>
      </c>
      <c r="B632" s="51">
        <v>27.75</v>
      </c>
      <c r="C632" s="52"/>
      <c r="D632" s="2" t="s">
        <v>1681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1681</v>
      </c>
      <c r="AA632">
        <v>626</v>
      </c>
    </row>
    <row r="633" spans="1:27" x14ac:dyDescent="0.25">
      <c r="A633" s="1" t="s">
        <v>1686</v>
      </c>
      <c r="B633" s="51">
        <v>22.75</v>
      </c>
      <c r="C633" s="52"/>
      <c r="D633" s="2" t="s">
        <v>1684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1684</v>
      </c>
      <c r="AA633">
        <v>627</v>
      </c>
    </row>
    <row r="634" spans="1:27" ht="18" x14ac:dyDescent="0.25">
      <c r="A634" s="1" t="s">
        <v>1689</v>
      </c>
      <c r="B634" s="51">
        <v>24</v>
      </c>
      <c r="C634" s="52"/>
      <c r="D634" s="2" t="s">
        <v>1687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1687</v>
      </c>
      <c r="AA634">
        <v>628</v>
      </c>
    </row>
    <row r="635" spans="1:27" x14ac:dyDescent="0.25">
      <c r="A635" s="1" t="s">
        <v>1692</v>
      </c>
      <c r="B635" s="51">
        <v>43.95</v>
      </c>
      <c r="C635" s="52"/>
      <c r="D635" s="2" t="s">
        <v>1690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1690</v>
      </c>
      <c r="AA635">
        <v>629</v>
      </c>
    </row>
    <row r="636" spans="1:27" x14ac:dyDescent="0.25">
      <c r="A636" s="1" t="s">
        <v>1695</v>
      </c>
      <c r="B636" s="51">
        <v>35.700000000000003</v>
      </c>
      <c r="C636" s="52"/>
      <c r="D636" s="2" t="s">
        <v>1693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1693</v>
      </c>
      <c r="AA636">
        <v>630</v>
      </c>
    </row>
    <row r="637" spans="1:27" x14ac:dyDescent="0.25">
      <c r="A637" s="1" t="s">
        <v>1697</v>
      </c>
      <c r="B637" s="51">
        <v>45.050000000000004</v>
      </c>
      <c r="C637" s="52"/>
      <c r="D637" s="69" t="s">
        <v>1696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1696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1701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1700</v>
      </c>
      <c r="B640" s="51">
        <v>14.450000000000001</v>
      </c>
      <c r="C640" s="52"/>
      <c r="D640" s="2" t="s">
        <v>1698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1698</v>
      </c>
      <c r="AA640">
        <v>634</v>
      </c>
    </row>
    <row r="641" spans="1:27" x14ac:dyDescent="0.25">
      <c r="A641" s="1" t="s">
        <v>1704</v>
      </c>
      <c r="B641" s="51">
        <v>23.900000000000002</v>
      </c>
      <c r="C641" s="52"/>
      <c r="D641" s="2" t="s">
        <v>1702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1702</v>
      </c>
      <c r="AA641">
        <v>635</v>
      </c>
    </row>
    <row r="642" spans="1:27" x14ac:dyDescent="0.25">
      <c r="A642" s="1" t="s">
        <v>1706</v>
      </c>
      <c r="B642" s="51">
        <v>18.900000000000002</v>
      </c>
      <c r="C642" s="52"/>
      <c r="D642" s="2" t="s">
        <v>1705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1705</v>
      </c>
      <c r="AA642">
        <v>636</v>
      </c>
    </row>
    <row r="643" spans="1:27" x14ac:dyDescent="0.25">
      <c r="A643" s="1" t="s">
        <v>1709</v>
      </c>
      <c r="B643" s="51">
        <v>57.2</v>
      </c>
      <c r="C643" s="52"/>
      <c r="D643" s="2" t="s">
        <v>1707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1707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1712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1711</v>
      </c>
      <c r="B646" s="51">
        <v>28.400000000000002</v>
      </c>
      <c r="C646" s="52"/>
      <c r="D646" s="2" t="s">
        <v>1710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1710</v>
      </c>
      <c r="AA646">
        <v>640</v>
      </c>
    </row>
    <row r="647" spans="1:27" ht="18" x14ac:dyDescent="0.25">
      <c r="A647" s="66" t="s">
        <v>1715</v>
      </c>
      <c r="B647" s="51">
        <v>23.900000000000002</v>
      </c>
      <c r="C647" s="52"/>
      <c r="D647" s="2" t="s">
        <v>1713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1713</v>
      </c>
      <c r="AA647">
        <v>641</v>
      </c>
    </row>
    <row r="648" spans="1:27" ht="18" x14ac:dyDescent="0.25">
      <c r="A648" s="96" t="s">
        <v>3766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1718</v>
      </c>
      <c r="B649" s="51">
        <v>7.4</v>
      </c>
      <c r="C649" s="52"/>
      <c r="D649" s="2" t="s">
        <v>1716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1634</v>
      </c>
      <c r="Z649" s="2" t="s">
        <v>1716</v>
      </c>
      <c r="AA649">
        <v>643</v>
      </c>
    </row>
    <row r="650" spans="1:27" x14ac:dyDescent="0.25">
      <c r="A650" s="96" t="s">
        <v>3767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3768</v>
      </c>
      <c r="B651" s="25" t="s">
        <v>3620</v>
      </c>
      <c r="C651" s="26"/>
      <c r="D651" s="27" t="s">
        <v>3621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3769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1983</v>
      </c>
      <c r="B653" s="51">
        <v>64.850000000000009</v>
      </c>
      <c r="C653" s="52"/>
      <c r="D653" s="2" t="s">
        <v>1981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1981</v>
      </c>
      <c r="AA653">
        <v>647</v>
      </c>
    </row>
    <row r="654" spans="1:27" ht="18" x14ac:dyDescent="0.25">
      <c r="A654" s="1" t="s">
        <v>1986</v>
      </c>
      <c r="B654" s="51">
        <v>64.850000000000009</v>
      </c>
      <c r="C654" s="52"/>
      <c r="D654" s="2" t="s">
        <v>1984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1984</v>
      </c>
      <c r="AA654">
        <v>648</v>
      </c>
    </row>
    <row r="655" spans="1:27" x14ac:dyDescent="0.25">
      <c r="A655" s="101" t="s">
        <v>3770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1989</v>
      </c>
      <c r="B656" s="51">
        <v>74</v>
      </c>
      <c r="C656" s="52"/>
      <c r="D656" s="2" t="s">
        <v>1987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1987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1992</v>
      </c>
      <c r="B659" s="51">
        <v>62.25</v>
      </c>
      <c r="C659" s="52"/>
      <c r="D659" s="2" t="s">
        <v>1990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1990</v>
      </c>
      <c r="AA659">
        <v>653</v>
      </c>
    </row>
    <row r="660" spans="1:27" x14ac:dyDescent="0.25">
      <c r="A660" s="66" t="s">
        <v>1995</v>
      </c>
      <c r="B660" s="51">
        <v>136.20000000000002</v>
      </c>
      <c r="C660" s="52"/>
      <c r="D660" s="2" t="s">
        <v>1993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1998</v>
      </c>
      <c r="B663" s="51">
        <v>143.25</v>
      </c>
      <c r="C663" s="52"/>
      <c r="D663" s="2" t="s">
        <v>1996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2001</v>
      </c>
      <c r="B666" s="51">
        <v>17.400000000000002</v>
      </c>
      <c r="C666" s="52"/>
      <c r="D666" s="75" t="s">
        <v>1999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1999</v>
      </c>
      <c r="AA666">
        <v>660</v>
      </c>
    </row>
    <row r="667" spans="1:27" x14ac:dyDescent="0.25">
      <c r="A667" s="96" t="s">
        <v>3774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3775</v>
      </c>
      <c r="B668" s="25" t="s">
        <v>3620</v>
      </c>
      <c r="C668" s="26"/>
      <c r="D668" s="27" t="s">
        <v>3621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1875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1901</v>
      </c>
      <c r="B670" s="51">
        <v>70.45</v>
      </c>
      <c r="C670" s="52"/>
      <c r="D670" s="2" t="s">
        <v>1900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1900</v>
      </c>
      <c r="AA670">
        <v>664</v>
      </c>
    </row>
    <row r="671" spans="1:27" x14ac:dyDescent="0.25">
      <c r="A671" s="151" t="s">
        <v>1903</v>
      </c>
      <c r="B671" s="51">
        <v>141.5</v>
      </c>
      <c r="C671" s="52"/>
      <c r="D671" s="69" t="s">
        <v>1902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1902</v>
      </c>
      <c r="AA671">
        <v>665</v>
      </c>
    </row>
    <row r="672" spans="1:27" x14ac:dyDescent="0.25">
      <c r="A672" s="97" t="s">
        <v>1905</v>
      </c>
      <c r="B672" s="51">
        <v>117.95</v>
      </c>
      <c r="C672" s="52"/>
      <c r="D672" s="2" t="s">
        <v>1904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1904</v>
      </c>
      <c r="AA672">
        <v>666</v>
      </c>
    </row>
    <row r="673" spans="1:27" x14ac:dyDescent="0.25">
      <c r="A673" s="97" t="s">
        <v>1907</v>
      </c>
      <c r="B673" s="51">
        <v>210.8</v>
      </c>
      <c r="C673" s="52"/>
      <c r="D673" s="2" t="s">
        <v>1906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1906</v>
      </c>
      <c r="AA673">
        <v>667</v>
      </c>
    </row>
    <row r="674" spans="1:27" x14ac:dyDescent="0.25">
      <c r="A674" s="1" t="s">
        <v>1910</v>
      </c>
      <c r="B674" s="51">
        <v>262.35000000000002</v>
      </c>
      <c r="C674" s="52"/>
      <c r="D674" s="2" t="s">
        <v>1909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1909</v>
      </c>
      <c r="AA674">
        <v>668</v>
      </c>
    </row>
    <row r="675" spans="1:27" x14ac:dyDescent="0.25">
      <c r="A675" s="1" t="s">
        <v>1912</v>
      </c>
      <c r="B675" s="51">
        <v>294.2</v>
      </c>
      <c r="C675" s="52"/>
      <c r="D675" s="2" t="s">
        <v>1911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1911</v>
      </c>
      <c r="AA675">
        <v>669</v>
      </c>
    </row>
    <row r="676" spans="1:27" x14ac:dyDescent="0.25">
      <c r="A676" s="1" t="s">
        <v>1916</v>
      </c>
      <c r="B676" s="51">
        <v>312.45000000000005</v>
      </c>
      <c r="C676" s="52"/>
      <c r="D676" s="2" t="s">
        <v>1915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1915</v>
      </c>
      <c r="AA676">
        <v>670</v>
      </c>
    </row>
    <row r="677" spans="1:27" x14ac:dyDescent="0.25">
      <c r="A677" s="1" t="s">
        <v>1918</v>
      </c>
      <c r="B677" s="51">
        <v>447</v>
      </c>
      <c r="C677" s="52"/>
      <c r="D677" s="2" t="s">
        <v>1917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1917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3776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1921</v>
      </c>
      <c r="B680" s="51">
        <v>205.55</v>
      </c>
      <c r="C680" s="52"/>
      <c r="D680" s="2" t="s">
        <v>1919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1919</v>
      </c>
      <c r="AA680">
        <v>674</v>
      </c>
    </row>
    <row r="681" spans="1:27" x14ac:dyDescent="0.25">
      <c r="A681" s="1" t="s">
        <v>1924</v>
      </c>
      <c r="B681" s="51">
        <v>31.55</v>
      </c>
      <c r="C681" s="52"/>
      <c r="D681" s="2" t="s">
        <v>1922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1922</v>
      </c>
      <c r="AA681">
        <v>675</v>
      </c>
    </row>
    <row r="682" spans="1:27" x14ac:dyDescent="0.25">
      <c r="A682" s="1" t="s">
        <v>1926</v>
      </c>
      <c r="B682" s="51">
        <v>43.95</v>
      </c>
      <c r="C682" s="52"/>
      <c r="D682" s="2" t="s">
        <v>1925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1925</v>
      </c>
      <c r="AA682">
        <v>676</v>
      </c>
    </row>
    <row r="683" spans="1:27" x14ac:dyDescent="0.25">
      <c r="A683" s="96" t="s">
        <v>3777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1895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1928</v>
      </c>
      <c r="B686" s="51">
        <v>38.700000000000003</v>
      </c>
      <c r="C686" s="52"/>
      <c r="D686" s="2" t="s">
        <v>1927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1927</v>
      </c>
      <c r="AA686">
        <v>680</v>
      </c>
    </row>
    <row r="687" spans="1:27" ht="18" x14ac:dyDescent="0.25">
      <c r="A687" s="97" t="s">
        <v>1930</v>
      </c>
      <c r="B687" s="51">
        <v>14.450000000000001</v>
      </c>
      <c r="C687" s="52"/>
      <c r="D687" s="2" t="s">
        <v>1929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1929</v>
      </c>
      <c r="AA687">
        <v>681</v>
      </c>
    </row>
    <row r="688" spans="1:27" x14ac:dyDescent="0.25">
      <c r="A688" s="97" t="s">
        <v>1932</v>
      </c>
      <c r="B688" s="51">
        <v>14.450000000000001</v>
      </c>
      <c r="C688" s="52"/>
      <c r="D688" s="2" t="s">
        <v>1931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1931</v>
      </c>
      <c r="AA688">
        <v>682</v>
      </c>
    </row>
    <row r="689" spans="1:27" x14ac:dyDescent="0.25">
      <c r="A689" s="97" t="s">
        <v>1935</v>
      </c>
      <c r="B689" s="51">
        <v>27.75</v>
      </c>
      <c r="C689" s="52"/>
      <c r="D689" s="2" t="s">
        <v>1933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1933</v>
      </c>
      <c r="AA689">
        <v>683</v>
      </c>
    </row>
    <row r="690" spans="1:27" x14ac:dyDescent="0.25">
      <c r="A690" s="97" t="s">
        <v>1938</v>
      </c>
      <c r="B690" s="51">
        <v>54.300000000000004</v>
      </c>
      <c r="C690" s="52"/>
      <c r="D690" s="2" t="s">
        <v>1936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1936</v>
      </c>
      <c r="AA690">
        <v>684</v>
      </c>
    </row>
    <row r="691" spans="1:27" x14ac:dyDescent="0.25">
      <c r="A691" s="97" t="s">
        <v>1941</v>
      </c>
      <c r="B691" s="51">
        <v>66.350000000000009</v>
      </c>
      <c r="C691" s="52"/>
      <c r="D691" s="2" t="s">
        <v>1939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1939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3778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1944</v>
      </c>
      <c r="B694" s="51">
        <v>5.6000000000000005</v>
      </c>
      <c r="C694" s="52"/>
      <c r="D694" s="75" t="s">
        <v>1942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1942</v>
      </c>
      <c r="AA694">
        <v>688</v>
      </c>
    </row>
    <row r="695" spans="1:27" x14ac:dyDescent="0.25">
      <c r="A695" s="97" t="s">
        <v>1947</v>
      </c>
      <c r="B695" s="51">
        <v>14</v>
      </c>
      <c r="C695" s="52"/>
      <c r="D695" s="2" t="s">
        <v>1945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1945</v>
      </c>
      <c r="AA695">
        <v>689</v>
      </c>
    </row>
    <row r="696" spans="1:27" x14ac:dyDescent="0.25">
      <c r="A696" s="97" t="s">
        <v>1949</v>
      </c>
      <c r="B696" s="51">
        <v>5.3500000000000005</v>
      </c>
      <c r="C696" s="52"/>
      <c r="D696" s="75" t="s">
        <v>1948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1948</v>
      </c>
      <c r="AA696">
        <v>690</v>
      </c>
    </row>
    <row r="697" spans="1:27" x14ac:dyDescent="0.25">
      <c r="A697" s="97" t="s">
        <v>1952</v>
      </c>
      <c r="B697" s="51">
        <v>23.900000000000002</v>
      </c>
      <c r="C697" s="52"/>
      <c r="D697" s="75" t="s">
        <v>1950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1950</v>
      </c>
      <c r="AA697">
        <v>691</v>
      </c>
    </row>
    <row r="698" spans="1:27" x14ac:dyDescent="0.25">
      <c r="A698" s="97" t="s">
        <v>1955</v>
      </c>
      <c r="B698" s="51">
        <v>13.9</v>
      </c>
      <c r="C698" s="52"/>
      <c r="D698" s="75" t="s">
        <v>1953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1953</v>
      </c>
      <c r="AA698">
        <v>692</v>
      </c>
    </row>
    <row r="699" spans="1:27" x14ac:dyDescent="0.25">
      <c r="A699" s="97" t="s">
        <v>1957</v>
      </c>
      <c r="B699" s="51">
        <v>2.7</v>
      </c>
      <c r="C699" s="52"/>
      <c r="D699" s="69" t="s">
        <v>1956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1956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3779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1960</v>
      </c>
      <c r="B702" s="51">
        <v>14.450000000000001</v>
      </c>
      <c r="C702" s="52"/>
      <c r="D702" s="2" t="s">
        <v>1958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1958</v>
      </c>
      <c r="AA702">
        <v>696</v>
      </c>
    </row>
    <row r="703" spans="1:27" x14ac:dyDescent="0.25">
      <c r="A703" s="1" t="s">
        <v>1963</v>
      </c>
      <c r="B703" s="51">
        <v>33.050000000000004</v>
      </c>
      <c r="C703" s="52"/>
      <c r="D703" s="2" t="s">
        <v>1961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1961</v>
      </c>
      <c r="AA703">
        <v>697</v>
      </c>
    </row>
    <row r="704" spans="1:27" x14ac:dyDescent="0.25">
      <c r="A704" s="1" t="s">
        <v>1966</v>
      </c>
      <c r="B704" s="51">
        <v>33.050000000000004</v>
      </c>
      <c r="C704" s="52"/>
      <c r="D704" s="2" t="s">
        <v>1964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1964</v>
      </c>
      <c r="AA704">
        <v>698</v>
      </c>
    </row>
    <row r="705" spans="1:27" x14ac:dyDescent="0.25">
      <c r="A705" s="1" t="s">
        <v>1969</v>
      </c>
      <c r="B705" s="51">
        <v>35.700000000000003</v>
      </c>
      <c r="C705" s="52"/>
      <c r="D705" s="2" t="s">
        <v>1967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1967</v>
      </c>
      <c r="AA705">
        <v>699</v>
      </c>
    </row>
    <row r="706" spans="1:27" x14ac:dyDescent="0.25">
      <c r="A706" s="1" t="s">
        <v>1972</v>
      </c>
      <c r="B706" s="51">
        <v>33.050000000000004</v>
      </c>
      <c r="C706" s="52"/>
      <c r="D706" s="2" t="s">
        <v>1970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1970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463</v>
      </c>
      <c r="B709" s="51">
        <v>219.9</v>
      </c>
      <c r="C709" s="122"/>
      <c r="D709" s="123" t="s">
        <v>462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3781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462</v>
      </c>
      <c r="AA709">
        <v>703</v>
      </c>
    </row>
    <row r="710" spans="1:27" x14ac:dyDescent="0.25">
      <c r="A710" s="145" t="s">
        <v>3782</v>
      </c>
      <c r="B710" s="51">
        <v>90.25</v>
      </c>
      <c r="C710" s="122"/>
      <c r="D710" s="123" t="s">
        <v>472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3783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472</v>
      </c>
      <c r="AA710">
        <v>704</v>
      </c>
    </row>
    <row r="711" spans="1:27" x14ac:dyDescent="0.25">
      <c r="A711" t="s">
        <v>468</v>
      </c>
      <c r="B711" s="51">
        <v>312.90000000000003</v>
      </c>
      <c r="C711" s="122"/>
      <c r="D711" s="148" t="s">
        <v>467</v>
      </c>
      <c r="E711" s="124"/>
      <c r="F711" s="125"/>
      <c r="G711" s="126"/>
      <c r="H711" s="127"/>
      <c r="I711" s="125"/>
      <c r="J711" s="133"/>
      <c r="K711" s="125"/>
      <c r="L711" s="111" t="s">
        <v>3784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467</v>
      </c>
      <c r="AA711">
        <v>705</v>
      </c>
    </row>
    <row r="712" spans="1:27" x14ac:dyDescent="0.25">
      <c r="A712" s="24" t="s">
        <v>3785</v>
      </c>
      <c r="B712" s="25" t="s">
        <v>3620</v>
      </c>
      <c r="C712" s="26"/>
      <c r="D712" s="27" t="s">
        <v>3621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2291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2290</v>
      </c>
      <c r="B714" s="51">
        <v>75.5</v>
      </c>
      <c r="C714" s="52"/>
      <c r="D714" s="2" t="s">
        <v>2289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2289</v>
      </c>
      <c r="AA714">
        <v>708</v>
      </c>
    </row>
    <row r="715" spans="1:27" x14ac:dyDescent="0.25">
      <c r="A715" s="149" t="s">
        <v>3786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2294</v>
      </c>
      <c r="B717" s="51">
        <v>141.5</v>
      </c>
      <c r="C717" s="52"/>
      <c r="D717" s="69" t="s">
        <v>2292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2292</v>
      </c>
      <c r="AA717">
        <v>711</v>
      </c>
    </row>
    <row r="718" spans="1:27" x14ac:dyDescent="0.25">
      <c r="A718" s="97" t="s">
        <v>2297</v>
      </c>
      <c r="B718" s="51">
        <v>149.20000000000002</v>
      </c>
      <c r="C718" s="52"/>
      <c r="D718" s="2" t="s">
        <v>2295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2295</v>
      </c>
      <c r="AA718">
        <v>712</v>
      </c>
    </row>
    <row r="719" spans="1:27" x14ac:dyDescent="0.25">
      <c r="A719" s="97" t="s">
        <v>2300</v>
      </c>
      <c r="B719" s="51">
        <v>11.55</v>
      </c>
      <c r="C719" s="52"/>
      <c r="D719" s="75" t="s">
        <v>2298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2298</v>
      </c>
      <c r="AA719">
        <v>713</v>
      </c>
    </row>
    <row r="720" spans="1:27" x14ac:dyDescent="0.25">
      <c r="A720" s="97" t="s">
        <v>2303</v>
      </c>
      <c r="B720" s="51">
        <v>33.050000000000004</v>
      </c>
      <c r="C720" s="154"/>
      <c r="D720" s="75" t="s">
        <v>2301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2301</v>
      </c>
      <c r="AA720">
        <v>714</v>
      </c>
    </row>
    <row r="721" spans="1:27" x14ac:dyDescent="0.25">
      <c r="A721" s="97" t="s">
        <v>2306</v>
      </c>
      <c r="B721" s="51">
        <v>156.25</v>
      </c>
      <c r="C721" s="52"/>
      <c r="D721" s="2" t="s">
        <v>2304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2304</v>
      </c>
      <c r="AA721">
        <v>715</v>
      </c>
    </row>
    <row r="722" spans="1:27" x14ac:dyDescent="0.25">
      <c r="A722" s="149" t="s">
        <v>3787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3788</v>
      </c>
      <c r="B723" s="25" t="s">
        <v>3620</v>
      </c>
      <c r="C723" s="26"/>
      <c r="D723" s="27" t="s">
        <v>3621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2309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2308</v>
      </c>
      <c r="B725" s="51">
        <v>67.5</v>
      </c>
      <c r="C725" s="52"/>
      <c r="D725" s="2" t="s">
        <v>2307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2307</v>
      </c>
      <c r="AA725">
        <v>719</v>
      </c>
    </row>
    <row r="726" spans="1:27" x14ac:dyDescent="0.25">
      <c r="A726" s="97" t="s">
        <v>2312</v>
      </c>
      <c r="B726" s="51">
        <v>181.35000000000002</v>
      </c>
      <c r="C726" s="52"/>
      <c r="D726" s="2" t="s">
        <v>2310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2310</v>
      </c>
      <c r="AA726">
        <v>720</v>
      </c>
    </row>
    <row r="727" spans="1:27" x14ac:dyDescent="0.25">
      <c r="A727" s="97" t="s">
        <v>2314</v>
      </c>
      <c r="B727" s="51">
        <v>117.95</v>
      </c>
      <c r="C727" s="52"/>
      <c r="D727" s="2" t="s">
        <v>2313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2313</v>
      </c>
      <c r="AA727">
        <v>721</v>
      </c>
    </row>
    <row r="728" spans="1:27" x14ac:dyDescent="0.25">
      <c r="A728" s="149" t="s">
        <v>3789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493</v>
      </c>
      <c r="B731" s="51">
        <v>51.6</v>
      </c>
      <c r="C731" s="122"/>
      <c r="D731" s="123" t="s">
        <v>492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3791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492</v>
      </c>
      <c r="AA731">
        <v>725</v>
      </c>
    </row>
    <row r="732" spans="1:27" x14ac:dyDescent="0.25">
      <c r="A732" s="121" t="s">
        <v>573</v>
      </c>
      <c r="B732" s="51">
        <v>56.900000000000006</v>
      </c>
      <c r="C732" s="122"/>
      <c r="D732" s="123" t="s">
        <v>571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3792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571</v>
      </c>
      <c r="AA732">
        <v>726</v>
      </c>
    </row>
    <row r="733" spans="1:27" x14ac:dyDescent="0.25">
      <c r="A733" s="121" t="s">
        <v>3793</v>
      </c>
      <c r="B733" s="51">
        <v>25.700000000000003</v>
      </c>
      <c r="C733" s="122"/>
      <c r="D733" s="123" t="s">
        <v>575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3794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575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3695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499</v>
      </c>
      <c r="B736" s="51">
        <v>55.45</v>
      </c>
      <c r="C736" s="122"/>
      <c r="D736" s="123" t="s">
        <v>498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3795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498</v>
      </c>
      <c r="AA736">
        <v>730</v>
      </c>
    </row>
    <row r="737" spans="1:27" x14ac:dyDescent="0.25">
      <c r="A737" s="121" t="s">
        <v>503</v>
      </c>
      <c r="B737" s="51">
        <v>66.350000000000009</v>
      </c>
      <c r="C737" s="122"/>
      <c r="D737" s="123" t="s">
        <v>502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3796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502</v>
      </c>
      <c r="AA737">
        <v>731</v>
      </c>
    </row>
    <row r="738" spans="1:27" x14ac:dyDescent="0.25">
      <c r="A738" s="121" t="s">
        <v>506</v>
      </c>
      <c r="B738" s="51">
        <v>80.800000000000011</v>
      </c>
      <c r="C738" s="122"/>
      <c r="D738" s="123" t="s">
        <v>505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3797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505</v>
      </c>
      <c r="AA738">
        <v>732</v>
      </c>
    </row>
    <row r="739" spans="1:27" x14ac:dyDescent="0.25">
      <c r="A739" s="121" t="s">
        <v>3798</v>
      </c>
      <c r="B739" s="51">
        <v>353.20000000000005</v>
      </c>
      <c r="C739" s="122"/>
      <c r="D739" s="123" t="s">
        <v>507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3799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507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2317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2316</v>
      </c>
      <c r="B742" s="51">
        <v>150.05000000000001</v>
      </c>
      <c r="C742" s="52"/>
      <c r="D742" s="2" t="s">
        <v>2315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2315</v>
      </c>
      <c r="AA742">
        <v>736</v>
      </c>
    </row>
    <row r="743" spans="1:27" x14ac:dyDescent="0.25">
      <c r="A743" s="96" t="s">
        <v>3800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3801</v>
      </c>
      <c r="B744" s="25" t="s">
        <v>3620</v>
      </c>
      <c r="C744" s="26"/>
      <c r="D744" s="27" t="s">
        <v>3621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2335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2334</v>
      </c>
      <c r="B746" s="51">
        <v>77</v>
      </c>
      <c r="C746" s="52"/>
      <c r="D746" s="2" t="s">
        <v>2332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2332</v>
      </c>
      <c r="AA746">
        <v>740</v>
      </c>
    </row>
    <row r="747" spans="1:27" x14ac:dyDescent="0.25">
      <c r="A747" s="97" t="s">
        <v>2337</v>
      </c>
      <c r="B747" s="51">
        <v>72.850000000000009</v>
      </c>
      <c r="C747" s="52"/>
      <c r="D747" s="2" t="s">
        <v>2336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2336</v>
      </c>
      <c r="AA747">
        <v>741</v>
      </c>
    </row>
    <row r="748" spans="1:27" x14ac:dyDescent="0.25">
      <c r="A748" s="97" t="s">
        <v>2340</v>
      </c>
      <c r="B748" s="51">
        <v>31.900000000000002</v>
      </c>
      <c r="C748" s="52"/>
      <c r="D748" s="2" t="s">
        <v>2338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2338</v>
      </c>
      <c r="AA748">
        <v>742</v>
      </c>
    </row>
    <row r="749" spans="1:27" x14ac:dyDescent="0.25">
      <c r="A749" s="97" t="s">
        <v>2343</v>
      </c>
      <c r="B749" s="51">
        <v>214.65</v>
      </c>
      <c r="C749" s="52"/>
      <c r="D749" s="2" t="s">
        <v>2341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2341</v>
      </c>
      <c r="AA749">
        <v>743</v>
      </c>
    </row>
    <row r="750" spans="1:27" x14ac:dyDescent="0.25">
      <c r="A750" s="97" t="s">
        <v>2345</v>
      </c>
      <c r="B750" s="51">
        <v>78.150000000000006</v>
      </c>
      <c r="C750" s="52"/>
      <c r="D750" s="2" t="s">
        <v>2344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2344</v>
      </c>
      <c r="AA750">
        <v>744</v>
      </c>
    </row>
    <row r="751" spans="1:27" x14ac:dyDescent="0.25">
      <c r="A751" s="97" t="s">
        <v>2348</v>
      </c>
      <c r="B751" s="51">
        <v>113.5</v>
      </c>
      <c r="C751" s="52"/>
      <c r="D751" s="2" t="s">
        <v>2346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2346</v>
      </c>
      <c r="AA751">
        <v>745</v>
      </c>
    </row>
    <row r="752" spans="1:27" x14ac:dyDescent="0.25">
      <c r="A752" s="1" t="s">
        <v>2350</v>
      </c>
      <c r="B752" s="51">
        <v>33.35</v>
      </c>
      <c r="C752" s="52"/>
      <c r="D752" s="2" t="s">
        <v>2349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2349</v>
      </c>
      <c r="AA752">
        <v>746</v>
      </c>
    </row>
    <row r="753" spans="1:27" x14ac:dyDescent="0.25">
      <c r="A753" s="97" t="s">
        <v>2352</v>
      </c>
      <c r="B753" s="51">
        <v>116.2</v>
      </c>
      <c r="C753" s="52"/>
      <c r="D753" s="69" t="s">
        <v>2351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3802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2354</v>
      </c>
      <c r="B756" s="51">
        <v>25.35</v>
      </c>
      <c r="C756" s="52"/>
      <c r="D756" s="2" t="s">
        <v>2353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2353</v>
      </c>
      <c r="AA756">
        <v>750</v>
      </c>
    </row>
    <row r="757" spans="1:27" x14ac:dyDescent="0.25">
      <c r="A757" s="97" t="s">
        <v>2357</v>
      </c>
      <c r="B757" s="51">
        <v>36.6</v>
      </c>
      <c r="C757" s="52"/>
      <c r="D757" s="2" t="s">
        <v>2356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2356</v>
      </c>
      <c r="AA757">
        <v>751</v>
      </c>
    </row>
    <row r="758" spans="1:27" x14ac:dyDescent="0.25">
      <c r="A758" s="97" t="s">
        <v>2359</v>
      </c>
      <c r="B758" s="51">
        <v>36.6</v>
      </c>
      <c r="C758" s="52"/>
      <c r="D758" s="2" t="s">
        <v>2358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2358</v>
      </c>
      <c r="AA758">
        <v>752</v>
      </c>
    </row>
    <row r="759" spans="1:27" x14ac:dyDescent="0.25">
      <c r="A759" s="97" t="s">
        <v>2361</v>
      </c>
      <c r="B759" s="51">
        <v>61.900000000000006</v>
      </c>
      <c r="C759" s="52"/>
      <c r="D759" s="2" t="s">
        <v>2360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2360</v>
      </c>
      <c r="AA759">
        <v>753</v>
      </c>
    </row>
    <row r="760" spans="1:27" x14ac:dyDescent="0.25">
      <c r="A760" s="149" t="s">
        <v>3803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2370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2369</v>
      </c>
      <c r="B763" s="51">
        <v>66.350000000000009</v>
      </c>
      <c r="C763" s="52"/>
      <c r="D763" s="2" t="s">
        <v>2367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2367</v>
      </c>
      <c r="AA763">
        <v>757</v>
      </c>
    </row>
    <row r="764" spans="1:27" x14ac:dyDescent="0.25">
      <c r="A764" s="97" t="s">
        <v>2372</v>
      </c>
      <c r="B764" s="51">
        <v>49.300000000000004</v>
      </c>
      <c r="C764" s="52"/>
      <c r="D764" s="2" t="s">
        <v>2371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2371</v>
      </c>
      <c r="AA764">
        <v>758</v>
      </c>
    </row>
    <row r="765" spans="1:27" ht="18" x14ac:dyDescent="0.25">
      <c r="A765" s="1" t="s">
        <v>2374</v>
      </c>
      <c r="B765" s="51">
        <v>170.70000000000002</v>
      </c>
      <c r="C765" s="52"/>
      <c r="D765" s="2" t="s">
        <v>2373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2373</v>
      </c>
      <c r="AA765">
        <v>759</v>
      </c>
    </row>
    <row r="766" spans="1:27" x14ac:dyDescent="0.25">
      <c r="A766" s="151" t="s">
        <v>2377</v>
      </c>
      <c r="B766" s="51">
        <v>211.4</v>
      </c>
      <c r="C766" s="52"/>
      <c r="D766" s="2" t="s">
        <v>2375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2375</v>
      </c>
      <c r="AA766">
        <v>760</v>
      </c>
    </row>
    <row r="767" spans="1:27" x14ac:dyDescent="0.25">
      <c r="A767" s="97" t="s">
        <v>2380</v>
      </c>
      <c r="B767" s="51">
        <v>16.55</v>
      </c>
      <c r="C767" s="52"/>
      <c r="D767" s="2" t="s">
        <v>2378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2378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3804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2364</v>
      </c>
      <c r="B770" s="51">
        <v>30.400000000000002</v>
      </c>
      <c r="C770" s="52"/>
      <c r="D770" s="2" t="s">
        <v>2362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2362</v>
      </c>
      <c r="AA770">
        <v>764</v>
      </c>
    </row>
    <row r="771" spans="1:27" x14ac:dyDescent="0.25">
      <c r="A771" s="151" t="s">
        <v>2366</v>
      </c>
      <c r="B771" s="51">
        <v>32.25</v>
      </c>
      <c r="C771" s="68"/>
      <c r="D771" s="69" t="s">
        <v>2365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2365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3805</v>
      </c>
      <c r="B773" s="25" t="s">
        <v>3620</v>
      </c>
      <c r="C773" s="26"/>
      <c r="D773" s="27" t="s">
        <v>3621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3806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2387</v>
      </c>
      <c r="B775" s="51">
        <v>39.800000000000004</v>
      </c>
      <c r="C775" s="52"/>
      <c r="D775" s="2" t="s">
        <v>2386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2386</v>
      </c>
      <c r="AA775">
        <v>769</v>
      </c>
    </row>
    <row r="776" spans="1:27" x14ac:dyDescent="0.25">
      <c r="A776" s="97" t="s">
        <v>2390</v>
      </c>
      <c r="B776" s="51">
        <v>39.800000000000004</v>
      </c>
      <c r="C776" s="52"/>
      <c r="D776" s="2" t="s">
        <v>2389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2389</v>
      </c>
      <c r="AA776">
        <v>770</v>
      </c>
    </row>
    <row r="777" spans="1:27" x14ac:dyDescent="0.25">
      <c r="A777" s="97" t="s">
        <v>1170</v>
      </c>
      <c r="B777" s="51">
        <v>42.2</v>
      </c>
      <c r="C777" s="52"/>
      <c r="D777" s="2" t="s">
        <v>1168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1168</v>
      </c>
      <c r="AA777">
        <v>771</v>
      </c>
    </row>
    <row r="778" spans="1:27" x14ac:dyDescent="0.25">
      <c r="A778" s="97" t="s">
        <v>1172</v>
      </c>
      <c r="B778" s="51">
        <v>38.700000000000003</v>
      </c>
      <c r="C778" s="52"/>
      <c r="D778" s="2" t="s">
        <v>1171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1171</v>
      </c>
      <c r="AA778">
        <v>772</v>
      </c>
    </row>
    <row r="779" spans="1:27" x14ac:dyDescent="0.25">
      <c r="A779" s="97" t="s">
        <v>2393</v>
      </c>
      <c r="B779" s="51">
        <v>44.550000000000004</v>
      </c>
      <c r="C779" s="52"/>
      <c r="D779" s="2" t="s">
        <v>2391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2391</v>
      </c>
      <c r="AA779">
        <v>773</v>
      </c>
    </row>
    <row r="780" spans="1:27" x14ac:dyDescent="0.25">
      <c r="A780" s="1" t="s">
        <v>2396</v>
      </c>
      <c r="B780" s="51">
        <v>64.850000000000009</v>
      </c>
      <c r="C780" s="52"/>
      <c r="D780" s="2" t="s">
        <v>2394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2394</v>
      </c>
      <c r="AA780">
        <v>774</v>
      </c>
    </row>
    <row r="781" spans="1:27" x14ac:dyDescent="0.25">
      <c r="A781" s="97" t="s">
        <v>1174</v>
      </c>
      <c r="B781" s="51">
        <v>50.45</v>
      </c>
      <c r="C781" s="52"/>
      <c r="D781" s="2" t="s">
        <v>1173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1173</v>
      </c>
      <c r="AA781">
        <v>775</v>
      </c>
    </row>
    <row r="782" spans="1:27" x14ac:dyDescent="0.25">
      <c r="A782" s="149" t="s">
        <v>3807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3808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1142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1141</v>
      </c>
      <c r="B786" s="51">
        <v>23.35</v>
      </c>
      <c r="C786" s="122"/>
      <c r="D786" s="123" t="s">
        <v>1140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3809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1140</v>
      </c>
      <c r="AA786">
        <v>780</v>
      </c>
    </row>
    <row r="787" spans="1:27" x14ac:dyDescent="0.25">
      <c r="A787" s="121" t="s">
        <v>1144</v>
      </c>
      <c r="B787" s="51">
        <v>25.950000000000003</v>
      </c>
      <c r="C787" s="122"/>
      <c r="D787" s="123" t="s">
        <v>1143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3810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1143</v>
      </c>
      <c r="AA787">
        <v>781</v>
      </c>
    </row>
    <row r="788" spans="1:27" ht="18" x14ac:dyDescent="0.25">
      <c r="A788" s="145" t="s">
        <v>1147</v>
      </c>
      <c r="B788" s="51">
        <v>46.35</v>
      </c>
      <c r="C788" s="122"/>
      <c r="D788" s="123" t="s">
        <v>1146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3762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1146</v>
      </c>
      <c r="AA788">
        <v>782</v>
      </c>
    </row>
    <row r="789" spans="1:27" x14ac:dyDescent="0.25">
      <c r="A789" s="97" t="s">
        <v>1153</v>
      </c>
      <c r="B789" s="51">
        <v>59.6</v>
      </c>
      <c r="C789" s="52"/>
      <c r="D789" s="2" t="s">
        <v>1151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1151</v>
      </c>
      <c r="AA789">
        <v>783</v>
      </c>
    </row>
    <row r="790" spans="1:27" x14ac:dyDescent="0.25">
      <c r="A790" s="97" t="s">
        <v>1156</v>
      </c>
      <c r="B790" s="51">
        <v>82</v>
      </c>
      <c r="C790" s="52"/>
      <c r="D790" s="2" t="s">
        <v>1154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1154</v>
      </c>
      <c r="AA790">
        <v>784</v>
      </c>
    </row>
    <row r="791" spans="1:27" x14ac:dyDescent="0.25">
      <c r="A791" s="145" t="s">
        <v>1150</v>
      </c>
      <c r="B791" s="51">
        <v>51</v>
      </c>
      <c r="C791" s="122"/>
      <c r="D791" s="123" t="s">
        <v>1148</v>
      </c>
      <c r="E791" s="134"/>
      <c r="F791" s="125"/>
      <c r="G791" s="126"/>
      <c r="H791" s="127"/>
      <c r="I791" s="125"/>
      <c r="J791" s="133"/>
      <c r="K791" s="125"/>
      <c r="L791" s="146" t="s">
        <v>3763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1148</v>
      </c>
      <c r="AA791">
        <v>785</v>
      </c>
    </row>
    <row r="792" spans="1:27" x14ac:dyDescent="0.25">
      <c r="A792" s="1" t="s">
        <v>1159</v>
      </c>
      <c r="B792" s="51">
        <v>75.600000000000009</v>
      </c>
      <c r="C792" s="52"/>
      <c r="D792" s="2" t="s">
        <v>1157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1157</v>
      </c>
      <c r="AA792">
        <v>786</v>
      </c>
    </row>
    <row r="793" spans="1:27" x14ac:dyDescent="0.25">
      <c r="A793" s="145" t="s">
        <v>1167</v>
      </c>
      <c r="B793" s="51">
        <v>63.7</v>
      </c>
      <c r="C793" s="122"/>
      <c r="D793" s="123" t="s">
        <v>1165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3764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1165</v>
      </c>
      <c r="AA793">
        <v>787</v>
      </c>
    </row>
    <row r="794" spans="1:27" x14ac:dyDescent="0.25">
      <c r="A794" s="130" t="s">
        <v>1129</v>
      </c>
      <c r="B794" s="51">
        <v>165.70000000000002</v>
      </c>
      <c r="C794" s="52"/>
      <c r="D794" s="2" t="s">
        <v>1128</v>
      </c>
      <c r="E794" s="53"/>
      <c r="G794" s="54">
        <v>173.98500000000001</v>
      </c>
      <c r="H794" s="23">
        <v>174</v>
      </c>
      <c r="J794" s="63">
        <v>131.25</v>
      </c>
      <c r="L794" s="146" t="s">
        <v>3811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1128</v>
      </c>
      <c r="AA794">
        <v>788</v>
      </c>
    </row>
    <row r="795" spans="1:27" x14ac:dyDescent="0.25">
      <c r="A795" s="149" t="s">
        <v>3812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3813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1110</v>
      </c>
      <c r="B798" s="51">
        <v>36</v>
      </c>
      <c r="C798" s="122"/>
      <c r="D798" s="123" t="s">
        <v>1108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3814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1108</v>
      </c>
      <c r="AA798">
        <v>792</v>
      </c>
    </row>
    <row r="799" spans="1:27" x14ac:dyDescent="0.25">
      <c r="A799" s="145" t="s">
        <v>1113</v>
      </c>
      <c r="B799" s="51">
        <v>27.75</v>
      </c>
      <c r="C799" s="122"/>
      <c r="D799" s="123" t="s">
        <v>1111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3815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1111</v>
      </c>
      <c r="AA799">
        <v>793</v>
      </c>
    </row>
    <row r="800" spans="1:27" ht="18" x14ac:dyDescent="0.25">
      <c r="A800" s="145" t="s">
        <v>1116</v>
      </c>
      <c r="B800" s="51">
        <v>31.25</v>
      </c>
      <c r="C800" s="122"/>
      <c r="D800" s="123" t="s">
        <v>1114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3816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1114</v>
      </c>
      <c r="AA800">
        <v>794</v>
      </c>
    </row>
    <row r="801" spans="1:27" x14ac:dyDescent="0.25">
      <c r="A801" s="145" t="s">
        <v>1119</v>
      </c>
      <c r="B801" s="51">
        <v>31.25</v>
      </c>
      <c r="C801" s="122"/>
      <c r="D801" s="123" t="s">
        <v>1117</v>
      </c>
      <c r="E801" s="147"/>
      <c r="F801" s="125"/>
      <c r="G801" s="126"/>
      <c r="H801" s="127"/>
      <c r="I801" s="125"/>
      <c r="J801" s="133"/>
      <c r="K801" s="125"/>
      <c r="L801" s="146" t="s">
        <v>3817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1117</v>
      </c>
      <c r="AA801">
        <v>795</v>
      </c>
    </row>
    <row r="802" spans="1:27" x14ac:dyDescent="0.25">
      <c r="A802" s="1" t="s">
        <v>1122</v>
      </c>
      <c r="B802" s="51">
        <v>43.300000000000004</v>
      </c>
      <c r="C802" s="52"/>
      <c r="D802" s="2" t="s">
        <v>1120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1120</v>
      </c>
      <c r="AA802">
        <v>796</v>
      </c>
    </row>
    <row r="803" spans="1:27" x14ac:dyDescent="0.25">
      <c r="A803" s="1" t="s">
        <v>1125</v>
      </c>
      <c r="B803" s="51">
        <v>43.35</v>
      </c>
      <c r="C803" s="52"/>
      <c r="D803" s="2" t="s">
        <v>1123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3818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1123</v>
      </c>
      <c r="AA803">
        <v>797</v>
      </c>
    </row>
    <row r="804" spans="1:27" x14ac:dyDescent="0.25">
      <c r="A804" s="1" t="s">
        <v>1127</v>
      </c>
      <c r="B804" s="51">
        <v>55.050000000000004</v>
      </c>
      <c r="C804" s="52"/>
      <c r="D804" s="2" t="s">
        <v>1126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1126</v>
      </c>
      <c r="AA804">
        <v>798</v>
      </c>
    </row>
    <row r="805" spans="1:27" x14ac:dyDescent="0.25">
      <c r="A805" s="145" t="s">
        <v>3819</v>
      </c>
      <c r="B805" s="51">
        <v>63.7</v>
      </c>
      <c r="C805" s="122"/>
      <c r="D805" s="123" t="s">
        <v>1162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3820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1162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3821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1092</v>
      </c>
      <c r="B808" s="51">
        <v>84.9</v>
      </c>
      <c r="C808" s="122"/>
      <c r="D808" s="123" t="s">
        <v>1090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3822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1090</v>
      </c>
      <c r="AA808">
        <v>802</v>
      </c>
    </row>
    <row r="809" spans="1:27" x14ac:dyDescent="0.25">
      <c r="A809" s="1" t="s">
        <v>1107</v>
      </c>
      <c r="B809" s="51">
        <v>96.2</v>
      </c>
      <c r="C809" s="52"/>
      <c r="D809" s="2" t="s">
        <v>1105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1105</v>
      </c>
      <c r="AA809">
        <v>803</v>
      </c>
    </row>
    <row r="810" spans="1:27" x14ac:dyDescent="0.25">
      <c r="A810" s="145" t="s">
        <v>1096</v>
      </c>
      <c r="B810" s="51">
        <v>91.350000000000009</v>
      </c>
      <c r="C810" s="122"/>
      <c r="D810" s="123" t="s">
        <v>1094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3823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1094</v>
      </c>
      <c r="AA810">
        <v>804</v>
      </c>
    </row>
    <row r="811" spans="1:27" x14ac:dyDescent="0.25">
      <c r="A811" s="166" t="s">
        <v>1101</v>
      </c>
      <c r="B811" s="51">
        <v>84.9</v>
      </c>
      <c r="C811" s="167"/>
      <c r="D811" s="123" t="s">
        <v>1099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3824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1099</v>
      </c>
      <c r="AA811">
        <v>805</v>
      </c>
    </row>
    <row r="812" spans="1:27" x14ac:dyDescent="0.25">
      <c r="A812" s="145" t="s">
        <v>1104</v>
      </c>
      <c r="B812" s="51">
        <v>39.800000000000004</v>
      </c>
      <c r="C812" s="122"/>
      <c r="D812" s="123" t="s">
        <v>1102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3825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1102</v>
      </c>
      <c r="AA812">
        <v>806</v>
      </c>
    </row>
    <row r="813" spans="1:27" x14ac:dyDescent="0.25">
      <c r="A813" s="145" t="s">
        <v>963</v>
      </c>
      <c r="B813" s="51">
        <v>93.45</v>
      </c>
      <c r="C813" s="122"/>
      <c r="D813" s="123" t="s">
        <v>961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3826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961</v>
      </c>
      <c r="AA813">
        <v>807</v>
      </c>
    </row>
    <row r="814" spans="1:27" x14ac:dyDescent="0.25">
      <c r="A814" s="145" t="s">
        <v>3827</v>
      </c>
      <c r="B814" s="51">
        <v>41</v>
      </c>
      <c r="C814" s="122"/>
      <c r="D814" s="138" t="s">
        <v>2841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3828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2841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3829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1135</v>
      </c>
      <c r="B817" s="51">
        <v>68.7</v>
      </c>
      <c r="C817" s="122"/>
      <c r="D817" s="123" t="s">
        <v>1133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3830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1133</v>
      </c>
      <c r="AA817">
        <v>811</v>
      </c>
    </row>
    <row r="818" spans="1:27" x14ac:dyDescent="0.25">
      <c r="A818" s="132" t="s">
        <v>2403</v>
      </c>
      <c r="B818" s="51">
        <v>18.600000000000001</v>
      </c>
      <c r="C818" s="122"/>
      <c r="D818" s="138" t="s">
        <v>2401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3831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2401</v>
      </c>
      <c r="AA818">
        <v>812</v>
      </c>
    </row>
    <row r="819" spans="1:27" x14ac:dyDescent="0.25">
      <c r="A819" s="1" t="s">
        <v>2398</v>
      </c>
      <c r="B819" s="51">
        <v>73.7</v>
      </c>
      <c r="C819" s="52"/>
      <c r="D819" s="2" t="s">
        <v>2397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2397</v>
      </c>
      <c r="AA819">
        <v>813</v>
      </c>
    </row>
    <row r="820" spans="1:27" x14ac:dyDescent="0.25">
      <c r="A820" s="1" t="s">
        <v>2400</v>
      </c>
      <c r="B820" s="51">
        <v>7.1000000000000005</v>
      </c>
      <c r="C820" s="52"/>
      <c r="D820" s="2" t="s">
        <v>2399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2399</v>
      </c>
      <c r="AA820">
        <v>814</v>
      </c>
    </row>
    <row r="821" spans="1:27" x14ac:dyDescent="0.25">
      <c r="A821" s="96" t="s">
        <v>3739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2404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2406</v>
      </c>
      <c r="B824" s="51">
        <v>15.950000000000001</v>
      </c>
      <c r="C824" s="52"/>
      <c r="D824" s="75" t="s">
        <v>2405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2405</v>
      </c>
      <c r="AA824">
        <v>818</v>
      </c>
    </row>
    <row r="825" spans="1:27" x14ac:dyDescent="0.25">
      <c r="A825" s="97" t="s">
        <v>2409</v>
      </c>
      <c r="B825" s="51">
        <v>7.4</v>
      </c>
      <c r="C825" s="52"/>
      <c r="D825" s="75" t="s">
        <v>2407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2407</v>
      </c>
      <c r="AA825">
        <v>819</v>
      </c>
    </row>
    <row r="826" spans="1:27" x14ac:dyDescent="0.25">
      <c r="A826" s="97" t="s">
        <v>2412</v>
      </c>
      <c r="B826" s="51">
        <v>12.65</v>
      </c>
      <c r="C826" s="52"/>
      <c r="D826" s="75" t="s">
        <v>2410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2410</v>
      </c>
      <c r="AA826">
        <v>820</v>
      </c>
    </row>
    <row r="827" spans="1:27" x14ac:dyDescent="0.25">
      <c r="A827" s="97" t="s">
        <v>2414</v>
      </c>
      <c r="B827" s="51">
        <v>2.7</v>
      </c>
      <c r="C827" s="52"/>
      <c r="D827" s="75" t="s">
        <v>2413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2413</v>
      </c>
      <c r="AA827">
        <v>821</v>
      </c>
    </row>
    <row r="828" spans="1:27" x14ac:dyDescent="0.25">
      <c r="A828" s="24" t="s">
        <v>3832</v>
      </c>
      <c r="B828" s="25" t="s">
        <v>3620</v>
      </c>
      <c r="C828" s="26"/>
      <c r="D828" s="27" t="s">
        <v>3621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3833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2417</v>
      </c>
      <c r="B830" s="51">
        <v>12.100000000000001</v>
      </c>
      <c r="C830" s="52"/>
      <c r="D830" s="2" t="s">
        <v>2415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2415</v>
      </c>
      <c r="AA830">
        <v>824</v>
      </c>
    </row>
    <row r="831" spans="1:27" x14ac:dyDescent="0.25">
      <c r="A831" s="97" t="s">
        <v>2420</v>
      </c>
      <c r="B831" s="51">
        <v>28.950000000000003</v>
      </c>
      <c r="C831" s="52"/>
      <c r="D831" s="2" t="s">
        <v>2418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2418</v>
      </c>
      <c r="AA831">
        <v>825</v>
      </c>
    </row>
    <row r="832" spans="1:27" x14ac:dyDescent="0.25">
      <c r="A832" s="97" t="s">
        <v>2423</v>
      </c>
      <c r="B832" s="51">
        <v>37.75</v>
      </c>
      <c r="C832" s="52"/>
      <c r="D832" s="2" t="s">
        <v>2421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2421</v>
      </c>
      <c r="AA832">
        <v>826</v>
      </c>
    </row>
    <row r="833" spans="1:27" x14ac:dyDescent="0.25">
      <c r="A833" s="97" t="s">
        <v>2425</v>
      </c>
      <c r="B833" s="51">
        <v>34.550000000000004</v>
      </c>
      <c r="C833" s="52"/>
      <c r="D833" s="2" t="s">
        <v>2424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2424</v>
      </c>
      <c r="AA833">
        <v>827</v>
      </c>
    </row>
    <row r="834" spans="1:27" x14ac:dyDescent="0.25">
      <c r="A834" s="97" t="s">
        <v>2428</v>
      </c>
      <c r="B834" s="51">
        <v>41</v>
      </c>
      <c r="C834" s="52"/>
      <c r="D834" s="2" t="s">
        <v>2426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2426</v>
      </c>
      <c r="AA834">
        <v>828</v>
      </c>
    </row>
    <row r="835" spans="1:27" x14ac:dyDescent="0.25">
      <c r="A835" s="97" t="s">
        <v>2431</v>
      </c>
      <c r="B835" s="51">
        <v>91.350000000000009</v>
      </c>
      <c r="C835" s="52"/>
      <c r="D835" s="2" t="s">
        <v>2429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2429</v>
      </c>
      <c r="AA835">
        <v>829</v>
      </c>
    </row>
    <row r="836" spans="1:27" x14ac:dyDescent="0.25">
      <c r="A836" s="97" t="s">
        <v>2434</v>
      </c>
      <c r="B836" s="51">
        <v>57.2</v>
      </c>
      <c r="C836" s="52"/>
      <c r="D836" s="2" t="s">
        <v>2432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2432</v>
      </c>
      <c r="AA836">
        <v>830</v>
      </c>
    </row>
    <row r="837" spans="1:27" x14ac:dyDescent="0.25">
      <c r="A837" s="97" t="s">
        <v>2436</v>
      </c>
      <c r="B837" s="51">
        <v>47.050000000000004</v>
      </c>
      <c r="C837" s="52"/>
      <c r="D837" s="2" t="s">
        <v>2435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2435</v>
      </c>
      <c r="AA837">
        <v>831</v>
      </c>
    </row>
    <row r="838" spans="1:27" x14ac:dyDescent="0.25">
      <c r="A838" s="1" t="s">
        <v>2385</v>
      </c>
      <c r="B838" s="51">
        <v>74.05</v>
      </c>
      <c r="C838" s="52"/>
      <c r="D838" s="2" t="s">
        <v>2437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2437</v>
      </c>
      <c r="AA838">
        <v>832</v>
      </c>
    </row>
    <row r="839" spans="1:27" x14ac:dyDescent="0.25">
      <c r="A839" s="96" t="s">
        <v>3834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3835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3836</v>
      </c>
      <c r="B842" s="25" t="s">
        <v>3620</v>
      </c>
      <c r="C842" s="26"/>
      <c r="D842" s="27" t="s">
        <v>3621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1774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1773</v>
      </c>
      <c r="B844" s="51">
        <v>45.1</v>
      </c>
      <c r="C844" s="52"/>
      <c r="D844" s="2" t="s">
        <v>1771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1771</v>
      </c>
      <c r="AA844">
        <v>838</v>
      </c>
    </row>
    <row r="845" spans="1:27" x14ac:dyDescent="0.25">
      <c r="A845" s="1" t="s">
        <v>1777</v>
      </c>
      <c r="B845" s="51">
        <v>45.1</v>
      </c>
      <c r="C845" s="52"/>
      <c r="D845" s="2" t="s">
        <v>1775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1775</v>
      </c>
      <c r="AA845">
        <v>839</v>
      </c>
    </row>
    <row r="846" spans="1:27" x14ac:dyDescent="0.25">
      <c r="A846" s="1" t="s">
        <v>1780</v>
      </c>
      <c r="B846" s="51">
        <v>91.350000000000009</v>
      </c>
      <c r="C846" s="52"/>
      <c r="D846" s="2" t="s">
        <v>1778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1778</v>
      </c>
      <c r="AA846">
        <v>840</v>
      </c>
    </row>
    <row r="847" spans="1:27" x14ac:dyDescent="0.25">
      <c r="A847" s="101" t="s">
        <v>3837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1783</v>
      </c>
      <c r="B849" s="51">
        <v>131.20000000000002</v>
      </c>
      <c r="C849" s="52"/>
      <c r="D849" s="2" t="s">
        <v>1781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1781</v>
      </c>
      <c r="AA849">
        <v>843</v>
      </c>
    </row>
    <row r="850" spans="1:27" x14ac:dyDescent="0.25">
      <c r="A850" s="1" t="s">
        <v>3838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3839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1785</v>
      </c>
      <c r="B853" s="51">
        <v>148.25</v>
      </c>
      <c r="C853" s="52"/>
      <c r="D853" s="2" t="s">
        <v>1784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1784</v>
      </c>
      <c r="AA853">
        <v>847</v>
      </c>
    </row>
    <row r="854" spans="1:27" x14ac:dyDescent="0.25">
      <c r="A854" s="96" t="s">
        <v>3840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3841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1788</v>
      </c>
      <c r="B857" s="51">
        <v>31.900000000000002</v>
      </c>
      <c r="C857" s="52"/>
      <c r="D857" s="75" t="s">
        <v>1786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1786</v>
      </c>
      <c r="AA857">
        <v>851</v>
      </c>
    </row>
    <row r="858" spans="1:27" x14ac:dyDescent="0.25">
      <c r="A858" s="1" t="s">
        <v>1791</v>
      </c>
      <c r="B858" s="51">
        <v>58.150000000000006</v>
      </c>
      <c r="C858" s="52"/>
      <c r="D858" s="2" t="s">
        <v>1790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1790</v>
      </c>
      <c r="AA858">
        <v>852</v>
      </c>
    </row>
    <row r="859" spans="1:27" x14ac:dyDescent="0.25">
      <c r="A859" s="1" t="s">
        <v>1793</v>
      </c>
      <c r="B859" s="51">
        <v>70.75</v>
      </c>
      <c r="C859" s="52"/>
      <c r="D859" s="2" t="s">
        <v>1792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1792</v>
      </c>
      <c r="AA859">
        <v>853</v>
      </c>
    </row>
    <row r="860" spans="1:27" x14ac:dyDescent="0.25">
      <c r="A860" s="1" t="s">
        <v>1796</v>
      </c>
      <c r="B860" s="51">
        <v>21.55</v>
      </c>
      <c r="C860" s="52"/>
      <c r="D860" s="2" t="s">
        <v>1794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1794</v>
      </c>
      <c r="AA860">
        <v>854</v>
      </c>
    </row>
    <row r="861" spans="1:27" x14ac:dyDescent="0.25">
      <c r="A861" s="1" t="s">
        <v>1799</v>
      </c>
      <c r="B861" s="51">
        <v>53.050000000000004</v>
      </c>
      <c r="C861" s="52"/>
      <c r="D861" s="2" t="s">
        <v>1797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1797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3842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1815</v>
      </c>
      <c r="B864" s="51">
        <v>46.35</v>
      </c>
      <c r="C864" s="52"/>
      <c r="D864" s="2" t="s">
        <v>1813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1813</v>
      </c>
      <c r="AA864">
        <v>858</v>
      </c>
    </row>
    <row r="865" spans="1:27" x14ac:dyDescent="0.25">
      <c r="A865" s="1" t="s">
        <v>1802</v>
      </c>
      <c r="B865" s="51">
        <v>46.35</v>
      </c>
      <c r="C865" s="52"/>
      <c r="D865" s="2" t="s">
        <v>1800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3843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1805</v>
      </c>
      <c r="B868" s="51">
        <v>106.15</v>
      </c>
      <c r="C868" s="52"/>
      <c r="D868" s="2" t="s">
        <v>1804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1804</v>
      </c>
      <c r="AA868">
        <v>862</v>
      </c>
    </row>
    <row r="869" spans="1:27" x14ac:dyDescent="0.25">
      <c r="A869" s="1" t="s">
        <v>1808</v>
      </c>
      <c r="B869" s="51">
        <v>49.300000000000004</v>
      </c>
      <c r="C869" s="52"/>
      <c r="D869" s="2" t="s">
        <v>1806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1806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3844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1810</v>
      </c>
      <c r="B872" s="51">
        <v>43.95</v>
      </c>
      <c r="C872" s="52"/>
      <c r="D872" s="2" t="s">
        <v>1809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1809</v>
      </c>
      <c r="AA872">
        <v>866</v>
      </c>
    </row>
    <row r="873" spans="1:27" x14ac:dyDescent="0.25">
      <c r="A873" s="1" t="s">
        <v>1812</v>
      </c>
      <c r="B873" s="51">
        <v>57.2</v>
      </c>
      <c r="C873" s="52"/>
      <c r="D873" s="2" t="s">
        <v>1811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1811</v>
      </c>
      <c r="AA873">
        <v>867</v>
      </c>
    </row>
    <row r="874" spans="1:27" x14ac:dyDescent="0.25">
      <c r="A874" s="1" t="s">
        <v>1818</v>
      </c>
      <c r="B874" s="51">
        <v>22.400000000000002</v>
      </c>
      <c r="C874" s="52"/>
      <c r="D874" s="75" t="s">
        <v>1817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1817</v>
      </c>
      <c r="AA874">
        <v>868</v>
      </c>
    </row>
    <row r="875" spans="1:27" x14ac:dyDescent="0.25">
      <c r="A875" s="1" t="s">
        <v>1820</v>
      </c>
      <c r="B875" s="51">
        <v>27.150000000000002</v>
      </c>
      <c r="C875" s="52"/>
      <c r="D875" s="75" t="s">
        <v>1819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1819</v>
      </c>
      <c r="AA875">
        <v>869</v>
      </c>
    </row>
    <row r="876" spans="1:27" x14ac:dyDescent="0.25">
      <c r="A876" s="1" t="s">
        <v>1822</v>
      </c>
      <c r="B876" s="51">
        <v>35.700000000000003</v>
      </c>
      <c r="C876" s="52"/>
      <c r="D876" s="75" t="s">
        <v>1821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1821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3845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1824</v>
      </c>
      <c r="B879" s="51">
        <v>18.600000000000001</v>
      </c>
      <c r="C879" s="52"/>
      <c r="D879" s="2" t="s">
        <v>1823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1823</v>
      </c>
      <c r="AA879">
        <v>873</v>
      </c>
    </row>
    <row r="880" spans="1:27" x14ac:dyDescent="0.25">
      <c r="A880" s="1" t="s">
        <v>1826</v>
      </c>
      <c r="B880" s="51">
        <v>23.900000000000002</v>
      </c>
      <c r="C880" s="52"/>
      <c r="D880" s="2" t="s">
        <v>1825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1825</v>
      </c>
      <c r="AA880">
        <v>874</v>
      </c>
    </row>
    <row r="881" spans="1:27" x14ac:dyDescent="0.25">
      <c r="A881" s="1" t="s">
        <v>1828</v>
      </c>
      <c r="B881" s="51">
        <v>25.35</v>
      </c>
      <c r="C881" s="52"/>
      <c r="D881" s="2" t="s">
        <v>1827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1827</v>
      </c>
      <c r="AA881">
        <v>875</v>
      </c>
    </row>
    <row r="882" spans="1:27" x14ac:dyDescent="0.25">
      <c r="A882" s="24" t="s">
        <v>3846</v>
      </c>
      <c r="B882" s="25" t="s">
        <v>3620</v>
      </c>
      <c r="C882" s="26"/>
      <c r="D882" s="27" t="s">
        <v>3621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3847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1831</v>
      </c>
      <c r="B884" s="51">
        <v>151.25</v>
      </c>
      <c r="C884" s="52"/>
      <c r="D884" s="2" t="s">
        <v>1829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1829</v>
      </c>
      <c r="AA884">
        <v>878</v>
      </c>
    </row>
    <row r="885" spans="1:27" x14ac:dyDescent="0.25">
      <c r="A885" s="1" t="s">
        <v>1835</v>
      </c>
      <c r="B885" s="51">
        <v>45.1</v>
      </c>
      <c r="C885" s="52"/>
      <c r="D885" s="2" t="s">
        <v>1833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1833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1838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2348</v>
      </c>
      <c r="B888" s="51">
        <v>113.5</v>
      </c>
      <c r="C888" s="122"/>
      <c r="D888" s="123" t="s">
        <v>2346</v>
      </c>
      <c r="E888" s="134"/>
      <c r="F888" s="125"/>
      <c r="G888" s="126"/>
      <c r="H888" s="127"/>
      <c r="I888" s="125"/>
      <c r="J888" s="133"/>
      <c r="K888" s="125"/>
      <c r="L888" s="111" t="s">
        <v>3848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2346</v>
      </c>
      <c r="AA888">
        <v>882</v>
      </c>
    </row>
    <row r="889" spans="1:27" x14ac:dyDescent="0.25">
      <c r="A889" s="1" t="s">
        <v>1837</v>
      </c>
      <c r="B889" s="51">
        <v>51.6</v>
      </c>
      <c r="C889" s="52"/>
      <c r="D889" s="2" t="s">
        <v>1836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1836</v>
      </c>
      <c r="AA889">
        <v>883</v>
      </c>
    </row>
    <row r="890" spans="1:27" x14ac:dyDescent="0.25">
      <c r="A890" s="1" t="s">
        <v>1841</v>
      </c>
      <c r="B890" s="51">
        <v>14.450000000000001</v>
      </c>
      <c r="C890" s="52"/>
      <c r="D890" s="75" t="s">
        <v>1839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1839</v>
      </c>
      <c r="AA890">
        <v>884</v>
      </c>
    </row>
    <row r="891" spans="1:27" x14ac:dyDescent="0.25">
      <c r="A891" s="1" t="s">
        <v>1843</v>
      </c>
      <c r="B891" s="51">
        <v>13.9</v>
      </c>
      <c r="C891" s="52"/>
      <c r="D891" s="2" t="s">
        <v>1842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1842</v>
      </c>
      <c r="AA891">
        <v>885</v>
      </c>
    </row>
    <row r="892" spans="1:27" x14ac:dyDescent="0.25">
      <c r="A892" s="1" t="s">
        <v>1846</v>
      </c>
      <c r="B892" s="51">
        <v>12.65</v>
      </c>
      <c r="C892" s="52"/>
      <c r="D892" s="75" t="s">
        <v>1844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1844</v>
      </c>
      <c r="AA892">
        <v>886</v>
      </c>
    </row>
    <row r="893" spans="1:27" x14ac:dyDescent="0.25">
      <c r="A893" s="1" t="s">
        <v>1848</v>
      </c>
      <c r="B893" s="51">
        <v>12.65</v>
      </c>
      <c r="C893" s="52"/>
      <c r="D893" s="75" t="s">
        <v>1847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1847</v>
      </c>
      <c r="AA893">
        <v>887</v>
      </c>
    </row>
    <row r="894" spans="1:27" x14ac:dyDescent="0.25">
      <c r="A894" s="1" t="s">
        <v>1850</v>
      </c>
      <c r="B894" s="51">
        <v>6.5</v>
      </c>
      <c r="C894" s="52"/>
      <c r="D894" s="75" t="s">
        <v>1849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1849</v>
      </c>
      <c r="AA894">
        <v>888</v>
      </c>
    </row>
    <row r="895" spans="1:27" x14ac:dyDescent="0.25">
      <c r="A895" s="1" t="s">
        <v>1853</v>
      </c>
      <c r="B895" s="51">
        <v>4.1500000000000004</v>
      </c>
      <c r="C895" s="52"/>
      <c r="D895" s="75" t="s">
        <v>1851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1851</v>
      </c>
      <c r="AA895">
        <v>889</v>
      </c>
    </row>
    <row r="896" spans="1:27" x14ac:dyDescent="0.25">
      <c r="A896" s="1" t="s">
        <v>1856</v>
      </c>
      <c r="B896" s="51">
        <v>13.9</v>
      </c>
      <c r="C896" s="52"/>
      <c r="D896" s="75" t="s">
        <v>1854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1854</v>
      </c>
      <c r="AA896">
        <v>890</v>
      </c>
    </row>
    <row r="897" spans="1:27" x14ac:dyDescent="0.25">
      <c r="A897" s="1" t="s">
        <v>1859</v>
      </c>
      <c r="B897" s="51">
        <v>18.600000000000001</v>
      </c>
      <c r="C897" s="52"/>
      <c r="D897" s="2" t="s">
        <v>1857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1857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1862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1864</v>
      </c>
      <c r="B900" s="51">
        <v>21.25</v>
      </c>
      <c r="C900" s="52"/>
      <c r="D900" s="75" t="s">
        <v>1863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1863</v>
      </c>
      <c r="AA900">
        <v>894</v>
      </c>
    </row>
    <row r="901" spans="1:27" x14ac:dyDescent="0.25">
      <c r="A901" s="1" t="s">
        <v>1866</v>
      </c>
      <c r="B901" s="51">
        <v>34.550000000000004</v>
      </c>
      <c r="C901" s="52"/>
      <c r="D901" s="75" t="s">
        <v>1865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1865</v>
      </c>
      <c r="AA901">
        <v>895</v>
      </c>
    </row>
    <row r="902" spans="1:27" x14ac:dyDescent="0.25">
      <c r="A902" s="145" t="s">
        <v>1861</v>
      </c>
      <c r="B902" s="51">
        <v>18.600000000000001</v>
      </c>
      <c r="C902" s="171"/>
      <c r="D902" s="123" t="s">
        <v>1860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3849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1860</v>
      </c>
      <c r="AA902">
        <v>896</v>
      </c>
    </row>
    <row r="903" spans="1:27" x14ac:dyDescent="0.25">
      <c r="A903" s="149" t="s">
        <v>3850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3851</v>
      </c>
      <c r="B905" s="25" t="s">
        <v>3620</v>
      </c>
      <c r="C905" s="26"/>
      <c r="D905" s="27" t="s">
        <v>3621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3852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2003</v>
      </c>
      <c r="B907" s="51">
        <v>8.0500000000000007</v>
      </c>
      <c r="C907" s="52"/>
      <c r="D907" s="75" t="s">
        <v>2002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2002</v>
      </c>
      <c r="AA907">
        <v>901</v>
      </c>
    </row>
    <row r="908" spans="1:27" x14ac:dyDescent="0.25">
      <c r="A908" s="149" t="s">
        <v>3853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2007</v>
      </c>
      <c r="B909" s="51">
        <v>3.5500000000000003</v>
      </c>
      <c r="C909" s="52"/>
      <c r="D909" s="75" t="s">
        <v>2006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2006</v>
      </c>
      <c r="AA909">
        <v>903</v>
      </c>
    </row>
    <row r="910" spans="1:27" x14ac:dyDescent="0.25">
      <c r="A910" s="97" t="s">
        <v>2009</v>
      </c>
      <c r="B910" s="51">
        <v>4.1500000000000004</v>
      </c>
      <c r="C910" s="52"/>
      <c r="D910" s="75" t="s">
        <v>2008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2008</v>
      </c>
      <c r="AA910">
        <v>904</v>
      </c>
    </row>
    <row r="911" spans="1:27" x14ac:dyDescent="0.25">
      <c r="A911" s="1" t="s">
        <v>2011</v>
      </c>
      <c r="B911" s="51">
        <v>4.1500000000000004</v>
      </c>
      <c r="C911" s="52"/>
      <c r="D911" s="75" t="s">
        <v>2010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2010</v>
      </c>
      <c r="AA911">
        <v>905</v>
      </c>
    </row>
    <row r="912" spans="1:27" x14ac:dyDescent="0.25">
      <c r="A912" s="97" t="s">
        <v>2013</v>
      </c>
      <c r="B912" s="51">
        <v>8.0500000000000007</v>
      </c>
      <c r="C912" s="52"/>
      <c r="D912" s="75" t="s">
        <v>2012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2012</v>
      </c>
      <c r="AA912">
        <v>906</v>
      </c>
    </row>
    <row r="913" spans="1:27" x14ac:dyDescent="0.25">
      <c r="A913" s="97" t="s">
        <v>2015</v>
      </c>
      <c r="B913" s="51">
        <v>2.7</v>
      </c>
      <c r="C913" s="52"/>
      <c r="D913" s="75" t="s">
        <v>2014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2014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3854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2033</v>
      </c>
      <c r="B916" s="51">
        <v>13.3</v>
      </c>
      <c r="C916" s="52"/>
      <c r="D916" s="75" t="s">
        <v>2031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2031</v>
      </c>
      <c r="AA916">
        <v>910</v>
      </c>
    </row>
    <row r="917" spans="1:27" x14ac:dyDescent="0.25">
      <c r="A917" s="97" t="s">
        <v>2035</v>
      </c>
      <c r="B917" s="51">
        <v>28.35</v>
      </c>
      <c r="C917" s="52"/>
      <c r="D917" s="2" t="s">
        <v>2034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2034</v>
      </c>
      <c r="AA917">
        <v>911</v>
      </c>
    </row>
    <row r="918" spans="1:27" x14ac:dyDescent="0.25">
      <c r="A918" s="97" t="s">
        <v>2038</v>
      </c>
      <c r="B918" s="51">
        <v>10.050000000000001</v>
      </c>
      <c r="C918" s="52"/>
      <c r="D918" s="75" t="s">
        <v>2036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2036</v>
      </c>
      <c r="AA918">
        <v>912</v>
      </c>
    </row>
    <row r="919" spans="1:27" x14ac:dyDescent="0.25">
      <c r="A919" s="97" t="s">
        <v>2040</v>
      </c>
      <c r="B919" s="51">
        <v>2.7</v>
      </c>
      <c r="C919" s="52"/>
      <c r="D919" s="75" t="s">
        <v>2039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2039</v>
      </c>
      <c r="AA919">
        <v>913</v>
      </c>
    </row>
    <row r="920" spans="1:27" x14ac:dyDescent="0.25">
      <c r="A920" s="97" t="s">
        <v>2042</v>
      </c>
      <c r="B920" s="51">
        <v>2.7</v>
      </c>
      <c r="C920" s="52"/>
      <c r="D920" s="75" t="s">
        <v>2041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2041</v>
      </c>
      <c r="AA920">
        <v>914</v>
      </c>
    </row>
    <row r="921" spans="1:27" x14ac:dyDescent="0.25">
      <c r="A921" s="97" t="s">
        <v>2170</v>
      </c>
      <c r="B921" s="51">
        <v>1.5</v>
      </c>
      <c r="C921" s="52"/>
      <c r="D921" s="75" t="s">
        <v>2169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2169</v>
      </c>
      <c r="AA921">
        <v>915</v>
      </c>
    </row>
    <row r="922" spans="1:27" x14ac:dyDescent="0.25">
      <c r="A922" s="149" t="s">
        <v>3855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3856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2045</v>
      </c>
      <c r="B925" s="51">
        <v>14.450000000000001</v>
      </c>
      <c r="C925" s="52"/>
      <c r="D925" s="75" t="s">
        <v>2043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2043</v>
      </c>
      <c r="AA925">
        <v>919</v>
      </c>
    </row>
    <row r="926" spans="1:27" x14ac:dyDescent="0.25">
      <c r="A926" s="97" t="s">
        <v>2048</v>
      </c>
      <c r="B926" s="51">
        <v>14.450000000000001</v>
      </c>
      <c r="C926" s="52"/>
      <c r="D926" s="75" t="s">
        <v>2046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2046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3857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2018</v>
      </c>
      <c r="B929" s="51">
        <v>5.3500000000000005</v>
      </c>
      <c r="C929" s="52"/>
      <c r="D929" s="75" t="s">
        <v>2016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2016</v>
      </c>
      <c r="AA929">
        <v>923</v>
      </c>
    </row>
    <row r="930" spans="1:27" x14ac:dyDescent="0.25">
      <c r="A930" s="97" t="s">
        <v>2021</v>
      </c>
      <c r="B930" s="51">
        <v>6.5</v>
      </c>
      <c r="C930" s="52"/>
      <c r="D930" s="75" t="s">
        <v>2019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2019</v>
      </c>
      <c r="AA930">
        <v>924</v>
      </c>
    </row>
    <row r="931" spans="1:27" x14ac:dyDescent="0.25">
      <c r="A931" s="97" t="s">
        <v>2024</v>
      </c>
      <c r="B931" s="51">
        <v>8.0500000000000007</v>
      </c>
      <c r="C931" s="52"/>
      <c r="D931" s="75" t="s">
        <v>2022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2022</v>
      </c>
      <c r="AA931">
        <v>925</v>
      </c>
    </row>
    <row r="932" spans="1:27" x14ac:dyDescent="0.25">
      <c r="A932" s="97" t="s">
        <v>2027</v>
      </c>
      <c r="B932" s="51">
        <v>13.3</v>
      </c>
      <c r="C932" s="52"/>
      <c r="D932" s="75" t="s">
        <v>2025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2025</v>
      </c>
      <c r="AA932">
        <v>926</v>
      </c>
    </row>
    <row r="933" spans="1:27" x14ac:dyDescent="0.25">
      <c r="A933" s="97" t="s">
        <v>2030</v>
      </c>
      <c r="B933" s="51">
        <v>13.3</v>
      </c>
      <c r="C933" s="52"/>
      <c r="D933" s="75" t="s">
        <v>2028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2028</v>
      </c>
      <c r="AA933">
        <v>927</v>
      </c>
    </row>
    <row r="934" spans="1:27" x14ac:dyDescent="0.25">
      <c r="A934" s="24" t="s">
        <v>3858</v>
      </c>
      <c r="B934" s="25" t="s">
        <v>3620</v>
      </c>
      <c r="C934" s="26"/>
      <c r="D934" s="27" t="s">
        <v>3621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1862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1864</v>
      </c>
      <c r="B936" s="51">
        <v>21.25</v>
      </c>
      <c r="C936" s="122"/>
      <c r="D936" s="138" t="s">
        <v>1863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3859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1863</v>
      </c>
      <c r="AA936">
        <v>930</v>
      </c>
    </row>
    <row r="937" spans="1:27" x14ac:dyDescent="0.25">
      <c r="A937" s="121" t="s">
        <v>1866</v>
      </c>
      <c r="B937" s="51">
        <v>34.550000000000004</v>
      </c>
      <c r="C937" s="122"/>
      <c r="D937" s="138" t="s">
        <v>1865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3860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1865</v>
      </c>
      <c r="AA937">
        <v>931</v>
      </c>
    </row>
    <row r="938" spans="1:27" x14ac:dyDescent="0.25">
      <c r="A938" s="145" t="s">
        <v>1861</v>
      </c>
      <c r="B938" s="51">
        <v>18.600000000000001</v>
      </c>
      <c r="C938" s="171"/>
      <c r="D938" s="123" t="s">
        <v>1860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3849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1860</v>
      </c>
      <c r="AA938">
        <v>932</v>
      </c>
    </row>
    <row r="939" spans="1:27" x14ac:dyDescent="0.25">
      <c r="A939" s="149" t="s">
        <v>3850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3861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2051</v>
      </c>
      <c r="B942" s="51">
        <v>12.100000000000001</v>
      </c>
      <c r="C942" s="52"/>
      <c r="D942" s="75" t="s">
        <v>2049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2049</v>
      </c>
      <c r="AA942">
        <v>936</v>
      </c>
    </row>
    <row r="943" spans="1:27" x14ac:dyDescent="0.25">
      <c r="A943" s="97" t="s">
        <v>2055</v>
      </c>
      <c r="B943" s="51">
        <v>10.050000000000001</v>
      </c>
      <c r="C943" s="52"/>
      <c r="D943" s="75" t="s">
        <v>2053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2053</v>
      </c>
      <c r="AA943">
        <v>937</v>
      </c>
    </row>
    <row r="944" spans="1:27" x14ac:dyDescent="0.25">
      <c r="A944" s="121" t="s">
        <v>1373</v>
      </c>
      <c r="B944" s="51">
        <v>14.450000000000001</v>
      </c>
      <c r="C944" s="122"/>
      <c r="D944" s="138" t="s">
        <v>1372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3862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1372</v>
      </c>
      <c r="AA944">
        <v>938</v>
      </c>
    </row>
    <row r="945" spans="1:27" x14ac:dyDescent="0.25">
      <c r="A945" s="145" t="s">
        <v>3863</v>
      </c>
      <c r="B945" s="51">
        <v>10.050000000000001</v>
      </c>
      <c r="C945" s="122"/>
      <c r="D945" s="138" t="s">
        <v>1366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3864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1366</v>
      </c>
      <c r="AA945">
        <v>939</v>
      </c>
    </row>
    <row r="946" spans="1:27" x14ac:dyDescent="0.25">
      <c r="A946" s="97" t="s">
        <v>2057</v>
      </c>
      <c r="B946" s="51">
        <v>20.650000000000002</v>
      </c>
      <c r="C946" s="52"/>
      <c r="D946" s="75" t="s">
        <v>2056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2056</v>
      </c>
      <c r="AA946">
        <v>940</v>
      </c>
    </row>
    <row r="947" spans="1:27" x14ac:dyDescent="0.25">
      <c r="A947" s="149" t="s">
        <v>3865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3866</v>
      </c>
      <c r="B949" s="25" t="s">
        <v>3620</v>
      </c>
      <c r="C949" s="26"/>
      <c r="D949" s="27" t="s">
        <v>3621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2076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3867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2075</v>
      </c>
      <c r="B952" s="51">
        <v>5.6000000000000005</v>
      </c>
      <c r="C952" s="52"/>
      <c r="D952" s="75" t="s">
        <v>2073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2073</v>
      </c>
      <c r="AA952">
        <v>946</v>
      </c>
    </row>
    <row r="953" spans="1:27" ht="18" x14ac:dyDescent="0.25">
      <c r="A953" s="1" t="s">
        <v>2079</v>
      </c>
      <c r="B953" s="51">
        <v>5.6000000000000005</v>
      </c>
      <c r="C953" s="52"/>
      <c r="D953" s="75" t="s">
        <v>2077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2077</v>
      </c>
      <c r="AA953">
        <v>947</v>
      </c>
    </row>
    <row r="954" spans="1:27" x14ac:dyDescent="0.25">
      <c r="A954" s="1" t="s">
        <v>2082</v>
      </c>
      <c r="B954" s="51">
        <v>5.6000000000000005</v>
      </c>
      <c r="C954" s="52"/>
      <c r="D954" s="75" t="s">
        <v>2080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2080</v>
      </c>
      <c r="AA954">
        <v>948</v>
      </c>
    </row>
    <row r="955" spans="1:27" ht="18" x14ac:dyDescent="0.25">
      <c r="A955" s="66" t="s">
        <v>2085</v>
      </c>
      <c r="B955" s="51">
        <v>5.6000000000000005</v>
      </c>
      <c r="C955" s="52"/>
      <c r="D955" s="75" t="s">
        <v>2083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2083</v>
      </c>
      <c r="AA955">
        <v>949</v>
      </c>
    </row>
    <row r="956" spans="1:27" ht="18" x14ac:dyDescent="0.25">
      <c r="A956" s="1" t="s">
        <v>2088</v>
      </c>
      <c r="B956" s="51">
        <v>5.6000000000000005</v>
      </c>
      <c r="C956" s="52"/>
      <c r="D956" s="75" t="s">
        <v>2086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2086</v>
      </c>
      <c r="AA956">
        <v>950</v>
      </c>
    </row>
    <row r="957" spans="1:27" x14ac:dyDescent="0.25">
      <c r="A957" s="1" t="s">
        <v>2091</v>
      </c>
      <c r="B957" s="51">
        <v>6.5</v>
      </c>
      <c r="C957" s="52"/>
      <c r="D957" s="75" t="s">
        <v>2089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2089</v>
      </c>
      <c r="AA957">
        <v>951</v>
      </c>
    </row>
    <row r="958" spans="1:27" x14ac:dyDescent="0.25">
      <c r="A958" s="1" t="s">
        <v>2094</v>
      </c>
      <c r="B958" s="51">
        <v>14.450000000000001</v>
      </c>
      <c r="C958" s="52"/>
      <c r="D958" s="75" t="s">
        <v>2092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2092</v>
      </c>
      <c r="AA958">
        <v>952</v>
      </c>
    </row>
    <row r="959" spans="1:27" x14ac:dyDescent="0.25">
      <c r="A959" s="1" t="s">
        <v>2097</v>
      </c>
      <c r="B959" s="51">
        <v>19.05</v>
      </c>
      <c r="C959" s="52"/>
      <c r="D959" s="148" t="s">
        <v>2095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2095</v>
      </c>
      <c r="AA959">
        <v>953</v>
      </c>
    </row>
    <row r="960" spans="1:27" x14ac:dyDescent="0.25">
      <c r="A960" s="1" t="s">
        <v>2099</v>
      </c>
      <c r="B960" s="51">
        <v>36.050000000000004</v>
      </c>
      <c r="C960" s="52"/>
      <c r="D960" s="148" t="s">
        <v>2098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2098</v>
      </c>
      <c r="AA960">
        <v>954</v>
      </c>
    </row>
    <row r="961" spans="1:27" x14ac:dyDescent="0.25">
      <c r="A961" s="1" t="s">
        <v>2102</v>
      </c>
      <c r="B961" s="51">
        <v>4.75</v>
      </c>
      <c r="C961" s="52"/>
      <c r="D961" s="75" t="s">
        <v>2100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2100</v>
      </c>
      <c r="AA961">
        <v>955</v>
      </c>
    </row>
    <row r="962" spans="1:27" x14ac:dyDescent="0.25">
      <c r="A962" s="1" t="s">
        <v>2105</v>
      </c>
      <c r="B962" s="51">
        <v>4.75</v>
      </c>
      <c r="C962" s="52"/>
      <c r="D962" s="75" t="s">
        <v>2103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2103</v>
      </c>
      <c r="AA962">
        <v>956</v>
      </c>
    </row>
    <row r="963" spans="1:27" x14ac:dyDescent="0.25">
      <c r="A963" s="1" t="s">
        <v>2108</v>
      </c>
      <c r="B963" s="51">
        <v>4.75</v>
      </c>
      <c r="C963" s="52"/>
      <c r="D963" s="75" t="s">
        <v>2106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2106</v>
      </c>
      <c r="AA963">
        <v>957</v>
      </c>
    </row>
    <row r="964" spans="1:27" x14ac:dyDescent="0.25">
      <c r="A964" s="1" t="s">
        <v>2111</v>
      </c>
      <c r="B964" s="51">
        <v>4.75</v>
      </c>
      <c r="C964" s="52"/>
      <c r="D964" s="75" t="s">
        <v>2109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2109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3151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2114</v>
      </c>
      <c r="B967" s="51">
        <v>51</v>
      </c>
      <c r="C967" s="52"/>
      <c r="D967" s="2" t="s">
        <v>2112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2112</v>
      </c>
      <c r="AA967">
        <v>961</v>
      </c>
    </row>
    <row r="968" spans="1:27" x14ac:dyDescent="0.25">
      <c r="A968" s="149" t="s">
        <v>3868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2118</v>
      </c>
      <c r="B969" s="51">
        <v>57.800000000000004</v>
      </c>
      <c r="C969" s="52"/>
      <c r="D969" s="2" t="s">
        <v>2116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2116</v>
      </c>
      <c r="AA969">
        <v>963</v>
      </c>
    </row>
    <row r="970" spans="1:27" x14ac:dyDescent="0.25">
      <c r="A970" s="1" t="s">
        <v>2121</v>
      </c>
      <c r="B970" s="51">
        <v>63.150000000000006</v>
      </c>
      <c r="C970" s="52"/>
      <c r="D970" s="2" t="s">
        <v>2119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2119</v>
      </c>
      <c r="AA970">
        <v>964</v>
      </c>
    </row>
    <row r="971" spans="1:27" x14ac:dyDescent="0.25">
      <c r="A971" s="1" t="s">
        <v>2124</v>
      </c>
      <c r="B971" s="51">
        <v>65.75</v>
      </c>
      <c r="C971" s="52"/>
      <c r="D971" s="2" t="s">
        <v>2122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2122</v>
      </c>
      <c r="AA971">
        <v>965</v>
      </c>
    </row>
    <row r="972" spans="1:27" x14ac:dyDescent="0.25">
      <c r="A972" s="1" t="s">
        <v>2127</v>
      </c>
      <c r="B972" s="51">
        <v>107.35000000000001</v>
      </c>
      <c r="C972" s="52"/>
      <c r="D972" s="2" t="s">
        <v>2125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2125</v>
      </c>
      <c r="AA972">
        <v>966</v>
      </c>
    </row>
    <row r="973" spans="1:27" x14ac:dyDescent="0.25">
      <c r="A973" s="1" t="s">
        <v>2129</v>
      </c>
      <c r="B973" s="51">
        <v>141.20000000000002</v>
      </c>
      <c r="C973" s="52"/>
      <c r="D973" s="2" t="s">
        <v>2128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2128</v>
      </c>
      <c r="AA973">
        <v>967</v>
      </c>
    </row>
    <row r="974" spans="1:27" x14ac:dyDescent="0.25">
      <c r="A974" s="1" t="s">
        <v>2131</v>
      </c>
      <c r="B974" s="51">
        <v>174.3</v>
      </c>
      <c r="C974" s="52"/>
      <c r="D974" s="2" t="s">
        <v>2130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2130</v>
      </c>
      <c r="AA974">
        <v>968</v>
      </c>
    </row>
    <row r="975" spans="1:27" x14ac:dyDescent="0.25">
      <c r="A975" s="1" t="s">
        <v>2134</v>
      </c>
      <c r="B975" s="51">
        <v>181.60000000000002</v>
      </c>
      <c r="C975" s="52"/>
      <c r="D975" s="2" t="s">
        <v>2132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2132</v>
      </c>
      <c r="AA975">
        <v>969</v>
      </c>
    </row>
    <row r="976" spans="1:27" x14ac:dyDescent="0.25">
      <c r="A976" s="1" t="s">
        <v>2137</v>
      </c>
      <c r="B976" s="51">
        <v>71.150000000000006</v>
      </c>
      <c r="C976" s="52"/>
      <c r="D976" s="2" t="s">
        <v>2135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2135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2140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2139</v>
      </c>
      <c r="B979" s="51">
        <v>15.950000000000001</v>
      </c>
      <c r="C979" s="52"/>
      <c r="D979" s="75" t="s">
        <v>2138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2138</v>
      </c>
      <c r="AA979">
        <v>973</v>
      </c>
    </row>
    <row r="980" spans="1:27" x14ac:dyDescent="0.25">
      <c r="A980" s="97" t="s">
        <v>2143</v>
      </c>
      <c r="B980" s="51">
        <v>15.950000000000001</v>
      </c>
      <c r="C980" s="52"/>
      <c r="D980" s="75" t="s">
        <v>2141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2141</v>
      </c>
      <c r="AA980">
        <v>974</v>
      </c>
    </row>
    <row r="981" spans="1:27" x14ac:dyDescent="0.25">
      <c r="A981" s="1" t="s">
        <v>2146</v>
      </c>
      <c r="B981" s="51">
        <v>15.950000000000001</v>
      </c>
      <c r="C981" s="52"/>
      <c r="D981" s="75" t="s">
        <v>2144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2144</v>
      </c>
      <c r="AA981">
        <v>975</v>
      </c>
    </row>
    <row r="982" spans="1:27" x14ac:dyDescent="0.25">
      <c r="A982" s="1" t="s">
        <v>2148</v>
      </c>
      <c r="B982" s="51">
        <v>15.950000000000001</v>
      </c>
      <c r="C982" s="52"/>
      <c r="D982" s="75" t="s">
        <v>2147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2147</v>
      </c>
      <c r="AA982">
        <v>976</v>
      </c>
    </row>
    <row r="983" spans="1:27" x14ac:dyDescent="0.25">
      <c r="A983" s="1" t="s">
        <v>2150</v>
      </c>
      <c r="B983" s="51">
        <v>19.8</v>
      </c>
      <c r="C983" s="52"/>
      <c r="D983" s="75" t="s">
        <v>2149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2149</v>
      </c>
      <c r="AA983">
        <v>977</v>
      </c>
    </row>
    <row r="984" spans="1:27" x14ac:dyDescent="0.25">
      <c r="A984" s="151" t="s">
        <v>2153</v>
      </c>
      <c r="B984" s="67">
        <v>40.450000000000003</v>
      </c>
      <c r="C984" s="68"/>
      <c r="D984" s="69" t="s">
        <v>2151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2151</v>
      </c>
      <c r="AA984">
        <v>978</v>
      </c>
    </row>
    <row r="985" spans="1:27" x14ac:dyDescent="0.25">
      <c r="A985" s="151" t="s">
        <v>2156</v>
      </c>
      <c r="B985" s="51">
        <v>53.050000000000004</v>
      </c>
      <c r="C985" s="52"/>
      <c r="D985" s="75" t="s">
        <v>2154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2154</v>
      </c>
      <c r="AA985">
        <v>979</v>
      </c>
    </row>
    <row r="986" spans="1:27" x14ac:dyDescent="0.25">
      <c r="A986" s="96" t="s">
        <v>3869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3870</v>
      </c>
      <c r="B987" s="25" t="s">
        <v>3620</v>
      </c>
      <c r="C987" s="26"/>
      <c r="D987" s="27" t="s">
        <v>3621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2160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2159</v>
      </c>
      <c r="B989" s="51">
        <v>31.900000000000002</v>
      </c>
      <c r="C989" s="52"/>
      <c r="D989" s="2" t="s">
        <v>2157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2157</v>
      </c>
      <c r="AA989">
        <v>983</v>
      </c>
    </row>
    <row r="990" spans="1:27" x14ac:dyDescent="0.25">
      <c r="A990" s="97" t="s">
        <v>2162</v>
      </c>
      <c r="B990" s="51">
        <v>18.650000000000002</v>
      </c>
      <c r="C990" s="52"/>
      <c r="D990" s="2" t="s">
        <v>2161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2161</v>
      </c>
      <c r="AA990">
        <v>984</v>
      </c>
    </row>
    <row r="991" spans="1:27" x14ac:dyDescent="0.25">
      <c r="A991" s="97" t="s">
        <v>2164</v>
      </c>
      <c r="B991" s="51">
        <v>25.35</v>
      </c>
      <c r="C991" s="52"/>
      <c r="D991" s="2" t="s">
        <v>2163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2163</v>
      </c>
      <c r="AA991">
        <v>985</v>
      </c>
    </row>
    <row r="992" spans="1:27" x14ac:dyDescent="0.25">
      <c r="A992" s="145" t="s">
        <v>3871</v>
      </c>
      <c r="B992" s="51">
        <v>17.400000000000002</v>
      </c>
      <c r="C992" s="122"/>
      <c r="D992" s="123" t="s">
        <v>1999</v>
      </c>
      <c r="E992" s="124"/>
      <c r="F992" s="125"/>
      <c r="G992" s="126"/>
      <c r="H992" s="127"/>
      <c r="I992" s="125"/>
      <c r="J992" s="133"/>
      <c r="K992" s="125"/>
      <c r="L992" s="111" t="s">
        <v>3872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1999</v>
      </c>
      <c r="AA992">
        <v>986</v>
      </c>
    </row>
    <row r="993" spans="1:27" x14ac:dyDescent="0.25">
      <c r="A993" s="97" t="s">
        <v>2166</v>
      </c>
      <c r="B993" s="51">
        <v>31.900000000000002</v>
      </c>
      <c r="C993" s="52"/>
      <c r="D993" s="2" t="s">
        <v>2165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2165</v>
      </c>
      <c r="AA993">
        <v>987</v>
      </c>
    </row>
    <row r="994" spans="1:27" x14ac:dyDescent="0.25">
      <c r="A994" s="97" t="s">
        <v>2168</v>
      </c>
      <c r="B994" s="51">
        <v>10.050000000000001</v>
      </c>
      <c r="C994" s="52"/>
      <c r="D994" s="75" t="s">
        <v>2167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2167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2171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2173</v>
      </c>
      <c r="B997" s="51">
        <v>5.6000000000000005</v>
      </c>
      <c r="C997" s="52"/>
      <c r="D997" s="75" t="s">
        <v>2172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2172</v>
      </c>
      <c r="AA997">
        <v>991</v>
      </c>
    </row>
    <row r="998" spans="1:27" x14ac:dyDescent="0.25">
      <c r="A998" s="97" t="s">
        <v>2176</v>
      </c>
      <c r="B998" s="51">
        <v>3.75</v>
      </c>
      <c r="C998" s="52"/>
      <c r="D998" s="75" t="s">
        <v>2174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2174</v>
      </c>
      <c r="AA998">
        <v>992</v>
      </c>
    </row>
    <row r="999" spans="1:27" x14ac:dyDescent="0.25">
      <c r="A999" s="1" t="s">
        <v>2178</v>
      </c>
      <c r="B999" s="51">
        <v>9.15</v>
      </c>
      <c r="C999" s="52"/>
      <c r="D999" s="75" t="s">
        <v>2177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2177</v>
      </c>
      <c r="AA999">
        <v>993</v>
      </c>
    </row>
    <row r="1000" spans="1:27" x14ac:dyDescent="0.25">
      <c r="A1000" s="1" t="s">
        <v>2181</v>
      </c>
      <c r="B1000" s="51">
        <v>9.7000000000000011</v>
      </c>
      <c r="C1000" s="52"/>
      <c r="D1000" s="75" t="s">
        <v>2179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2179</v>
      </c>
      <c r="AA1000">
        <v>994</v>
      </c>
    </row>
    <row r="1001" spans="1:27" x14ac:dyDescent="0.25">
      <c r="A1001" s="97" t="s">
        <v>2184</v>
      </c>
      <c r="B1001" s="51">
        <v>15.950000000000001</v>
      </c>
      <c r="C1001" s="52"/>
      <c r="D1001" s="75" t="s">
        <v>2182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2182</v>
      </c>
      <c r="AA1001">
        <v>995</v>
      </c>
    </row>
    <row r="1002" spans="1:27" x14ac:dyDescent="0.25">
      <c r="A1002" s="145" t="s">
        <v>2170</v>
      </c>
      <c r="B1002" s="51">
        <v>1.5</v>
      </c>
      <c r="C1002" s="122"/>
      <c r="D1002" s="138" t="s">
        <v>2169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3873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2169</v>
      </c>
      <c r="AA1002">
        <v>996</v>
      </c>
    </row>
    <row r="1003" spans="1:27" x14ac:dyDescent="0.25">
      <c r="A1003" s="96" t="s">
        <v>3874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3875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2187</v>
      </c>
      <c r="B1006" s="51">
        <v>33.050000000000004</v>
      </c>
      <c r="C1006" s="52"/>
      <c r="D1006" s="2" t="s">
        <v>2185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2185</v>
      </c>
      <c r="AA1006">
        <v>1000</v>
      </c>
    </row>
    <row r="1007" spans="1:27" x14ac:dyDescent="0.25">
      <c r="A1007" s="97" t="s">
        <v>2190</v>
      </c>
      <c r="B1007" s="51">
        <v>42.2</v>
      </c>
      <c r="C1007" s="52"/>
      <c r="D1007" s="2" t="s">
        <v>2188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2188</v>
      </c>
      <c r="AA1007">
        <v>1001</v>
      </c>
    </row>
    <row r="1008" spans="1:27" x14ac:dyDescent="0.25">
      <c r="A1008" s="1" t="s">
        <v>2193</v>
      </c>
      <c r="B1008" s="51">
        <v>78.150000000000006</v>
      </c>
      <c r="C1008" s="52"/>
      <c r="D1008" s="2" t="s">
        <v>2191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2191</v>
      </c>
      <c r="AA1008">
        <v>1002</v>
      </c>
    </row>
    <row r="1009" spans="1:27" x14ac:dyDescent="0.25">
      <c r="A1009" s="97" t="s">
        <v>2195</v>
      </c>
      <c r="B1009" s="51">
        <v>33.050000000000004</v>
      </c>
      <c r="C1009" s="52"/>
      <c r="D1009" s="2" t="s">
        <v>2194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2194</v>
      </c>
      <c r="AA1009">
        <v>1003</v>
      </c>
    </row>
    <row r="1010" spans="1:27" x14ac:dyDescent="0.25">
      <c r="A1010" s="97" t="s">
        <v>2198</v>
      </c>
      <c r="B1010" s="51">
        <v>46.35</v>
      </c>
      <c r="C1010" s="52"/>
      <c r="D1010" s="2" t="s">
        <v>2196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2196</v>
      </c>
      <c r="AA1010">
        <v>1004</v>
      </c>
    </row>
    <row r="1011" spans="1:27" x14ac:dyDescent="0.25">
      <c r="A1011" s="151" t="s">
        <v>2201</v>
      </c>
      <c r="B1011" s="51">
        <v>46.6</v>
      </c>
      <c r="C1011" s="52"/>
      <c r="D1011" s="69" t="s">
        <v>2199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2199</v>
      </c>
      <c r="AA1011">
        <v>1005</v>
      </c>
    </row>
    <row r="1012" spans="1:27" x14ac:dyDescent="0.25">
      <c r="A1012" s="174" t="s">
        <v>2204</v>
      </c>
      <c r="B1012" s="51">
        <v>82.550000000000011</v>
      </c>
      <c r="C1012" s="52"/>
      <c r="D1012" s="69" t="s">
        <v>2202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2202</v>
      </c>
      <c r="AA1012">
        <v>1006</v>
      </c>
    </row>
    <row r="1013" spans="1:27" x14ac:dyDescent="0.25">
      <c r="A1013" s="97" t="s">
        <v>2207</v>
      </c>
      <c r="B1013" s="51">
        <v>63.6</v>
      </c>
      <c r="C1013" s="52"/>
      <c r="D1013" s="2" t="s">
        <v>2205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2205</v>
      </c>
      <c r="AA1013">
        <v>1007</v>
      </c>
    </row>
    <row r="1014" spans="1:27" x14ac:dyDescent="0.25">
      <c r="A1014" s="1" t="s">
        <v>2210</v>
      </c>
      <c r="B1014" s="51">
        <v>46.35</v>
      </c>
      <c r="C1014" s="52"/>
      <c r="D1014" s="2" t="s">
        <v>2208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2208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2213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2212</v>
      </c>
      <c r="B1017" s="51">
        <v>41.6</v>
      </c>
      <c r="C1017" s="52"/>
      <c r="D1017" s="75" t="s">
        <v>2211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2211</v>
      </c>
      <c r="AA1017">
        <v>1011</v>
      </c>
    </row>
    <row r="1018" spans="1:27" x14ac:dyDescent="0.25">
      <c r="A1018" s="149" t="s">
        <v>3876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3877</v>
      </c>
      <c r="B1020" s="25" t="s">
        <v>3620</v>
      </c>
      <c r="C1020" s="26"/>
      <c r="D1020" s="27" t="s">
        <v>3621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3878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2247</v>
      </c>
      <c r="B1023" s="51">
        <v>18.600000000000001</v>
      </c>
      <c r="C1023" s="52"/>
      <c r="D1023" s="2" t="s">
        <v>2245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2245</v>
      </c>
      <c r="AA1023">
        <v>1017</v>
      </c>
    </row>
    <row r="1024" spans="1:27" x14ac:dyDescent="0.25">
      <c r="A1024" s="97" t="s">
        <v>2220</v>
      </c>
      <c r="B1024" s="51">
        <v>3.5500000000000003</v>
      </c>
      <c r="C1024" s="52"/>
      <c r="D1024" s="2" t="s">
        <v>2218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2218</v>
      </c>
      <c r="AA1024">
        <v>1018</v>
      </c>
    </row>
    <row r="1025" spans="1:27" x14ac:dyDescent="0.25">
      <c r="A1025" s="97" t="s">
        <v>2250</v>
      </c>
      <c r="B1025" s="51">
        <v>6.5</v>
      </c>
      <c r="C1025" s="52"/>
      <c r="D1025" s="2" t="s">
        <v>2249</v>
      </c>
      <c r="E1025" s="53"/>
      <c r="F1025" s="18" t="s">
        <v>3879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2249</v>
      </c>
      <c r="AA1025">
        <v>1019</v>
      </c>
    </row>
    <row r="1026" spans="1:27" x14ac:dyDescent="0.25">
      <c r="A1026" s="97" t="s">
        <v>2253</v>
      </c>
      <c r="B1026" s="51">
        <v>18.600000000000001</v>
      </c>
      <c r="C1026" s="52"/>
      <c r="D1026" s="2" t="s">
        <v>2251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2251</v>
      </c>
      <c r="AA1026">
        <v>1020</v>
      </c>
    </row>
    <row r="1027" spans="1:27" x14ac:dyDescent="0.25">
      <c r="A1027" s="97" t="s">
        <v>2256</v>
      </c>
      <c r="B1027" s="51">
        <v>22.400000000000002</v>
      </c>
      <c r="C1027" s="52"/>
      <c r="D1027" s="2" t="s">
        <v>2254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2248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2259</v>
      </c>
      <c r="B1030" s="51">
        <v>39.800000000000004</v>
      </c>
      <c r="C1030" s="52"/>
      <c r="D1030" s="2" t="s">
        <v>2257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2257</v>
      </c>
      <c r="AA1030">
        <v>1024</v>
      </c>
    </row>
    <row r="1031" spans="1:27" x14ac:dyDescent="0.25">
      <c r="A1031" s="97" t="s">
        <v>2262</v>
      </c>
      <c r="B1031" s="51">
        <v>37.15</v>
      </c>
      <c r="C1031" s="52"/>
      <c r="D1031" s="2" t="s">
        <v>2260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2260</v>
      </c>
      <c r="AA1031">
        <v>1025</v>
      </c>
    </row>
    <row r="1032" spans="1:27" x14ac:dyDescent="0.25">
      <c r="A1032" s="97" t="s">
        <v>2265</v>
      </c>
      <c r="B1032" s="51">
        <v>31.900000000000002</v>
      </c>
      <c r="C1032" s="52"/>
      <c r="D1032" s="2" t="s">
        <v>2263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2263</v>
      </c>
      <c r="AA1032">
        <v>1026</v>
      </c>
    </row>
    <row r="1033" spans="1:27" x14ac:dyDescent="0.25">
      <c r="A1033" s="97" t="s">
        <v>2268</v>
      </c>
      <c r="B1033" s="51">
        <v>26.5</v>
      </c>
      <c r="C1033" s="52"/>
      <c r="D1033" s="2" t="s">
        <v>2266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2266</v>
      </c>
      <c r="AA1033">
        <v>1027</v>
      </c>
    </row>
    <row r="1034" spans="1:27" x14ac:dyDescent="0.25">
      <c r="A1034" s="97" t="s">
        <v>2271</v>
      </c>
      <c r="B1034" s="51">
        <v>21.25</v>
      </c>
      <c r="C1034" s="52"/>
      <c r="D1034" s="2" t="s">
        <v>2269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2269</v>
      </c>
      <c r="AA1034">
        <v>1028</v>
      </c>
    </row>
    <row r="1035" spans="1:27" x14ac:dyDescent="0.25">
      <c r="A1035" s="97" t="s">
        <v>2274</v>
      </c>
      <c r="B1035" s="51">
        <v>59.6</v>
      </c>
      <c r="C1035" s="52"/>
      <c r="D1035" s="2" t="s">
        <v>2272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2272</v>
      </c>
      <c r="AA1035">
        <v>1029</v>
      </c>
    </row>
    <row r="1036" spans="1:27" x14ac:dyDescent="0.25">
      <c r="A1036" s="97" t="s">
        <v>2277</v>
      </c>
      <c r="B1036" s="51">
        <v>7.4</v>
      </c>
      <c r="C1036" s="52"/>
      <c r="D1036" s="2" t="s">
        <v>2275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2275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2280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2210</v>
      </c>
      <c r="B1039" s="51">
        <v>46.35</v>
      </c>
      <c r="C1039" s="122"/>
      <c r="D1039" s="123" t="s">
        <v>2208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3880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2208</v>
      </c>
      <c r="AA1039">
        <v>1033</v>
      </c>
    </row>
    <row r="1040" spans="1:27" x14ac:dyDescent="0.25">
      <c r="A1040" s="97" t="s">
        <v>2279</v>
      </c>
      <c r="B1040" s="51">
        <v>15.950000000000001</v>
      </c>
      <c r="C1040" s="52"/>
      <c r="D1040" s="2" t="s">
        <v>2278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2278</v>
      </c>
      <c r="AA1040">
        <v>1034</v>
      </c>
    </row>
    <row r="1041" spans="1:27" x14ac:dyDescent="0.25">
      <c r="A1041" s="97" t="s">
        <v>2282</v>
      </c>
      <c r="B1041" s="51">
        <v>22.400000000000002</v>
      </c>
      <c r="C1041" s="52"/>
      <c r="D1041" s="2" t="s">
        <v>2281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2281</v>
      </c>
      <c r="AA1041">
        <v>1035</v>
      </c>
    </row>
    <row r="1042" spans="1:27" x14ac:dyDescent="0.25">
      <c r="A1042" s="97" t="s">
        <v>2284</v>
      </c>
      <c r="B1042" s="51">
        <v>22.400000000000002</v>
      </c>
      <c r="C1042" s="52"/>
      <c r="D1042" s="2" t="s">
        <v>2283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2283</v>
      </c>
      <c r="AA1042">
        <v>1036</v>
      </c>
    </row>
    <row r="1043" spans="1:27" x14ac:dyDescent="0.25">
      <c r="A1043" s="24" t="s">
        <v>3881</v>
      </c>
      <c r="B1043" s="25" t="s">
        <v>3620</v>
      </c>
      <c r="C1043" s="26"/>
      <c r="D1043" s="27" t="s">
        <v>3621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3882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2224</v>
      </c>
      <c r="B1045" s="51">
        <v>13.3</v>
      </c>
      <c r="C1045" s="52"/>
      <c r="D1045" s="2" t="s">
        <v>2222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2222</v>
      </c>
      <c r="AA1045">
        <v>1039</v>
      </c>
    </row>
    <row r="1046" spans="1:27" ht="18" x14ac:dyDescent="0.25">
      <c r="A1046" s="97" t="s">
        <v>2226</v>
      </c>
      <c r="B1046" s="51">
        <v>5.8500000000000005</v>
      </c>
      <c r="C1046" s="52"/>
      <c r="D1046" s="2" t="s">
        <v>2225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2225</v>
      </c>
      <c r="AA1046">
        <v>1040</v>
      </c>
    </row>
    <row r="1047" spans="1:27" x14ac:dyDescent="0.25">
      <c r="A1047" s="145" t="s">
        <v>2220</v>
      </c>
      <c r="B1047" s="51">
        <v>3.5500000000000003</v>
      </c>
      <c r="C1047" s="122"/>
      <c r="D1047" s="123" t="s">
        <v>2218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3883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2218</v>
      </c>
      <c r="AA1047">
        <v>1041</v>
      </c>
    </row>
    <row r="1048" spans="1:27" x14ac:dyDescent="0.25">
      <c r="A1048" s="145" t="s">
        <v>2250</v>
      </c>
      <c r="B1048" s="51">
        <v>6.5</v>
      </c>
      <c r="C1048" s="122"/>
      <c r="D1048" s="123" t="s">
        <v>2249</v>
      </c>
      <c r="E1048" s="124"/>
      <c r="F1048" s="125" t="s">
        <v>3879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3884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2249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2228</v>
      </c>
      <c r="B1051" s="51">
        <v>42.2</v>
      </c>
      <c r="C1051" s="52"/>
      <c r="D1051" s="2" t="s">
        <v>2227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2227</v>
      </c>
      <c r="AA1051">
        <v>1045</v>
      </c>
    </row>
    <row r="1052" spans="1:27" x14ac:dyDescent="0.25">
      <c r="A1052" s="97" t="s">
        <v>2231</v>
      </c>
      <c r="B1052" s="51">
        <v>42.5</v>
      </c>
      <c r="C1052" s="52"/>
      <c r="D1052" s="2" t="s">
        <v>2229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2229</v>
      </c>
      <c r="AA1052">
        <v>1046</v>
      </c>
    </row>
    <row r="1053" spans="1:27" x14ac:dyDescent="0.25">
      <c r="A1053" s="97" t="s">
        <v>2233</v>
      </c>
      <c r="B1053" s="51">
        <v>12.100000000000001</v>
      </c>
      <c r="C1053" s="52"/>
      <c r="D1053" s="2" t="s">
        <v>2232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2232</v>
      </c>
      <c r="AA1053">
        <v>1047</v>
      </c>
    </row>
    <row r="1054" spans="1:27" x14ac:dyDescent="0.25">
      <c r="A1054" s="97" t="s">
        <v>2235</v>
      </c>
      <c r="B1054" s="51">
        <v>26.5</v>
      </c>
      <c r="C1054" s="52"/>
      <c r="D1054" s="2" t="s">
        <v>2234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2234</v>
      </c>
      <c r="AA1054">
        <v>1048</v>
      </c>
    </row>
    <row r="1055" spans="1:27" x14ac:dyDescent="0.25">
      <c r="A1055" s="97" t="s">
        <v>2238</v>
      </c>
      <c r="B1055" s="51">
        <v>97.600000000000009</v>
      </c>
      <c r="C1055" s="52"/>
      <c r="D1055" s="2" t="s">
        <v>2236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2236</v>
      </c>
      <c r="AA1055">
        <v>1049</v>
      </c>
    </row>
    <row r="1056" spans="1:27" x14ac:dyDescent="0.25">
      <c r="A1056" s="97" t="s">
        <v>2241</v>
      </c>
      <c r="B1056" s="51">
        <v>189.25</v>
      </c>
      <c r="C1056" s="52"/>
      <c r="D1056" s="2" t="s">
        <v>2239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2239</v>
      </c>
      <c r="AA1056">
        <v>1050</v>
      </c>
    </row>
    <row r="1057" spans="1:27" x14ac:dyDescent="0.25">
      <c r="A1057" s="97" t="s">
        <v>2244</v>
      </c>
      <c r="B1057" s="51">
        <v>126.25</v>
      </c>
      <c r="C1057" s="52"/>
      <c r="D1057" s="2" t="s">
        <v>2242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2242</v>
      </c>
      <c r="AA1057">
        <v>1051</v>
      </c>
    </row>
    <row r="1058" spans="1:27" x14ac:dyDescent="0.25">
      <c r="A1058" s="178" t="s">
        <v>3885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3886</v>
      </c>
      <c r="B1059" s="25" t="s">
        <v>3620</v>
      </c>
      <c r="C1059" s="26"/>
      <c r="D1059" s="27" t="s">
        <v>3621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3887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1411</v>
      </c>
      <c r="B1061" s="51">
        <v>31.900000000000002</v>
      </c>
      <c r="C1061" s="52"/>
      <c r="D1061" s="2" t="s">
        <v>1409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1409</v>
      </c>
      <c r="AA1061">
        <v>1055</v>
      </c>
    </row>
    <row r="1062" spans="1:27" x14ac:dyDescent="0.25">
      <c r="A1062" s="1" t="s">
        <v>1465</v>
      </c>
      <c r="B1062" s="51">
        <v>45.1</v>
      </c>
      <c r="C1062" s="52"/>
      <c r="D1062" s="2" t="s">
        <v>1463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1463</v>
      </c>
      <c r="AA1062">
        <v>1056</v>
      </c>
    </row>
    <row r="1063" spans="1:27" x14ac:dyDescent="0.25">
      <c r="A1063" s="1" t="s">
        <v>1469</v>
      </c>
      <c r="B1063" s="51">
        <v>54.300000000000004</v>
      </c>
      <c r="C1063" s="52"/>
      <c r="D1063" s="2" t="s">
        <v>1467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1467</v>
      </c>
      <c r="AA1063">
        <v>1057</v>
      </c>
    </row>
    <row r="1064" spans="1:27" x14ac:dyDescent="0.25">
      <c r="A1064" s="101" t="s">
        <v>3888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3889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1472</v>
      </c>
      <c r="B1067" s="51">
        <v>27.75</v>
      </c>
      <c r="C1067" s="52"/>
      <c r="D1067" s="2" t="s">
        <v>1470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1470</v>
      </c>
      <c r="AA1067">
        <v>1061</v>
      </c>
    </row>
    <row r="1068" spans="1:27" x14ac:dyDescent="0.25">
      <c r="A1068" s="1" t="s">
        <v>1580</v>
      </c>
      <c r="B1068" s="51">
        <v>28.950000000000003</v>
      </c>
      <c r="C1068" s="52"/>
      <c r="D1068" s="2" t="s">
        <v>1578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1578</v>
      </c>
      <c r="AA1068">
        <v>1062</v>
      </c>
    </row>
    <row r="1069" spans="1:27" x14ac:dyDescent="0.25">
      <c r="A1069" s="1" t="s">
        <v>1476</v>
      </c>
      <c r="B1069" s="51">
        <v>7.4</v>
      </c>
      <c r="C1069" s="52"/>
      <c r="D1069" s="75" t="s">
        <v>1474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1474</v>
      </c>
      <c r="AA1069">
        <v>1063</v>
      </c>
    </row>
    <row r="1070" spans="1:27" x14ac:dyDescent="0.25">
      <c r="A1070" s="1" t="s">
        <v>1479</v>
      </c>
      <c r="B1070" s="51">
        <v>15.100000000000001</v>
      </c>
      <c r="C1070" s="52"/>
      <c r="D1070" s="75" t="s">
        <v>1477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1477</v>
      </c>
      <c r="AA1070">
        <v>1064</v>
      </c>
    </row>
    <row r="1071" spans="1:27" x14ac:dyDescent="0.25">
      <c r="A1071" s="1" t="s">
        <v>1482</v>
      </c>
      <c r="B1071" s="51">
        <v>15.950000000000001</v>
      </c>
      <c r="C1071" s="52"/>
      <c r="D1071" s="75" t="s">
        <v>1480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1480</v>
      </c>
      <c r="AA1071">
        <v>1065</v>
      </c>
    </row>
    <row r="1072" spans="1:27" x14ac:dyDescent="0.25">
      <c r="A1072" s="1" t="s">
        <v>1485</v>
      </c>
      <c r="B1072" s="51">
        <v>22.400000000000002</v>
      </c>
      <c r="C1072" s="52"/>
      <c r="D1072" s="75" t="s">
        <v>1483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1483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3890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1487</v>
      </c>
      <c r="B1075" s="51">
        <v>74</v>
      </c>
      <c r="C1075" s="52"/>
      <c r="D1075" s="2" t="s">
        <v>1486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1486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1504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1503</v>
      </c>
      <c r="B1078" s="51">
        <v>146.25</v>
      </c>
      <c r="C1078" s="52"/>
      <c r="D1078" s="2" t="s">
        <v>1501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1501</v>
      </c>
      <c r="AA1078">
        <v>1072</v>
      </c>
    </row>
    <row r="1079" spans="1:27" x14ac:dyDescent="0.25">
      <c r="A1079" s="1" t="s">
        <v>1507</v>
      </c>
      <c r="B1079" s="51">
        <v>166.5</v>
      </c>
      <c r="C1079" s="52"/>
      <c r="D1079" s="2" t="s">
        <v>1505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1505</v>
      </c>
      <c r="AA1079">
        <v>1073</v>
      </c>
    </row>
    <row r="1080" spans="1:27" x14ac:dyDescent="0.25">
      <c r="A1080" s="1" t="s">
        <v>1510</v>
      </c>
      <c r="B1080" s="51">
        <v>172.05</v>
      </c>
      <c r="C1080" s="52"/>
      <c r="D1080" s="2" t="s">
        <v>1508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1508</v>
      </c>
      <c r="AA1080">
        <v>1074</v>
      </c>
    </row>
    <row r="1081" spans="1:27" x14ac:dyDescent="0.25">
      <c r="A1081" s="1" t="s">
        <v>1513</v>
      </c>
      <c r="B1081" s="51">
        <v>177.35000000000002</v>
      </c>
      <c r="C1081" s="52"/>
      <c r="D1081" s="2" t="s">
        <v>1511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1511</v>
      </c>
      <c r="AA1081">
        <v>1075</v>
      </c>
    </row>
    <row r="1082" spans="1:27" x14ac:dyDescent="0.25">
      <c r="A1082" s="1" t="s">
        <v>1516</v>
      </c>
      <c r="B1082" s="51">
        <v>23.900000000000002</v>
      </c>
      <c r="C1082" s="52"/>
      <c r="D1082" s="75" t="s">
        <v>1514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1514</v>
      </c>
      <c r="AA1082">
        <v>1076</v>
      </c>
    </row>
    <row r="1083" spans="1:27" x14ac:dyDescent="0.25">
      <c r="A1083" s="1" t="s">
        <v>1519</v>
      </c>
      <c r="B1083" s="51">
        <v>25.35</v>
      </c>
      <c r="C1083" s="52"/>
      <c r="D1083" s="75" t="s">
        <v>1517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1517</v>
      </c>
      <c r="AA1083">
        <v>1077</v>
      </c>
    </row>
    <row r="1084" spans="1:27" x14ac:dyDescent="0.25">
      <c r="A1084" s="1" t="s">
        <v>1521</v>
      </c>
      <c r="B1084" s="51">
        <v>106.15</v>
      </c>
      <c r="C1084" s="52"/>
      <c r="D1084" s="75" t="s">
        <v>1520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1520</v>
      </c>
      <c r="AA1084">
        <v>1078</v>
      </c>
    </row>
    <row r="1085" spans="1:27" x14ac:dyDescent="0.25">
      <c r="A1085" s="1" t="s">
        <v>1523</v>
      </c>
      <c r="B1085" s="51">
        <v>111.45</v>
      </c>
      <c r="C1085" s="52"/>
      <c r="D1085" s="69" t="s">
        <v>1522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1522</v>
      </c>
      <c r="AA1085">
        <v>1079</v>
      </c>
    </row>
    <row r="1086" spans="1:27" x14ac:dyDescent="0.25">
      <c r="A1086" s="101" t="s">
        <v>3891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3892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1489</v>
      </c>
      <c r="B1089" s="51">
        <v>28.950000000000003</v>
      </c>
      <c r="C1089" s="52"/>
      <c r="D1089" s="2" t="s">
        <v>1488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1488</v>
      </c>
      <c r="AA1089">
        <v>1083</v>
      </c>
    </row>
    <row r="1090" spans="1:27" x14ac:dyDescent="0.25">
      <c r="A1090" s="1" t="s">
        <v>1492</v>
      </c>
      <c r="B1090" s="51">
        <v>18.05</v>
      </c>
      <c r="C1090" s="52"/>
      <c r="D1090" s="75" t="s">
        <v>1490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1490</v>
      </c>
      <c r="AA1090">
        <v>1084</v>
      </c>
    </row>
    <row r="1091" spans="1:27" x14ac:dyDescent="0.25">
      <c r="A1091" s="1" t="s">
        <v>1495</v>
      </c>
      <c r="B1091" s="51">
        <v>8.0500000000000007</v>
      </c>
      <c r="C1091" s="52"/>
      <c r="D1091" s="75" t="s">
        <v>1493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1493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1498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1497</v>
      </c>
      <c r="B1094" s="51">
        <v>22.400000000000002</v>
      </c>
      <c r="C1094" s="52"/>
      <c r="D1094" s="75" t="s">
        <v>1496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1496</v>
      </c>
      <c r="AA1094">
        <v>1088</v>
      </c>
    </row>
    <row r="1095" spans="1:27" x14ac:dyDescent="0.25">
      <c r="A1095" s="1" t="s">
        <v>1500</v>
      </c>
      <c r="B1095" s="51">
        <v>27.150000000000002</v>
      </c>
      <c r="C1095" s="52"/>
      <c r="D1095" s="75" t="s">
        <v>1499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1499</v>
      </c>
      <c r="AA1095">
        <v>1089</v>
      </c>
    </row>
    <row r="1096" spans="1:27" x14ac:dyDescent="0.25">
      <c r="A1096" s="24" t="s">
        <v>3893</v>
      </c>
      <c r="B1096" s="25" t="s">
        <v>3620</v>
      </c>
      <c r="C1096" s="26"/>
      <c r="D1096" s="27" t="s">
        <v>3621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1527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1526</v>
      </c>
      <c r="B1098" s="51">
        <v>32.75</v>
      </c>
      <c r="C1098" s="52"/>
      <c r="D1098" s="2" t="s">
        <v>1524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1524</v>
      </c>
      <c r="AA1098">
        <v>1092</v>
      </c>
    </row>
    <row r="1099" spans="1:27" x14ac:dyDescent="0.25">
      <c r="A1099" s="1" t="s">
        <v>1530</v>
      </c>
      <c r="B1099" s="51">
        <v>135.05000000000001</v>
      </c>
      <c r="C1099" s="52"/>
      <c r="D1099" s="2" t="s">
        <v>1528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1528</v>
      </c>
      <c r="AA1099">
        <v>1093</v>
      </c>
    </row>
    <row r="1100" spans="1:27" x14ac:dyDescent="0.25">
      <c r="A1100" s="1" t="s">
        <v>1532</v>
      </c>
      <c r="B1100" s="51">
        <v>68.95</v>
      </c>
      <c r="C1100" s="52"/>
      <c r="D1100" s="2" t="s">
        <v>1531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1531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1535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1534</v>
      </c>
      <c r="B1103" s="51">
        <v>136.65</v>
      </c>
      <c r="C1103" s="52"/>
      <c r="D1103" s="2" t="s">
        <v>1533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1533</v>
      </c>
      <c r="AA1103">
        <v>1097</v>
      </c>
    </row>
    <row r="1104" spans="1:27" x14ac:dyDescent="0.25">
      <c r="A1104" s="1" t="s">
        <v>1538</v>
      </c>
      <c r="B1104" s="51">
        <v>33.050000000000004</v>
      </c>
      <c r="C1104" s="52"/>
      <c r="D1104" s="75" t="s">
        <v>1536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1536</v>
      </c>
      <c r="AA1104">
        <v>1098</v>
      </c>
    </row>
    <row r="1105" spans="1:27" x14ac:dyDescent="0.25">
      <c r="A1105" s="1" t="s">
        <v>1541</v>
      </c>
      <c r="B1105" s="51">
        <v>176.60000000000002</v>
      </c>
      <c r="C1105" s="52"/>
      <c r="D1105" s="75" t="s">
        <v>1539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1539</v>
      </c>
      <c r="AA1105">
        <v>1099</v>
      </c>
    </row>
    <row r="1106" spans="1:27" x14ac:dyDescent="0.25">
      <c r="A1106" s="1" t="s">
        <v>1543</v>
      </c>
      <c r="B1106" s="51">
        <v>189.25</v>
      </c>
      <c r="C1106" s="52"/>
      <c r="D1106" s="2" t="s">
        <v>1542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1542</v>
      </c>
      <c r="AA1106">
        <v>1100</v>
      </c>
    </row>
    <row r="1107" spans="1:27" x14ac:dyDescent="0.25">
      <c r="A1107" s="1" t="s">
        <v>1546</v>
      </c>
      <c r="B1107" s="51">
        <v>226.45000000000002</v>
      </c>
      <c r="C1107" s="52"/>
      <c r="D1107" s="2" t="s">
        <v>1544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1544</v>
      </c>
      <c r="AA1107">
        <v>1101</v>
      </c>
    </row>
    <row r="1108" spans="1:27" x14ac:dyDescent="0.25">
      <c r="A1108" s="1" t="s">
        <v>1548</v>
      </c>
      <c r="B1108" s="51">
        <v>53.050000000000004</v>
      </c>
      <c r="C1108" s="52"/>
      <c r="D1108" s="75" t="s">
        <v>1547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1547</v>
      </c>
      <c r="AA1108">
        <v>1102</v>
      </c>
    </row>
    <row r="1109" spans="1:27" x14ac:dyDescent="0.25">
      <c r="A1109" s="1" t="s">
        <v>1550</v>
      </c>
      <c r="B1109" s="51">
        <v>26.5</v>
      </c>
      <c r="C1109" s="52"/>
      <c r="D1109" s="75" t="s">
        <v>1549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1549</v>
      </c>
      <c r="AA1109">
        <v>1103</v>
      </c>
    </row>
    <row r="1110" spans="1:27" x14ac:dyDescent="0.25">
      <c r="A1110" s="1" t="s">
        <v>1552</v>
      </c>
      <c r="B1110" s="51">
        <v>53.050000000000004</v>
      </c>
      <c r="C1110" s="52"/>
      <c r="D1110" s="75" t="s">
        <v>1551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1551</v>
      </c>
      <c r="AA1110">
        <v>1104</v>
      </c>
    </row>
    <row r="1111" spans="1:27" x14ac:dyDescent="0.25">
      <c r="A1111" s="1" t="s">
        <v>1554</v>
      </c>
      <c r="B1111" s="51">
        <v>28.950000000000003</v>
      </c>
      <c r="C1111" s="52"/>
      <c r="D1111" s="75" t="s">
        <v>1553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1553</v>
      </c>
      <c r="AA1111">
        <v>1105</v>
      </c>
    </row>
    <row r="1112" spans="1:27" x14ac:dyDescent="0.25">
      <c r="A1112" s="1" t="s">
        <v>1556</v>
      </c>
      <c r="B1112" s="51">
        <v>28.35</v>
      </c>
      <c r="C1112" s="52"/>
      <c r="D1112" s="75" t="s">
        <v>1555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1555</v>
      </c>
      <c r="AA1112">
        <v>1106</v>
      </c>
    </row>
    <row r="1113" spans="1:27" x14ac:dyDescent="0.25">
      <c r="A1113" s="1" t="s">
        <v>1559</v>
      </c>
      <c r="B1113" s="51">
        <v>28.35</v>
      </c>
      <c r="C1113" s="52"/>
      <c r="D1113" s="75" t="s">
        <v>1557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1557</v>
      </c>
      <c r="AA1113">
        <v>1107</v>
      </c>
    </row>
    <row r="1114" spans="1:27" x14ac:dyDescent="0.25">
      <c r="A1114" s="1" t="s">
        <v>1561</v>
      </c>
      <c r="B1114" s="51">
        <v>22.400000000000002</v>
      </c>
      <c r="C1114" s="52"/>
      <c r="D1114" s="75" t="s">
        <v>1560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1560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3894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1563</v>
      </c>
      <c r="B1117" s="51">
        <v>82</v>
      </c>
      <c r="C1117" s="52"/>
      <c r="D1117" s="2" t="s">
        <v>1562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1562</v>
      </c>
      <c r="AA1117">
        <v>1111</v>
      </c>
    </row>
    <row r="1118" spans="1:27" x14ac:dyDescent="0.25">
      <c r="A1118" s="1" t="s">
        <v>1567</v>
      </c>
      <c r="B1118" s="51">
        <v>73.7</v>
      </c>
      <c r="C1118" s="52"/>
      <c r="D1118" s="2" t="s">
        <v>1565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1565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1571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1570</v>
      </c>
      <c r="B1121" s="51">
        <v>17.400000000000002</v>
      </c>
      <c r="C1121" s="52"/>
      <c r="D1121" s="2" t="s">
        <v>1568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1568</v>
      </c>
      <c r="AA1121">
        <v>1115</v>
      </c>
    </row>
    <row r="1122" spans="1:27" x14ac:dyDescent="0.25">
      <c r="A1122" s="1" t="s">
        <v>1573</v>
      </c>
      <c r="B1122" s="51">
        <v>25.35</v>
      </c>
      <c r="C1122" s="52"/>
      <c r="D1122" s="2" t="s">
        <v>1572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1572</v>
      </c>
      <c r="AA1122">
        <v>1116</v>
      </c>
    </row>
    <row r="1123" spans="1:27" x14ac:dyDescent="0.25">
      <c r="A1123" s="1" t="s">
        <v>1575</v>
      </c>
      <c r="B1123" s="51">
        <v>41</v>
      </c>
      <c r="C1123" s="52"/>
      <c r="D1123" s="2" t="s">
        <v>1574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1574</v>
      </c>
      <c r="AA1123">
        <v>1117</v>
      </c>
    </row>
    <row r="1124" spans="1:27" x14ac:dyDescent="0.25">
      <c r="A1124" s="1" t="s">
        <v>1577</v>
      </c>
      <c r="B1124" s="51">
        <v>113.30000000000001</v>
      </c>
      <c r="C1124" s="52"/>
      <c r="D1124" s="2" t="s">
        <v>1576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1576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3895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1583</v>
      </c>
      <c r="B1127" s="51">
        <v>51.650000000000006</v>
      </c>
      <c r="C1127" s="52"/>
      <c r="D1127" s="2" t="s">
        <v>1581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1581</v>
      </c>
      <c r="AA1127">
        <v>1121</v>
      </c>
    </row>
    <row r="1128" spans="1:27" ht="18" x14ac:dyDescent="0.25">
      <c r="A1128" s="1" t="s">
        <v>1585</v>
      </c>
      <c r="B1128" s="51">
        <v>73.45</v>
      </c>
      <c r="C1128" s="52"/>
      <c r="D1128" s="2" t="s">
        <v>1584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1584</v>
      </c>
      <c r="AA1128">
        <v>1122</v>
      </c>
    </row>
    <row r="1129" spans="1:27" x14ac:dyDescent="0.25">
      <c r="A1129" s="1" t="s">
        <v>1588</v>
      </c>
      <c r="B1129" s="51">
        <v>64.850000000000009</v>
      </c>
      <c r="C1129" s="52"/>
      <c r="D1129" s="2" t="s">
        <v>1586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1586</v>
      </c>
      <c r="AA1129">
        <v>1123</v>
      </c>
    </row>
    <row r="1130" spans="1:27" x14ac:dyDescent="0.25">
      <c r="A1130" s="66" t="s">
        <v>1590</v>
      </c>
      <c r="B1130" s="51">
        <v>74.650000000000006</v>
      </c>
      <c r="C1130" s="52"/>
      <c r="D1130" s="2" t="s">
        <v>1589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1589</v>
      </c>
      <c r="AA1130">
        <v>1124</v>
      </c>
    </row>
    <row r="1131" spans="1:27" x14ac:dyDescent="0.25">
      <c r="A1131" s="1" t="s">
        <v>1592</v>
      </c>
      <c r="B1131" s="51">
        <v>80.900000000000006</v>
      </c>
      <c r="C1131" s="52"/>
      <c r="D1131" s="2" t="s">
        <v>1591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1591</v>
      </c>
      <c r="AA1131">
        <v>1125</v>
      </c>
    </row>
    <row r="1132" spans="1:27" x14ac:dyDescent="0.25">
      <c r="A1132" s="1" t="s">
        <v>1595</v>
      </c>
      <c r="B1132" s="51">
        <v>125.75</v>
      </c>
      <c r="C1132" s="52"/>
      <c r="D1132" s="2" t="s">
        <v>1593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1593</v>
      </c>
      <c r="AA1132">
        <v>1126</v>
      </c>
    </row>
    <row r="1133" spans="1:27" x14ac:dyDescent="0.25">
      <c r="A1133" s="1" t="s">
        <v>1597</v>
      </c>
      <c r="B1133" s="51">
        <v>229.95000000000002</v>
      </c>
      <c r="C1133" s="52"/>
      <c r="D1133" s="2" t="s">
        <v>1596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1596</v>
      </c>
      <c r="AA1133">
        <v>1127</v>
      </c>
    </row>
    <row r="1134" spans="1:27" x14ac:dyDescent="0.25">
      <c r="A1134" s="1" t="s">
        <v>1599</v>
      </c>
      <c r="B1134" s="51">
        <v>33.65</v>
      </c>
      <c r="C1134" s="52"/>
      <c r="D1134" s="2" t="s">
        <v>1598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1598</v>
      </c>
      <c r="AA1134">
        <v>1128</v>
      </c>
    </row>
    <row r="1135" spans="1:27" x14ac:dyDescent="0.25">
      <c r="A1135" s="1" t="s">
        <v>1601</v>
      </c>
      <c r="B1135" s="51">
        <v>33.65</v>
      </c>
      <c r="C1135" s="52"/>
      <c r="D1135" s="2" t="s">
        <v>1600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1600</v>
      </c>
      <c r="AA1135">
        <v>1129</v>
      </c>
    </row>
    <row r="1136" spans="1:27" x14ac:dyDescent="0.25">
      <c r="A1136" s="1" t="s">
        <v>1603</v>
      </c>
      <c r="B1136" s="51">
        <v>41.1</v>
      </c>
      <c r="C1136" s="52"/>
      <c r="D1136" s="2" t="s">
        <v>1602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1602</v>
      </c>
      <c r="AA1136">
        <v>1130</v>
      </c>
    </row>
    <row r="1137" spans="1:27" x14ac:dyDescent="0.25">
      <c r="A1137" t="s">
        <v>1605</v>
      </c>
      <c r="B1137" s="51">
        <v>41.1</v>
      </c>
      <c r="C1137" s="52"/>
      <c r="D1137" s="69" t="s">
        <v>1604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1604</v>
      </c>
      <c r="AA1137">
        <v>1131</v>
      </c>
    </row>
    <row r="1138" spans="1:27" x14ac:dyDescent="0.25">
      <c r="A1138" s="121" t="s">
        <v>1791</v>
      </c>
      <c r="B1138" s="51">
        <v>58.150000000000006</v>
      </c>
      <c r="C1138" s="122"/>
      <c r="D1138" s="123" t="s">
        <v>1790</v>
      </c>
      <c r="E1138" s="134"/>
      <c r="F1138" s="125"/>
      <c r="G1138" s="126"/>
      <c r="H1138" s="127"/>
      <c r="I1138" s="125"/>
      <c r="J1138" s="133"/>
      <c r="K1138" s="125"/>
      <c r="L1138" s="146" t="s">
        <v>3896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1790</v>
      </c>
      <c r="AA1138">
        <v>1132</v>
      </c>
    </row>
    <row r="1139" spans="1:27" x14ac:dyDescent="0.25">
      <c r="A1139" s="121" t="s">
        <v>1793</v>
      </c>
      <c r="B1139" s="51">
        <v>70.75</v>
      </c>
      <c r="C1139" s="122"/>
      <c r="D1139" s="123" t="s">
        <v>1792</v>
      </c>
      <c r="E1139" s="134"/>
      <c r="F1139" s="125"/>
      <c r="G1139" s="126"/>
      <c r="H1139" s="127"/>
      <c r="I1139" s="125"/>
      <c r="J1139" s="133"/>
      <c r="K1139" s="125"/>
      <c r="L1139" s="146" t="s">
        <v>3897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1792</v>
      </c>
      <c r="AA1139">
        <v>1133</v>
      </c>
    </row>
    <row r="1140" spans="1:27" x14ac:dyDescent="0.25">
      <c r="A1140" s="121" t="s">
        <v>1796</v>
      </c>
      <c r="B1140" s="51">
        <v>21.55</v>
      </c>
      <c r="C1140" s="122"/>
      <c r="D1140" s="123" t="s">
        <v>1794</v>
      </c>
      <c r="E1140" s="134"/>
      <c r="F1140" s="125"/>
      <c r="G1140" s="126"/>
      <c r="H1140" s="127"/>
      <c r="I1140" s="125"/>
      <c r="J1140" s="133"/>
      <c r="K1140" s="125"/>
      <c r="L1140" s="146" t="s">
        <v>3898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1794</v>
      </c>
      <c r="AA1140">
        <v>1134</v>
      </c>
    </row>
    <row r="1141" spans="1:27" x14ac:dyDescent="0.25">
      <c r="A1141" s="1" t="s">
        <v>1607</v>
      </c>
      <c r="B1141" s="51">
        <v>22.400000000000002</v>
      </c>
      <c r="C1141" s="52"/>
      <c r="D1141" s="2" t="s">
        <v>1606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1606</v>
      </c>
      <c r="AA1141">
        <v>1135</v>
      </c>
    </row>
    <row r="1142" spans="1:27" x14ac:dyDescent="0.25">
      <c r="A1142" s="1" t="s">
        <v>1610</v>
      </c>
      <c r="B1142" s="51">
        <v>30.700000000000003</v>
      </c>
      <c r="C1142" s="52"/>
      <c r="D1142" s="75" t="s">
        <v>1608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1608</v>
      </c>
      <c r="AA1142">
        <v>1136</v>
      </c>
    </row>
    <row r="1143" spans="1:27" x14ac:dyDescent="0.25">
      <c r="A1143" s="1" t="s">
        <v>1612</v>
      </c>
      <c r="B1143" s="51">
        <v>25.35</v>
      </c>
      <c r="C1143" s="52"/>
      <c r="D1143" s="2" t="s">
        <v>1611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1611</v>
      </c>
      <c r="AA1143">
        <v>1137</v>
      </c>
    </row>
    <row r="1144" spans="1:27" x14ac:dyDescent="0.25">
      <c r="A1144" s="1" t="s">
        <v>1614</v>
      </c>
      <c r="B1144" s="51">
        <v>43.95</v>
      </c>
      <c r="C1144" s="52"/>
      <c r="D1144" s="2" t="s">
        <v>1613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1613</v>
      </c>
      <c r="AA1144">
        <v>1138</v>
      </c>
    </row>
    <row r="1145" spans="1:27" x14ac:dyDescent="0.25">
      <c r="A1145" s="1" t="s">
        <v>1617</v>
      </c>
      <c r="B1145" s="51">
        <v>46.400000000000006</v>
      </c>
      <c r="C1145" s="52"/>
      <c r="D1145" s="2" t="s">
        <v>1615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1615</v>
      </c>
      <c r="AA1145">
        <v>1139</v>
      </c>
    </row>
    <row r="1146" spans="1:27" x14ac:dyDescent="0.25">
      <c r="A1146" s="66" t="s">
        <v>1620</v>
      </c>
      <c r="B1146" s="51">
        <v>46.400000000000006</v>
      </c>
      <c r="C1146" s="52"/>
      <c r="D1146" s="69" t="s">
        <v>1618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1618</v>
      </c>
      <c r="AA1146">
        <v>1140</v>
      </c>
    </row>
    <row r="1147" spans="1:27" x14ac:dyDescent="0.25">
      <c r="A1147" s="1" t="s">
        <v>1623</v>
      </c>
      <c r="B1147" s="51">
        <v>72.850000000000009</v>
      </c>
      <c r="C1147" s="52"/>
      <c r="D1147" s="75" t="s">
        <v>1621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1621</v>
      </c>
      <c r="AA1147">
        <v>1141</v>
      </c>
    </row>
    <row r="1148" spans="1:27" x14ac:dyDescent="0.25">
      <c r="A1148" s="1" t="s">
        <v>1625</v>
      </c>
      <c r="B1148" s="51">
        <v>69.600000000000009</v>
      </c>
      <c r="C1148" s="52"/>
      <c r="D1148" s="75" t="s">
        <v>1624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1624</v>
      </c>
      <c r="AA1148">
        <v>1142</v>
      </c>
    </row>
    <row r="1149" spans="1:27" x14ac:dyDescent="0.25">
      <c r="A1149" s="1" t="s">
        <v>1627</v>
      </c>
      <c r="B1149" s="51">
        <v>17.400000000000002</v>
      </c>
      <c r="C1149" s="52"/>
      <c r="D1149" s="75" t="s">
        <v>1626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1626</v>
      </c>
      <c r="AA1149">
        <v>1143</v>
      </c>
    </row>
    <row r="1150" spans="1:27" x14ac:dyDescent="0.25">
      <c r="A1150" s="24" t="s">
        <v>3893</v>
      </c>
      <c r="B1150" s="25" t="s">
        <v>3620</v>
      </c>
      <c r="C1150" s="26"/>
      <c r="D1150" s="27" t="s">
        <v>3621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1629</v>
      </c>
      <c r="B1151" s="51">
        <v>30.700000000000003</v>
      </c>
      <c r="C1151" s="52"/>
      <c r="D1151" s="2" t="s">
        <v>1628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1628</v>
      </c>
      <c r="AA1151">
        <v>1145</v>
      </c>
    </row>
    <row r="1152" spans="1:27" x14ac:dyDescent="0.25">
      <c r="A1152" s="1" t="s">
        <v>1631</v>
      </c>
      <c r="B1152" s="51">
        <v>25.35</v>
      </c>
      <c r="C1152" s="52"/>
      <c r="D1152" s="2" t="s">
        <v>1630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1630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3899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1633</v>
      </c>
      <c r="B1155" s="51">
        <v>113.5</v>
      </c>
      <c r="D1155" s="2" t="s">
        <v>1632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1632</v>
      </c>
      <c r="AA1155">
        <v>1149</v>
      </c>
    </row>
    <row r="1156" spans="1:27" x14ac:dyDescent="0.25">
      <c r="A1156" s="1" t="s">
        <v>1636</v>
      </c>
      <c r="B1156" s="51">
        <v>151.55000000000001</v>
      </c>
      <c r="D1156" s="2" t="s">
        <v>1635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1635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1642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1640</v>
      </c>
      <c r="B1159" s="51">
        <v>13.3</v>
      </c>
      <c r="C1159" s="52"/>
      <c r="D1159" s="75" t="s">
        <v>1639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1639</v>
      </c>
      <c r="AA1159">
        <v>1153</v>
      </c>
    </row>
    <row r="1160" spans="1:27" x14ac:dyDescent="0.25">
      <c r="A1160" s="97" t="s">
        <v>1644</v>
      </c>
      <c r="B1160" s="51">
        <v>24.450000000000003</v>
      </c>
      <c r="C1160" s="52"/>
      <c r="D1160" s="75" t="s">
        <v>1643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1643</v>
      </c>
      <c r="AA1160">
        <v>1154</v>
      </c>
    </row>
    <row r="1161" spans="1:27" x14ac:dyDescent="0.25">
      <c r="A1161" s="97" t="s">
        <v>1646</v>
      </c>
      <c r="B1161" s="51">
        <v>23.900000000000002</v>
      </c>
      <c r="C1161" s="52"/>
      <c r="D1161" s="75" t="s">
        <v>1645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1645</v>
      </c>
      <c r="AA1161">
        <v>1155</v>
      </c>
    </row>
    <row r="1162" spans="1:27" x14ac:dyDescent="0.25">
      <c r="A1162" s="97" t="s">
        <v>1648</v>
      </c>
      <c r="B1162" s="51">
        <v>23.900000000000002</v>
      </c>
      <c r="C1162" s="52"/>
      <c r="D1162" s="75" t="s">
        <v>1647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1647</v>
      </c>
      <c r="AA1162">
        <v>1156</v>
      </c>
    </row>
    <row r="1163" spans="1:27" x14ac:dyDescent="0.25">
      <c r="A1163" s="97" t="s">
        <v>1650</v>
      </c>
      <c r="B1163" s="51">
        <v>27.75</v>
      </c>
      <c r="C1163" s="52"/>
      <c r="D1163" s="75" t="s">
        <v>1649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1649</v>
      </c>
      <c r="AA1163">
        <v>1157</v>
      </c>
    </row>
    <row r="1164" spans="1:27" x14ac:dyDescent="0.25">
      <c r="A1164" s="97" t="s">
        <v>1652</v>
      </c>
      <c r="B1164" s="51">
        <v>13.3</v>
      </c>
      <c r="C1164" s="52"/>
      <c r="D1164" s="2" t="s">
        <v>1651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1651</v>
      </c>
      <c r="AA1164">
        <v>1158</v>
      </c>
    </row>
    <row r="1165" spans="1:27" x14ac:dyDescent="0.25">
      <c r="A1165" s="97" t="s">
        <v>1654</v>
      </c>
      <c r="B1165" s="51">
        <v>15.950000000000001</v>
      </c>
      <c r="C1165" s="52"/>
      <c r="D1165" s="2" t="s">
        <v>1653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1653</v>
      </c>
      <c r="AA1165">
        <v>1159</v>
      </c>
    </row>
    <row r="1166" spans="1:27" x14ac:dyDescent="0.25">
      <c r="A1166" s="1" t="s">
        <v>1638</v>
      </c>
      <c r="B1166" s="51">
        <v>53.050000000000004</v>
      </c>
      <c r="C1166" s="52"/>
      <c r="D1166" s="2" t="s">
        <v>1637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1637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3900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3901</v>
      </c>
      <c r="K1" t="s">
        <v>3902</v>
      </c>
      <c r="L1" t="s">
        <v>3903</v>
      </c>
      <c r="M1" t="s">
        <v>11</v>
      </c>
      <c r="N1" t="s">
        <v>3904</v>
      </c>
      <c r="O1" t="s">
        <v>3905</v>
      </c>
      <c r="P1" t="s">
        <v>13</v>
      </c>
    </row>
    <row r="2" spans="1:16" x14ac:dyDescent="0.25">
      <c r="A2" t="s">
        <v>1380</v>
      </c>
      <c r="B2" t="s">
        <v>3906</v>
      </c>
      <c r="C2" t="s">
        <v>1381</v>
      </c>
      <c r="D2">
        <v>11.1</v>
      </c>
      <c r="E2" t="s">
        <v>3152</v>
      </c>
      <c r="H2" t="b">
        <v>0</v>
      </c>
      <c r="I2" t="s">
        <v>22</v>
      </c>
      <c r="J2" s="186" t="s">
        <v>1377</v>
      </c>
      <c r="M2" t="str">
        <f>IFERROR(_xlfn.XLOOKUP(A2,Fleet!A:A,Fleet!E:E,""),"")</f>
        <v/>
      </c>
      <c r="N2" t="s">
        <v>1380</v>
      </c>
      <c r="O2" t="s">
        <v>3233</v>
      </c>
      <c r="P2" t="str">
        <f>_xlfn.XLOOKUP(A2,'Classic Net to delete'!D:D,'Classic Net to delete'!A:A,"")</f>
        <v/>
      </c>
    </row>
    <row r="3" spans="1:16" x14ac:dyDescent="0.25">
      <c r="A3" t="s">
        <v>1649</v>
      </c>
      <c r="B3" t="s">
        <v>3907</v>
      </c>
      <c r="C3" t="s">
        <v>1650</v>
      </c>
      <c r="D3">
        <v>27.75</v>
      </c>
      <c r="E3" t="s">
        <v>3152</v>
      </c>
      <c r="F3" s="186" t="s">
        <v>1642</v>
      </c>
      <c r="H3" t="b">
        <v>1</v>
      </c>
      <c r="I3">
        <v>27.75</v>
      </c>
      <c r="J3" s="186" t="s">
        <v>1377</v>
      </c>
      <c r="M3" t="str">
        <f>IFERROR(_xlfn.XLOOKUP(A3,Fleet!A:A,Fleet!E:E,""),"")</f>
        <v/>
      </c>
      <c r="N3" t="s">
        <v>1649</v>
      </c>
      <c r="O3" t="s">
        <v>3226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1647</v>
      </c>
      <c r="B4" t="s">
        <v>3907</v>
      </c>
      <c r="C4" t="s">
        <v>1648</v>
      </c>
      <c r="D4">
        <v>23.9</v>
      </c>
      <c r="E4" t="s">
        <v>3152</v>
      </c>
      <c r="F4" s="186" t="s">
        <v>1642</v>
      </c>
      <c r="H4" t="b">
        <v>1</v>
      </c>
      <c r="I4">
        <v>23.900000000000002</v>
      </c>
      <c r="J4" s="186" t="s">
        <v>1377</v>
      </c>
      <c r="M4" t="str">
        <f>IFERROR(_xlfn.XLOOKUP(A4,Fleet!A:A,Fleet!E:E,""),"")</f>
        <v/>
      </c>
      <c r="N4" t="s">
        <v>1647</v>
      </c>
      <c r="O4" t="s">
        <v>3226</v>
      </c>
      <c r="P4" t="str">
        <f>_xlfn.XLOOKUP(A4,'Classic Net to delete'!D:D,'Classic Net to delete'!A:A,"")</f>
        <v>Rubbish Chute Hopper</v>
      </c>
    </row>
    <row r="5" spans="1:16" x14ac:dyDescent="0.25">
      <c r="A5" t="s">
        <v>1378</v>
      </c>
      <c r="B5" t="s">
        <v>3907</v>
      </c>
      <c r="C5" t="s">
        <v>1379</v>
      </c>
      <c r="D5">
        <v>23.9</v>
      </c>
      <c r="E5" t="s">
        <v>3152</v>
      </c>
      <c r="H5" t="b">
        <v>0</v>
      </c>
      <c r="I5" t="s">
        <v>22</v>
      </c>
      <c r="J5" s="186" t="s">
        <v>1377</v>
      </c>
      <c r="M5" t="str">
        <f>IFERROR(_xlfn.XLOOKUP(A5,Fleet!A:A,Fleet!E:E,""),"")</f>
        <v/>
      </c>
      <c r="N5" t="s">
        <v>1378</v>
      </c>
      <c r="O5" t="s">
        <v>3226</v>
      </c>
      <c r="P5" t="str">
        <f>_xlfn.XLOOKUP(A5,'Classic Net to delete'!D:D,'Classic Net to delete'!A:A,"")</f>
        <v/>
      </c>
    </row>
    <row r="6" spans="1:16" x14ac:dyDescent="0.25">
      <c r="A6" t="s">
        <v>1645</v>
      </c>
      <c r="B6" t="s">
        <v>3907</v>
      </c>
      <c r="C6" t="s">
        <v>1646</v>
      </c>
      <c r="D6">
        <v>23.9</v>
      </c>
      <c r="E6" t="s">
        <v>3152</v>
      </c>
      <c r="F6" s="186" t="s">
        <v>1642</v>
      </c>
      <c r="H6" t="b">
        <v>1</v>
      </c>
      <c r="I6">
        <v>23.900000000000002</v>
      </c>
      <c r="J6" s="186" t="s">
        <v>1377</v>
      </c>
      <c r="M6" t="str">
        <f>IFERROR(_xlfn.XLOOKUP(A6,Fleet!A:A,Fleet!E:E,""),"")</f>
        <v/>
      </c>
      <c r="N6" t="s">
        <v>1645</v>
      </c>
      <c r="O6" t="s">
        <v>3226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1643</v>
      </c>
      <c r="B7" t="s">
        <v>3907</v>
      </c>
      <c r="C7" t="s">
        <v>1644</v>
      </c>
      <c r="D7">
        <v>24.45</v>
      </c>
      <c r="E7" t="s">
        <v>3152</v>
      </c>
      <c r="F7" s="186" t="s">
        <v>1642</v>
      </c>
      <c r="H7" t="b">
        <v>1</v>
      </c>
      <c r="I7">
        <v>24.450000000000003</v>
      </c>
      <c r="J7" s="186" t="s">
        <v>1377</v>
      </c>
      <c r="M7" t="str">
        <f>IFERROR(_xlfn.XLOOKUP(A7,Fleet!A:A,Fleet!E:E,""),"")</f>
        <v/>
      </c>
      <c r="N7" t="s">
        <v>1643</v>
      </c>
      <c r="O7" t="s">
        <v>3226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1639</v>
      </c>
      <c r="B8" t="s">
        <v>3907</v>
      </c>
      <c r="C8" t="s">
        <v>1640</v>
      </c>
      <c r="D8">
        <v>13.3</v>
      </c>
      <c r="E8" t="s">
        <v>3152</v>
      </c>
      <c r="F8" s="186" t="s">
        <v>1642</v>
      </c>
      <c r="H8" t="b">
        <v>1</v>
      </c>
      <c r="I8">
        <v>13.3</v>
      </c>
      <c r="J8" s="186" t="s">
        <v>1377</v>
      </c>
      <c r="M8" t="str">
        <f>IFERROR(_xlfn.XLOOKUP(A8,Fleet!A:A,Fleet!E:E,""),"")</f>
        <v/>
      </c>
      <c r="N8" t="s">
        <v>1639</v>
      </c>
      <c r="O8" t="s">
        <v>3226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1653</v>
      </c>
      <c r="B9" t="s">
        <v>3907</v>
      </c>
      <c r="C9" t="s">
        <v>1654</v>
      </c>
      <c r="D9">
        <v>15.95</v>
      </c>
      <c r="E9" t="s">
        <v>3152</v>
      </c>
      <c r="F9" s="186" t="s">
        <v>1642</v>
      </c>
      <c r="H9" t="b">
        <v>1</v>
      </c>
      <c r="I9">
        <v>15.950000000000001</v>
      </c>
      <c r="J9" s="186" t="s">
        <v>1377</v>
      </c>
      <c r="M9" t="str">
        <f>IFERROR(_xlfn.XLOOKUP(A9,Fleet!A:A,Fleet!E:E,""),"")</f>
        <v/>
      </c>
      <c r="N9" t="s">
        <v>1653</v>
      </c>
      <c r="O9" t="s">
        <v>3226</v>
      </c>
      <c r="P9" t="str">
        <f>_xlfn.XLOOKUP(A9,'Classic Net to delete'!D:D,'Classic Net to delete'!A:A,"")</f>
        <v>Wheelie Bin, 240L</v>
      </c>
    </row>
    <row r="10" spans="1:16" x14ac:dyDescent="0.25">
      <c r="A10" t="s">
        <v>1651</v>
      </c>
      <c r="B10" t="s">
        <v>3907</v>
      </c>
      <c r="C10" t="s">
        <v>1652</v>
      </c>
      <c r="D10">
        <v>13.3</v>
      </c>
      <c r="E10" t="s">
        <v>3152</v>
      </c>
      <c r="F10" s="186" t="s">
        <v>1642</v>
      </c>
      <c r="H10" t="b">
        <v>1</v>
      </c>
      <c r="I10">
        <v>13.3</v>
      </c>
      <c r="J10" s="186" t="s">
        <v>1377</v>
      </c>
      <c r="M10" t="str">
        <f>IFERROR(_xlfn.XLOOKUP(A10,Fleet!A:A,Fleet!E:E,""),"")</f>
        <v/>
      </c>
      <c r="N10" t="s">
        <v>1651</v>
      </c>
      <c r="O10" t="s">
        <v>3226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1375</v>
      </c>
      <c r="B11" t="s">
        <v>3908</v>
      </c>
      <c r="C11" t="s">
        <v>1376</v>
      </c>
      <c r="D11">
        <v>20.65</v>
      </c>
      <c r="E11" t="s">
        <v>3152</v>
      </c>
      <c r="H11" t="b">
        <v>0</v>
      </c>
      <c r="I11" t="s">
        <v>22</v>
      </c>
      <c r="J11" s="186" t="s">
        <v>1377</v>
      </c>
      <c r="M11" t="str">
        <f>IFERROR(_xlfn.XLOOKUP(A11,Fleet!A:A,Fleet!E:E,""),"")</f>
        <v/>
      </c>
      <c r="N11" t="s">
        <v>1375</v>
      </c>
      <c r="O11" t="s">
        <v>3225</v>
      </c>
      <c r="P11" t="str">
        <f>_xlfn.XLOOKUP(A11,'Classic Net to delete'!D:D,'Classic Net to delete'!A:A,"")</f>
        <v/>
      </c>
    </row>
    <row r="12" spans="1:16" x14ac:dyDescent="0.25">
      <c r="A12" t="s">
        <v>3016</v>
      </c>
      <c r="B12" t="s">
        <v>3908</v>
      </c>
      <c r="C12" t="s">
        <v>3017</v>
      </c>
      <c r="D12">
        <v>14.45</v>
      </c>
      <c r="E12" t="s">
        <v>3152</v>
      </c>
      <c r="H12" t="b">
        <v>0</v>
      </c>
      <c r="I12" t="s">
        <v>22</v>
      </c>
      <c r="M12" t="str">
        <f>IFERROR(_xlfn.XLOOKUP(A12,Fleet!A:A,Fleet!E:E,""),"")</f>
        <v/>
      </c>
      <c r="N12" t="s">
        <v>3016</v>
      </c>
      <c r="O12" t="s">
        <v>3225</v>
      </c>
      <c r="P12" t="str">
        <f>_xlfn.XLOOKUP(A12,'Classic Net to delete'!D:D,'Classic Net to delete'!A:A,"")</f>
        <v/>
      </c>
    </row>
    <row r="13" spans="1:16" x14ac:dyDescent="0.25">
      <c r="A13" t="s">
        <v>3014</v>
      </c>
      <c r="B13" t="s">
        <v>3908</v>
      </c>
      <c r="C13" t="s">
        <v>3015</v>
      </c>
      <c r="D13">
        <v>14.45</v>
      </c>
      <c r="E13" t="s">
        <v>3152</v>
      </c>
      <c r="H13" t="b">
        <v>0</v>
      </c>
      <c r="I13" t="s">
        <v>22</v>
      </c>
      <c r="M13" t="str">
        <f>IFERROR(_xlfn.XLOOKUP(A13,Fleet!A:A,Fleet!E:E,""),"")</f>
        <v/>
      </c>
      <c r="N13" t="s">
        <v>3014</v>
      </c>
      <c r="O13" t="s">
        <v>3225</v>
      </c>
      <c r="P13" t="str">
        <f>_xlfn.XLOOKUP(A13,'Classic Net to delete'!D:D,'Classic Net to delete'!A:A,"")</f>
        <v/>
      </c>
    </row>
    <row r="14" spans="1:16" x14ac:dyDescent="0.25">
      <c r="A14" t="s">
        <v>3012</v>
      </c>
      <c r="B14" t="s">
        <v>3908</v>
      </c>
      <c r="C14" t="s">
        <v>3013</v>
      </c>
      <c r="D14">
        <v>7.4</v>
      </c>
      <c r="E14" t="s">
        <v>3152</v>
      </c>
      <c r="H14" t="b">
        <v>0</v>
      </c>
      <c r="I14" t="s">
        <v>22</v>
      </c>
      <c r="M14" t="str">
        <f>IFERROR(_xlfn.XLOOKUP(A14,Fleet!A:A,Fleet!E:E,""),"")</f>
        <v/>
      </c>
      <c r="N14" t="s">
        <v>3012</v>
      </c>
      <c r="O14" t="s">
        <v>3225</v>
      </c>
      <c r="P14" t="str">
        <f>_xlfn.XLOOKUP(A14,'Classic Net to delete'!D:D,'Classic Net to delete'!A:A,"")</f>
        <v/>
      </c>
    </row>
    <row r="15" spans="1:16" x14ac:dyDescent="0.25">
      <c r="A15" t="s">
        <v>3010</v>
      </c>
      <c r="B15" t="s">
        <v>3908</v>
      </c>
      <c r="C15" t="s">
        <v>3011</v>
      </c>
      <c r="D15">
        <v>7.4</v>
      </c>
      <c r="E15" t="s">
        <v>3152</v>
      </c>
      <c r="H15" t="b">
        <v>0</v>
      </c>
      <c r="I15" t="s">
        <v>22</v>
      </c>
      <c r="M15" t="str">
        <f>IFERROR(_xlfn.XLOOKUP(A15,Fleet!A:A,Fleet!E:E,""),"")</f>
        <v/>
      </c>
      <c r="N15" t="s">
        <v>3010</v>
      </c>
      <c r="O15" t="s">
        <v>3225</v>
      </c>
      <c r="P15" t="str">
        <f>_xlfn.XLOOKUP(A15,'Classic Net to delete'!D:D,'Classic Net to delete'!A:A,"")</f>
        <v/>
      </c>
    </row>
    <row r="16" spans="1:16" x14ac:dyDescent="0.25">
      <c r="A16" t="s">
        <v>3008</v>
      </c>
      <c r="B16" t="s">
        <v>3908</v>
      </c>
      <c r="C16" t="s">
        <v>3009</v>
      </c>
      <c r="D16">
        <v>7.4</v>
      </c>
      <c r="E16" t="s">
        <v>3152</v>
      </c>
      <c r="H16" t="b">
        <v>0</v>
      </c>
      <c r="I16" t="s">
        <v>22</v>
      </c>
      <c r="M16" t="str">
        <f>IFERROR(_xlfn.XLOOKUP(A16,Fleet!A:A,Fleet!E:E,""),"")</f>
        <v/>
      </c>
      <c r="N16" t="s">
        <v>3008</v>
      </c>
      <c r="O16" t="s">
        <v>3225</v>
      </c>
      <c r="P16" t="str">
        <f>_xlfn.XLOOKUP(A16,'Classic Net to delete'!D:D,'Classic Net to delete'!A:A,"")</f>
        <v/>
      </c>
    </row>
    <row r="17" spans="1:16" x14ac:dyDescent="0.25">
      <c r="A17" t="s">
        <v>3006</v>
      </c>
      <c r="B17" t="s">
        <v>3908</v>
      </c>
      <c r="C17" t="s">
        <v>3007</v>
      </c>
      <c r="D17">
        <v>7.4</v>
      </c>
      <c r="E17" t="s">
        <v>3152</v>
      </c>
      <c r="H17" t="b">
        <v>0</v>
      </c>
      <c r="I17" t="s">
        <v>22</v>
      </c>
      <c r="M17" t="str">
        <f>IFERROR(_xlfn.XLOOKUP(A17,Fleet!A:A,Fleet!E:E,""),"")</f>
        <v/>
      </c>
      <c r="N17" t="s">
        <v>3006</v>
      </c>
      <c r="O17" t="s">
        <v>3225</v>
      </c>
      <c r="P17" t="str">
        <f>_xlfn.XLOOKUP(A17,'Classic Net to delete'!D:D,'Classic Net to delete'!A:A,"")</f>
        <v/>
      </c>
    </row>
    <row r="18" spans="1:16" x14ac:dyDescent="0.25">
      <c r="A18" t="s">
        <v>3004</v>
      </c>
      <c r="B18" t="s">
        <v>3908</v>
      </c>
      <c r="C18" t="s">
        <v>3005</v>
      </c>
      <c r="D18">
        <v>14.45</v>
      </c>
      <c r="E18" t="s">
        <v>3152</v>
      </c>
      <c r="H18" t="b">
        <v>0</v>
      </c>
      <c r="I18" t="s">
        <v>22</v>
      </c>
      <c r="M18" t="str">
        <f>IFERROR(_xlfn.XLOOKUP(A18,Fleet!A:A,Fleet!E:E,""),"")</f>
        <v/>
      </c>
      <c r="N18" t="s">
        <v>3004</v>
      </c>
      <c r="O18" t="s">
        <v>3225</v>
      </c>
      <c r="P18" t="str">
        <f>_xlfn.XLOOKUP(A18,'Classic Net to delete'!D:D,'Classic Net to delete'!A:A,"")</f>
        <v/>
      </c>
    </row>
    <row r="19" spans="1:16" x14ac:dyDescent="0.25">
      <c r="A19" t="s">
        <v>3002</v>
      </c>
      <c r="B19" t="s">
        <v>3908</v>
      </c>
      <c r="C19" t="s">
        <v>3003</v>
      </c>
      <c r="D19">
        <v>7.4</v>
      </c>
      <c r="E19" t="s">
        <v>3152</v>
      </c>
      <c r="H19" t="b">
        <v>0</v>
      </c>
      <c r="I19" t="s">
        <v>22</v>
      </c>
      <c r="M19" t="str">
        <f>IFERROR(_xlfn.XLOOKUP(A19,Fleet!A:A,Fleet!E:E,""),"")</f>
        <v/>
      </c>
      <c r="N19" t="s">
        <v>3002</v>
      </c>
      <c r="O19" t="s">
        <v>3225</v>
      </c>
      <c r="P19" t="str">
        <f>_xlfn.XLOOKUP(A19,'Classic Net to delete'!D:D,'Classic Net to delete'!A:A,"")</f>
        <v/>
      </c>
    </row>
    <row r="20" spans="1:16" x14ac:dyDescent="0.25">
      <c r="A20" t="s">
        <v>3000</v>
      </c>
      <c r="B20" t="s">
        <v>3908</v>
      </c>
      <c r="C20" t="s">
        <v>3001</v>
      </c>
      <c r="D20">
        <v>7.4</v>
      </c>
      <c r="E20" t="s">
        <v>3152</v>
      </c>
      <c r="H20" t="b">
        <v>0</v>
      </c>
      <c r="I20" t="s">
        <v>22</v>
      </c>
      <c r="M20" t="str">
        <f>IFERROR(_xlfn.XLOOKUP(A20,Fleet!A:A,Fleet!E:E,""),"")</f>
        <v/>
      </c>
      <c r="N20" t="s">
        <v>3000</v>
      </c>
      <c r="O20" t="s">
        <v>3225</v>
      </c>
      <c r="P20" t="str">
        <f>_xlfn.XLOOKUP(A20,'Classic Net to delete'!D:D,'Classic Net to delete'!A:A,"")</f>
        <v/>
      </c>
    </row>
    <row r="21" spans="1:16" x14ac:dyDescent="0.25">
      <c r="A21" t="s">
        <v>2998</v>
      </c>
      <c r="B21" t="s">
        <v>3908</v>
      </c>
      <c r="C21" t="s">
        <v>2999</v>
      </c>
      <c r="D21">
        <v>7.4</v>
      </c>
      <c r="E21" t="s">
        <v>3152</v>
      </c>
      <c r="H21" t="b">
        <v>0</v>
      </c>
      <c r="I21" t="s">
        <v>22</v>
      </c>
      <c r="M21" t="str">
        <f>IFERROR(_xlfn.XLOOKUP(A21,Fleet!A:A,Fleet!E:E,""),"")</f>
        <v/>
      </c>
      <c r="N21" t="s">
        <v>2998</v>
      </c>
      <c r="O21" t="s">
        <v>3225</v>
      </c>
      <c r="P21" t="str">
        <f>_xlfn.XLOOKUP(A21,'Classic Net to delete'!D:D,'Classic Net to delete'!A:A,"")</f>
        <v/>
      </c>
    </row>
    <row r="22" spans="1:16" x14ac:dyDescent="0.25">
      <c r="A22" t="s">
        <v>1474</v>
      </c>
      <c r="B22" t="s">
        <v>3908</v>
      </c>
      <c r="C22" t="s">
        <v>1475</v>
      </c>
      <c r="D22">
        <v>7.4</v>
      </c>
      <c r="E22" t="s">
        <v>3152</v>
      </c>
      <c r="F22" s="186" t="s">
        <v>3889</v>
      </c>
      <c r="H22" t="b">
        <v>1</v>
      </c>
      <c r="I22">
        <v>7.4</v>
      </c>
      <c r="J22" s="186" t="s">
        <v>1377</v>
      </c>
      <c r="M22" t="str">
        <f>IFERROR(_xlfn.XLOOKUP(A22,Fleet!A:A,Fleet!E:E,""),"")</f>
        <v/>
      </c>
      <c r="N22" t="s">
        <v>1474</v>
      </c>
      <c r="O22" t="s">
        <v>3225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2996</v>
      </c>
      <c r="B23" t="s">
        <v>3909</v>
      </c>
      <c r="C23" t="s">
        <v>2997</v>
      </c>
      <c r="D23">
        <v>34.5</v>
      </c>
      <c r="E23" t="s">
        <v>3152</v>
      </c>
      <c r="H23" t="b">
        <v>0</v>
      </c>
      <c r="I23" t="s">
        <v>22</v>
      </c>
      <c r="M23" t="str">
        <f>IFERROR(_xlfn.XLOOKUP(A23,Fleet!A:A,Fleet!E:E,""),"")</f>
        <v/>
      </c>
      <c r="N23" t="s">
        <v>2996</v>
      </c>
      <c r="O23" t="s">
        <v>3224</v>
      </c>
      <c r="P23" t="str">
        <f>_xlfn.XLOOKUP(A23,'Classic Net to delete'!D:D,'Classic Net to delete'!A:A,"")</f>
        <v/>
      </c>
    </row>
    <row r="24" spans="1:16" x14ac:dyDescent="0.25">
      <c r="A24" t="s">
        <v>2996</v>
      </c>
      <c r="B24" t="s">
        <v>2997</v>
      </c>
      <c r="C24" t="s">
        <v>2997</v>
      </c>
      <c r="D24">
        <v>34.5</v>
      </c>
      <c r="E24" t="s">
        <v>3102</v>
      </c>
      <c r="H24" t="b">
        <v>0</v>
      </c>
      <c r="I24" t="s">
        <v>22</v>
      </c>
      <c r="M24" t="str">
        <f>IFERROR(_xlfn.XLOOKUP(A24,Fleet!A:A,Fleet!E:E,""),"")</f>
        <v/>
      </c>
      <c r="N24" t="s">
        <v>2996</v>
      </c>
      <c r="O24" t="s">
        <v>3115</v>
      </c>
      <c r="P24" t="str">
        <f>_xlfn.XLOOKUP(A24,'Classic Net to delete'!D:D,'Classic Net to delete'!A:A,"")</f>
        <v/>
      </c>
    </row>
    <row r="25" spans="1:16" x14ac:dyDescent="0.25">
      <c r="A25" t="s">
        <v>2994</v>
      </c>
      <c r="B25" t="s">
        <v>3909</v>
      </c>
      <c r="C25" t="s">
        <v>2995</v>
      </c>
      <c r="D25">
        <v>26.5</v>
      </c>
      <c r="E25" t="s">
        <v>3152</v>
      </c>
      <c r="H25" t="b">
        <v>0</v>
      </c>
      <c r="I25" t="s">
        <v>22</v>
      </c>
      <c r="M25" t="str">
        <f>IFERROR(_xlfn.XLOOKUP(A25,Fleet!A:A,Fleet!E:E,""),"")</f>
        <v/>
      </c>
      <c r="N25" t="s">
        <v>2994</v>
      </c>
      <c r="O25" t="s">
        <v>3224</v>
      </c>
      <c r="P25" t="str">
        <f>_xlfn.XLOOKUP(A25,'Classic Net to delete'!D:D,'Classic Net to delete'!A:A,"")</f>
        <v/>
      </c>
    </row>
    <row r="26" spans="1:16" x14ac:dyDescent="0.25">
      <c r="A26" t="s">
        <v>1514</v>
      </c>
      <c r="B26" t="s">
        <v>3909</v>
      </c>
      <c r="C26" t="s">
        <v>1515</v>
      </c>
      <c r="D26">
        <v>23.9</v>
      </c>
      <c r="E26" t="s">
        <v>3152</v>
      </c>
      <c r="F26" s="186" t="s">
        <v>1504</v>
      </c>
      <c r="H26" t="b">
        <v>1</v>
      </c>
      <c r="I26">
        <v>23.900000000000002</v>
      </c>
      <c r="J26" s="186" t="s">
        <v>1377</v>
      </c>
      <c r="M26" t="str">
        <f>IFERROR(_xlfn.XLOOKUP(A26,Fleet!A:A,Fleet!E:E,""),"")</f>
        <v/>
      </c>
      <c r="N26" t="s">
        <v>1514</v>
      </c>
      <c r="O26" t="s">
        <v>3224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1477</v>
      </c>
      <c r="B27" t="s">
        <v>3909</v>
      </c>
      <c r="C27" t="s">
        <v>1478</v>
      </c>
      <c r="D27">
        <v>15.1</v>
      </c>
      <c r="E27" t="s">
        <v>3152</v>
      </c>
      <c r="F27" s="186" t="s">
        <v>3889</v>
      </c>
      <c r="H27" t="b">
        <v>1</v>
      </c>
      <c r="I27">
        <v>15.100000000000001</v>
      </c>
      <c r="J27" s="186" t="s">
        <v>1377</v>
      </c>
      <c r="M27" t="str">
        <f>IFERROR(_xlfn.XLOOKUP(A27,Fleet!A:A,Fleet!E:E,""),"")</f>
        <v/>
      </c>
      <c r="N27" t="s">
        <v>1477</v>
      </c>
      <c r="O27" t="s">
        <v>3224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1483</v>
      </c>
      <c r="B28" t="s">
        <v>3909</v>
      </c>
      <c r="C28" t="s">
        <v>1484</v>
      </c>
      <c r="D28">
        <v>22.4</v>
      </c>
      <c r="E28" t="s">
        <v>3152</v>
      </c>
      <c r="F28" s="186" t="s">
        <v>3889</v>
      </c>
      <c r="H28" t="b">
        <v>1</v>
      </c>
      <c r="I28">
        <v>22.400000000000002</v>
      </c>
      <c r="J28" s="186" t="s">
        <v>1377</v>
      </c>
      <c r="M28" t="str">
        <f>IFERROR(_xlfn.XLOOKUP(A28,Fleet!A:A,Fleet!E:E,""),"")</f>
        <v/>
      </c>
      <c r="N28" t="s">
        <v>1483</v>
      </c>
      <c r="O28" t="s">
        <v>3224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1480</v>
      </c>
      <c r="B29" t="s">
        <v>3909</v>
      </c>
      <c r="C29" t="s">
        <v>1481</v>
      </c>
      <c r="D29">
        <v>15.95</v>
      </c>
      <c r="E29" t="s">
        <v>3152</v>
      </c>
      <c r="F29" s="186" t="s">
        <v>3889</v>
      </c>
      <c r="H29" t="b">
        <v>1</v>
      </c>
      <c r="I29">
        <v>15.950000000000001</v>
      </c>
      <c r="J29" s="186" t="s">
        <v>1377</v>
      </c>
      <c r="M29" t="str">
        <f>IFERROR(_xlfn.XLOOKUP(A29,Fleet!A:A,Fleet!E:E,""),"")</f>
        <v/>
      </c>
      <c r="N29" t="s">
        <v>1480</v>
      </c>
      <c r="O29" t="s">
        <v>3224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1626</v>
      </c>
      <c r="B30" t="s">
        <v>3909</v>
      </c>
      <c r="C30" t="s">
        <v>1627</v>
      </c>
      <c r="D30">
        <v>17.399999999999999</v>
      </c>
      <c r="E30" t="s">
        <v>3152</v>
      </c>
      <c r="F30" s="186" t="s">
        <v>3889</v>
      </c>
      <c r="H30" t="b">
        <v>1</v>
      </c>
      <c r="I30">
        <v>17.400000000000002</v>
      </c>
      <c r="J30" s="186" t="s">
        <v>1377</v>
      </c>
      <c r="M30" t="str">
        <f>IFERROR(_xlfn.XLOOKUP(A30,Fleet!A:A,Fleet!E:E,""),"")</f>
        <v/>
      </c>
      <c r="N30" t="s">
        <v>1626</v>
      </c>
      <c r="O30" t="s">
        <v>3224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1626</v>
      </c>
      <c r="B31" t="s">
        <v>1627</v>
      </c>
      <c r="C31" t="s">
        <v>1627</v>
      </c>
      <c r="D31">
        <v>17.399999999999999</v>
      </c>
      <c r="E31" t="s">
        <v>3102</v>
      </c>
      <c r="F31" s="186" t="s">
        <v>3889</v>
      </c>
      <c r="H31" t="b">
        <v>1</v>
      </c>
      <c r="I31">
        <v>17.400000000000002</v>
      </c>
      <c r="J31" s="186" t="s">
        <v>1377</v>
      </c>
      <c r="M31" t="str">
        <f>IFERROR(_xlfn.XLOOKUP(A31,Fleet!A:A,Fleet!E:E,""),"")</f>
        <v/>
      </c>
      <c r="N31" t="s">
        <v>1626</v>
      </c>
      <c r="O31" t="s">
        <v>3112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1499</v>
      </c>
      <c r="B32" t="s">
        <v>3909</v>
      </c>
      <c r="C32" t="s">
        <v>1500</v>
      </c>
      <c r="D32">
        <v>27.15</v>
      </c>
      <c r="E32" t="s">
        <v>3152</v>
      </c>
      <c r="F32" s="186" t="s">
        <v>3889</v>
      </c>
      <c r="H32" t="b">
        <v>1</v>
      </c>
      <c r="I32">
        <v>27.150000000000002</v>
      </c>
      <c r="J32" s="186" t="s">
        <v>1377</v>
      </c>
      <c r="M32" t="str">
        <f>IFERROR(_xlfn.XLOOKUP(A32,Fleet!A:A,Fleet!E:E,""),"")</f>
        <v/>
      </c>
      <c r="N32" t="s">
        <v>1499</v>
      </c>
      <c r="O32" t="s">
        <v>3224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1496</v>
      </c>
      <c r="B33" t="s">
        <v>3909</v>
      </c>
      <c r="C33" t="s">
        <v>1497</v>
      </c>
      <c r="D33">
        <v>22.4</v>
      </c>
      <c r="E33" t="s">
        <v>3152</v>
      </c>
      <c r="F33" s="186" t="s">
        <v>3889</v>
      </c>
      <c r="H33" t="b">
        <v>1</v>
      </c>
      <c r="I33">
        <v>22.400000000000002</v>
      </c>
      <c r="J33" s="186" t="s">
        <v>1377</v>
      </c>
      <c r="M33" t="str">
        <f>IFERROR(_xlfn.XLOOKUP(A33,Fleet!A:A,Fleet!E:E,""),"")</f>
        <v/>
      </c>
      <c r="N33" t="s">
        <v>1496</v>
      </c>
      <c r="O33" t="s">
        <v>3224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1493</v>
      </c>
      <c r="B34" t="s">
        <v>3909</v>
      </c>
      <c r="C34" t="s">
        <v>1494</v>
      </c>
      <c r="D34">
        <v>8.0500000000000007</v>
      </c>
      <c r="E34" t="s">
        <v>3152</v>
      </c>
      <c r="F34" s="186" t="s">
        <v>3889</v>
      </c>
      <c r="H34" t="b">
        <v>1</v>
      </c>
      <c r="I34">
        <v>8.0500000000000007</v>
      </c>
      <c r="J34" s="186" t="s">
        <v>1377</v>
      </c>
      <c r="M34" t="str">
        <f>IFERROR(_xlfn.XLOOKUP(A34,Fleet!A:A,Fleet!E:E,""),"")</f>
        <v/>
      </c>
      <c r="N34" t="s">
        <v>1493</v>
      </c>
      <c r="O34" t="s">
        <v>3224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1490</v>
      </c>
      <c r="B35" t="s">
        <v>3909</v>
      </c>
      <c r="C35" t="s">
        <v>1491</v>
      </c>
      <c r="D35">
        <v>18.05</v>
      </c>
      <c r="E35" t="s">
        <v>3152</v>
      </c>
      <c r="F35" s="186" t="s">
        <v>3889</v>
      </c>
      <c r="H35" t="b">
        <v>1</v>
      </c>
      <c r="I35">
        <v>18.05</v>
      </c>
      <c r="J35" s="186" t="s">
        <v>1377</v>
      </c>
      <c r="M35" t="str">
        <f>IFERROR(_xlfn.XLOOKUP(A35,Fleet!A:A,Fleet!E:E,""),"")</f>
        <v/>
      </c>
      <c r="N35" t="s">
        <v>1490</v>
      </c>
      <c r="O35" t="s">
        <v>3224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2992</v>
      </c>
      <c r="B36" t="s">
        <v>3909</v>
      </c>
      <c r="C36" t="s">
        <v>2993</v>
      </c>
      <c r="D36">
        <v>12.65</v>
      </c>
      <c r="E36" t="s">
        <v>3152</v>
      </c>
      <c r="H36" t="b">
        <v>0</v>
      </c>
      <c r="I36" t="s">
        <v>22</v>
      </c>
      <c r="M36" t="str">
        <f>IFERROR(_xlfn.XLOOKUP(A36,Fleet!A:A,Fleet!E:E,""),"")</f>
        <v/>
      </c>
      <c r="N36" t="s">
        <v>2992</v>
      </c>
      <c r="O36" t="s">
        <v>3224</v>
      </c>
      <c r="P36" t="str">
        <f>_xlfn.XLOOKUP(A36,'Classic Net to delete'!D:D,'Classic Net to delete'!A:A,"")</f>
        <v/>
      </c>
    </row>
    <row r="37" spans="1:16" x14ac:dyDescent="0.25">
      <c r="A37" t="s">
        <v>1560</v>
      </c>
      <c r="B37" t="s">
        <v>3910</v>
      </c>
      <c r="C37" t="s">
        <v>1561</v>
      </c>
      <c r="D37">
        <v>22.4</v>
      </c>
      <c r="E37" t="s">
        <v>3152</v>
      </c>
      <c r="F37" s="186" t="s">
        <v>1535</v>
      </c>
      <c r="H37" t="b">
        <v>1</v>
      </c>
      <c r="I37">
        <v>22.400000000000002</v>
      </c>
      <c r="J37" s="186" t="s">
        <v>1377</v>
      </c>
      <c r="M37" t="str">
        <f>IFERROR(_xlfn.XLOOKUP(A37,Fleet!A:A,Fleet!E:E,""),"")</f>
        <v/>
      </c>
      <c r="N37" t="s">
        <v>1560</v>
      </c>
      <c r="O37" t="s">
        <v>3223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1557</v>
      </c>
      <c r="B38" t="s">
        <v>3910</v>
      </c>
      <c r="C38" t="s">
        <v>1558</v>
      </c>
      <c r="D38">
        <v>28.35</v>
      </c>
      <c r="E38" t="s">
        <v>3152</v>
      </c>
      <c r="F38" s="186" t="s">
        <v>1535</v>
      </c>
      <c r="H38" t="b">
        <v>1</v>
      </c>
      <c r="I38">
        <v>28.35</v>
      </c>
      <c r="J38" s="186" t="s">
        <v>1377</v>
      </c>
      <c r="M38" t="str">
        <f>IFERROR(_xlfn.XLOOKUP(A38,Fleet!A:A,Fleet!E:E,""),"")</f>
        <v/>
      </c>
      <c r="N38" t="s">
        <v>1557</v>
      </c>
      <c r="O38" t="s">
        <v>3223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1555</v>
      </c>
      <c r="B39" t="s">
        <v>3910</v>
      </c>
      <c r="C39" t="s">
        <v>1556</v>
      </c>
      <c r="D39">
        <v>28.35</v>
      </c>
      <c r="E39" t="s">
        <v>3152</v>
      </c>
      <c r="F39" s="186" t="s">
        <v>1535</v>
      </c>
      <c r="H39" t="b">
        <v>1</v>
      </c>
      <c r="I39">
        <v>28.35</v>
      </c>
      <c r="J39" s="186" t="s">
        <v>1377</v>
      </c>
      <c r="M39" t="str">
        <f>IFERROR(_xlfn.XLOOKUP(A39,Fleet!A:A,Fleet!E:E,""),"")</f>
        <v/>
      </c>
      <c r="N39" t="s">
        <v>1555</v>
      </c>
      <c r="O39" t="s">
        <v>3223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1553</v>
      </c>
      <c r="B40" t="s">
        <v>3910</v>
      </c>
      <c r="C40" t="s">
        <v>1554</v>
      </c>
      <c r="D40">
        <v>28.95</v>
      </c>
      <c r="E40" t="s">
        <v>3152</v>
      </c>
      <c r="F40" s="186" t="s">
        <v>1535</v>
      </c>
      <c r="H40" t="b">
        <v>1</v>
      </c>
      <c r="I40">
        <v>28.950000000000003</v>
      </c>
      <c r="J40" s="186" t="s">
        <v>1377</v>
      </c>
      <c r="M40" t="str">
        <f>IFERROR(_xlfn.XLOOKUP(A40,Fleet!A:A,Fleet!E:E,""),"")</f>
        <v/>
      </c>
      <c r="N40" t="s">
        <v>1553</v>
      </c>
      <c r="O40" t="s">
        <v>3223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1551</v>
      </c>
      <c r="B41" t="s">
        <v>3910</v>
      </c>
      <c r="C41" t="s">
        <v>1552</v>
      </c>
      <c r="D41">
        <v>53.05</v>
      </c>
      <c r="E41" t="s">
        <v>3152</v>
      </c>
      <c r="F41" s="186" t="s">
        <v>1535</v>
      </c>
      <c r="H41" t="b">
        <v>1</v>
      </c>
      <c r="I41">
        <v>53.050000000000004</v>
      </c>
      <c r="J41" s="186" t="s">
        <v>1377</v>
      </c>
      <c r="M41" t="str">
        <f>IFERROR(_xlfn.XLOOKUP(A41,Fleet!A:A,Fleet!E:E,""),"")</f>
        <v/>
      </c>
      <c r="N41" t="s">
        <v>1551</v>
      </c>
      <c r="O41" t="s">
        <v>3223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1547</v>
      </c>
      <c r="B42" t="s">
        <v>3910</v>
      </c>
      <c r="C42" t="s">
        <v>1548</v>
      </c>
      <c r="D42">
        <v>53.05</v>
      </c>
      <c r="E42" t="s">
        <v>3152</v>
      </c>
      <c r="F42" s="186" t="s">
        <v>1535</v>
      </c>
      <c r="H42" t="b">
        <v>1</v>
      </c>
      <c r="I42">
        <v>53.050000000000004</v>
      </c>
      <c r="J42" s="186" t="s">
        <v>1377</v>
      </c>
      <c r="M42" t="str">
        <f>IFERROR(_xlfn.XLOOKUP(A42,Fleet!A:A,Fleet!E:E,""),"")</f>
        <v/>
      </c>
      <c r="N42" t="s">
        <v>1547</v>
      </c>
      <c r="O42" t="s">
        <v>3223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1549</v>
      </c>
      <c r="B43" t="s">
        <v>3910</v>
      </c>
      <c r="C43" t="s">
        <v>1550</v>
      </c>
      <c r="D43">
        <v>26.5</v>
      </c>
      <c r="E43" t="s">
        <v>3152</v>
      </c>
      <c r="F43" s="186" t="s">
        <v>1535</v>
      </c>
      <c r="H43" t="b">
        <v>1</v>
      </c>
      <c r="I43">
        <v>26.5</v>
      </c>
      <c r="J43" s="186" t="s">
        <v>1377</v>
      </c>
      <c r="M43" t="str">
        <f>IFERROR(_xlfn.XLOOKUP(A43,Fleet!A:A,Fleet!E:E,""),"")</f>
        <v/>
      </c>
      <c r="N43" t="s">
        <v>1549</v>
      </c>
      <c r="O43" t="s">
        <v>3223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2990</v>
      </c>
      <c r="B44" t="s">
        <v>3911</v>
      </c>
      <c r="C44" t="s">
        <v>2991</v>
      </c>
      <c r="D44">
        <v>16.2</v>
      </c>
      <c r="E44" t="s">
        <v>3152</v>
      </c>
      <c r="H44" t="b">
        <v>0</v>
      </c>
      <c r="I44" t="s">
        <v>22</v>
      </c>
      <c r="M44" t="str">
        <f>IFERROR(_xlfn.XLOOKUP(A44,Fleet!A:A,Fleet!E:E,""),"")</f>
        <v/>
      </c>
      <c r="N44" t="s">
        <v>2990</v>
      </c>
      <c r="O44" t="s">
        <v>3222</v>
      </c>
      <c r="P44" t="str">
        <f>_xlfn.XLOOKUP(A44,'Classic Net to delete'!D:D,'Classic Net to delete'!A:A,"")</f>
        <v/>
      </c>
    </row>
    <row r="45" spans="1:16" x14ac:dyDescent="0.25">
      <c r="A45" t="s">
        <v>2988</v>
      </c>
      <c r="B45" t="s">
        <v>3911</v>
      </c>
      <c r="C45" t="s">
        <v>2989</v>
      </c>
      <c r="D45">
        <v>7.65</v>
      </c>
      <c r="E45" t="s">
        <v>3152</v>
      </c>
      <c r="H45" t="b">
        <v>0</v>
      </c>
      <c r="I45" t="s">
        <v>22</v>
      </c>
      <c r="M45" t="str">
        <f>IFERROR(_xlfn.XLOOKUP(A45,Fleet!A:A,Fleet!E:E,""),"")</f>
        <v/>
      </c>
      <c r="N45" t="s">
        <v>2988</v>
      </c>
      <c r="O45" t="s">
        <v>3222</v>
      </c>
      <c r="P45" t="str">
        <f>_xlfn.XLOOKUP(A45,'Classic Net to delete'!D:D,'Classic Net to delete'!A:A,"")</f>
        <v/>
      </c>
    </row>
    <row r="46" spans="1:16" x14ac:dyDescent="0.25">
      <c r="A46" t="s">
        <v>2283</v>
      </c>
      <c r="B46" t="s">
        <v>3911</v>
      </c>
      <c r="C46" t="s">
        <v>2284</v>
      </c>
      <c r="D46">
        <v>22.4</v>
      </c>
      <c r="E46" t="s">
        <v>3152</v>
      </c>
      <c r="F46" s="186" t="s">
        <v>2280</v>
      </c>
      <c r="H46" t="b">
        <v>1</v>
      </c>
      <c r="I46">
        <v>22.400000000000002</v>
      </c>
      <c r="J46" s="186" t="s">
        <v>2216</v>
      </c>
      <c r="M46" t="str">
        <f>IFERROR(_xlfn.XLOOKUP(A46,Fleet!A:A,Fleet!E:E,""),"")</f>
        <v/>
      </c>
      <c r="N46" t="s">
        <v>2283</v>
      </c>
      <c r="O46" t="s">
        <v>3222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2281</v>
      </c>
      <c r="B47" t="s">
        <v>3911</v>
      </c>
      <c r="C47" t="s">
        <v>2282</v>
      </c>
      <c r="D47">
        <v>22.4</v>
      </c>
      <c r="E47" t="s">
        <v>3152</v>
      </c>
      <c r="F47" s="186" t="s">
        <v>2280</v>
      </c>
      <c r="H47" t="b">
        <v>1</v>
      </c>
      <c r="I47">
        <v>22.400000000000002</v>
      </c>
      <c r="J47" s="186" t="s">
        <v>2216</v>
      </c>
      <c r="M47" t="str">
        <f>IFERROR(_xlfn.XLOOKUP(A47,Fleet!A:A,Fleet!E:E,""),"")</f>
        <v/>
      </c>
      <c r="N47" t="s">
        <v>2281</v>
      </c>
      <c r="O47" t="s">
        <v>3222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2278</v>
      </c>
      <c r="B48" t="s">
        <v>3911</v>
      </c>
      <c r="C48" t="s">
        <v>2279</v>
      </c>
      <c r="D48">
        <v>15.95</v>
      </c>
      <c r="E48" t="s">
        <v>3152</v>
      </c>
      <c r="F48" s="186" t="s">
        <v>2280</v>
      </c>
      <c r="H48" t="b">
        <v>1</v>
      </c>
      <c r="I48">
        <v>15.950000000000001</v>
      </c>
      <c r="J48" s="186" t="s">
        <v>2216</v>
      </c>
      <c r="M48" t="str">
        <f>IFERROR(_xlfn.XLOOKUP(A48,Fleet!A:A,Fleet!E:E,""),"")</f>
        <v/>
      </c>
      <c r="N48" t="s">
        <v>2278</v>
      </c>
      <c r="O48" t="s">
        <v>3222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2275</v>
      </c>
      <c r="B49" t="s">
        <v>3911</v>
      </c>
      <c r="C49" t="s">
        <v>2276</v>
      </c>
      <c r="D49">
        <v>7.4</v>
      </c>
      <c r="E49" t="s">
        <v>3152</v>
      </c>
      <c r="F49" s="186" t="s">
        <v>2248</v>
      </c>
      <c r="H49" t="b">
        <v>1</v>
      </c>
      <c r="I49">
        <v>7.4</v>
      </c>
      <c r="J49" s="186" t="s">
        <v>2216</v>
      </c>
      <c r="M49" t="str">
        <f>IFERROR(_xlfn.XLOOKUP(A49,Fleet!A:A,Fleet!E:E,""),"")</f>
        <v/>
      </c>
      <c r="N49" t="s">
        <v>2275</v>
      </c>
      <c r="O49" t="s">
        <v>3222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2272</v>
      </c>
      <c r="B50" t="s">
        <v>3911</v>
      </c>
      <c r="C50" t="s">
        <v>2273</v>
      </c>
      <c r="D50">
        <v>59.6</v>
      </c>
      <c r="E50" t="s">
        <v>3152</v>
      </c>
      <c r="F50" s="186" t="s">
        <v>2248</v>
      </c>
      <c r="H50" t="b">
        <v>1</v>
      </c>
      <c r="I50">
        <v>59.6</v>
      </c>
      <c r="J50" s="186" t="s">
        <v>2216</v>
      </c>
      <c r="M50" t="str">
        <f>IFERROR(_xlfn.XLOOKUP(A50,Fleet!A:A,Fleet!E:E,""),"")</f>
        <v/>
      </c>
      <c r="N50" t="s">
        <v>2272</v>
      </c>
      <c r="O50" t="s">
        <v>3222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2263</v>
      </c>
      <c r="B51" t="s">
        <v>3911</v>
      </c>
      <c r="C51" t="s">
        <v>2264</v>
      </c>
      <c r="D51">
        <v>31.9</v>
      </c>
      <c r="E51" t="s">
        <v>3152</v>
      </c>
      <c r="F51" s="186" t="s">
        <v>2248</v>
      </c>
      <c r="H51" t="b">
        <v>1</v>
      </c>
      <c r="I51">
        <v>31.900000000000002</v>
      </c>
      <c r="J51" s="186" t="s">
        <v>2216</v>
      </c>
      <c r="M51" t="str">
        <f>IFERROR(_xlfn.XLOOKUP(A51,Fleet!A:A,Fleet!E:E,""),"")</f>
        <v/>
      </c>
      <c r="N51" t="s">
        <v>2263</v>
      </c>
      <c r="O51" t="s">
        <v>3222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2266</v>
      </c>
      <c r="B52" t="s">
        <v>3911</v>
      </c>
      <c r="C52" t="s">
        <v>2267</v>
      </c>
      <c r="D52">
        <v>26.5</v>
      </c>
      <c r="E52" t="s">
        <v>3152</v>
      </c>
      <c r="F52" s="186" t="s">
        <v>2248</v>
      </c>
      <c r="H52" t="b">
        <v>1</v>
      </c>
      <c r="I52">
        <v>26.5</v>
      </c>
      <c r="J52" s="186" t="s">
        <v>2216</v>
      </c>
      <c r="M52" t="str">
        <f>IFERROR(_xlfn.XLOOKUP(A52,Fleet!A:A,Fleet!E:E,""),"")</f>
        <v/>
      </c>
      <c r="N52" t="s">
        <v>2266</v>
      </c>
      <c r="O52" t="s">
        <v>3222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2269</v>
      </c>
      <c r="B53" t="s">
        <v>3911</v>
      </c>
      <c r="C53" t="s">
        <v>2270</v>
      </c>
      <c r="D53">
        <v>21.25</v>
      </c>
      <c r="E53" t="s">
        <v>3152</v>
      </c>
      <c r="F53" s="186" t="s">
        <v>2248</v>
      </c>
      <c r="H53" t="b">
        <v>1</v>
      </c>
      <c r="I53">
        <v>21.25</v>
      </c>
      <c r="J53" s="186" t="s">
        <v>2216</v>
      </c>
      <c r="M53" t="str">
        <f>IFERROR(_xlfn.XLOOKUP(A53,Fleet!A:A,Fleet!E:E,""),"")</f>
        <v/>
      </c>
      <c r="N53" t="s">
        <v>2269</v>
      </c>
      <c r="O53" t="s">
        <v>3222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2257</v>
      </c>
      <c r="B54" t="s">
        <v>3911</v>
      </c>
      <c r="C54" t="s">
        <v>2258</v>
      </c>
      <c r="D54">
        <v>39.799999999999997</v>
      </c>
      <c r="E54" t="s">
        <v>3152</v>
      </c>
      <c r="F54" s="186" t="s">
        <v>2248</v>
      </c>
      <c r="H54" t="b">
        <v>1</v>
      </c>
      <c r="I54">
        <v>39.800000000000004</v>
      </c>
      <c r="J54" s="186" t="s">
        <v>2216</v>
      </c>
      <c r="M54" t="str">
        <f>IFERROR(_xlfn.XLOOKUP(A54,Fleet!A:A,Fleet!E:E,""),"")</f>
        <v/>
      </c>
      <c r="N54" t="s">
        <v>2257</v>
      </c>
      <c r="O54" t="s">
        <v>3222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2260</v>
      </c>
      <c r="B55" t="s">
        <v>3911</v>
      </c>
      <c r="C55" t="s">
        <v>2261</v>
      </c>
      <c r="D55">
        <v>37.15</v>
      </c>
      <c r="E55" t="s">
        <v>3152</v>
      </c>
      <c r="F55" s="186" t="s">
        <v>2248</v>
      </c>
      <c r="H55" t="b">
        <v>1</v>
      </c>
      <c r="I55">
        <v>37.15</v>
      </c>
      <c r="J55" s="186" t="s">
        <v>2216</v>
      </c>
      <c r="M55" t="str">
        <f>IFERROR(_xlfn.XLOOKUP(A55,Fleet!A:A,Fleet!E:E,""),"")</f>
        <v/>
      </c>
      <c r="N55" t="s">
        <v>2260</v>
      </c>
      <c r="O55" t="s">
        <v>3222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2251</v>
      </c>
      <c r="B56" t="s">
        <v>3911</v>
      </c>
      <c r="C56" t="s">
        <v>2252</v>
      </c>
      <c r="D56">
        <v>18.600000000000001</v>
      </c>
      <c r="E56" t="s">
        <v>3152</v>
      </c>
      <c r="F56" s="186" t="s">
        <v>2248</v>
      </c>
      <c r="H56" t="b">
        <v>1</v>
      </c>
      <c r="I56">
        <v>18.600000000000001</v>
      </c>
      <c r="J56" s="186" t="s">
        <v>2216</v>
      </c>
      <c r="M56" t="str">
        <f>IFERROR(_xlfn.XLOOKUP(A56,Fleet!A:A,Fleet!E:E,""),"")</f>
        <v/>
      </c>
      <c r="N56" t="s">
        <v>2251</v>
      </c>
      <c r="O56" t="s">
        <v>3222</v>
      </c>
      <c r="P56" t="str">
        <f>_xlfn.XLOOKUP(A56,'Classic Net to delete'!D:D,'Classic Net to delete'!A:A,"")</f>
        <v>Meeting Table</v>
      </c>
    </row>
    <row r="57" spans="1:16" x14ac:dyDescent="0.25">
      <c r="A57" t="s">
        <v>2249</v>
      </c>
      <c r="B57" t="s">
        <v>3911</v>
      </c>
      <c r="C57" t="s">
        <v>2250</v>
      </c>
      <c r="D57">
        <v>6.5</v>
      </c>
      <c r="E57" t="s">
        <v>3152</v>
      </c>
      <c r="F57" s="186" t="s">
        <v>2248</v>
      </c>
      <c r="H57" t="b">
        <v>1</v>
      </c>
      <c r="I57">
        <v>6.5</v>
      </c>
      <c r="J57" s="186" t="s">
        <v>2216</v>
      </c>
      <c r="M57" t="str">
        <f>IFERROR(_xlfn.XLOOKUP(A57,Fleet!A:A,Fleet!E:E,""),"")</f>
        <v/>
      </c>
      <c r="N57" t="s">
        <v>2249</v>
      </c>
      <c r="O57" t="s">
        <v>3222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2245</v>
      </c>
      <c r="B58" t="s">
        <v>3911</v>
      </c>
      <c r="C58" t="s">
        <v>2246</v>
      </c>
      <c r="D58">
        <v>18.600000000000001</v>
      </c>
      <c r="E58" t="s">
        <v>3152</v>
      </c>
      <c r="F58" s="186" t="s">
        <v>2248</v>
      </c>
      <c r="H58" t="b">
        <v>1</v>
      </c>
      <c r="I58">
        <v>18.600000000000001</v>
      </c>
      <c r="J58" s="186" t="s">
        <v>2216</v>
      </c>
      <c r="M58" t="str">
        <f>IFERROR(_xlfn.XLOOKUP(A58,Fleet!A:A,Fleet!E:E,""),"")</f>
        <v/>
      </c>
      <c r="N58" t="s">
        <v>2245</v>
      </c>
      <c r="O58" t="s">
        <v>3222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2254</v>
      </c>
      <c r="B59" t="s">
        <v>3911</v>
      </c>
      <c r="C59" t="s">
        <v>2255</v>
      </c>
      <c r="D59">
        <v>22.4</v>
      </c>
      <c r="E59" t="s">
        <v>3152</v>
      </c>
      <c r="F59" s="186" t="s">
        <v>2248</v>
      </c>
      <c r="H59" t="b">
        <v>1</v>
      </c>
      <c r="I59">
        <v>22.400000000000002</v>
      </c>
      <c r="J59" s="186" t="s">
        <v>2216</v>
      </c>
      <c r="M59" t="str">
        <f>IFERROR(_xlfn.XLOOKUP(A59,Fleet!A:A,Fleet!E:E,""),"")</f>
        <v/>
      </c>
      <c r="N59" t="s">
        <v>2254</v>
      </c>
      <c r="O59" t="s">
        <v>3222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2986</v>
      </c>
      <c r="B60" t="s">
        <v>3912</v>
      </c>
      <c r="C60" t="s">
        <v>2987</v>
      </c>
      <c r="D60">
        <v>10</v>
      </c>
      <c r="E60" t="s">
        <v>3152</v>
      </c>
      <c r="H60" t="s">
        <v>22</v>
      </c>
      <c r="I60" t="s">
        <v>22</v>
      </c>
      <c r="M60" t="str">
        <f>IFERROR(_xlfn.XLOOKUP(A60,Fleet!A:A,Fleet!E:E,""),"")</f>
        <v/>
      </c>
      <c r="N60" t="s">
        <v>2986</v>
      </c>
      <c r="O60" t="s">
        <v>3221</v>
      </c>
      <c r="P60" t="str">
        <f>_xlfn.XLOOKUP(A60,'Classic Net to delete'!D:D,'Classic Net to delete'!A:A,"")</f>
        <v/>
      </c>
    </row>
    <row r="61" spans="1:16" x14ac:dyDescent="0.25">
      <c r="A61" t="s">
        <v>2242</v>
      </c>
      <c r="B61" t="s">
        <v>3912</v>
      </c>
      <c r="C61" t="s">
        <v>2243</v>
      </c>
      <c r="D61">
        <v>126.25</v>
      </c>
      <c r="E61" t="s">
        <v>3152</v>
      </c>
      <c r="F61" s="186" t="s">
        <v>2221</v>
      </c>
      <c r="H61" t="b">
        <v>1</v>
      </c>
      <c r="I61">
        <v>126.25</v>
      </c>
      <c r="J61" s="186" t="s">
        <v>2216</v>
      </c>
      <c r="M61" t="str">
        <f>IFERROR(_xlfn.XLOOKUP(A61,Fleet!A:A,Fleet!E:E,""),"")</f>
        <v/>
      </c>
      <c r="N61" t="s">
        <v>2242</v>
      </c>
      <c r="O61" t="s">
        <v>3221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2239</v>
      </c>
      <c r="B62" t="s">
        <v>3912</v>
      </c>
      <c r="C62" t="s">
        <v>2240</v>
      </c>
      <c r="D62">
        <v>189.25</v>
      </c>
      <c r="E62" t="s">
        <v>3152</v>
      </c>
      <c r="F62" s="186" t="s">
        <v>2221</v>
      </c>
      <c r="H62" t="b">
        <v>1</v>
      </c>
      <c r="I62">
        <v>189.25</v>
      </c>
      <c r="J62" s="186" t="s">
        <v>2216</v>
      </c>
      <c r="M62" t="str">
        <f>IFERROR(_xlfn.XLOOKUP(A62,Fleet!A:A,Fleet!E:E,""),"")</f>
        <v/>
      </c>
      <c r="N62" t="s">
        <v>2239</v>
      </c>
      <c r="O62" t="s">
        <v>3221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2232</v>
      </c>
      <c r="B63" t="s">
        <v>3912</v>
      </c>
      <c r="C63" t="s">
        <v>2233</v>
      </c>
      <c r="D63">
        <v>12.1</v>
      </c>
      <c r="E63" t="s">
        <v>3152</v>
      </c>
      <c r="F63" s="186" t="s">
        <v>2221</v>
      </c>
      <c r="H63" t="b">
        <v>1</v>
      </c>
      <c r="I63">
        <v>12.100000000000001</v>
      </c>
      <c r="J63" s="186" t="s">
        <v>2216</v>
      </c>
      <c r="M63" t="str">
        <f>IFERROR(_xlfn.XLOOKUP(A63,Fleet!A:A,Fleet!E:E,""),"")</f>
        <v/>
      </c>
      <c r="N63" t="s">
        <v>2232</v>
      </c>
      <c r="O63" t="s">
        <v>3221</v>
      </c>
      <c r="P63" t="str">
        <f>_xlfn.XLOOKUP(A63,'Classic Net to delete'!D:D,'Classic Net to delete'!A:A,"")</f>
        <v>Microwave</v>
      </c>
    </row>
    <row r="64" spans="1:16" x14ac:dyDescent="0.25">
      <c r="A64" t="s">
        <v>2234</v>
      </c>
      <c r="B64" t="s">
        <v>3912</v>
      </c>
      <c r="C64" t="s">
        <v>2235</v>
      </c>
      <c r="D64">
        <v>26.5</v>
      </c>
      <c r="E64" t="s">
        <v>3152</v>
      </c>
      <c r="F64" s="186" t="s">
        <v>2221</v>
      </c>
      <c r="H64" t="b">
        <v>1</v>
      </c>
      <c r="I64">
        <v>26.5</v>
      </c>
      <c r="J64" s="186" t="s">
        <v>2216</v>
      </c>
      <c r="M64" t="str">
        <f>IFERROR(_xlfn.XLOOKUP(A64,Fleet!A:A,Fleet!E:E,""),"")</f>
        <v/>
      </c>
      <c r="N64" t="s">
        <v>2234</v>
      </c>
      <c r="O64" t="s">
        <v>3221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2984</v>
      </c>
      <c r="B65" t="s">
        <v>3912</v>
      </c>
      <c r="C65" t="s">
        <v>2985</v>
      </c>
      <c r="D65">
        <v>59.6</v>
      </c>
      <c r="E65" t="s">
        <v>3152</v>
      </c>
      <c r="H65" t="s">
        <v>22</v>
      </c>
      <c r="I65" t="s">
        <v>22</v>
      </c>
      <c r="M65" t="str">
        <f>IFERROR(_xlfn.XLOOKUP(A65,Fleet!A:A,Fleet!E:E,""),"")</f>
        <v/>
      </c>
      <c r="N65" t="s">
        <v>2984</v>
      </c>
      <c r="O65" t="s">
        <v>3221</v>
      </c>
      <c r="P65" t="str">
        <f>_xlfn.XLOOKUP(A65,'Classic Net to delete'!D:D,'Classic Net to delete'!A:A,"")</f>
        <v/>
      </c>
    </row>
    <row r="66" spans="1:16" x14ac:dyDescent="0.25">
      <c r="A66" t="s">
        <v>2982</v>
      </c>
      <c r="B66" t="s">
        <v>3912</v>
      </c>
      <c r="C66" t="s">
        <v>2983</v>
      </c>
      <c r="D66">
        <v>13.3</v>
      </c>
      <c r="E66" t="s">
        <v>3152</v>
      </c>
      <c r="H66" t="s">
        <v>22</v>
      </c>
      <c r="I66" t="s">
        <v>22</v>
      </c>
      <c r="M66" t="str">
        <f>IFERROR(_xlfn.XLOOKUP(A66,Fleet!A:A,Fleet!E:E,""),"")</f>
        <v/>
      </c>
      <c r="N66" t="s">
        <v>2982</v>
      </c>
      <c r="O66" t="s">
        <v>3221</v>
      </c>
      <c r="P66" t="str">
        <f>_xlfn.XLOOKUP(A66,'Classic Net to delete'!D:D,'Classic Net to delete'!A:A,"")</f>
        <v/>
      </c>
    </row>
    <row r="67" spans="1:16" x14ac:dyDescent="0.25">
      <c r="A67" t="s">
        <v>2222</v>
      </c>
      <c r="B67" t="s">
        <v>3912</v>
      </c>
      <c r="C67" t="s">
        <v>2223</v>
      </c>
      <c r="D67">
        <v>13.3</v>
      </c>
      <c r="E67" t="s">
        <v>3152</v>
      </c>
      <c r="F67" s="186" t="s">
        <v>2221</v>
      </c>
      <c r="H67" t="b">
        <v>1</v>
      </c>
      <c r="I67">
        <v>13.3</v>
      </c>
      <c r="J67" s="186" t="s">
        <v>2216</v>
      </c>
      <c r="M67" t="str">
        <f>IFERROR(_xlfn.XLOOKUP(A67,Fleet!A:A,Fleet!E:E,""),"")</f>
        <v/>
      </c>
      <c r="N67" t="s">
        <v>2222</v>
      </c>
      <c r="O67" t="s">
        <v>3221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2225</v>
      </c>
      <c r="B68" t="s">
        <v>3912</v>
      </c>
      <c r="C68" t="s">
        <v>2226</v>
      </c>
      <c r="D68">
        <v>5.85</v>
      </c>
      <c r="E68" t="s">
        <v>3152</v>
      </c>
      <c r="F68" s="186" t="s">
        <v>2221</v>
      </c>
      <c r="H68" t="b">
        <v>1</v>
      </c>
      <c r="I68">
        <v>5.8500000000000005</v>
      </c>
      <c r="J68" s="186" t="s">
        <v>2216</v>
      </c>
      <c r="M68" t="str">
        <f>IFERROR(_xlfn.XLOOKUP(A68,Fleet!A:A,Fleet!E:E,""),"")</f>
        <v/>
      </c>
      <c r="N68" t="s">
        <v>2225</v>
      </c>
      <c r="O68" t="s">
        <v>3221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2218</v>
      </c>
      <c r="B69" t="s">
        <v>3912</v>
      </c>
      <c r="C69" t="s">
        <v>2219</v>
      </c>
      <c r="D69">
        <v>3.55</v>
      </c>
      <c r="E69" t="s">
        <v>3152</v>
      </c>
      <c r="F69" s="186" t="s">
        <v>2221</v>
      </c>
      <c r="H69" t="b">
        <v>1</v>
      </c>
      <c r="I69">
        <v>3.5500000000000003</v>
      </c>
      <c r="J69" s="186" t="s">
        <v>2216</v>
      </c>
      <c r="M69" t="str">
        <f>IFERROR(_xlfn.XLOOKUP(A69,Fleet!A:A,Fleet!E:E,""),"")</f>
        <v/>
      </c>
      <c r="N69" t="s">
        <v>2218</v>
      </c>
      <c r="O69" t="s">
        <v>3221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2980</v>
      </c>
      <c r="B70" t="s">
        <v>3913</v>
      </c>
      <c r="C70" t="s">
        <v>2981</v>
      </c>
      <c r="D70">
        <v>3.55</v>
      </c>
      <c r="E70" t="s">
        <v>3152</v>
      </c>
      <c r="I70" t="s">
        <v>22</v>
      </c>
      <c r="M70" t="str">
        <f>IFERROR(_xlfn.XLOOKUP(A70,Fleet!A:A,Fleet!E:E,""),"")</f>
        <v/>
      </c>
      <c r="N70" t="s">
        <v>2980</v>
      </c>
      <c r="O70" t="s">
        <v>3044</v>
      </c>
      <c r="P70" t="str">
        <f>_xlfn.XLOOKUP(A70,'Classic Net to delete'!D:D,'Classic Net to delete'!A:A,"")</f>
        <v/>
      </c>
    </row>
    <row r="71" spans="1:16" x14ac:dyDescent="0.25">
      <c r="A71" t="s">
        <v>2978</v>
      </c>
      <c r="B71" t="s">
        <v>3913</v>
      </c>
      <c r="C71" t="s">
        <v>2979</v>
      </c>
      <c r="D71">
        <v>10</v>
      </c>
      <c r="E71" t="s">
        <v>3152</v>
      </c>
      <c r="H71" t="s">
        <v>22</v>
      </c>
      <c r="I71" t="s">
        <v>22</v>
      </c>
      <c r="M71" t="str">
        <f>IFERROR(_xlfn.XLOOKUP(A71,Fleet!A:A,Fleet!E:E,""),"")</f>
        <v/>
      </c>
      <c r="N71" t="s">
        <v>2978</v>
      </c>
      <c r="O71" t="s">
        <v>3044</v>
      </c>
      <c r="P71" t="str">
        <f>_xlfn.XLOOKUP(A71,'Classic Net to delete'!D:D,'Classic Net to delete'!A:A,"")</f>
        <v/>
      </c>
    </row>
    <row r="72" spans="1:16" x14ac:dyDescent="0.25">
      <c r="A72" t="s">
        <v>2179</v>
      </c>
      <c r="B72" t="s">
        <v>3913</v>
      </c>
      <c r="C72" t="s">
        <v>2180</v>
      </c>
      <c r="D72">
        <v>9.6999999999999993</v>
      </c>
      <c r="E72" t="s">
        <v>3152</v>
      </c>
      <c r="F72" s="186" t="s">
        <v>2171</v>
      </c>
      <c r="H72" t="b">
        <v>1</v>
      </c>
      <c r="I72">
        <v>9.7000000000000011</v>
      </c>
      <c r="J72" s="186" t="s">
        <v>2060</v>
      </c>
      <c r="M72" t="str">
        <f>IFERROR(_xlfn.XLOOKUP(A72,Fleet!A:A,Fleet!E:E,""),"")</f>
        <v/>
      </c>
      <c r="N72" t="s">
        <v>2179</v>
      </c>
      <c r="O72" t="s">
        <v>3044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2177</v>
      </c>
      <c r="B73" t="s">
        <v>3913</v>
      </c>
      <c r="C73" t="s">
        <v>2178</v>
      </c>
      <c r="D73">
        <v>9.15</v>
      </c>
      <c r="E73" t="s">
        <v>3152</v>
      </c>
      <c r="F73" s="186" t="s">
        <v>2171</v>
      </c>
      <c r="H73" t="b">
        <v>1</v>
      </c>
      <c r="I73">
        <v>9.15</v>
      </c>
      <c r="J73" s="186" t="s">
        <v>2060</v>
      </c>
      <c r="M73" t="str">
        <f>IFERROR(_xlfn.XLOOKUP(A73,Fleet!A:A,Fleet!E:E,""),"")</f>
        <v/>
      </c>
      <c r="N73" t="s">
        <v>2177</v>
      </c>
      <c r="O73" t="s">
        <v>3044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2174</v>
      </c>
      <c r="B74" t="s">
        <v>3913</v>
      </c>
      <c r="C74" t="s">
        <v>2175</v>
      </c>
      <c r="D74">
        <v>3.75</v>
      </c>
      <c r="E74" t="s">
        <v>3152</v>
      </c>
      <c r="F74" s="186" t="s">
        <v>2171</v>
      </c>
      <c r="H74" t="b">
        <v>1</v>
      </c>
      <c r="I74">
        <v>3.75</v>
      </c>
      <c r="J74" s="186" t="s">
        <v>2060</v>
      </c>
      <c r="M74" t="str">
        <f>IFERROR(_xlfn.XLOOKUP(A74,Fleet!A:A,Fleet!E:E,""),"")</f>
        <v/>
      </c>
      <c r="N74" t="s">
        <v>2174</v>
      </c>
      <c r="O74" t="s">
        <v>3044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2182</v>
      </c>
      <c r="B75" t="s">
        <v>3913</v>
      </c>
      <c r="C75" t="s">
        <v>2183</v>
      </c>
      <c r="D75">
        <v>15.95</v>
      </c>
      <c r="E75" t="s">
        <v>3152</v>
      </c>
      <c r="F75" s="186" t="s">
        <v>2171</v>
      </c>
      <c r="H75" t="b">
        <v>1</v>
      </c>
      <c r="I75">
        <v>15.950000000000001</v>
      </c>
      <c r="J75" s="186" t="s">
        <v>2060</v>
      </c>
      <c r="M75" t="str">
        <f>IFERROR(_xlfn.XLOOKUP(A75,Fleet!A:A,Fleet!E:E,""),"")</f>
        <v/>
      </c>
      <c r="N75" t="s">
        <v>2182</v>
      </c>
      <c r="O75" t="s">
        <v>3044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2172</v>
      </c>
      <c r="B76" t="s">
        <v>3913</v>
      </c>
      <c r="C76" t="s">
        <v>2173</v>
      </c>
      <c r="D76">
        <v>5.6</v>
      </c>
      <c r="E76" t="s">
        <v>3152</v>
      </c>
      <c r="F76" s="186" t="s">
        <v>2171</v>
      </c>
      <c r="H76" t="b">
        <v>1</v>
      </c>
      <c r="I76">
        <v>5.6000000000000005</v>
      </c>
      <c r="J76" s="186" t="s">
        <v>2060</v>
      </c>
      <c r="M76" t="str">
        <f>IFERROR(_xlfn.XLOOKUP(A76,Fleet!A:A,Fleet!E:E,""),"")</f>
        <v/>
      </c>
      <c r="N76" t="s">
        <v>2172</v>
      </c>
      <c r="O76" t="s">
        <v>3044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2976</v>
      </c>
      <c r="B77" t="s">
        <v>3913</v>
      </c>
      <c r="C77" t="s">
        <v>2977</v>
      </c>
      <c r="D77">
        <v>0.9</v>
      </c>
      <c r="E77" t="s">
        <v>3152</v>
      </c>
      <c r="H77" t="s">
        <v>22</v>
      </c>
      <c r="I77" t="s">
        <v>22</v>
      </c>
      <c r="M77" t="str">
        <f>IFERROR(_xlfn.XLOOKUP(A77,Fleet!A:A,Fleet!E:E,""),"")</f>
        <v/>
      </c>
      <c r="N77" t="s">
        <v>2976</v>
      </c>
      <c r="O77" t="s">
        <v>3044</v>
      </c>
      <c r="P77" t="str">
        <f>_xlfn.XLOOKUP(A77,'Classic Net to delete'!D:D,'Classic Net to delete'!A:A,"")</f>
        <v/>
      </c>
    </row>
    <row r="78" spans="1:16" x14ac:dyDescent="0.25">
      <c r="A78" t="s">
        <v>2974</v>
      </c>
      <c r="B78" t="s">
        <v>3913</v>
      </c>
      <c r="C78" t="s">
        <v>2975</v>
      </c>
      <c r="D78">
        <v>15.95</v>
      </c>
      <c r="E78" t="s">
        <v>3152</v>
      </c>
      <c r="H78" t="s">
        <v>22</v>
      </c>
      <c r="I78" t="s">
        <v>22</v>
      </c>
      <c r="M78" t="str">
        <f>IFERROR(_xlfn.XLOOKUP(A78,Fleet!A:A,Fleet!E:E,""),"")</f>
        <v/>
      </c>
      <c r="N78" t="s">
        <v>2974</v>
      </c>
      <c r="O78" t="s">
        <v>3044</v>
      </c>
      <c r="P78" t="str">
        <f>_xlfn.XLOOKUP(A78,'Classic Net to delete'!D:D,'Classic Net to delete'!A:A,"")</f>
        <v/>
      </c>
    </row>
    <row r="79" spans="1:16" x14ac:dyDescent="0.25">
      <c r="A79" t="s">
        <v>2151</v>
      </c>
      <c r="B79" t="s">
        <v>3913</v>
      </c>
      <c r="C79" t="s">
        <v>2152</v>
      </c>
      <c r="D79">
        <v>40.450000000000003</v>
      </c>
      <c r="E79" t="s">
        <v>3152</v>
      </c>
      <c r="F79" s="186" t="s">
        <v>2140</v>
      </c>
      <c r="H79" t="b">
        <v>1</v>
      </c>
      <c r="I79">
        <v>40.450000000000003</v>
      </c>
      <c r="J79" s="186" t="s">
        <v>2060</v>
      </c>
      <c r="M79" t="str">
        <f>IFERROR(_xlfn.XLOOKUP(A79,Fleet!A:A,Fleet!E:E,""),"")</f>
        <v/>
      </c>
      <c r="N79" t="s">
        <v>2151</v>
      </c>
      <c r="O79" t="s">
        <v>3044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2972</v>
      </c>
      <c r="B80" t="s">
        <v>3913</v>
      </c>
      <c r="C80" t="s">
        <v>2973</v>
      </c>
      <c r="D80">
        <v>15.95</v>
      </c>
      <c r="E80" t="s">
        <v>3152</v>
      </c>
      <c r="H80" t="s">
        <v>22</v>
      </c>
      <c r="I80" t="s">
        <v>22</v>
      </c>
      <c r="M80" t="str">
        <f>IFERROR(_xlfn.XLOOKUP(A80,Fleet!A:A,Fleet!E:E,""),"")</f>
        <v/>
      </c>
      <c r="N80" t="s">
        <v>2972</v>
      </c>
      <c r="O80" t="s">
        <v>3044</v>
      </c>
      <c r="P80" t="str">
        <f>_xlfn.XLOOKUP(A80,'Classic Net to delete'!D:D,'Classic Net to delete'!A:A,"")</f>
        <v/>
      </c>
    </row>
    <row r="81" spans="1:16" x14ac:dyDescent="0.25">
      <c r="A81" t="s">
        <v>2144</v>
      </c>
      <c r="B81" t="s">
        <v>3913</v>
      </c>
      <c r="C81" t="s">
        <v>2145</v>
      </c>
      <c r="D81">
        <v>15.95</v>
      </c>
      <c r="E81" t="s">
        <v>3152</v>
      </c>
      <c r="F81" s="186" t="s">
        <v>2140</v>
      </c>
      <c r="H81" t="b">
        <v>1</v>
      </c>
      <c r="I81">
        <v>15.950000000000001</v>
      </c>
      <c r="J81" s="186" t="s">
        <v>2060</v>
      </c>
      <c r="M81" t="str">
        <f>IFERROR(_xlfn.XLOOKUP(A81,Fleet!A:A,Fleet!E:E,""),"")</f>
        <v/>
      </c>
      <c r="N81" t="s">
        <v>2144</v>
      </c>
      <c r="O81" t="s">
        <v>3044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2149</v>
      </c>
      <c r="B82" t="s">
        <v>3913</v>
      </c>
      <c r="C82" t="s">
        <v>2150</v>
      </c>
      <c r="D82">
        <v>19.8</v>
      </c>
      <c r="E82" t="s">
        <v>3152</v>
      </c>
      <c r="F82" s="186" t="s">
        <v>2140</v>
      </c>
      <c r="H82" t="b">
        <v>1</v>
      </c>
      <c r="I82">
        <v>19.8</v>
      </c>
      <c r="J82" s="186" t="s">
        <v>2060</v>
      </c>
      <c r="M82" t="str">
        <f>IFERROR(_xlfn.XLOOKUP(A82,Fleet!A:A,Fleet!E:E,""),"")</f>
        <v/>
      </c>
      <c r="N82" t="s">
        <v>2149</v>
      </c>
      <c r="O82" t="s">
        <v>3044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2147</v>
      </c>
      <c r="B83" t="s">
        <v>3913</v>
      </c>
      <c r="C83" t="s">
        <v>2148</v>
      </c>
      <c r="D83">
        <v>15.95</v>
      </c>
      <c r="E83" t="s">
        <v>3152</v>
      </c>
      <c r="F83" s="186" t="s">
        <v>2140</v>
      </c>
      <c r="H83" t="b">
        <v>1</v>
      </c>
      <c r="I83">
        <v>15.950000000000001</v>
      </c>
      <c r="J83" s="186" t="s">
        <v>2060</v>
      </c>
      <c r="M83" t="str">
        <f>IFERROR(_xlfn.XLOOKUP(A83,Fleet!A:A,Fleet!E:E,""),"")</f>
        <v/>
      </c>
      <c r="N83" t="s">
        <v>2147</v>
      </c>
      <c r="O83" t="s">
        <v>3044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2970</v>
      </c>
      <c r="B84" t="s">
        <v>3913</v>
      </c>
      <c r="C84" t="s">
        <v>2971</v>
      </c>
      <c r="D84">
        <v>15.95</v>
      </c>
      <c r="E84" t="s">
        <v>3152</v>
      </c>
      <c r="H84" t="s">
        <v>22</v>
      </c>
      <c r="I84" t="s">
        <v>22</v>
      </c>
      <c r="M84" t="str">
        <f>IFERROR(_xlfn.XLOOKUP(A84,Fleet!A:A,Fleet!E:E,""),"")</f>
        <v/>
      </c>
      <c r="N84" t="s">
        <v>2970</v>
      </c>
      <c r="O84" t="s">
        <v>3044</v>
      </c>
      <c r="P84" t="str">
        <f>_xlfn.XLOOKUP(A84,'Classic Net to delete'!D:D,'Classic Net to delete'!A:A,"")</f>
        <v/>
      </c>
    </row>
    <row r="85" spans="1:16" x14ac:dyDescent="0.25">
      <c r="A85" t="s">
        <v>2141</v>
      </c>
      <c r="B85" t="s">
        <v>3913</v>
      </c>
      <c r="C85" t="s">
        <v>2142</v>
      </c>
      <c r="D85">
        <v>15.95</v>
      </c>
      <c r="E85" t="s">
        <v>3152</v>
      </c>
      <c r="F85" s="186" t="s">
        <v>2140</v>
      </c>
      <c r="H85" t="b">
        <v>1</v>
      </c>
      <c r="I85">
        <v>15.950000000000001</v>
      </c>
      <c r="J85" s="186" t="s">
        <v>2060</v>
      </c>
      <c r="M85" t="str">
        <f>IFERROR(_xlfn.XLOOKUP(A85,Fleet!A:A,Fleet!E:E,""),"")</f>
        <v/>
      </c>
      <c r="N85" t="s">
        <v>2141</v>
      </c>
      <c r="O85" t="s">
        <v>3044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2138</v>
      </c>
      <c r="B86" t="s">
        <v>3913</v>
      </c>
      <c r="C86" t="s">
        <v>2139</v>
      </c>
      <c r="D86">
        <v>15.95</v>
      </c>
      <c r="E86" t="s">
        <v>3152</v>
      </c>
      <c r="F86" s="186" t="s">
        <v>2140</v>
      </c>
      <c r="H86" t="b">
        <v>1</v>
      </c>
      <c r="I86">
        <v>15.950000000000001</v>
      </c>
      <c r="J86" s="186" t="s">
        <v>2060</v>
      </c>
      <c r="M86" t="str">
        <f>IFERROR(_xlfn.XLOOKUP(A86,Fleet!A:A,Fleet!E:E,""),"")</f>
        <v/>
      </c>
      <c r="N86" t="s">
        <v>2138</v>
      </c>
      <c r="O86" t="s">
        <v>3044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2968</v>
      </c>
      <c r="B87" t="s">
        <v>3913</v>
      </c>
      <c r="C87" t="s">
        <v>2969</v>
      </c>
      <c r="D87">
        <v>25.35</v>
      </c>
      <c r="E87" t="s">
        <v>3152</v>
      </c>
      <c r="H87" t="s">
        <v>22</v>
      </c>
      <c r="I87" t="s">
        <v>22</v>
      </c>
      <c r="M87" t="str">
        <f>IFERROR(_xlfn.XLOOKUP(A87,Fleet!A:A,Fleet!E:E,""),"")</f>
        <v/>
      </c>
      <c r="N87" t="s">
        <v>2968</v>
      </c>
      <c r="O87" t="s">
        <v>3044</v>
      </c>
      <c r="P87" t="str">
        <f>_xlfn.XLOOKUP(A87,'Classic Net to delete'!D:D,'Classic Net to delete'!A:A,"")</f>
        <v/>
      </c>
    </row>
    <row r="88" spans="1:16" x14ac:dyDescent="0.25">
      <c r="A88" t="s">
        <v>2098</v>
      </c>
      <c r="B88" t="s">
        <v>3913</v>
      </c>
      <c r="C88" t="s">
        <v>2099</v>
      </c>
      <c r="D88">
        <v>36.049999999999997</v>
      </c>
      <c r="E88" t="s">
        <v>3152</v>
      </c>
      <c r="F88" s="186" t="s">
        <v>2076</v>
      </c>
      <c r="H88" t="b">
        <v>1</v>
      </c>
      <c r="I88">
        <v>36.050000000000004</v>
      </c>
      <c r="J88" s="186" t="s">
        <v>2060</v>
      </c>
      <c r="M88" t="str">
        <f>IFERROR(_xlfn.XLOOKUP(A88,Fleet!A:A,Fleet!E:E,""),"")</f>
        <v/>
      </c>
      <c r="N88" t="s">
        <v>2098</v>
      </c>
      <c r="O88" t="s">
        <v>3044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2095</v>
      </c>
      <c r="B89" t="s">
        <v>3913</v>
      </c>
      <c r="C89" t="s">
        <v>2096</v>
      </c>
      <c r="D89">
        <v>19.05</v>
      </c>
      <c r="E89" t="s">
        <v>3152</v>
      </c>
      <c r="F89" s="186" t="s">
        <v>2076</v>
      </c>
      <c r="H89" t="b">
        <v>1</v>
      </c>
      <c r="I89">
        <v>19.05</v>
      </c>
      <c r="J89" s="186" t="s">
        <v>2060</v>
      </c>
      <c r="M89" t="str">
        <f>IFERROR(_xlfn.XLOOKUP(A89,Fleet!A:A,Fleet!E:E,""),"")</f>
        <v/>
      </c>
      <c r="N89" t="s">
        <v>2095</v>
      </c>
      <c r="O89" t="s">
        <v>3044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2966</v>
      </c>
      <c r="B90" t="s">
        <v>3913</v>
      </c>
      <c r="C90" t="s">
        <v>2967</v>
      </c>
      <c r="D90">
        <v>10.6</v>
      </c>
      <c r="E90" t="s">
        <v>3152</v>
      </c>
      <c r="H90" t="s">
        <v>22</v>
      </c>
      <c r="I90" t="s">
        <v>22</v>
      </c>
      <c r="M90" t="str">
        <f>IFERROR(_xlfn.XLOOKUP(A90,Fleet!A:A,Fleet!E:E,""),"")</f>
        <v/>
      </c>
      <c r="N90" t="s">
        <v>2966</v>
      </c>
      <c r="O90" t="s">
        <v>3044</v>
      </c>
      <c r="P90" t="str">
        <f>_xlfn.XLOOKUP(A90,'Classic Net to delete'!D:D,'Classic Net to delete'!A:A,"")</f>
        <v/>
      </c>
    </row>
    <row r="91" spans="1:16" x14ac:dyDescent="0.25">
      <c r="A91" t="s">
        <v>2109</v>
      </c>
      <c r="B91" t="s">
        <v>3913</v>
      </c>
      <c r="C91" t="s">
        <v>2110</v>
      </c>
      <c r="D91">
        <v>4.75</v>
      </c>
      <c r="E91" t="s">
        <v>3152</v>
      </c>
      <c r="F91" s="186" t="s">
        <v>2076</v>
      </c>
      <c r="H91" t="b">
        <v>1</v>
      </c>
      <c r="I91">
        <v>4.75</v>
      </c>
      <c r="J91" s="186" t="s">
        <v>2060</v>
      </c>
      <c r="M91" t="str">
        <f>IFERROR(_xlfn.XLOOKUP(A91,Fleet!A:A,Fleet!E:E,""),"")</f>
        <v/>
      </c>
      <c r="N91" t="s">
        <v>2109</v>
      </c>
      <c r="O91" t="s">
        <v>3044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2106</v>
      </c>
      <c r="B92" t="s">
        <v>3913</v>
      </c>
      <c r="C92" t="s">
        <v>2107</v>
      </c>
      <c r="D92">
        <v>4.75</v>
      </c>
      <c r="E92" t="s">
        <v>3152</v>
      </c>
      <c r="F92" s="186" t="s">
        <v>2076</v>
      </c>
      <c r="H92" t="b">
        <v>1</v>
      </c>
      <c r="I92">
        <v>4.75</v>
      </c>
      <c r="J92" s="186" t="s">
        <v>2060</v>
      </c>
      <c r="M92" t="str">
        <f>IFERROR(_xlfn.XLOOKUP(A92,Fleet!A:A,Fleet!E:E,""),"")</f>
        <v/>
      </c>
      <c r="N92" t="s">
        <v>2106</v>
      </c>
      <c r="O92" t="s">
        <v>3044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2103</v>
      </c>
      <c r="B93" t="s">
        <v>3913</v>
      </c>
      <c r="C93" t="s">
        <v>2104</v>
      </c>
      <c r="D93">
        <v>4.75</v>
      </c>
      <c r="E93" t="s">
        <v>3152</v>
      </c>
      <c r="F93" s="186" t="s">
        <v>2076</v>
      </c>
      <c r="H93" t="b">
        <v>1</v>
      </c>
      <c r="I93">
        <v>4.75</v>
      </c>
      <c r="J93" s="186" t="s">
        <v>2060</v>
      </c>
      <c r="M93" t="str">
        <f>IFERROR(_xlfn.XLOOKUP(A93,Fleet!A:A,Fleet!E:E,""),"")</f>
        <v/>
      </c>
      <c r="N93" t="s">
        <v>2103</v>
      </c>
      <c r="O93" t="s">
        <v>3044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2100</v>
      </c>
      <c r="B94" t="s">
        <v>3913</v>
      </c>
      <c r="C94" t="s">
        <v>2101</v>
      </c>
      <c r="D94">
        <v>4.75</v>
      </c>
      <c r="E94" t="s">
        <v>3152</v>
      </c>
      <c r="F94" s="186" t="s">
        <v>2076</v>
      </c>
      <c r="H94" t="b">
        <v>1</v>
      </c>
      <c r="I94">
        <v>4.75</v>
      </c>
      <c r="J94" s="186" t="s">
        <v>2060</v>
      </c>
      <c r="M94" t="str">
        <f>IFERROR(_xlfn.XLOOKUP(A94,Fleet!A:A,Fleet!E:E,""),"")</f>
        <v/>
      </c>
      <c r="N94" t="s">
        <v>2100</v>
      </c>
      <c r="O94" t="s">
        <v>3044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2092</v>
      </c>
      <c r="B95" t="s">
        <v>3913</v>
      </c>
      <c r="C95" t="s">
        <v>2093</v>
      </c>
      <c r="D95">
        <v>14.45</v>
      </c>
      <c r="E95" t="s">
        <v>3152</v>
      </c>
      <c r="F95" s="186" t="s">
        <v>2076</v>
      </c>
      <c r="H95" t="b">
        <v>1</v>
      </c>
      <c r="I95">
        <v>14.450000000000001</v>
      </c>
      <c r="J95" s="186" t="s">
        <v>2060</v>
      </c>
      <c r="M95" t="str">
        <f>IFERROR(_xlfn.XLOOKUP(A95,Fleet!A:A,Fleet!E:E,""),"")</f>
        <v/>
      </c>
      <c r="N95" t="s">
        <v>2092</v>
      </c>
      <c r="O95" t="s">
        <v>3044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2089</v>
      </c>
      <c r="B96" t="s">
        <v>3913</v>
      </c>
      <c r="C96" t="s">
        <v>2090</v>
      </c>
      <c r="D96">
        <v>6.5</v>
      </c>
      <c r="E96" t="s">
        <v>3152</v>
      </c>
      <c r="F96" s="186" t="s">
        <v>2076</v>
      </c>
      <c r="H96" t="b">
        <v>1</v>
      </c>
      <c r="I96">
        <v>6.5</v>
      </c>
      <c r="J96" s="186" t="s">
        <v>2060</v>
      </c>
      <c r="M96" t="str">
        <f>IFERROR(_xlfn.XLOOKUP(A96,Fleet!A:A,Fleet!E:E,""),"")</f>
        <v/>
      </c>
      <c r="N96" t="s">
        <v>2089</v>
      </c>
      <c r="O96" t="s">
        <v>3044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2086</v>
      </c>
      <c r="B97" t="s">
        <v>3913</v>
      </c>
      <c r="C97" t="s">
        <v>2087</v>
      </c>
      <c r="D97">
        <v>5.6</v>
      </c>
      <c r="E97" t="s">
        <v>3152</v>
      </c>
      <c r="F97" s="186" t="s">
        <v>2076</v>
      </c>
      <c r="H97" t="b">
        <v>1</v>
      </c>
      <c r="I97">
        <v>5.6000000000000005</v>
      </c>
      <c r="J97" s="186" t="s">
        <v>2060</v>
      </c>
      <c r="M97" t="str">
        <f>IFERROR(_xlfn.XLOOKUP(A97,Fleet!A:A,Fleet!E:E,""),"")</f>
        <v/>
      </c>
      <c r="N97" t="s">
        <v>2086</v>
      </c>
      <c r="O97" t="s">
        <v>3044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2083</v>
      </c>
      <c r="B98" t="s">
        <v>3913</v>
      </c>
      <c r="C98" t="s">
        <v>2084</v>
      </c>
      <c r="D98">
        <v>5.6</v>
      </c>
      <c r="E98" t="s">
        <v>3152</v>
      </c>
      <c r="F98" s="186" t="s">
        <v>2076</v>
      </c>
      <c r="H98" t="b">
        <v>1</v>
      </c>
      <c r="I98">
        <v>5.6000000000000005</v>
      </c>
      <c r="J98" s="186" t="s">
        <v>2060</v>
      </c>
      <c r="M98" t="str">
        <f>IFERROR(_xlfn.XLOOKUP(A98,Fleet!A:A,Fleet!E:E,""),"")</f>
        <v/>
      </c>
      <c r="N98" t="s">
        <v>2083</v>
      </c>
      <c r="O98" t="s">
        <v>3044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2080</v>
      </c>
      <c r="B99" t="s">
        <v>3913</v>
      </c>
      <c r="C99" t="s">
        <v>2081</v>
      </c>
      <c r="D99">
        <v>5.6</v>
      </c>
      <c r="E99" t="s">
        <v>3152</v>
      </c>
      <c r="F99" s="186" t="s">
        <v>2076</v>
      </c>
      <c r="H99" t="b">
        <v>1</v>
      </c>
      <c r="I99">
        <v>5.6000000000000005</v>
      </c>
      <c r="J99" s="186" t="s">
        <v>2060</v>
      </c>
      <c r="M99" t="str">
        <f>IFERROR(_xlfn.XLOOKUP(A99,Fleet!A:A,Fleet!E:E,""),"")</f>
        <v/>
      </c>
      <c r="N99" t="s">
        <v>2080</v>
      </c>
      <c r="O99" t="s">
        <v>3044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2077</v>
      </c>
      <c r="B100" t="s">
        <v>3913</v>
      </c>
      <c r="C100" t="s">
        <v>2078</v>
      </c>
      <c r="D100">
        <v>5.6</v>
      </c>
      <c r="E100" t="s">
        <v>3152</v>
      </c>
      <c r="F100" s="186" t="s">
        <v>2076</v>
      </c>
      <c r="H100" t="b">
        <v>1</v>
      </c>
      <c r="I100">
        <v>5.6000000000000005</v>
      </c>
      <c r="J100" s="186" t="s">
        <v>2060</v>
      </c>
      <c r="M100" t="str">
        <f>IFERROR(_xlfn.XLOOKUP(A100,Fleet!A:A,Fleet!E:E,""),"")</f>
        <v/>
      </c>
      <c r="N100" t="s">
        <v>2077</v>
      </c>
      <c r="O100" t="s">
        <v>3044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2073</v>
      </c>
      <c r="B101" t="s">
        <v>3913</v>
      </c>
      <c r="C101" t="s">
        <v>2074</v>
      </c>
      <c r="D101">
        <v>5.6</v>
      </c>
      <c r="E101" t="s">
        <v>3152</v>
      </c>
      <c r="F101" s="186" t="s">
        <v>2076</v>
      </c>
      <c r="H101" t="b">
        <v>1</v>
      </c>
      <c r="I101">
        <v>5.6000000000000005</v>
      </c>
      <c r="J101" s="186" t="s">
        <v>2060</v>
      </c>
      <c r="M101" t="str">
        <f>IFERROR(_xlfn.XLOOKUP(A101,Fleet!A:A,Fleet!E:E,""),"")</f>
        <v/>
      </c>
      <c r="N101" t="s">
        <v>2073</v>
      </c>
      <c r="O101" t="s">
        <v>3044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2167</v>
      </c>
      <c r="B102" t="s">
        <v>3914</v>
      </c>
      <c r="C102" t="s">
        <v>2168</v>
      </c>
      <c r="D102">
        <v>10.050000000000001</v>
      </c>
      <c r="E102" t="s">
        <v>3152</v>
      </c>
      <c r="F102" s="186" t="s">
        <v>2160</v>
      </c>
      <c r="H102" t="b">
        <v>1</v>
      </c>
      <c r="I102">
        <v>10.050000000000001</v>
      </c>
      <c r="J102" s="186" t="s">
        <v>2060</v>
      </c>
      <c r="M102" t="str">
        <f>IFERROR(_xlfn.XLOOKUP(A102,Fleet!A:A,Fleet!E:E,""),"")</f>
        <v/>
      </c>
      <c r="N102" t="s">
        <v>2167</v>
      </c>
      <c r="O102" t="s">
        <v>3185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2163</v>
      </c>
      <c r="B103" t="s">
        <v>3913</v>
      </c>
      <c r="C103" t="s">
        <v>2164</v>
      </c>
      <c r="D103">
        <v>25.35</v>
      </c>
      <c r="E103" t="s">
        <v>3152</v>
      </c>
      <c r="F103" s="186" t="s">
        <v>2160</v>
      </c>
      <c r="H103" t="b">
        <v>1</v>
      </c>
      <c r="I103">
        <v>25.35</v>
      </c>
      <c r="J103" s="186" t="s">
        <v>2060</v>
      </c>
      <c r="M103" t="str">
        <f>IFERROR(_xlfn.XLOOKUP(A103,Fleet!A:A,Fleet!E:E,""),"")</f>
        <v/>
      </c>
      <c r="N103" t="s">
        <v>2163</v>
      </c>
      <c r="O103" t="s">
        <v>3044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2964</v>
      </c>
      <c r="B104" t="s">
        <v>3913</v>
      </c>
      <c r="C104" t="s">
        <v>2965</v>
      </c>
      <c r="D104">
        <v>19.8</v>
      </c>
      <c r="E104" t="s">
        <v>3152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2964</v>
      </c>
      <c r="O104" t="s">
        <v>3044</v>
      </c>
      <c r="P104" t="str">
        <f>_xlfn.XLOOKUP(A104,'Classic Net to delete'!D:D,'Classic Net to delete'!A:A,"")</f>
        <v/>
      </c>
    </row>
    <row r="105" spans="1:16" x14ac:dyDescent="0.25">
      <c r="A105" t="s">
        <v>2962</v>
      </c>
      <c r="B105" t="s">
        <v>3913</v>
      </c>
      <c r="C105" t="s">
        <v>2963</v>
      </c>
      <c r="D105">
        <v>18.649999999999999</v>
      </c>
      <c r="E105" t="s">
        <v>3152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2962</v>
      </c>
      <c r="O105" t="s">
        <v>3044</v>
      </c>
      <c r="P105" t="str">
        <f>_xlfn.XLOOKUP(A105,'Classic Net to delete'!D:D,'Classic Net to delete'!A:A,"")</f>
        <v/>
      </c>
    </row>
    <row r="106" spans="1:16" x14ac:dyDescent="0.25">
      <c r="A106" t="s">
        <v>2161</v>
      </c>
      <c r="B106" t="s">
        <v>3913</v>
      </c>
      <c r="C106" t="s">
        <v>2162</v>
      </c>
      <c r="D106">
        <v>18.649999999999999</v>
      </c>
      <c r="E106" t="s">
        <v>3152</v>
      </c>
      <c r="F106" s="186" t="s">
        <v>2160</v>
      </c>
      <c r="H106" t="b">
        <v>1</v>
      </c>
      <c r="I106">
        <v>18.650000000000002</v>
      </c>
      <c r="J106" s="186" t="s">
        <v>2060</v>
      </c>
      <c r="M106" t="str">
        <f>IFERROR(_xlfn.XLOOKUP(A106,Fleet!A:A,Fleet!E:E,""),"")</f>
        <v/>
      </c>
      <c r="N106" t="s">
        <v>2161</v>
      </c>
      <c r="O106" t="s">
        <v>3044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2960</v>
      </c>
      <c r="B107" t="s">
        <v>3913</v>
      </c>
      <c r="C107" t="s">
        <v>2961</v>
      </c>
      <c r="D107">
        <v>18.649999999999999</v>
      </c>
      <c r="E107" t="s">
        <v>3152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2960</v>
      </c>
      <c r="O107" t="s">
        <v>3044</v>
      </c>
      <c r="P107" t="str">
        <f>_xlfn.XLOOKUP(A107,'Classic Net to delete'!D:D,'Classic Net to delete'!A:A,"")</f>
        <v/>
      </c>
    </row>
    <row r="108" spans="1:16" x14ac:dyDescent="0.25">
      <c r="A108" t="s">
        <v>2958</v>
      </c>
      <c r="B108" t="s">
        <v>3915</v>
      </c>
      <c r="C108" t="s">
        <v>2959</v>
      </c>
      <c r="D108">
        <v>5.55</v>
      </c>
      <c r="E108" t="s">
        <v>3152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2958</v>
      </c>
      <c r="O108" t="s">
        <v>3220</v>
      </c>
      <c r="P108" t="str">
        <f>_xlfn.XLOOKUP(A108,'Classic Net to delete'!D:D,'Classic Net to delete'!A:A,"")</f>
        <v/>
      </c>
    </row>
    <row r="109" spans="1:16" x14ac:dyDescent="0.25">
      <c r="A109" t="s">
        <v>2956</v>
      </c>
      <c r="B109" t="s">
        <v>3915</v>
      </c>
      <c r="C109" t="s">
        <v>2957</v>
      </c>
      <c r="D109">
        <v>14.15</v>
      </c>
      <c r="E109" t="s">
        <v>3152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2956</v>
      </c>
      <c r="O109" t="s">
        <v>3220</v>
      </c>
      <c r="P109" t="str">
        <f>_xlfn.XLOOKUP(A109,'Classic Net to delete'!D:D,'Classic Net to delete'!A:A,"")</f>
        <v/>
      </c>
    </row>
    <row r="110" spans="1:16" x14ac:dyDescent="0.25">
      <c r="A110" t="s">
        <v>2211</v>
      </c>
      <c r="B110" t="s">
        <v>3915</v>
      </c>
      <c r="C110" t="s">
        <v>2212</v>
      </c>
      <c r="D110">
        <v>41.6</v>
      </c>
      <c r="E110" t="s">
        <v>3152</v>
      </c>
      <c r="F110" s="186" t="s">
        <v>719</v>
      </c>
      <c r="H110" t="b">
        <v>1</v>
      </c>
      <c r="I110">
        <v>41.6</v>
      </c>
      <c r="J110" s="186" t="s">
        <v>2060</v>
      </c>
      <c r="M110" t="str">
        <f>IFERROR(_xlfn.XLOOKUP(A110,Fleet!A:A,Fleet!E:E,""),"")</f>
        <v/>
      </c>
      <c r="N110" t="s">
        <v>2211</v>
      </c>
      <c r="O110" t="s">
        <v>3220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2954</v>
      </c>
      <c r="B111" t="s">
        <v>3916</v>
      </c>
      <c r="C111" t="s">
        <v>2955</v>
      </c>
      <c r="D111">
        <v>5.15</v>
      </c>
      <c r="E111" t="s">
        <v>3152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2954</v>
      </c>
      <c r="O111" t="s">
        <v>3024</v>
      </c>
      <c r="P111" t="str">
        <f>_xlfn.XLOOKUP(A111,'Classic Net to delete'!D:D,'Classic Net to delete'!A:A,"")</f>
        <v/>
      </c>
    </row>
    <row r="112" spans="1:16" x14ac:dyDescent="0.25">
      <c r="A112" t="s">
        <v>2952</v>
      </c>
      <c r="B112" t="s">
        <v>3916</v>
      </c>
      <c r="C112" t="s">
        <v>2953</v>
      </c>
      <c r="D112">
        <v>7.75</v>
      </c>
      <c r="E112" t="s">
        <v>3152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2952</v>
      </c>
      <c r="O112" t="s">
        <v>3024</v>
      </c>
      <c r="P112" t="str">
        <f>_xlfn.XLOOKUP(A112,'Classic Net to delete'!D:D,'Classic Net to delete'!A:A,"")</f>
        <v/>
      </c>
    </row>
    <row r="113" spans="1:16" x14ac:dyDescent="0.25">
      <c r="A113" t="s">
        <v>2950</v>
      </c>
      <c r="B113" t="s">
        <v>3916</v>
      </c>
      <c r="C113" t="s">
        <v>2951</v>
      </c>
      <c r="D113">
        <v>18.850000000000001</v>
      </c>
      <c r="E113" t="s">
        <v>3152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2950</v>
      </c>
      <c r="O113" t="s">
        <v>3024</v>
      </c>
      <c r="P113" t="str">
        <f>_xlfn.XLOOKUP(A113,'Classic Net to delete'!D:D,'Classic Net to delete'!A:A,"")</f>
        <v/>
      </c>
    </row>
    <row r="114" spans="1:16" x14ac:dyDescent="0.25">
      <c r="A114" t="s">
        <v>2034</v>
      </c>
      <c r="B114" t="s">
        <v>3916</v>
      </c>
      <c r="C114" t="s">
        <v>2035</v>
      </c>
      <c r="D114">
        <v>28.35</v>
      </c>
      <c r="E114" t="s">
        <v>3152</v>
      </c>
      <c r="F114" s="186" t="s">
        <v>3917</v>
      </c>
      <c r="H114" t="b">
        <v>1</v>
      </c>
      <c r="I114">
        <v>28.35</v>
      </c>
      <c r="J114" s="186" t="s">
        <v>2004</v>
      </c>
      <c r="M114" t="str">
        <f>IFERROR(_xlfn.XLOOKUP(A114,Fleet!A:A,Fleet!E:E,""),"")</f>
        <v/>
      </c>
      <c r="N114" t="s">
        <v>2034</v>
      </c>
      <c r="O114" t="s">
        <v>3024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2948</v>
      </c>
      <c r="B115" t="s">
        <v>3916</v>
      </c>
      <c r="C115" t="s">
        <v>2949</v>
      </c>
      <c r="D115">
        <v>13.3</v>
      </c>
      <c r="E115" t="s">
        <v>3152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2948</v>
      </c>
      <c r="O115" t="s">
        <v>3024</v>
      </c>
      <c r="P115" t="str">
        <f>_xlfn.XLOOKUP(A115,'Classic Net to delete'!D:D,'Classic Net to delete'!A:A,"")</f>
        <v/>
      </c>
    </row>
    <row r="116" spans="1:16" x14ac:dyDescent="0.25">
      <c r="A116" t="s">
        <v>2056</v>
      </c>
      <c r="B116" t="s">
        <v>3916</v>
      </c>
      <c r="C116" t="s">
        <v>2057</v>
      </c>
      <c r="D116">
        <v>20.65</v>
      </c>
      <c r="E116" t="s">
        <v>3152</v>
      </c>
      <c r="F116" s="186" t="s">
        <v>719</v>
      </c>
      <c r="H116" t="b">
        <v>1</v>
      </c>
      <c r="I116">
        <v>20.650000000000002</v>
      </c>
      <c r="J116" s="186" t="s">
        <v>2004</v>
      </c>
      <c r="M116" t="str">
        <f>IFERROR(_xlfn.XLOOKUP(A116,Fleet!A:A,Fleet!E:E,""),"")</f>
        <v/>
      </c>
      <c r="N116" t="s">
        <v>2056</v>
      </c>
      <c r="O116" t="s">
        <v>3024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2046</v>
      </c>
      <c r="B117" t="s">
        <v>3916</v>
      </c>
      <c r="C117" t="s">
        <v>2047</v>
      </c>
      <c r="D117">
        <v>14.45</v>
      </c>
      <c r="E117" t="s">
        <v>3152</v>
      </c>
      <c r="F117" s="186" t="s">
        <v>3917</v>
      </c>
      <c r="H117" t="b">
        <v>1</v>
      </c>
      <c r="I117">
        <v>14.450000000000001</v>
      </c>
      <c r="J117" s="186" t="s">
        <v>2004</v>
      </c>
      <c r="M117" t="str">
        <f>IFERROR(_xlfn.XLOOKUP(A117,Fleet!A:A,Fleet!E:E,""),"")</f>
        <v/>
      </c>
      <c r="N117" t="s">
        <v>2046</v>
      </c>
      <c r="O117" t="s">
        <v>3024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2043</v>
      </c>
      <c r="B118" t="s">
        <v>3916</v>
      </c>
      <c r="C118" t="s">
        <v>2044</v>
      </c>
      <c r="D118">
        <v>14.45</v>
      </c>
      <c r="E118" t="s">
        <v>3152</v>
      </c>
      <c r="F118" s="186" t="s">
        <v>3917</v>
      </c>
      <c r="H118" t="b">
        <v>1</v>
      </c>
      <c r="I118">
        <v>14.450000000000001</v>
      </c>
      <c r="J118" s="186" t="s">
        <v>2004</v>
      </c>
      <c r="M118" t="str">
        <f>IFERROR(_xlfn.XLOOKUP(A118,Fleet!A:A,Fleet!E:E,""),"")</f>
        <v/>
      </c>
      <c r="N118" t="s">
        <v>2043</v>
      </c>
      <c r="O118" t="s">
        <v>3024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2169</v>
      </c>
      <c r="B119" t="s">
        <v>3916</v>
      </c>
      <c r="C119" t="s">
        <v>2170</v>
      </c>
      <c r="D119">
        <v>1.5</v>
      </c>
      <c r="E119" t="s">
        <v>3152</v>
      </c>
      <c r="F119" s="186" t="s">
        <v>2171</v>
      </c>
      <c r="H119" t="b">
        <v>1</v>
      </c>
      <c r="I119">
        <v>1.5</v>
      </c>
      <c r="J119" s="186" t="s">
        <v>2060</v>
      </c>
      <c r="M119" t="str">
        <f>IFERROR(_xlfn.XLOOKUP(A119,Fleet!A:A,Fleet!E:E,""),"")</f>
        <v/>
      </c>
      <c r="N119" t="s">
        <v>2169</v>
      </c>
      <c r="O119" t="s">
        <v>3024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2039</v>
      </c>
      <c r="B120" t="s">
        <v>3916</v>
      </c>
      <c r="C120" t="s">
        <v>2040</v>
      </c>
      <c r="D120">
        <v>2.7</v>
      </c>
      <c r="E120" t="s">
        <v>3152</v>
      </c>
      <c r="F120" s="186" t="s">
        <v>3917</v>
      </c>
      <c r="H120" t="b">
        <v>1</v>
      </c>
      <c r="I120">
        <v>2.7</v>
      </c>
      <c r="J120" s="186" t="s">
        <v>2004</v>
      </c>
      <c r="M120" t="str">
        <f>IFERROR(_xlfn.XLOOKUP(A120,Fleet!A:A,Fleet!E:E,""),"")</f>
        <v/>
      </c>
      <c r="N120" t="s">
        <v>2039</v>
      </c>
      <c r="O120" t="s">
        <v>3024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2041</v>
      </c>
      <c r="B121" t="s">
        <v>3916</v>
      </c>
      <c r="C121" t="s">
        <v>2042</v>
      </c>
      <c r="D121">
        <v>2.7</v>
      </c>
      <c r="E121" t="s">
        <v>3152</v>
      </c>
      <c r="F121" s="186" t="s">
        <v>3917</v>
      </c>
      <c r="H121" t="b">
        <v>1</v>
      </c>
      <c r="I121">
        <v>2.7</v>
      </c>
      <c r="J121" s="186" t="s">
        <v>2004</v>
      </c>
      <c r="M121" t="str">
        <f>IFERROR(_xlfn.XLOOKUP(A121,Fleet!A:A,Fleet!E:E,""),"")</f>
        <v/>
      </c>
      <c r="N121" t="s">
        <v>2041</v>
      </c>
      <c r="O121" t="s">
        <v>3024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2036</v>
      </c>
      <c r="B122" t="s">
        <v>3916</v>
      </c>
      <c r="C122" t="s">
        <v>2037</v>
      </c>
      <c r="D122">
        <v>10.050000000000001</v>
      </c>
      <c r="E122" t="s">
        <v>3152</v>
      </c>
      <c r="F122" s="186" t="s">
        <v>3917</v>
      </c>
      <c r="H122" t="b">
        <v>1</v>
      </c>
      <c r="I122">
        <v>10.050000000000001</v>
      </c>
      <c r="J122" s="186" t="s">
        <v>2004</v>
      </c>
      <c r="M122" t="str">
        <f>IFERROR(_xlfn.XLOOKUP(A122,Fleet!A:A,Fleet!E:E,""),"")</f>
        <v/>
      </c>
      <c r="N122" t="s">
        <v>2036</v>
      </c>
      <c r="O122" t="s">
        <v>3024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2946</v>
      </c>
      <c r="B123" t="s">
        <v>3916</v>
      </c>
      <c r="C123" t="s">
        <v>2947</v>
      </c>
      <c r="D123">
        <v>7.5</v>
      </c>
      <c r="E123" t="s">
        <v>3152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2946</v>
      </c>
      <c r="O123" t="s">
        <v>3024</v>
      </c>
      <c r="P123" t="str">
        <f>_xlfn.XLOOKUP(A123,'Classic Net to delete'!D:D,'Classic Net to delete'!A:A,"")</f>
        <v/>
      </c>
    </row>
    <row r="124" spans="1:16" x14ac:dyDescent="0.25">
      <c r="A124" t="s">
        <v>2944</v>
      </c>
      <c r="B124" t="s">
        <v>3916</v>
      </c>
      <c r="C124" t="s">
        <v>2945</v>
      </c>
      <c r="D124">
        <v>10.050000000000001</v>
      </c>
      <c r="E124" t="s">
        <v>3152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2944</v>
      </c>
      <c r="O124" t="s">
        <v>3024</v>
      </c>
      <c r="P124" t="str">
        <f>_xlfn.XLOOKUP(A124,'Classic Net to delete'!D:D,'Classic Net to delete'!A:A,"")</f>
        <v/>
      </c>
    </row>
    <row r="125" spans="1:16" x14ac:dyDescent="0.25">
      <c r="A125" t="s">
        <v>2031</v>
      </c>
      <c r="B125" t="s">
        <v>3916</v>
      </c>
      <c r="C125" t="s">
        <v>2032</v>
      </c>
      <c r="D125">
        <v>13.3</v>
      </c>
      <c r="E125" t="s">
        <v>3152</v>
      </c>
      <c r="F125" s="186" t="s">
        <v>3917</v>
      </c>
      <c r="H125" t="b">
        <v>1</v>
      </c>
      <c r="I125">
        <v>13.3</v>
      </c>
      <c r="J125" s="186" t="s">
        <v>2004</v>
      </c>
      <c r="M125" t="str">
        <f>IFERROR(_xlfn.XLOOKUP(A125,Fleet!A:A,Fleet!E:E,""),"")</f>
        <v/>
      </c>
      <c r="N125" t="s">
        <v>2031</v>
      </c>
      <c r="O125" t="s">
        <v>3024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2942</v>
      </c>
      <c r="B126" t="s">
        <v>3916</v>
      </c>
      <c r="C126" t="s">
        <v>2943</v>
      </c>
      <c r="D126">
        <v>13.3</v>
      </c>
      <c r="E126" t="s">
        <v>3152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2942</v>
      </c>
      <c r="O126" t="s">
        <v>3024</v>
      </c>
      <c r="P126" t="str">
        <f>_xlfn.XLOOKUP(A126,'Classic Net to delete'!D:D,'Classic Net to delete'!A:A,"")</f>
        <v/>
      </c>
    </row>
    <row r="127" spans="1:16" x14ac:dyDescent="0.25">
      <c r="A127" t="s">
        <v>2028</v>
      </c>
      <c r="B127" t="s">
        <v>3916</v>
      </c>
      <c r="C127" t="s">
        <v>2029</v>
      </c>
      <c r="D127">
        <v>13.3</v>
      </c>
      <c r="E127" t="s">
        <v>3152</v>
      </c>
      <c r="F127" s="186" t="s">
        <v>2005</v>
      </c>
      <c r="H127" t="b">
        <v>1</v>
      </c>
      <c r="I127">
        <v>13.3</v>
      </c>
      <c r="J127" s="186" t="s">
        <v>2004</v>
      </c>
      <c r="M127" t="str">
        <f>IFERROR(_xlfn.XLOOKUP(A127,Fleet!A:A,Fleet!E:E,""),"")</f>
        <v/>
      </c>
      <c r="N127" t="s">
        <v>2028</v>
      </c>
      <c r="O127" t="s">
        <v>3024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2025</v>
      </c>
      <c r="B128" t="s">
        <v>3916</v>
      </c>
      <c r="C128" t="s">
        <v>2026</v>
      </c>
      <c r="D128">
        <v>13.3</v>
      </c>
      <c r="E128" t="s">
        <v>3152</v>
      </c>
      <c r="F128" s="186" t="s">
        <v>2005</v>
      </c>
      <c r="H128" t="b">
        <v>1</v>
      </c>
      <c r="I128">
        <v>13.3</v>
      </c>
      <c r="J128" s="186" t="s">
        <v>2004</v>
      </c>
      <c r="M128" t="str">
        <f>IFERROR(_xlfn.XLOOKUP(A128,Fleet!A:A,Fleet!E:E,""),"")</f>
        <v/>
      </c>
      <c r="N128" t="s">
        <v>2025</v>
      </c>
      <c r="O128" t="s">
        <v>3024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2022</v>
      </c>
      <c r="B129" t="s">
        <v>3916</v>
      </c>
      <c r="C129" t="s">
        <v>2023</v>
      </c>
      <c r="D129">
        <v>8.0500000000000007</v>
      </c>
      <c r="E129" t="s">
        <v>3152</v>
      </c>
      <c r="F129" s="186" t="s">
        <v>2005</v>
      </c>
      <c r="H129" t="b">
        <v>1</v>
      </c>
      <c r="I129">
        <v>8.0500000000000007</v>
      </c>
      <c r="J129" s="186" t="s">
        <v>2004</v>
      </c>
      <c r="M129" t="str">
        <f>IFERROR(_xlfn.XLOOKUP(A129,Fleet!A:A,Fleet!E:E,""),"")</f>
        <v/>
      </c>
      <c r="N129" t="s">
        <v>2022</v>
      </c>
      <c r="O129" t="s">
        <v>3024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2019</v>
      </c>
      <c r="B130" t="s">
        <v>3916</v>
      </c>
      <c r="C130" t="s">
        <v>2020</v>
      </c>
      <c r="D130">
        <v>6.5</v>
      </c>
      <c r="E130" t="s">
        <v>3152</v>
      </c>
      <c r="F130" s="186" t="s">
        <v>2005</v>
      </c>
      <c r="H130" t="b">
        <v>1</v>
      </c>
      <c r="I130">
        <v>6.5</v>
      </c>
      <c r="J130" s="186" t="s">
        <v>2004</v>
      </c>
      <c r="M130" t="str">
        <f>IFERROR(_xlfn.XLOOKUP(A130,Fleet!A:A,Fleet!E:E,""),"")</f>
        <v/>
      </c>
      <c r="N130" t="s">
        <v>2019</v>
      </c>
      <c r="O130" t="s">
        <v>3024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2016</v>
      </c>
      <c r="B131" t="s">
        <v>3916</v>
      </c>
      <c r="C131" t="s">
        <v>2017</v>
      </c>
      <c r="D131">
        <v>5.35</v>
      </c>
      <c r="E131" t="s">
        <v>3152</v>
      </c>
      <c r="F131" s="186" t="s">
        <v>2005</v>
      </c>
      <c r="H131" t="b">
        <v>1</v>
      </c>
      <c r="I131">
        <v>5.3500000000000005</v>
      </c>
      <c r="J131" s="186" t="s">
        <v>2004</v>
      </c>
      <c r="M131" t="str">
        <f>IFERROR(_xlfn.XLOOKUP(A131,Fleet!A:A,Fleet!E:E,""),"")</f>
        <v/>
      </c>
      <c r="N131" t="s">
        <v>2016</v>
      </c>
      <c r="O131" t="s">
        <v>3024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2010</v>
      </c>
      <c r="B132" t="s">
        <v>3916</v>
      </c>
      <c r="C132" t="s">
        <v>2011</v>
      </c>
      <c r="D132">
        <v>4.1500000000000004</v>
      </c>
      <c r="E132" t="s">
        <v>3152</v>
      </c>
      <c r="F132" s="186" t="s">
        <v>2005</v>
      </c>
      <c r="H132" t="b">
        <v>1</v>
      </c>
      <c r="I132">
        <v>4.1500000000000004</v>
      </c>
      <c r="J132" s="186" t="s">
        <v>2004</v>
      </c>
      <c r="M132" t="str">
        <f>IFERROR(_xlfn.XLOOKUP(A132,Fleet!A:A,Fleet!E:E,""),"")</f>
        <v/>
      </c>
      <c r="N132" t="s">
        <v>2010</v>
      </c>
      <c r="O132" t="s">
        <v>3024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2012</v>
      </c>
      <c r="B133" t="s">
        <v>3916</v>
      </c>
      <c r="C133" t="s">
        <v>2013</v>
      </c>
      <c r="D133">
        <v>8.0500000000000007</v>
      </c>
      <c r="E133" t="s">
        <v>3152</v>
      </c>
      <c r="F133" s="186" t="s">
        <v>2005</v>
      </c>
      <c r="H133" t="b">
        <v>1</v>
      </c>
      <c r="I133">
        <v>8.0500000000000007</v>
      </c>
      <c r="J133" s="186" t="s">
        <v>2004</v>
      </c>
      <c r="M133" t="str">
        <f>IFERROR(_xlfn.XLOOKUP(A133,Fleet!A:A,Fleet!E:E,""),"")</f>
        <v/>
      </c>
      <c r="N133" t="s">
        <v>2012</v>
      </c>
      <c r="O133" t="s">
        <v>3024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2014</v>
      </c>
      <c r="B134" t="s">
        <v>3916</v>
      </c>
      <c r="C134" t="s">
        <v>2015</v>
      </c>
      <c r="D134">
        <v>2.7</v>
      </c>
      <c r="E134" t="s">
        <v>3152</v>
      </c>
      <c r="F134" s="186" t="s">
        <v>2005</v>
      </c>
      <c r="H134" t="b">
        <v>1</v>
      </c>
      <c r="I134">
        <v>2.7</v>
      </c>
      <c r="J134" s="186" t="s">
        <v>2004</v>
      </c>
      <c r="M134" t="str">
        <f>IFERROR(_xlfn.XLOOKUP(A134,Fleet!A:A,Fleet!E:E,""),"")</f>
        <v/>
      </c>
      <c r="N134" t="s">
        <v>2014</v>
      </c>
      <c r="O134" t="s">
        <v>3024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2008</v>
      </c>
      <c r="B135" t="s">
        <v>3916</v>
      </c>
      <c r="C135" t="s">
        <v>2009</v>
      </c>
      <c r="D135">
        <v>4.1500000000000004</v>
      </c>
      <c r="E135" t="s">
        <v>3152</v>
      </c>
      <c r="F135" s="186" t="s">
        <v>2005</v>
      </c>
      <c r="H135" t="b">
        <v>1</v>
      </c>
      <c r="I135">
        <v>4.1500000000000004</v>
      </c>
      <c r="J135" s="186" t="s">
        <v>2004</v>
      </c>
      <c r="M135" t="str">
        <f>IFERROR(_xlfn.XLOOKUP(A135,Fleet!A:A,Fleet!E:E,""),"")</f>
        <v/>
      </c>
      <c r="N135" t="s">
        <v>2008</v>
      </c>
      <c r="O135" t="s">
        <v>3024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2006</v>
      </c>
      <c r="B136" t="s">
        <v>3916</v>
      </c>
      <c r="C136" t="s">
        <v>2007</v>
      </c>
      <c r="D136">
        <v>3.55</v>
      </c>
      <c r="E136" t="s">
        <v>3152</v>
      </c>
      <c r="F136" s="186" t="s">
        <v>2005</v>
      </c>
      <c r="H136" t="b">
        <v>1</v>
      </c>
      <c r="I136">
        <v>3.5500000000000003</v>
      </c>
      <c r="J136" s="186" t="s">
        <v>2004</v>
      </c>
      <c r="M136" t="str">
        <f>IFERROR(_xlfn.XLOOKUP(A136,Fleet!A:A,Fleet!E:E,""),"")</f>
        <v/>
      </c>
      <c r="N136" t="s">
        <v>2006</v>
      </c>
      <c r="O136" t="s">
        <v>3024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2940</v>
      </c>
      <c r="B137" t="s">
        <v>3916</v>
      </c>
      <c r="C137" t="s">
        <v>2941</v>
      </c>
      <c r="D137">
        <v>8.0500000000000007</v>
      </c>
      <c r="E137" t="s">
        <v>3152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2940</v>
      </c>
      <c r="O137" t="s">
        <v>3024</v>
      </c>
      <c r="P137" t="str">
        <f>_xlfn.XLOOKUP(A137,'Classic Net to delete'!D:D,'Classic Net to delete'!A:A,"")</f>
        <v/>
      </c>
    </row>
    <row r="138" spans="1:16" x14ac:dyDescent="0.25">
      <c r="A138" t="s">
        <v>2002</v>
      </c>
      <c r="B138" t="s">
        <v>3916</v>
      </c>
      <c r="C138" t="s">
        <v>2003</v>
      </c>
      <c r="D138">
        <v>8.0500000000000007</v>
      </c>
      <c r="E138" t="s">
        <v>3152</v>
      </c>
      <c r="F138" s="186" t="s">
        <v>2005</v>
      </c>
      <c r="H138" t="b">
        <v>1</v>
      </c>
      <c r="I138">
        <v>8.0500000000000007</v>
      </c>
      <c r="J138" s="186" t="s">
        <v>2004</v>
      </c>
      <c r="M138" t="str">
        <f>IFERROR(_xlfn.XLOOKUP(A138,Fleet!A:A,Fleet!E:E,""),"")</f>
        <v/>
      </c>
      <c r="N138" t="s">
        <v>2002</v>
      </c>
      <c r="O138" t="s">
        <v>3024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2938</v>
      </c>
      <c r="B139" t="s">
        <v>3914</v>
      </c>
      <c r="C139" t="s">
        <v>2939</v>
      </c>
      <c r="D139">
        <v>12.1</v>
      </c>
      <c r="E139" t="s">
        <v>3152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2938</v>
      </c>
      <c r="O139" t="s">
        <v>3185</v>
      </c>
      <c r="P139" t="str">
        <f>_xlfn.XLOOKUP(A139,'Classic Net to delete'!D:D,'Classic Net to delete'!A:A,"")</f>
        <v/>
      </c>
    </row>
    <row r="140" spans="1:16" x14ac:dyDescent="0.25">
      <c r="A140" t="s">
        <v>2049</v>
      </c>
      <c r="B140" t="s">
        <v>3914</v>
      </c>
      <c r="C140" t="s">
        <v>2050</v>
      </c>
      <c r="D140">
        <v>12.1</v>
      </c>
      <c r="E140" t="s">
        <v>3152</v>
      </c>
      <c r="F140" s="186" t="s">
        <v>719</v>
      </c>
      <c r="H140" t="b">
        <v>1</v>
      </c>
      <c r="I140">
        <v>12.100000000000001</v>
      </c>
      <c r="J140" s="186" t="s">
        <v>2004</v>
      </c>
      <c r="M140" t="str">
        <f>IFERROR(_xlfn.XLOOKUP(A140,Fleet!A:A,Fleet!E:E,""),"")</f>
        <v/>
      </c>
      <c r="N140" t="s">
        <v>2049</v>
      </c>
      <c r="O140" t="s">
        <v>3185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2936</v>
      </c>
      <c r="B141" t="s">
        <v>3914</v>
      </c>
      <c r="C141" t="s">
        <v>2937</v>
      </c>
      <c r="D141">
        <v>55.45</v>
      </c>
      <c r="E141" t="s">
        <v>3152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2936</v>
      </c>
      <c r="O141" t="s">
        <v>3185</v>
      </c>
      <c r="P141" t="str">
        <f>_xlfn.XLOOKUP(A141,'Classic Net to delete'!D:D,'Classic Net to delete'!A:A,"")</f>
        <v/>
      </c>
    </row>
    <row r="142" spans="1:16" x14ac:dyDescent="0.25">
      <c r="A142" t="s">
        <v>2936</v>
      </c>
      <c r="B142" t="s">
        <v>2937</v>
      </c>
      <c r="C142" t="s">
        <v>2937</v>
      </c>
      <c r="D142">
        <v>55.45</v>
      </c>
      <c r="E142" t="s">
        <v>3142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2936</v>
      </c>
      <c r="O142" t="s">
        <v>3141</v>
      </c>
      <c r="P142" t="str">
        <f>_xlfn.XLOOKUP(A142,'Classic Net to delete'!D:D,'Classic Net to delete'!A:A,"")</f>
        <v/>
      </c>
    </row>
    <row r="143" spans="1:16" x14ac:dyDescent="0.25">
      <c r="A143" t="s">
        <v>2934</v>
      </c>
      <c r="B143" t="s">
        <v>3914</v>
      </c>
      <c r="C143" t="s">
        <v>2935</v>
      </c>
      <c r="D143">
        <v>48.95</v>
      </c>
      <c r="E143" t="s">
        <v>3152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2934</v>
      </c>
      <c r="O143" t="s">
        <v>3185</v>
      </c>
      <c r="P143" t="str">
        <f>_xlfn.XLOOKUP(A143,'Classic Net to delete'!D:D,'Classic Net to delete'!A:A,"")</f>
        <v/>
      </c>
    </row>
    <row r="144" spans="1:16" x14ac:dyDescent="0.25">
      <c r="A144" t="s">
        <v>2932</v>
      </c>
      <c r="B144" t="s">
        <v>3914</v>
      </c>
      <c r="C144" t="s">
        <v>2933</v>
      </c>
      <c r="D144">
        <v>10.050000000000001</v>
      </c>
      <c r="E144" t="s">
        <v>3152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2932</v>
      </c>
      <c r="O144" t="s">
        <v>3185</v>
      </c>
      <c r="P144" t="str">
        <f>_xlfn.XLOOKUP(A144,'Classic Net to delete'!D:D,'Classic Net to delete'!A:A,"")</f>
        <v/>
      </c>
    </row>
    <row r="145" spans="1:16" x14ac:dyDescent="0.25">
      <c r="A145" t="s">
        <v>2930</v>
      </c>
      <c r="B145" t="s">
        <v>3914</v>
      </c>
      <c r="C145" t="s">
        <v>2931</v>
      </c>
      <c r="D145">
        <v>10.050000000000001</v>
      </c>
      <c r="E145" t="s">
        <v>3152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2930</v>
      </c>
      <c r="O145" t="s">
        <v>3185</v>
      </c>
      <c r="P145" t="str">
        <f>_xlfn.XLOOKUP(A145,'Classic Net to delete'!D:D,'Classic Net to delete'!A:A,"")</f>
        <v/>
      </c>
    </row>
    <row r="146" spans="1:16" x14ac:dyDescent="0.25">
      <c r="A146" t="s">
        <v>2928</v>
      </c>
      <c r="B146" t="s">
        <v>3914</v>
      </c>
      <c r="C146" t="s">
        <v>2929</v>
      </c>
      <c r="D146">
        <v>10.050000000000001</v>
      </c>
      <c r="E146" t="s">
        <v>3152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2928</v>
      </c>
      <c r="O146" t="s">
        <v>3185</v>
      </c>
      <c r="P146" t="str">
        <f>_xlfn.XLOOKUP(A146,'Classic Net to delete'!D:D,'Classic Net to delete'!A:A,"")</f>
        <v/>
      </c>
    </row>
    <row r="147" spans="1:16" x14ac:dyDescent="0.25">
      <c r="A147" t="s">
        <v>2926</v>
      </c>
      <c r="B147" t="s">
        <v>3914</v>
      </c>
      <c r="C147" t="s">
        <v>2927</v>
      </c>
      <c r="D147">
        <v>10.050000000000001</v>
      </c>
      <c r="E147" t="s">
        <v>3152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2926</v>
      </c>
      <c r="O147" t="s">
        <v>3185</v>
      </c>
      <c r="P147" t="str">
        <f>_xlfn.XLOOKUP(A147,'Classic Net to delete'!D:D,'Classic Net to delete'!A:A,"")</f>
        <v/>
      </c>
    </row>
    <row r="148" spans="1:16" x14ac:dyDescent="0.25">
      <c r="A148" t="s">
        <v>2924</v>
      </c>
      <c r="B148" t="s">
        <v>3914</v>
      </c>
      <c r="C148" t="s">
        <v>2925</v>
      </c>
      <c r="D148">
        <v>10.050000000000001</v>
      </c>
      <c r="E148" t="s">
        <v>3152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2924</v>
      </c>
      <c r="O148" t="s">
        <v>3185</v>
      </c>
      <c r="P148" t="str">
        <f>_xlfn.XLOOKUP(A148,'Classic Net to delete'!D:D,'Classic Net to delete'!A:A,"")</f>
        <v/>
      </c>
    </row>
    <row r="149" spans="1:16" x14ac:dyDescent="0.25">
      <c r="A149" t="s">
        <v>2922</v>
      </c>
      <c r="B149" t="s">
        <v>3914</v>
      </c>
      <c r="C149" t="s">
        <v>2923</v>
      </c>
      <c r="D149">
        <v>10.050000000000001</v>
      </c>
      <c r="E149" t="s">
        <v>3152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2922</v>
      </c>
      <c r="O149" t="s">
        <v>3185</v>
      </c>
      <c r="P149" t="str">
        <f>_xlfn.XLOOKUP(A149,'Classic Net to delete'!D:D,'Classic Net to delete'!A:A,"")</f>
        <v/>
      </c>
    </row>
    <row r="150" spans="1:16" x14ac:dyDescent="0.25">
      <c r="A150" t="s">
        <v>2053</v>
      </c>
      <c r="B150" t="s">
        <v>3914</v>
      </c>
      <c r="C150" t="s">
        <v>2054</v>
      </c>
      <c r="D150">
        <v>10.050000000000001</v>
      </c>
      <c r="E150" t="s">
        <v>3152</v>
      </c>
      <c r="F150" s="186" t="s">
        <v>719</v>
      </c>
      <c r="H150" t="b">
        <v>1</v>
      </c>
      <c r="I150">
        <v>10.050000000000001</v>
      </c>
      <c r="J150" s="186" t="s">
        <v>2004</v>
      </c>
      <c r="M150" t="str">
        <f>IFERROR(_xlfn.XLOOKUP(A150,Fleet!A:A,Fleet!E:E,""),"")</f>
        <v/>
      </c>
      <c r="N150" t="s">
        <v>2053</v>
      </c>
      <c r="O150" t="s">
        <v>3185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1821</v>
      </c>
      <c r="B151" t="s">
        <v>3844</v>
      </c>
      <c r="C151" t="s">
        <v>1822</v>
      </c>
      <c r="D151">
        <v>35.700000000000003</v>
      </c>
      <c r="E151" t="s">
        <v>3152</v>
      </c>
      <c r="F151" s="186" t="s">
        <v>3918</v>
      </c>
      <c r="H151" t="b">
        <v>1</v>
      </c>
      <c r="I151">
        <v>35.700000000000003</v>
      </c>
      <c r="J151" s="186" t="s">
        <v>1769</v>
      </c>
      <c r="M151" t="str">
        <f>IFERROR(_xlfn.XLOOKUP(A151,Fleet!A:A,Fleet!E:E,""),"")</f>
        <v/>
      </c>
      <c r="N151" t="s">
        <v>1821</v>
      </c>
      <c r="O151" t="s">
        <v>3184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1819</v>
      </c>
      <c r="B152" t="s">
        <v>3844</v>
      </c>
      <c r="C152" t="s">
        <v>1820</v>
      </c>
      <c r="D152">
        <v>27.15</v>
      </c>
      <c r="E152" t="s">
        <v>3152</v>
      </c>
      <c r="F152" s="186" t="s">
        <v>3918</v>
      </c>
      <c r="H152" t="b">
        <v>1</v>
      </c>
      <c r="I152">
        <v>27.150000000000002</v>
      </c>
      <c r="J152" s="186" t="s">
        <v>1769</v>
      </c>
      <c r="M152" t="str">
        <f>IFERROR(_xlfn.XLOOKUP(A152,Fleet!A:A,Fleet!E:E,""),"")</f>
        <v/>
      </c>
      <c r="N152" t="s">
        <v>1819</v>
      </c>
      <c r="O152" t="s">
        <v>3184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1817</v>
      </c>
      <c r="B153" t="s">
        <v>3844</v>
      </c>
      <c r="C153" t="s">
        <v>1818</v>
      </c>
      <c r="D153">
        <v>22.4</v>
      </c>
      <c r="E153" t="s">
        <v>3152</v>
      </c>
      <c r="F153" s="186" t="s">
        <v>3918</v>
      </c>
      <c r="H153" t="b">
        <v>1</v>
      </c>
      <c r="I153">
        <v>22.400000000000002</v>
      </c>
      <c r="J153" s="186" t="s">
        <v>1769</v>
      </c>
      <c r="M153" t="str">
        <f>IFERROR(_xlfn.XLOOKUP(A153,Fleet!A:A,Fleet!E:E,""),"")</f>
        <v/>
      </c>
      <c r="N153" t="s">
        <v>1817</v>
      </c>
      <c r="O153" t="s">
        <v>3184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2920</v>
      </c>
      <c r="B154" t="s">
        <v>3844</v>
      </c>
      <c r="C154" t="s">
        <v>2921</v>
      </c>
      <c r="D154">
        <v>47.8</v>
      </c>
      <c r="E154" t="s">
        <v>3152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2920</v>
      </c>
      <c r="O154" t="s">
        <v>3184</v>
      </c>
      <c r="P154" t="str">
        <f>_xlfn.XLOOKUP(A154,'Classic Net to delete'!D:D,'Classic Net to delete'!A:A,"")</f>
        <v/>
      </c>
    </row>
    <row r="155" spans="1:16" x14ac:dyDescent="0.25">
      <c r="A155" t="s">
        <v>1922</v>
      </c>
      <c r="B155" t="s">
        <v>1898</v>
      </c>
      <c r="C155" t="s">
        <v>1923</v>
      </c>
      <c r="D155">
        <v>31.55</v>
      </c>
      <c r="E155" t="s">
        <v>3152</v>
      </c>
      <c r="F155" s="186" t="s">
        <v>719</v>
      </c>
      <c r="H155" t="b">
        <v>1</v>
      </c>
      <c r="I155">
        <v>31.55</v>
      </c>
      <c r="J155" s="186" t="s">
        <v>1869</v>
      </c>
      <c r="M155" t="str">
        <f>IFERROR(_xlfn.XLOOKUP(A155,Fleet!A:A,Fleet!E:E,""),"")</f>
        <v/>
      </c>
      <c r="N155" t="s">
        <v>1922</v>
      </c>
      <c r="O155" t="s">
        <v>3183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1925</v>
      </c>
      <c r="B156" t="s">
        <v>1898</v>
      </c>
      <c r="C156" t="s">
        <v>1926</v>
      </c>
      <c r="D156">
        <v>43.95</v>
      </c>
      <c r="E156" t="s">
        <v>3152</v>
      </c>
      <c r="F156" s="186" t="s">
        <v>719</v>
      </c>
      <c r="H156" t="b">
        <v>1</v>
      </c>
      <c r="I156">
        <v>43.95</v>
      </c>
      <c r="J156" s="186" t="s">
        <v>1869</v>
      </c>
      <c r="M156" t="str">
        <f>IFERROR(_xlfn.XLOOKUP(A156,Fleet!A:A,Fleet!E:E,""),"")</f>
        <v/>
      </c>
      <c r="N156" t="s">
        <v>1925</v>
      </c>
      <c r="O156" t="s">
        <v>3183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2918</v>
      </c>
      <c r="B157" t="s">
        <v>3919</v>
      </c>
      <c r="C157" t="s">
        <v>2919</v>
      </c>
      <c r="D157">
        <v>7.65</v>
      </c>
      <c r="E157" t="s">
        <v>3152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2918</v>
      </c>
      <c r="O157" t="s">
        <v>3182</v>
      </c>
      <c r="P157" t="str">
        <f>_xlfn.XLOOKUP(A157,'Classic Net to delete'!D:D,'Classic Net to delete'!A:A,"")</f>
        <v/>
      </c>
    </row>
    <row r="158" spans="1:16" x14ac:dyDescent="0.25">
      <c r="A158" t="s">
        <v>2916</v>
      </c>
      <c r="B158" t="s">
        <v>3919</v>
      </c>
      <c r="C158" t="s">
        <v>2917</v>
      </c>
      <c r="D158">
        <v>7.65</v>
      </c>
      <c r="E158" t="s">
        <v>3152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2916</v>
      </c>
      <c r="O158" t="s">
        <v>3182</v>
      </c>
      <c r="P158" t="str">
        <f>_xlfn.XLOOKUP(A158,'Classic Net to delete'!D:D,'Classic Net to delete'!A:A,"")</f>
        <v/>
      </c>
    </row>
    <row r="159" spans="1:16" x14ac:dyDescent="0.25">
      <c r="A159" t="s">
        <v>2914</v>
      </c>
      <c r="B159" t="s">
        <v>3919</v>
      </c>
      <c r="C159" t="s">
        <v>2915</v>
      </c>
      <c r="D159">
        <v>7.65</v>
      </c>
      <c r="E159" t="s">
        <v>3152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2914</v>
      </c>
      <c r="O159" t="s">
        <v>3182</v>
      </c>
      <c r="P159" t="str">
        <f>_xlfn.XLOOKUP(A159,'Classic Net to delete'!D:D,'Classic Net to delete'!A:A,"")</f>
        <v/>
      </c>
    </row>
    <row r="160" spans="1:16" x14ac:dyDescent="0.25">
      <c r="A160" t="s">
        <v>2912</v>
      </c>
      <c r="B160" t="s">
        <v>3919</v>
      </c>
      <c r="C160" t="s">
        <v>2913</v>
      </c>
      <c r="D160">
        <v>7.65</v>
      </c>
      <c r="E160" t="s">
        <v>3152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2912</v>
      </c>
      <c r="O160" t="s">
        <v>3182</v>
      </c>
      <c r="P160" t="str">
        <f>_xlfn.XLOOKUP(A160,'Classic Net to delete'!D:D,'Classic Net to delete'!A:A,"")</f>
        <v/>
      </c>
    </row>
    <row r="161" spans="1:16" x14ac:dyDescent="0.25">
      <c r="A161" t="s">
        <v>2910</v>
      </c>
      <c r="B161" t="s">
        <v>3919</v>
      </c>
      <c r="C161" t="s">
        <v>2911</v>
      </c>
      <c r="D161">
        <v>7.65</v>
      </c>
      <c r="E161" t="s">
        <v>3152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2910</v>
      </c>
      <c r="O161" t="s">
        <v>3182</v>
      </c>
      <c r="P161" t="str">
        <f>_xlfn.XLOOKUP(A161,'Classic Net to delete'!D:D,'Classic Net to delete'!A:A,"")</f>
        <v/>
      </c>
    </row>
    <row r="162" spans="1:16" x14ac:dyDescent="0.25">
      <c r="A162" t="s">
        <v>2908</v>
      </c>
      <c r="B162" t="s">
        <v>3919</v>
      </c>
      <c r="C162" t="s">
        <v>2909</v>
      </c>
      <c r="D162">
        <v>7.65</v>
      </c>
      <c r="E162" t="s">
        <v>3152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2908</v>
      </c>
      <c r="O162" t="s">
        <v>3182</v>
      </c>
      <c r="P162" t="str">
        <f>_xlfn.XLOOKUP(A162,'Classic Net to delete'!D:D,'Classic Net to delete'!A:A,"")</f>
        <v/>
      </c>
    </row>
    <row r="163" spans="1:16" x14ac:dyDescent="0.25">
      <c r="A163" t="s">
        <v>2906</v>
      </c>
      <c r="B163" t="s">
        <v>3919</v>
      </c>
      <c r="C163" t="s">
        <v>2907</v>
      </c>
      <c r="D163">
        <v>7.65</v>
      </c>
      <c r="E163" t="s">
        <v>3152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2906</v>
      </c>
      <c r="O163" t="s">
        <v>3182</v>
      </c>
      <c r="P163" t="str">
        <f>_xlfn.XLOOKUP(A163,'Classic Net to delete'!D:D,'Classic Net to delete'!A:A,"")</f>
        <v/>
      </c>
    </row>
    <row r="164" spans="1:16" x14ac:dyDescent="0.25">
      <c r="A164" t="s">
        <v>2904</v>
      </c>
      <c r="B164" t="s">
        <v>3919</v>
      </c>
      <c r="C164" t="s">
        <v>2905</v>
      </c>
      <c r="D164">
        <v>7.65</v>
      </c>
      <c r="E164" t="s">
        <v>3152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2904</v>
      </c>
      <c r="O164" t="s">
        <v>3182</v>
      </c>
      <c r="P164" t="str">
        <f>_xlfn.XLOOKUP(A164,'Classic Net to delete'!D:D,'Classic Net to delete'!A:A,"")</f>
        <v/>
      </c>
    </row>
    <row r="165" spans="1:16" x14ac:dyDescent="0.25">
      <c r="A165" t="s">
        <v>2902</v>
      </c>
      <c r="B165" t="s">
        <v>3919</v>
      </c>
      <c r="C165" t="s">
        <v>2903</v>
      </c>
      <c r="D165">
        <v>7.65</v>
      </c>
      <c r="E165" t="s">
        <v>3152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2902</v>
      </c>
      <c r="O165" t="s">
        <v>3182</v>
      </c>
      <c r="P165" t="str">
        <f>_xlfn.XLOOKUP(A165,'Classic Net to delete'!D:D,'Classic Net to delete'!A:A,"")</f>
        <v/>
      </c>
    </row>
    <row r="166" spans="1:16" x14ac:dyDescent="0.25">
      <c r="A166" t="s">
        <v>2900</v>
      </c>
      <c r="B166" t="s">
        <v>3919</v>
      </c>
      <c r="C166" t="s">
        <v>2901</v>
      </c>
      <c r="D166">
        <v>7.65</v>
      </c>
      <c r="E166" t="s">
        <v>3152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2900</v>
      </c>
      <c r="O166" t="s">
        <v>3182</v>
      </c>
      <c r="P166" t="str">
        <f>_xlfn.XLOOKUP(A166,'Classic Net to delete'!D:D,'Classic Net to delete'!A:A,"")</f>
        <v/>
      </c>
    </row>
    <row r="167" spans="1:16" x14ac:dyDescent="0.25">
      <c r="A167" t="s">
        <v>2898</v>
      </c>
      <c r="B167" t="s">
        <v>3919</v>
      </c>
      <c r="C167" t="s">
        <v>2899</v>
      </c>
      <c r="D167">
        <v>7.65</v>
      </c>
      <c r="E167" t="s">
        <v>3152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2898</v>
      </c>
      <c r="O167" t="s">
        <v>3182</v>
      </c>
      <c r="P167" t="str">
        <f>_xlfn.XLOOKUP(A167,'Classic Net to delete'!D:D,'Classic Net to delete'!A:A,"")</f>
        <v/>
      </c>
    </row>
    <row r="168" spans="1:16" x14ac:dyDescent="0.25">
      <c r="A168" t="s">
        <v>2896</v>
      </c>
      <c r="B168" t="s">
        <v>3919</v>
      </c>
      <c r="C168" t="s">
        <v>2897</v>
      </c>
      <c r="D168">
        <v>7.65</v>
      </c>
      <c r="E168" t="s">
        <v>3152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2896</v>
      </c>
      <c r="O168" t="s">
        <v>3182</v>
      </c>
      <c r="P168" t="str">
        <f>_xlfn.XLOOKUP(A168,'Classic Net to delete'!D:D,'Classic Net to delete'!A:A,"")</f>
        <v/>
      </c>
    </row>
    <row r="169" spans="1:16" x14ac:dyDescent="0.25">
      <c r="A169" t="s">
        <v>2894</v>
      </c>
      <c r="B169" t="s">
        <v>3919</v>
      </c>
      <c r="C169" t="s">
        <v>2895</v>
      </c>
      <c r="D169">
        <v>7.65</v>
      </c>
      <c r="E169" t="s">
        <v>3152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2894</v>
      </c>
      <c r="O169" t="s">
        <v>3182</v>
      </c>
      <c r="P169" t="str">
        <f>_xlfn.XLOOKUP(A169,'Classic Net to delete'!D:D,'Classic Net to delete'!A:A,"")</f>
        <v/>
      </c>
    </row>
    <row r="170" spans="1:16" x14ac:dyDescent="0.25">
      <c r="A170" t="s">
        <v>2892</v>
      </c>
      <c r="B170" t="s">
        <v>3919</v>
      </c>
      <c r="C170" t="s">
        <v>2893</v>
      </c>
      <c r="D170">
        <v>15.1</v>
      </c>
      <c r="E170" t="s">
        <v>3152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2892</v>
      </c>
      <c r="O170" t="s">
        <v>3182</v>
      </c>
      <c r="P170" t="str">
        <f>_xlfn.XLOOKUP(A170,'Classic Net to delete'!D:D,'Classic Net to delete'!A:A,"")</f>
        <v/>
      </c>
    </row>
    <row r="171" spans="1:16" x14ac:dyDescent="0.25">
      <c r="A171" t="s">
        <v>2890</v>
      </c>
      <c r="B171" t="s">
        <v>3919</v>
      </c>
      <c r="C171" t="s">
        <v>2891</v>
      </c>
      <c r="D171">
        <v>10.050000000000001</v>
      </c>
      <c r="E171" t="s">
        <v>3152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2890</v>
      </c>
      <c r="O171" t="s">
        <v>3182</v>
      </c>
      <c r="P171" t="str">
        <f>_xlfn.XLOOKUP(A171,'Classic Net to delete'!D:D,'Classic Net to delete'!A:A,"")</f>
        <v/>
      </c>
    </row>
    <row r="172" spans="1:16" x14ac:dyDescent="0.25">
      <c r="A172" t="s">
        <v>2888</v>
      </c>
      <c r="B172" t="s">
        <v>3919</v>
      </c>
      <c r="C172" t="s">
        <v>2889</v>
      </c>
      <c r="D172">
        <v>10.050000000000001</v>
      </c>
      <c r="E172" t="s">
        <v>3152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2888</v>
      </c>
      <c r="O172" t="s">
        <v>3182</v>
      </c>
      <c r="P172" t="str">
        <f>_xlfn.XLOOKUP(A172,'Classic Net to delete'!D:D,'Classic Net to delete'!A:A,"")</f>
        <v/>
      </c>
    </row>
    <row r="173" spans="1:16" x14ac:dyDescent="0.25">
      <c r="A173" t="s">
        <v>2886</v>
      </c>
      <c r="B173" t="s">
        <v>3919</v>
      </c>
      <c r="C173" t="s">
        <v>2887</v>
      </c>
      <c r="D173">
        <v>10.050000000000001</v>
      </c>
      <c r="E173" t="s">
        <v>3152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2886</v>
      </c>
      <c r="O173" t="s">
        <v>3182</v>
      </c>
      <c r="P173" t="str">
        <f>_xlfn.XLOOKUP(A173,'Classic Net to delete'!D:D,'Classic Net to delete'!A:A,"")</f>
        <v/>
      </c>
    </row>
    <row r="174" spans="1:16" x14ac:dyDescent="0.25">
      <c r="A174" t="s">
        <v>2884</v>
      </c>
      <c r="B174" t="s">
        <v>3919</v>
      </c>
      <c r="C174" t="s">
        <v>2885</v>
      </c>
      <c r="D174">
        <v>10.050000000000001</v>
      </c>
      <c r="E174" t="s">
        <v>3152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2884</v>
      </c>
      <c r="O174" t="s">
        <v>3182</v>
      </c>
      <c r="P174" t="str">
        <f>_xlfn.XLOOKUP(A174,'Classic Net to delete'!D:D,'Classic Net to delete'!A:A,"")</f>
        <v/>
      </c>
    </row>
    <row r="175" spans="1:16" x14ac:dyDescent="0.25">
      <c r="A175" t="s">
        <v>2882</v>
      </c>
      <c r="B175" t="s">
        <v>3919</v>
      </c>
      <c r="C175" t="s">
        <v>2883</v>
      </c>
      <c r="D175">
        <v>49.3</v>
      </c>
      <c r="E175" t="s">
        <v>3152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2882</v>
      </c>
      <c r="O175" t="s">
        <v>3182</v>
      </c>
      <c r="P175" t="str">
        <f>_xlfn.XLOOKUP(A175,'Classic Net to delete'!D:D,'Classic Net to delete'!A:A,"")</f>
        <v/>
      </c>
    </row>
    <row r="176" spans="1:16" x14ac:dyDescent="0.25">
      <c r="A176" t="s">
        <v>1786</v>
      </c>
      <c r="B176" t="s">
        <v>3919</v>
      </c>
      <c r="C176" t="s">
        <v>1787</v>
      </c>
      <c r="D176">
        <v>31.9</v>
      </c>
      <c r="E176" t="s">
        <v>3152</v>
      </c>
      <c r="F176" s="186" t="s">
        <v>3920</v>
      </c>
      <c r="H176" t="b">
        <v>1</v>
      </c>
      <c r="I176">
        <v>31.900000000000002</v>
      </c>
      <c r="J176" s="186" t="s">
        <v>1769</v>
      </c>
      <c r="M176" t="str">
        <f>IFERROR(_xlfn.XLOOKUP(A176,Fleet!A:A,Fleet!E:E,""),"")</f>
        <v/>
      </c>
      <c r="N176" t="s">
        <v>1786</v>
      </c>
      <c r="O176" t="s">
        <v>3182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1842</v>
      </c>
      <c r="B177" t="s">
        <v>3921</v>
      </c>
      <c r="C177" t="s">
        <v>1843</v>
      </c>
      <c r="D177">
        <v>13.9</v>
      </c>
      <c r="E177" t="s">
        <v>3152</v>
      </c>
      <c r="F177" s="186" t="s">
        <v>3920</v>
      </c>
      <c r="H177" t="b">
        <v>1</v>
      </c>
      <c r="I177">
        <v>13.9</v>
      </c>
      <c r="J177" s="186" t="s">
        <v>1769</v>
      </c>
      <c r="M177" t="str">
        <f>IFERROR(_xlfn.XLOOKUP(A177,Fleet!A:A,Fleet!E:E,""),"")</f>
        <v/>
      </c>
      <c r="N177" t="s">
        <v>1842</v>
      </c>
      <c r="O177" t="s">
        <v>3181</v>
      </c>
      <c r="P177" t="str">
        <f>_xlfn.XLOOKUP(A177,'Classic Net to delete'!D:D,'Classic Net to delete'!A:A,"")</f>
        <v>Gully Scoop</v>
      </c>
    </row>
    <row r="178" spans="1:16" x14ac:dyDescent="0.25">
      <c r="A178" t="s">
        <v>1857</v>
      </c>
      <c r="B178" t="s">
        <v>3921</v>
      </c>
      <c r="C178" t="s">
        <v>1858</v>
      </c>
      <c r="D178">
        <v>18.600000000000001</v>
      </c>
      <c r="E178" t="s">
        <v>3152</v>
      </c>
      <c r="F178" s="186" t="s">
        <v>3920</v>
      </c>
      <c r="H178" t="b">
        <v>1</v>
      </c>
      <c r="I178">
        <v>18.600000000000001</v>
      </c>
      <c r="J178" s="186" t="s">
        <v>1769</v>
      </c>
      <c r="M178" t="str">
        <f>IFERROR(_xlfn.XLOOKUP(A178,Fleet!A:A,Fleet!E:E,""),"")</f>
        <v/>
      </c>
      <c r="N178" t="s">
        <v>1857</v>
      </c>
      <c r="O178" t="s">
        <v>3181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2880</v>
      </c>
      <c r="B179" t="s">
        <v>3921</v>
      </c>
      <c r="C179" t="s">
        <v>2881</v>
      </c>
      <c r="D179">
        <v>13.9</v>
      </c>
      <c r="E179" t="s">
        <v>3152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2880</v>
      </c>
      <c r="O179" t="s">
        <v>3181</v>
      </c>
      <c r="P179" t="str">
        <f>_xlfn.XLOOKUP(A179,'Classic Net to delete'!D:D,'Classic Net to delete'!A:A,"")</f>
        <v/>
      </c>
    </row>
    <row r="180" spans="1:16" x14ac:dyDescent="0.25">
      <c r="A180" t="s">
        <v>1854</v>
      </c>
      <c r="B180" t="s">
        <v>3921</v>
      </c>
      <c r="C180" t="s">
        <v>1855</v>
      </c>
      <c r="D180">
        <v>13.9</v>
      </c>
      <c r="E180" t="s">
        <v>3152</v>
      </c>
      <c r="F180" s="186" t="s">
        <v>3920</v>
      </c>
      <c r="H180" t="b">
        <v>1</v>
      </c>
      <c r="I180">
        <v>13.9</v>
      </c>
      <c r="J180" s="186" t="s">
        <v>1769</v>
      </c>
      <c r="M180" t="str">
        <f>IFERROR(_xlfn.XLOOKUP(A180,Fleet!A:A,Fleet!E:E,""),"")</f>
        <v/>
      </c>
      <c r="N180" t="s">
        <v>1854</v>
      </c>
      <c r="O180" t="s">
        <v>3181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1839</v>
      </c>
      <c r="B181" t="s">
        <v>3921</v>
      </c>
      <c r="C181" t="s">
        <v>1840</v>
      </c>
      <c r="D181">
        <v>14.45</v>
      </c>
      <c r="E181" t="s">
        <v>3152</v>
      </c>
      <c r="F181" s="186" t="s">
        <v>3920</v>
      </c>
      <c r="H181" t="b">
        <v>1</v>
      </c>
      <c r="I181">
        <v>14.450000000000001</v>
      </c>
      <c r="J181" s="186" t="s">
        <v>1769</v>
      </c>
      <c r="M181" t="str">
        <f>IFERROR(_xlfn.XLOOKUP(A181,Fleet!A:A,Fleet!E:E,""),"")</f>
        <v/>
      </c>
      <c r="N181" t="s">
        <v>1839</v>
      </c>
      <c r="O181" t="s">
        <v>3181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2878</v>
      </c>
      <c r="B182" t="s">
        <v>3921</v>
      </c>
      <c r="C182" t="s">
        <v>2879</v>
      </c>
      <c r="D182">
        <v>4.1500000000000004</v>
      </c>
      <c r="E182" t="s">
        <v>3152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2878</v>
      </c>
      <c r="O182" t="s">
        <v>3181</v>
      </c>
      <c r="P182" t="str">
        <f>_xlfn.XLOOKUP(A182,'Classic Net to delete'!D:D,'Classic Net to delete'!A:A,"")</f>
        <v/>
      </c>
    </row>
    <row r="183" spans="1:16" x14ac:dyDescent="0.25">
      <c r="A183" t="s">
        <v>2876</v>
      </c>
      <c r="B183" t="s">
        <v>3921</v>
      </c>
      <c r="C183" t="s">
        <v>2877</v>
      </c>
      <c r="D183">
        <v>4.1500000000000004</v>
      </c>
      <c r="E183" t="s">
        <v>3152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2876</v>
      </c>
      <c r="O183" t="s">
        <v>3181</v>
      </c>
      <c r="P183" t="str">
        <f>_xlfn.XLOOKUP(A183,'Classic Net to delete'!D:D,'Classic Net to delete'!A:A,"")</f>
        <v/>
      </c>
    </row>
    <row r="184" spans="1:16" x14ac:dyDescent="0.25">
      <c r="A184" t="s">
        <v>2874</v>
      </c>
      <c r="B184" t="s">
        <v>3921</v>
      </c>
      <c r="C184" t="s">
        <v>2875</v>
      </c>
      <c r="D184">
        <v>4.1500000000000004</v>
      </c>
      <c r="E184" t="s">
        <v>3152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2874</v>
      </c>
      <c r="O184" t="s">
        <v>3181</v>
      </c>
      <c r="P184" t="str">
        <f>_xlfn.XLOOKUP(A184,'Classic Net to delete'!D:D,'Classic Net to delete'!A:A,"")</f>
        <v/>
      </c>
    </row>
    <row r="185" spans="1:16" x14ac:dyDescent="0.25">
      <c r="A185" t="s">
        <v>1851</v>
      </c>
      <c r="B185" t="s">
        <v>3921</v>
      </c>
      <c r="C185" t="s">
        <v>1852</v>
      </c>
      <c r="D185">
        <v>4.1500000000000004</v>
      </c>
      <c r="E185" t="s">
        <v>3152</v>
      </c>
      <c r="F185" s="186" t="s">
        <v>3920</v>
      </c>
      <c r="H185" t="b">
        <v>1</v>
      </c>
      <c r="I185">
        <v>4.1500000000000004</v>
      </c>
      <c r="J185" s="186" t="s">
        <v>1769</v>
      </c>
      <c r="M185" t="str">
        <f>IFERROR(_xlfn.XLOOKUP(A185,Fleet!A:A,Fleet!E:E,""),"")</f>
        <v/>
      </c>
      <c r="N185" t="s">
        <v>1851</v>
      </c>
      <c r="O185" t="s">
        <v>3181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2872</v>
      </c>
      <c r="B186" t="s">
        <v>3921</v>
      </c>
      <c r="C186" t="s">
        <v>2873</v>
      </c>
      <c r="D186">
        <v>6.5</v>
      </c>
      <c r="E186" t="s">
        <v>3152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2872</v>
      </c>
      <c r="O186" t="s">
        <v>3181</v>
      </c>
      <c r="P186" t="str">
        <f>_xlfn.XLOOKUP(A186,'Classic Net to delete'!D:D,'Classic Net to delete'!A:A,"")</f>
        <v/>
      </c>
    </row>
    <row r="187" spans="1:16" x14ac:dyDescent="0.25">
      <c r="A187" t="s">
        <v>1849</v>
      </c>
      <c r="B187" t="s">
        <v>3921</v>
      </c>
      <c r="C187" t="s">
        <v>1850</v>
      </c>
      <c r="D187">
        <v>6.5</v>
      </c>
      <c r="E187" t="s">
        <v>3152</v>
      </c>
      <c r="F187" s="186" t="s">
        <v>3920</v>
      </c>
      <c r="H187" t="b">
        <v>1</v>
      </c>
      <c r="I187">
        <v>6.5</v>
      </c>
      <c r="J187" s="186" t="s">
        <v>1769</v>
      </c>
      <c r="M187" t="str">
        <f>IFERROR(_xlfn.XLOOKUP(A187,Fleet!A:A,Fleet!E:E,""),"")</f>
        <v/>
      </c>
      <c r="N187" t="s">
        <v>1849</v>
      </c>
      <c r="O187" t="s">
        <v>3181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2870</v>
      </c>
      <c r="B188" t="s">
        <v>3921</v>
      </c>
      <c r="C188" t="s">
        <v>2871</v>
      </c>
      <c r="D188">
        <v>12.65</v>
      </c>
      <c r="E188" t="s">
        <v>3152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2870</v>
      </c>
      <c r="O188" t="s">
        <v>3181</v>
      </c>
      <c r="P188" t="str">
        <f>_xlfn.XLOOKUP(A188,'Classic Net to delete'!D:D,'Classic Net to delete'!A:A,"")</f>
        <v/>
      </c>
    </row>
    <row r="189" spans="1:16" x14ac:dyDescent="0.25">
      <c r="A189" t="s">
        <v>2868</v>
      </c>
      <c r="B189" t="s">
        <v>3921</v>
      </c>
      <c r="C189" t="s">
        <v>2869</v>
      </c>
      <c r="D189">
        <v>12.65</v>
      </c>
      <c r="E189" t="s">
        <v>3152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2868</v>
      </c>
      <c r="O189" t="s">
        <v>3181</v>
      </c>
      <c r="P189" t="str">
        <f>_xlfn.XLOOKUP(A189,'Classic Net to delete'!D:D,'Classic Net to delete'!A:A,"")</f>
        <v/>
      </c>
    </row>
    <row r="190" spans="1:16" x14ac:dyDescent="0.25">
      <c r="A190" t="s">
        <v>1844</v>
      </c>
      <c r="B190" t="s">
        <v>3921</v>
      </c>
      <c r="C190" t="s">
        <v>1845</v>
      </c>
      <c r="D190">
        <v>12.65</v>
      </c>
      <c r="E190" t="s">
        <v>3152</v>
      </c>
      <c r="F190" s="186" t="s">
        <v>3920</v>
      </c>
      <c r="H190" t="b">
        <v>1</v>
      </c>
      <c r="I190">
        <v>12.65</v>
      </c>
      <c r="J190" s="186" t="s">
        <v>1769</v>
      </c>
      <c r="M190" t="str">
        <f>IFERROR(_xlfn.XLOOKUP(A190,Fleet!A:A,Fleet!E:E,""),"")</f>
        <v/>
      </c>
      <c r="N190" t="s">
        <v>1844</v>
      </c>
      <c r="O190" t="s">
        <v>3181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1847</v>
      </c>
      <c r="B191" t="s">
        <v>3921</v>
      </c>
      <c r="C191" t="s">
        <v>1848</v>
      </c>
      <c r="D191">
        <v>12.65</v>
      </c>
      <c r="E191" t="s">
        <v>3152</v>
      </c>
      <c r="F191" s="186" t="s">
        <v>3920</v>
      </c>
      <c r="H191" t="b">
        <v>1</v>
      </c>
      <c r="I191">
        <v>12.65</v>
      </c>
      <c r="J191" s="186" t="s">
        <v>1769</v>
      </c>
      <c r="M191" t="str">
        <f>IFERROR(_xlfn.XLOOKUP(A191,Fleet!A:A,Fleet!E:E,""),"")</f>
        <v/>
      </c>
      <c r="N191" t="s">
        <v>1847</v>
      </c>
      <c r="O191" t="s">
        <v>3181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2413</v>
      </c>
      <c r="B192" t="s">
        <v>3922</v>
      </c>
      <c r="C192" t="s">
        <v>2414</v>
      </c>
      <c r="D192">
        <v>2.7</v>
      </c>
      <c r="E192" t="s">
        <v>3152</v>
      </c>
      <c r="F192" s="186" t="s">
        <v>719</v>
      </c>
      <c r="H192" t="b">
        <v>1</v>
      </c>
      <c r="I192">
        <v>2.7</v>
      </c>
      <c r="J192" s="186" t="s">
        <v>3923</v>
      </c>
      <c r="M192" t="str">
        <f>IFERROR(_xlfn.XLOOKUP(A192,Fleet!A:A,Fleet!E:E,""),"")</f>
        <v/>
      </c>
      <c r="N192" t="s">
        <v>2413</v>
      </c>
      <c r="O192" t="s">
        <v>3180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2866</v>
      </c>
      <c r="B193" t="s">
        <v>3922</v>
      </c>
      <c r="C193" t="s">
        <v>2867</v>
      </c>
      <c r="D193">
        <v>12.65</v>
      </c>
      <c r="E193" t="s">
        <v>3152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2866</v>
      </c>
      <c r="O193" t="s">
        <v>3180</v>
      </c>
      <c r="P193" t="str">
        <f>_xlfn.XLOOKUP(A193,'Classic Net to delete'!D:D,'Classic Net to delete'!A:A,"")</f>
        <v/>
      </c>
    </row>
    <row r="194" spans="1:16" x14ac:dyDescent="0.25">
      <c r="A194" t="s">
        <v>2864</v>
      </c>
      <c r="B194" t="s">
        <v>3922</v>
      </c>
      <c r="C194" t="s">
        <v>2865</v>
      </c>
      <c r="D194">
        <v>12.65</v>
      </c>
      <c r="E194" t="s">
        <v>3152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2864</v>
      </c>
      <c r="O194" t="s">
        <v>3180</v>
      </c>
      <c r="P194" t="str">
        <f>_xlfn.XLOOKUP(A194,'Classic Net to delete'!D:D,'Classic Net to delete'!A:A,"")</f>
        <v/>
      </c>
    </row>
    <row r="195" spans="1:16" x14ac:dyDescent="0.25">
      <c r="A195" t="s">
        <v>2862</v>
      </c>
      <c r="B195" t="s">
        <v>3922</v>
      </c>
      <c r="C195" t="s">
        <v>2863</v>
      </c>
      <c r="D195">
        <v>12.65</v>
      </c>
      <c r="E195" t="s">
        <v>3152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2862</v>
      </c>
      <c r="O195" t="s">
        <v>3180</v>
      </c>
      <c r="P195" t="str">
        <f>_xlfn.XLOOKUP(A195,'Classic Net to delete'!D:D,'Classic Net to delete'!A:A,"")</f>
        <v/>
      </c>
    </row>
    <row r="196" spans="1:16" x14ac:dyDescent="0.25">
      <c r="A196" t="s">
        <v>2860</v>
      </c>
      <c r="B196" t="s">
        <v>3922</v>
      </c>
      <c r="C196" t="s">
        <v>2861</v>
      </c>
      <c r="D196">
        <v>12.65</v>
      </c>
      <c r="E196" t="s">
        <v>3152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2860</v>
      </c>
      <c r="O196" t="s">
        <v>3180</v>
      </c>
      <c r="P196" t="str">
        <f>_xlfn.XLOOKUP(A196,'Classic Net to delete'!D:D,'Classic Net to delete'!A:A,"")</f>
        <v/>
      </c>
    </row>
    <row r="197" spans="1:16" x14ac:dyDescent="0.25">
      <c r="A197" t="s">
        <v>2410</v>
      </c>
      <c r="B197" t="s">
        <v>3922</v>
      </c>
      <c r="C197" t="s">
        <v>2411</v>
      </c>
      <c r="D197">
        <v>12.65</v>
      </c>
      <c r="E197" t="s">
        <v>3152</v>
      </c>
      <c r="F197" s="186" t="s">
        <v>719</v>
      </c>
      <c r="H197" t="b">
        <v>1</v>
      </c>
      <c r="I197">
        <v>12.65</v>
      </c>
      <c r="J197" s="186" t="s">
        <v>3923</v>
      </c>
      <c r="M197" t="str">
        <f>IFERROR(_xlfn.XLOOKUP(A197,Fleet!A:A,Fleet!E:E,""),"")</f>
        <v/>
      </c>
      <c r="N197" t="s">
        <v>2410</v>
      </c>
      <c r="O197" t="s">
        <v>3180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2858</v>
      </c>
      <c r="B198" t="s">
        <v>3922</v>
      </c>
      <c r="C198" t="s">
        <v>2859</v>
      </c>
      <c r="D198">
        <v>7.4</v>
      </c>
      <c r="E198" t="s">
        <v>3152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2858</v>
      </c>
      <c r="O198" t="s">
        <v>3180</v>
      </c>
      <c r="P198" t="str">
        <f>_xlfn.XLOOKUP(A198,'Classic Net to delete'!D:D,'Classic Net to delete'!A:A,"")</f>
        <v/>
      </c>
    </row>
    <row r="199" spans="1:16" x14ac:dyDescent="0.25">
      <c r="A199" t="s">
        <v>2856</v>
      </c>
      <c r="B199" t="s">
        <v>3922</v>
      </c>
      <c r="C199" t="s">
        <v>2857</v>
      </c>
      <c r="D199">
        <v>7.4</v>
      </c>
      <c r="E199" t="s">
        <v>3152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2856</v>
      </c>
      <c r="O199" t="s">
        <v>3180</v>
      </c>
      <c r="P199" t="str">
        <f>_xlfn.XLOOKUP(A199,'Classic Net to delete'!D:D,'Classic Net to delete'!A:A,"")</f>
        <v/>
      </c>
    </row>
    <row r="200" spans="1:16" x14ac:dyDescent="0.25">
      <c r="A200" t="s">
        <v>2854</v>
      </c>
      <c r="B200" t="s">
        <v>3922</v>
      </c>
      <c r="C200" t="s">
        <v>2855</v>
      </c>
      <c r="D200">
        <v>7.4</v>
      </c>
      <c r="E200" t="s">
        <v>3152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2854</v>
      </c>
      <c r="O200" t="s">
        <v>3180</v>
      </c>
      <c r="P200" t="str">
        <f>_xlfn.XLOOKUP(A200,'Classic Net to delete'!D:D,'Classic Net to delete'!A:A,"")</f>
        <v/>
      </c>
    </row>
    <row r="201" spans="1:16" x14ac:dyDescent="0.25">
      <c r="A201" t="s">
        <v>2852</v>
      </c>
      <c r="B201" t="s">
        <v>3922</v>
      </c>
      <c r="C201" t="s">
        <v>2853</v>
      </c>
      <c r="D201">
        <v>7.4</v>
      </c>
      <c r="E201" t="s">
        <v>3152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2852</v>
      </c>
      <c r="O201" t="s">
        <v>3180</v>
      </c>
      <c r="P201" t="str">
        <f>_xlfn.XLOOKUP(A201,'Classic Net to delete'!D:D,'Classic Net to delete'!A:A,"")</f>
        <v/>
      </c>
    </row>
    <row r="202" spans="1:16" x14ac:dyDescent="0.25">
      <c r="A202" t="s">
        <v>2407</v>
      </c>
      <c r="B202" t="s">
        <v>3922</v>
      </c>
      <c r="C202" t="s">
        <v>2408</v>
      </c>
      <c r="D202">
        <v>7.4</v>
      </c>
      <c r="E202" t="s">
        <v>3152</v>
      </c>
      <c r="F202" s="186" t="s">
        <v>719</v>
      </c>
      <c r="H202" t="b">
        <v>1</v>
      </c>
      <c r="I202">
        <v>7.4</v>
      </c>
      <c r="J202" s="186" t="s">
        <v>3923</v>
      </c>
      <c r="M202" t="str">
        <f>IFERROR(_xlfn.XLOOKUP(A202,Fleet!A:A,Fleet!E:E,""),"")</f>
        <v/>
      </c>
      <c r="N202" t="s">
        <v>2407</v>
      </c>
      <c r="O202" t="s">
        <v>3180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2405</v>
      </c>
      <c r="B203" t="s">
        <v>3922</v>
      </c>
      <c r="C203" t="s">
        <v>2406</v>
      </c>
      <c r="D203">
        <v>15.95</v>
      </c>
      <c r="E203" t="s">
        <v>3152</v>
      </c>
      <c r="F203" s="186" t="s">
        <v>719</v>
      </c>
      <c r="H203" t="b">
        <v>1</v>
      </c>
      <c r="I203">
        <v>15.950000000000001</v>
      </c>
      <c r="J203" s="186" t="s">
        <v>3923</v>
      </c>
      <c r="M203" t="str">
        <f>IFERROR(_xlfn.XLOOKUP(A203,Fleet!A:A,Fleet!E:E,""),"")</f>
        <v/>
      </c>
      <c r="N203" t="s">
        <v>2405</v>
      </c>
      <c r="O203" t="s">
        <v>3180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2850</v>
      </c>
      <c r="B204" t="s">
        <v>3924</v>
      </c>
      <c r="C204" t="s">
        <v>2851</v>
      </c>
      <c r="D204">
        <v>23</v>
      </c>
      <c r="E204" t="s">
        <v>3152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2850</v>
      </c>
      <c r="O204" t="s">
        <v>3179</v>
      </c>
      <c r="P204" t="str">
        <f>_xlfn.XLOOKUP(A204,'Classic Net to delete'!D:D,'Classic Net to delete'!A:A,"")</f>
        <v/>
      </c>
    </row>
    <row r="205" spans="1:16" x14ac:dyDescent="0.25">
      <c r="A205" t="s">
        <v>2848</v>
      </c>
      <c r="B205" t="s">
        <v>3924</v>
      </c>
      <c r="C205" t="s">
        <v>2849</v>
      </c>
      <c r="D205">
        <v>22.75</v>
      </c>
      <c r="E205" t="s">
        <v>3152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2848</v>
      </c>
      <c r="O205" t="s">
        <v>3179</v>
      </c>
      <c r="P205" t="str">
        <f>_xlfn.XLOOKUP(A205,'Classic Net to delete'!D:D,'Classic Net to delete'!A:A,"")</f>
        <v/>
      </c>
    </row>
    <row r="206" spans="1:16" x14ac:dyDescent="0.25">
      <c r="A206" t="s">
        <v>2846</v>
      </c>
      <c r="B206" t="s">
        <v>3924</v>
      </c>
      <c r="C206" t="s">
        <v>2847</v>
      </c>
      <c r="D206">
        <v>10.050000000000001</v>
      </c>
      <c r="E206" t="s">
        <v>3152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2846</v>
      </c>
      <c r="O206" t="s">
        <v>3179</v>
      </c>
      <c r="P206" t="str">
        <f>_xlfn.XLOOKUP(A206,'Classic Net to delete'!D:D,'Classic Net to delete'!A:A,"")</f>
        <v/>
      </c>
    </row>
    <row r="207" spans="1:16" x14ac:dyDescent="0.25">
      <c r="A207" t="s">
        <v>2844</v>
      </c>
      <c r="B207" t="s">
        <v>3924</v>
      </c>
      <c r="C207" t="s">
        <v>2845</v>
      </c>
      <c r="D207">
        <v>6.5</v>
      </c>
      <c r="E207" t="s">
        <v>3152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2844</v>
      </c>
      <c r="O207" t="s">
        <v>3179</v>
      </c>
      <c r="P207" t="str">
        <f>_xlfn.XLOOKUP(A207,'Classic Net to delete'!D:D,'Classic Net to delete'!A:A,"")</f>
        <v/>
      </c>
    </row>
    <row r="208" spans="1:16" x14ac:dyDescent="0.25">
      <c r="A208" t="s">
        <v>2401</v>
      </c>
      <c r="B208" t="s">
        <v>3924</v>
      </c>
      <c r="C208" t="s">
        <v>2402</v>
      </c>
      <c r="D208">
        <v>18.600000000000001</v>
      </c>
      <c r="E208" t="s">
        <v>3152</v>
      </c>
      <c r="F208" s="186" t="s">
        <v>719</v>
      </c>
      <c r="H208" t="b">
        <v>1</v>
      </c>
      <c r="I208">
        <v>18.600000000000001</v>
      </c>
      <c r="J208" s="186" t="s">
        <v>3923</v>
      </c>
      <c r="M208" t="str">
        <f>IFERROR(_xlfn.XLOOKUP(A208,Fleet!A:A,Fleet!E:E,""),"")</f>
        <v/>
      </c>
      <c r="N208" t="s">
        <v>2401</v>
      </c>
      <c r="O208" t="s">
        <v>3179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2841</v>
      </c>
      <c r="B209" t="s">
        <v>3924</v>
      </c>
      <c r="C209" t="s">
        <v>2842</v>
      </c>
      <c r="D209">
        <v>41</v>
      </c>
      <c r="E209" t="s">
        <v>3152</v>
      </c>
      <c r="H209" t="s">
        <v>22</v>
      </c>
      <c r="I209">
        <v>41</v>
      </c>
      <c r="M209" t="str">
        <f>IFERROR(_xlfn.XLOOKUP(A209,Fleet!A:A,Fleet!E:E,""),"")</f>
        <v/>
      </c>
      <c r="N209" t="s">
        <v>2841</v>
      </c>
      <c r="O209" t="s">
        <v>3179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2839</v>
      </c>
      <c r="B210" t="s">
        <v>3925</v>
      </c>
      <c r="C210" t="s">
        <v>2840</v>
      </c>
      <c r="D210">
        <v>33.049999999999997</v>
      </c>
      <c r="E210" t="s">
        <v>3152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2839</v>
      </c>
      <c r="O210" t="s">
        <v>3178</v>
      </c>
      <c r="P210" t="str">
        <f>_xlfn.XLOOKUP(A210,'Classic Net to delete'!D:D,'Classic Net to delete'!A:A,"")</f>
        <v/>
      </c>
    </row>
    <row r="211" spans="1:16" x14ac:dyDescent="0.25">
      <c r="A211" t="s">
        <v>2837</v>
      </c>
      <c r="B211" t="s">
        <v>3925</v>
      </c>
      <c r="C211" t="s">
        <v>2838</v>
      </c>
      <c r="D211">
        <v>6.25</v>
      </c>
      <c r="E211" t="s">
        <v>3152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2837</v>
      </c>
      <c r="O211" t="s">
        <v>3178</v>
      </c>
      <c r="P211" t="str">
        <f>_xlfn.XLOOKUP(A211,'Classic Net to delete'!D:D,'Classic Net to delete'!A:A,"")</f>
        <v/>
      </c>
    </row>
    <row r="212" spans="1:16" x14ac:dyDescent="0.25">
      <c r="A212" t="s">
        <v>2835</v>
      </c>
      <c r="B212" t="s">
        <v>3925</v>
      </c>
      <c r="C212" t="s">
        <v>2836</v>
      </c>
      <c r="D212">
        <v>6.25</v>
      </c>
      <c r="E212" t="s">
        <v>3152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2835</v>
      </c>
      <c r="O212" t="s">
        <v>3178</v>
      </c>
      <c r="P212" t="str">
        <f>_xlfn.XLOOKUP(A212,'Classic Net to delete'!D:D,'Classic Net to delete'!A:A,"")</f>
        <v/>
      </c>
    </row>
    <row r="213" spans="1:16" x14ac:dyDescent="0.25">
      <c r="A213" t="s">
        <v>2833</v>
      </c>
      <c r="B213" t="s">
        <v>3925</v>
      </c>
      <c r="C213" t="s">
        <v>2834</v>
      </c>
      <c r="D213">
        <v>6.25</v>
      </c>
      <c r="E213" t="s">
        <v>3152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2833</v>
      </c>
      <c r="O213" t="s">
        <v>3178</v>
      </c>
      <c r="P213" t="str">
        <f>_xlfn.XLOOKUP(A213,'Classic Net to delete'!D:D,'Classic Net to delete'!A:A,"")</f>
        <v/>
      </c>
    </row>
    <row r="214" spans="1:16" x14ac:dyDescent="0.25">
      <c r="A214" t="s">
        <v>2298</v>
      </c>
      <c r="B214" t="s">
        <v>3925</v>
      </c>
      <c r="C214" t="s">
        <v>2299</v>
      </c>
      <c r="D214">
        <v>11.55</v>
      </c>
      <c r="E214" t="s">
        <v>3152</v>
      </c>
      <c r="F214" s="186" t="s">
        <v>2291</v>
      </c>
      <c r="H214" t="b">
        <v>1</v>
      </c>
      <c r="I214">
        <v>11.55</v>
      </c>
      <c r="J214" s="186" t="s">
        <v>2287</v>
      </c>
      <c r="M214" t="str">
        <f>IFERROR(_xlfn.XLOOKUP(A214,Fleet!A:A,Fleet!E:E,""),"")</f>
        <v/>
      </c>
      <c r="N214" t="s">
        <v>2298</v>
      </c>
      <c r="O214" t="s">
        <v>3178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2831</v>
      </c>
      <c r="B215" t="s">
        <v>3925</v>
      </c>
      <c r="C215" t="s">
        <v>2832</v>
      </c>
      <c r="D215">
        <v>33.049999999999997</v>
      </c>
      <c r="E215" t="s">
        <v>3152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2831</v>
      </c>
      <c r="O215" t="s">
        <v>3178</v>
      </c>
      <c r="P215" t="str">
        <f>_xlfn.XLOOKUP(A215,'Classic Net to delete'!D:D,'Classic Net to delete'!A:A,"")</f>
        <v/>
      </c>
    </row>
    <row r="216" spans="1:16" x14ac:dyDescent="0.25">
      <c r="A216" t="s">
        <v>2829</v>
      </c>
      <c r="B216" t="s">
        <v>3925</v>
      </c>
      <c r="C216" t="s">
        <v>2830</v>
      </c>
      <c r="D216">
        <v>73.7</v>
      </c>
      <c r="E216" t="s">
        <v>3152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2829</v>
      </c>
      <c r="O216" t="s">
        <v>3178</v>
      </c>
      <c r="P216" t="str">
        <f>_xlfn.XLOOKUP(A216,'Classic Net to delete'!D:D,'Classic Net to delete'!A:A,"")</f>
        <v/>
      </c>
    </row>
    <row r="217" spans="1:16" x14ac:dyDescent="0.25">
      <c r="A217" t="s">
        <v>2827</v>
      </c>
      <c r="B217" t="s">
        <v>3925</v>
      </c>
      <c r="C217" t="s">
        <v>2828</v>
      </c>
      <c r="D217">
        <v>67.849999999999994</v>
      </c>
      <c r="E217" t="s">
        <v>3152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2827</v>
      </c>
      <c r="O217" t="s">
        <v>3178</v>
      </c>
      <c r="P217" t="str">
        <f>_xlfn.XLOOKUP(A217,'Classic Net to delete'!D:D,'Classic Net to delete'!A:A,"")</f>
        <v/>
      </c>
    </row>
    <row r="218" spans="1:16" x14ac:dyDescent="0.25">
      <c r="A218" t="s">
        <v>2825</v>
      </c>
      <c r="B218" t="s">
        <v>3925</v>
      </c>
      <c r="C218" t="s">
        <v>2826</v>
      </c>
      <c r="D218">
        <v>47.8</v>
      </c>
      <c r="E218" t="s">
        <v>3152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2825</v>
      </c>
      <c r="O218" t="s">
        <v>3178</v>
      </c>
      <c r="P218" t="str">
        <f>_xlfn.XLOOKUP(A218,'Classic Net to delete'!D:D,'Classic Net to delete'!A:A,"")</f>
        <v/>
      </c>
    </row>
    <row r="219" spans="1:16" x14ac:dyDescent="0.25">
      <c r="A219" t="s">
        <v>2823</v>
      </c>
      <c r="B219" t="s">
        <v>3925</v>
      </c>
      <c r="C219" t="s">
        <v>2824</v>
      </c>
      <c r="D219">
        <v>19.8</v>
      </c>
      <c r="E219" t="s">
        <v>3152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2823</v>
      </c>
      <c r="O219" t="s">
        <v>3178</v>
      </c>
      <c r="P219" t="str">
        <f>_xlfn.XLOOKUP(A219,'Classic Net to delete'!D:D,'Classic Net to delete'!A:A,"")</f>
        <v/>
      </c>
    </row>
    <row r="220" spans="1:16" x14ac:dyDescent="0.25">
      <c r="A220" t="s">
        <v>2821</v>
      </c>
      <c r="B220" t="s">
        <v>3925</v>
      </c>
      <c r="C220" t="s">
        <v>2822</v>
      </c>
      <c r="D220">
        <v>153.25</v>
      </c>
      <c r="E220" t="s">
        <v>3152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2821</v>
      </c>
      <c r="O220" t="s">
        <v>3178</v>
      </c>
      <c r="P220" t="str">
        <f>_xlfn.XLOOKUP(A220,'Classic Net to delete'!D:D,'Classic Net to delete'!A:A,"")</f>
        <v/>
      </c>
    </row>
    <row r="221" spans="1:16" x14ac:dyDescent="0.25">
      <c r="A221" t="s">
        <v>2819</v>
      </c>
      <c r="B221" t="s">
        <v>3925</v>
      </c>
      <c r="C221" t="s">
        <v>2820</v>
      </c>
      <c r="D221">
        <v>47.8</v>
      </c>
      <c r="E221" t="s">
        <v>3152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2819</v>
      </c>
      <c r="O221" t="s">
        <v>3178</v>
      </c>
      <c r="P221" t="str">
        <f>_xlfn.XLOOKUP(A221,'Classic Net to delete'!D:D,'Classic Net to delete'!A:A,"")</f>
        <v/>
      </c>
    </row>
    <row r="222" spans="1:16" x14ac:dyDescent="0.25">
      <c r="A222" t="s">
        <v>2817</v>
      </c>
      <c r="B222" t="s">
        <v>3925</v>
      </c>
      <c r="C222" t="s">
        <v>2818</v>
      </c>
      <c r="D222">
        <v>3.55</v>
      </c>
      <c r="E222" t="s">
        <v>3152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2817</v>
      </c>
      <c r="O222" t="s">
        <v>3178</v>
      </c>
      <c r="P222" t="str">
        <f>_xlfn.XLOOKUP(A222,'Classic Net to delete'!D:D,'Classic Net to delete'!A:A,"")</f>
        <v/>
      </c>
    </row>
    <row r="223" spans="1:16" x14ac:dyDescent="0.25">
      <c r="A223" t="s">
        <v>1950</v>
      </c>
      <c r="B223" t="s">
        <v>3926</v>
      </c>
      <c r="C223" t="s">
        <v>1951</v>
      </c>
      <c r="D223">
        <v>23.9</v>
      </c>
      <c r="E223" t="s">
        <v>3152</v>
      </c>
      <c r="F223" s="186" t="s">
        <v>1870</v>
      </c>
      <c r="H223" t="b">
        <v>1</v>
      </c>
      <c r="I223">
        <v>23.900000000000002</v>
      </c>
      <c r="J223" s="186" t="s">
        <v>1869</v>
      </c>
      <c r="M223" t="str">
        <f>IFERROR(_xlfn.XLOOKUP(A223,Fleet!A:A,Fleet!E:E,""),"")</f>
        <v/>
      </c>
      <c r="N223" t="s">
        <v>1950</v>
      </c>
      <c r="O223" t="s">
        <v>3022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2815</v>
      </c>
      <c r="B224" t="s">
        <v>3926</v>
      </c>
      <c r="C224" t="s">
        <v>2816</v>
      </c>
      <c r="D224">
        <v>9.0500000000000007</v>
      </c>
      <c r="E224" t="s">
        <v>3152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2815</v>
      </c>
      <c r="O224" t="s">
        <v>3022</v>
      </c>
      <c r="P224" t="str">
        <f>_xlfn.XLOOKUP(A224,'Classic Net to delete'!D:D,'Classic Net to delete'!A:A,"")</f>
        <v/>
      </c>
    </row>
    <row r="225" spans="1:16" x14ac:dyDescent="0.25">
      <c r="A225" t="s">
        <v>2813</v>
      </c>
      <c r="B225" t="s">
        <v>3926</v>
      </c>
      <c r="C225" t="s">
        <v>2814</v>
      </c>
      <c r="D225">
        <v>4.1500000000000004</v>
      </c>
      <c r="E225" t="s">
        <v>3152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2813</v>
      </c>
      <c r="O225" t="s">
        <v>3022</v>
      </c>
      <c r="P225" t="str">
        <f>_xlfn.XLOOKUP(A225,'Classic Net to delete'!D:D,'Classic Net to delete'!A:A,"")</f>
        <v/>
      </c>
    </row>
    <row r="226" spans="1:16" x14ac:dyDescent="0.25">
      <c r="A226" t="s">
        <v>2811</v>
      </c>
      <c r="B226" t="s">
        <v>3926</v>
      </c>
      <c r="C226" t="s">
        <v>2812</v>
      </c>
      <c r="D226">
        <v>14</v>
      </c>
      <c r="E226" t="s">
        <v>3152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2811</v>
      </c>
      <c r="O226" t="s">
        <v>3022</v>
      </c>
      <c r="P226" t="str">
        <f>_xlfn.XLOOKUP(A226,'Classic Net to delete'!D:D,'Classic Net to delete'!A:A,"")</f>
        <v/>
      </c>
    </row>
    <row r="227" spans="1:16" x14ac:dyDescent="0.25">
      <c r="A227" t="s">
        <v>1945</v>
      </c>
      <c r="B227" t="s">
        <v>3926</v>
      </c>
      <c r="C227" t="s">
        <v>1946</v>
      </c>
      <c r="D227">
        <v>14</v>
      </c>
      <c r="E227" t="s">
        <v>3152</v>
      </c>
      <c r="F227" s="186" t="s">
        <v>1870</v>
      </c>
      <c r="H227" t="b">
        <v>1</v>
      </c>
      <c r="I227">
        <v>14</v>
      </c>
      <c r="J227" s="186" t="s">
        <v>1869</v>
      </c>
      <c r="M227" t="str">
        <f>IFERROR(_xlfn.XLOOKUP(A227,Fleet!A:A,Fleet!E:E,""),"")</f>
        <v/>
      </c>
      <c r="N227" t="s">
        <v>1945</v>
      </c>
      <c r="O227" t="s">
        <v>3022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2809</v>
      </c>
      <c r="B228" t="s">
        <v>3926</v>
      </c>
      <c r="C228" t="s">
        <v>2810</v>
      </c>
      <c r="D228">
        <v>5.35</v>
      </c>
      <c r="E228" t="s">
        <v>3152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2809</v>
      </c>
      <c r="O228" t="s">
        <v>3022</v>
      </c>
      <c r="P228" t="str">
        <f>_xlfn.XLOOKUP(A228,'Classic Net to delete'!D:D,'Classic Net to delete'!A:A,"")</f>
        <v/>
      </c>
    </row>
    <row r="229" spans="1:16" x14ac:dyDescent="0.25">
      <c r="A229" t="s">
        <v>1942</v>
      </c>
      <c r="B229" t="s">
        <v>3926</v>
      </c>
      <c r="C229" t="s">
        <v>1943</v>
      </c>
      <c r="D229">
        <v>5.6</v>
      </c>
      <c r="E229" t="s">
        <v>3152</v>
      </c>
      <c r="F229" s="186" t="s">
        <v>1870</v>
      </c>
      <c r="H229" t="b">
        <v>1</v>
      </c>
      <c r="I229">
        <v>5.6000000000000005</v>
      </c>
      <c r="J229" s="186" t="s">
        <v>1869</v>
      </c>
      <c r="M229" t="str">
        <f>IFERROR(_xlfn.XLOOKUP(A229,Fleet!A:A,Fleet!E:E,""),"")</f>
        <v/>
      </c>
      <c r="N229" t="s">
        <v>1942</v>
      </c>
      <c r="O229" t="s">
        <v>3022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1948</v>
      </c>
      <c r="B230" t="s">
        <v>3926</v>
      </c>
      <c r="C230" t="s">
        <v>1949</v>
      </c>
      <c r="D230">
        <v>5.35</v>
      </c>
      <c r="E230" t="s">
        <v>3152</v>
      </c>
      <c r="F230" s="186" t="s">
        <v>1870</v>
      </c>
      <c r="H230" t="b">
        <v>1</v>
      </c>
      <c r="I230">
        <v>5.3500000000000005</v>
      </c>
      <c r="J230" s="186" t="s">
        <v>1869</v>
      </c>
      <c r="M230" t="str">
        <f>IFERROR(_xlfn.XLOOKUP(A230,Fleet!A:A,Fleet!E:E,""),"")</f>
        <v/>
      </c>
      <c r="N230" t="s">
        <v>1948</v>
      </c>
      <c r="O230" t="s">
        <v>3022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2807</v>
      </c>
      <c r="B231" t="s">
        <v>3927</v>
      </c>
      <c r="C231" t="s">
        <v>2808</v>
      </c>
      <c r="D231">
        <v>29.45</v>
      </c>
      <c r="E231" t="s">
        <v>3152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2807</v>
      </c>
      <c r="O231" t="s">
        <v>3168</v>
      </c>
      <c r="P231" t="str">
        <f>_xlfn.XLOOKUP(A231,'Classic Net to delete'!D:D,'Classic Net to delete'!A:A,"")</f>
        <v/>
      </c>
    </row>
    <row r="232" spans="1:16" x14ac:dyDescent="0.25">
      <c r="A232" t="s">
        <v>2805</v>
      </c>
      <c r="B232" t="s">
        <v>3927</v>
      </c>
      <c r="C232" t="s">
        <v>2806</v>
      </c>
      <c r="D232">
        <v>10.6</v>
      </c>
      <c r="E232" t="s">
        <v>3152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2805</v>
      </c>
      <c r="O232" t="s">
        <v>3168</v>
      </c>
      <c r="P232" t="str">
        <f>_xlfn.XLOOKUP(A232,'Classic Net to delete'!D:D,'Classic Net to delete'!A:A,"")</f>
        <v/>
      </c>
    </row>
    <row r="233" spans="1:16" x14ac:dyDescent="0.25">
      <c r="A233" t="s">
        <v>2803</v>
      </c>
      <c r="B233" t="s">
        <v>3927</v>
      </c>
      <c r="C233" t="s">
        <v>2804</v>
      </c>
      <c r="D233">
        <v>10.6</v>
      </c>
      <c r="E233" t="s">
        <v>3152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2803</v>
      </c>
      <c r="O233" t="s">
        <v>3168</v>
      </c>
      <c r="P233" t="str">
        <f>_xlfn.XLOOKUP(A233,'Classic Net to delete'!D:D,'Classic Net to delete'!A:A,"")</f>
        <v/>
      </c>
    </row>
    <row r="234" spans="1:16" x14ac:dyDescent="0.25">
      <c r="A234" t="s">
        <v>2801</v>
      </c>
      <c r="B234" t="s">
        <v>3927</v>
      </c>
      <c r="C234" t="s">
        <v>2802</v>
      </c>
      <c r="D234">
        <v>10.6</v>
      </c>
      <c r="E234" t="s">
        <v>3152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2801</v>
      </c>
      <c r="O234" t="s">
        <v>3168</v>
      </c>
      <c r="P234" t="str">
        <f>_xlfn.XLOOKUP(A234,'Classic Net to delete'!D:D,'Classic Net to delete'!A:A,"")</f>
        <v/>
      </c>
    </row>
    <row r="235" spans="1:16" x14ac:dyDescent="0.25">
      <c r="A235" t="s">
        <v>2799</v>
      </c>
      <c r="B235" t="s">
        <v>3927</v>
      </c>
      <c r="C235" t="s">
        <v>2800</v>
      </c>
      <c r="D235">
        <v>10.6</v>
      </c>
      <c r="E235" t="s">
        <v>3152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2799</v>
      </c>
      <c r="O235" t="s">
        <v>3168</v>
      </c>
      <c r="P235" t="str">
        <f>_xlfn.XLOOKUP(A235,'Classic Net to delete'!D:D,'Classic Net to delete'!A:A,"")</f>
        <v/>
      </c>
    </row>
    <row r="236" spans="1:16" x14ac:dyDescent="0.25">
      <c r="A236" t="s">
        <v>2797</v>
      </c>
      <c r="B236" t="s">
        <v>3928</v>
      </c>
      <c r="C236" t="s">
        <v>2798</v>
      </c>
      <c r="D236">
        <v>17.399999999999999</v>
      </c>
      <c r="E236" t="s">
        <v>3152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2797</v>
      </c>
      <c r="O236" t="s">
        <v>3177</v>
      </c>
      <c r="P236" t="str">
        <f>_xlfn.XLOOKUP(A236,'Classic Net to delete'!D:D,'Classic Net to delete'!A:A,"")</f>
        <v/>
      </c>
    </row>
    <row r="237" spans="1:16" x14ac:dyDescent="0.25">
      <c r="A237" t="s">
        <v>2795</v>
      </c>
      <c r="B237" t="s">
        <v>3928</v>
      </c>
      <c r="C237" t="s">
        <v>2796</v>
      </c>
      <c r="D237">
        <v>17.399999999999999</v>
      </c>
      <c r="E237" t="s">
        <v>3152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2795</v>
      </c>
      <c r="O237" t="s">
        <v>3177</v>
      </c>
      <c r="P237" t="str">
        <f>_xlfn.XLOOKUP(A237,'Classic Net to delete'!D:D,'Classic Net to delete'!A:A,"")</f>
        <v/>
      </c>
    </row>
    <row r="238" spans="1:16" x14ac:dyDescent="0.25">
      <c r="A238" t="s">
        <v>1999</v>
      </c>
      <c r="B238" t="s">
        <v>3928</v>
      </c>
      <c r="C238" t="s">
        <v>2000</v>
      </c>
      <c r="D238">
        <v>17.399999999999999</v>
      </c>
      <c r="E238" t="s">
        <v>3152</v>
      </c>
      <c r="F238" s="186" t="s">
        <v>3626</v>
      </c>
      <c r="H238" t="b">
        <v>1</v>
      </c>
      <c r="I238">
        <v>17.400000000000002</v>
      </c>
      <c r="J238" s="186" t="s">
        <v>1975</v>
      </c>
      <c r="M238" t="str">
        <f>IFERROR(_xlfn.XLOOKUP(A238,Fleet!A:A,Fleet!E:E,""),"")</f>
        <v/>
      </c>
      <c r="N238" t="s">
        <v>1999</v>
      </c>
      <c r="O238" t="s">
        <v>3177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2793</v>
      </c>
      <c r="B239" t="s">
        <v>3929</v>
      </c>
      <c r="C239" t="s">
        <v>2794</v>
      </c>
      <c r="D239">
        <v>20.6</v>
      </c>
      <c r="E239" t="s">
        <v>3152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2793</v>
      </c>
      <c r="O239" t="s">
        <v>3020</v>
      </c>
      <c r="P239" t="str">
        <f>_xlfn.XLOOKUP(A239,'Classic Net to delete'!D:D,'Classic Net to delete'!A:A,"")</f>
        <v/>
      </c>
    </row>
    <row r="240" spans="1:16" x14ac:dyDescent="0.25">
      <c r="A240" t="s">
        <v>2791</v>
      </c>
      <c r="B240" t="s">
        <v>3929</v>
      </c>
      <c r="C240" t="s">
        <v>2792</v>
      </c>
      <c r="D240">
        <v>20.6</v>
      </c>
      <c r="E240" t="s">
        <v>3152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2791</v>
      </c>
      <c r="O240" t="s">
        <v>3020</v>
      </c>
      <c r="P240" t="str">
        <f>_xlfn.XLOOKUP(A240,'Classic Net to delete'!D:D,'Classic Net to delete'!A:A,"")</f>
        <v/>
      </c>
    </row>
    <row r="241" spans="1:16" x14ac:dyDescent="0.25">
      <c r="A241" t="s">
        <v>2789</v>
      </c>
      <c r="B241" t="s">
        <v>3929</v>
      </c>
      <c r="C241" t="s">
        <v>2790</v>
      </c>
      <c r="D241">
        <v>10.3</v>
      </c>
      <c r="E241" t="s">
        <v>3152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2789</v>
      </c>
      <c r="O241" t="s">
        <v>3020</v>
      </c>
      <c r="P241" t="str">
        <f>_xlfn.XLOOKUP(A241,'Classic Net to delete'!D:D,'Classic Net to delete'!A:A,"")</f>
        <v/>
      </c>
    </row>
    <row r="242" spans="1:16" x14ac:dyDescent="0.25">
      <c r="A242" t="s">
        <v>2787</v>
      </c>
      <c r="B242" t="s">
        <v>3929</v>
      </c>
      <c r="C242" t="s">
        <v>2788</v>
      </c>
      <c r="D242">
        <v>9.5</v>
      </c>
      <c r="E242" t="s">
        <v>3152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2787</v>
      </c>
      <c r="O242" t="s">
        <v>3020</v>
      </c>
      <c r="P242" t="str">
        <f>_xlfn.XLOOKUP(A242,'Classic Net to delete'!D:D,'Classic Net to delete'!A:A,"")</f>
        <v/>
      </c>
    </row>
    <row r="243" spans="1:16" x14ac:dyDescent="0.25">
      <c r="A243" t="s">
        <v>2785</v>
      </c>
      <c r="B243" t="s">
        <v>3929</v>
      </c>
      <c r="C243" t="s">
        <v>2786</v>
      </c>
      <c r="D243">
        <v>9.5</v>
      </c>
      <c r="E243" t="s">
        <v>3152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2785</v>
      </c>
      <c r="O243" t="s">
        <v>3020</v>
      </c>
      <c r="P243" t="str">
        <f>_xlfn.XLOOKUP(A243,'Classic Net to delete'!D:D,'Classic Net to delete'!A:A,"")</f>
        <v/>
      </c>
    </row>
    <row r="244" spans="1:16" x14ac:dyDescent="0.25">
      <c r="A244" t="s">
        <v>2783</v>
      </c>
      <c r="B244" t="s">
        <v>3929</v>
      </c>
      <c r="C244" t="s">
        <v>2784</v>
      </c>
      <c r="D244">
        <v>9.5</v>
      </c>
      <c r="E244" t="s">
        <v>3152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2783</v>
      </c>
      <c r="O244" t="s">
        <v>3020</v>
      </c>
      <c r="P244" t="str">
        <f>_xlfn.XLOOKUP(A244,'Classic Net to delete'!D:D,'Classic Net to delete'!A:A,"")</f>
        <v/>
      </c>
    </row>
    <row r="245" spans="1:16" x14ac:dyDescent="0.25">
      <c r="A245" t="s">
        <v>2781</v>
      </c>
      <c r="B245" t="s">
        <v>3929</v>
      </c>
      <c r="C245" t="s">
        <v>2782</v>
      </c>
      <c r="D245">
        <v>10.050000000000001</v>
      </c>
      <c r="E245" t="s">
        <v>3152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2781</v>
      </c>
      <c r="O245" t="s">
        <v>3020</v>
      </c>
      <c r="P245" t="str">
        <f>_xlfn.XLOOKUP(A245,'Classic Net to delete'!D:D,'Classic Net to delete'!A:A,"")</f>
        <v/>
      </c>
    </row>
    <row r="246" spans="1:16" x14ac:dyDescent="0.25">
      <c r="A246" t="s">
        <v>2779</v>
      </c>
      <c r="B246" t="s">
        <v>3929</v>
      </c>
      <c r="C246" t="s">
        <v>2780</v>
      </c>
      <c r="D246">
        <v>14.45</v>
      </c>
      <c r="E246" t="s">
        <v>3152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2779</v>
      </c>
      <c r="O246" t="s">
        <v>3020</v>
      </c>
      <c r="P246" t="str">
        <f>_xlfn.XLOOKUP(A246,'Classic Net to delete'!D:D,'Classic Net to delete'!A:A,"")</f>
        <v/>
      </c>
    </row>
    <row r="247" spans="1:16" x14ac:dyDescent="0.25">
      <c r="A247" t="s">
        <v>2777</v>
      </c>
      <c r="B247" t="s">
        <v>3929</v>
      </c>
      <c r="C247" t="s">
        <v>2778</v>
      </c>
      <c r="D247">
        <v>9.5</v>
      </c>
      <c r="E247" t="s">
        <v>3152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2777</v>
      </c>
      <c r="O247" t="s">
        <v>3020</v>
      </c>
      <c r="P247" t="str">
        <f>_xlfn.XLOOKUP(A247,'Classic Net to delete'!D:D,'Classic Net to delete'!A:A,"")</f>
        <v/>
      </c>
    </row>
    <row r="248" spans="1:16" x14ac:dyDescent="0.25">
      <c r="A248" t="s">
        <v>2775</v>
      </c>
      <c r="B248" t="s">
        <v>3929</v>
      </c>
      <c r="C248" t="s">
        <v>2776</v>
      </c>
      <c r="D248">
        <v>9.5</v>
      </c>
      <c r="E248" t="s">
        <v>3152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2775</v>
      </c>
      <c r="O248" t="s">
        <v>3020</v>
      </c>
      <c r="P248" t="str">
        <f>_xlfn.XLOOKUP(A248,'Classic Net to delete'!D:D,'Classic Net to delete'!A:A,"")</f>
        <v/>
      </c>
    </row>
    <row r="249" spans="1:16" x14ac:dyDescent="0.25">
      <c r="A249" t="s">
        <v>2773</v>
      </c>
      <c r="B249" t="s">
        <v>3929</v>
      </c>
      <c r="C249" t="s">
        <v>2774</v>
      </c>
      <c r="D249">
        <v>9.5</v>
      </c>
      <c r="E249" t="s">
        <v>3152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2773</v>
      </c>
      <c r="O249" t="s">
        <v>3020</v>
      </c>
      <c r="P249" t="str">
        <f>_xlfn.XLOOKUP(A249,'Classic Net to delete'!D:D,'Classic Net to delete'!A:A,"")</f>
        <v/>
      </c>
    </row>
    <row r="250" spans="1:16" x14ac:dyDescent="0.25">
      <c r="A250" t="s">
        <v>1372</v>
      </c>
      <c r="B250" t="s">
        <v>3929</v>
      </c>
      <c r="C250" t="s">
        <v>1373</v>
      </c>
      <c r="D250">
        <v>14.45</v>
      </c>
      <c r="E250" t="s">
        <v>3152</v>
      </c>
      <c r="F250" s="186" t="s">
        <v>719</v>
      </c>
      <c r="H250" t="b">
        <v>1</v>
      </c>
      <c r="I250">
        <v>14.450000000000001</v>
      </c>
      <c r="J250" s="186" t="s">
        <v>1325</v>
      </c>
      <c r="M250" t="str">
        <f>IFERROR(_xlfn.XLOOKUP(A250,Fleet!A:A,Fleet!E:E,""),"")</f>
        <v/>
      </c>
      <c r="N250" t="s">
        <v>1372</v>
      </c>
      <c r="O250" t="s">
        <v>3020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2771</v>
      </c>
      <c r="B251" t="s">
        <v>3929</v>
      </c>
      <c r="C251" t="s">
        <v>2772</v>
      </c>
      <c r="D251">
        <v>8.5500000000000007</v>
      </c>
      <c r="E251" t="s">
        <v>3152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2771</v>
      </c>
      <c r="O251" t="s">
        <v>3020</v>
      </c>
      <c r="P251" t="str">
        <f>_xlfn.XLOOKUP(A251,'Classic Net to delete'!D:D,'Classic Net to delete'!A:A,"")</f>
        <v/>
      </c>
    </row>
    <row r="252" spans="1:16" x14ac:dyDescent="0.25">
      <c r="A252" t="s">
        <v>2769</v>
      </c>
      <c r="B252" t="s">
        <v>3929</v>
      </c>
      <c r="C252" t="s">
        <v>2770</v>
      </c>
      <c r="D252">
        <v>8.5500000000000007</v>
      </c>
      <c r="E252" t="s">
        <v>3152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2769</v>
      </c>
      <c r="O252" t="s">
        <v>3020</v>
      </c>
      <c r="P252" t="str">
        <f>_xlfn.XLOOKUP(A252,'Classic Net to delete'!D:D,'Classic Net to delete'!A:A,"")</f>
        <v/>
      </c>
    </row>
    <row r="253" spans="1:16" x14ac:dyDescent="0.25">
      <c r="A253" t="s">
        <v>2767</v>
      </c>
      <c r="B253" t="s">
        <v>3929</v>
      </c>
      <c r="C253" t="s">
        <v>2768</v>
      </c>
      <c r="D253">
        <v>8.5500000000000007</v>
      </c>
      <c r="E253" t="s">
        <v>3152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2767</v>
      </c>
      <c r="O253" t="s">
        <v>3020</v>
      </c>
      <c r="P253" t="str">
        <f>_xlfn.XLOOKUP(A253,'Classic Net to delete'!D:D,'Classic Net to delete'!A:A,"")</f>
        <v/>
      </c>
    </row>
    <row r="254" spans="1:16" x14ac:dyDescent="0.25">
      <c r="A254" t="s">
        <v>2765</v>
      </c>
      <c r="B254" t="s">
        <v>3929</v>
      </c>
      <c r="C254" t="s">
        <v>2766</v>
      </c>
      <c r="D254">
        <v>8.5500000000000007</v>
      </c>
      <c r="E254" t="s">
        <v>3152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2765</v>
      </c>
      <c r="O254" t="s">
        <v>3020</v>
      </c>
      <c r="P254" t="str">
        <f>_xlfn.XLOOKUP(A254,'Classic Net to delete'!D:D,'Classic Net to delete'!A:A,"")</f>
        <v/>
      </c>
    </row>
    <row r="255" spans="1:16" x14ac:dyDescent="0.25">
      <c r="A255" t="s">
        <v>2763</v>
      </c>
      <c r="B255" t="s">
        <v>3929</v>
      </c>
      <c r="C255" t="s">
        <v>2764</v>
      </c>
      <c r="D255">
        <v>8.5500000000000007</v>
      </c>
      <c r="E255" t="s">
        <v>3152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2763</v>
      </c>
      <c r="O255" t="s">
        <v>3020</v>
      </c>
      <c r="P255" t="str">
        <f>_xlfn.XLOOKUP(A255,'Classic Net to delete'!D:D,'Classic Net to delete'!A:A,"")</f>
        <v/>
      </c>
    </row>
    <row r="256" spans="1:16" x14ac:dyDescent="0.25">
      <c r="A256" t="s">
        <v>2761</v>
      </c>
      <c r="B256" t="s">
        <v>3929</v>
      </c>
      <c r="C256" t="s">
        <v>2762</v>
      </c>
      <c r="D256">
        <v>8.5500000000000007</v>
      </c>
      <c r="E256" t="s">
        <v>3152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2761</v>
      </c>
      <c r="O256" t="s">
        <v>3020</v>
      </c>
      <c r="P256" t="str">
        <f>_xlfn.XLOOKUP(A256,'Classic Net to delete'!D:D,'Classic Net to delete'!A:A,"")</f>
        <v/>
      </c>
    </row>
    <row r="257" spans="1:16" x14ac:dyDescent="0.25">
      <c r="A257" t="s">
        <v>1362</v>
      </c>
      <c r="B257" t="s">
        <v>3929</v>
      </c>
      <c r="C257" t="s">
        <v>1363</v>
      </c>
      <c r="D257">
        <v>8.5500000000000007</v>
      </c>
      <c r="E257" t="s">
        <v>3152</v>
      </c>
      <c r="F257" s="186" t="s">
        <v>719</v>
      </c>
      <c r="H257" t="b">
        <v>1</v>
      </c>
      <c r="I257">
        <v>8.5500000000000007</v>
      </c>
      <c r="J257" s="186" t="s">
        <v>1325</v>
      </c>
      <c r="M257" t="str">
        <f>IFERROR(_xlfn.XLOOKUP(A257,Fleet!A:A,Fleet!E:E,""),"")</f>
        <v/>
      </c>
      <c r="N257" t="s">
        <v>1362</v>
      </c>
      <c r="O257" t="s">
        <v>3020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1366</v>
      </c>
      <c r="B258" t="s">
        <v>3929</v>
      </c>
      <c r="C258" t="s">
        <v>1367</v>
      </c>
      <c r="D258">
        <v>10.050000000000001</v>
      </c>
      <c r="E258" t="s">
        <v>3152</v>
      </c>
      <c r="F258" s="186" t="s">
        <v>719</v>
      </c>
      <c r="H258" t="b">
        <v>1</v>
      </c>
      <c r="I258">
        <v>10.050000000000001</v>
      </c>
      <c r="J258" s="186" t="s">
        <v>1325</v>
      </c>
      <c r="M258" t="str">
        <f>IFERROR(_xlfn.XLOOKUP(A258,Fleet!A:A,Fleet!E:E,""),"")</f>
        <v/>
      </c>
      <c r="N258" t="s">
        <v>1366</v>
      </c>
      <c r="O258" t="s">
        <v>3020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2759</v>
      </c>
      <c r="B259" t="s">
        <v>3253</v>
      </c>
      <c r="C259" t="s">
        <v>2760</v>
      </c>
      <c r="D259">
        <v>9.85</v>
      </c>
      <c r="E259" t="s">
        <v>3152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2759</v>
      </c>
      <c r="O259" t="s">
        <v>717</v>
      </c>
      <c r="P259" t="str">
        <f>_xlfn.XLOOKUP(A259,'Classic Net to delete'!D:D,'Classic Net to delete'!A:A,"")</f>
        <v/>
      </c>
    </row>
    <row r="260" spans="1:16" x14ac:dyDescent="0.25">
      <c r="A260" t="s">
        <v>2757</v>
      </c>
      <c r="B260" t="s">
        <v>3253</v>
      </c>
      <c r="C260" t="s">
        <v>2758</v>
      </c>
      <c r="D260">
        <v>9.85</v>
      </c>
      <c r="E260" t="s">
        <v>3152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2757</v>
      </c>
      <c r="O260" t="s">
        <v>717</v>
      </c>
      <c r="P260" t="str">
        <f>_xlfn.XLOOKUP(A260,'Classic Net to delete'!D:D,'Classic Net to delete'!A:A,"")</f>
        <v/>
      </c>
    </row>
    <row r="261" spans="1:16" x14ac:dyDescent="0.25">
      <c r="A261" t="s">
        <v>2755</v>
      </c>
      <c r="B261" t="s">
        <v>3253</v>
      </c>
      <c r="C261" t="s">
        <v>2756</v>
      </c>
      <c r="D261">
        <v>9.85</v>
      </c>
      <c r="E261" t="s">
        <v>3152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2755</v>
      </c>
      <c r="O261" t="s">
        <v>717</v>
      </c>
      <c r="P261" t="str">
        <f>_xlfn.XLOOKUP(A261,'Classic Net to delete'!D:D,'Classic Net to delete'!A:A,"")</f>
        <v/>
      </c>
    </row>
    <row r="262" spans="1:16" x14ac:dyDescent="0.25">
      <c r="A262" t="s">
        <v>2753</v>
      </c>
      <c r="B262" t="s">
        <v>3253</v>
      </c>
      <c r="C262" t="s">
        <v>2754</v>
      </c>
      <c r="D262">
        <v>9.85</v>
      </c>
      <c r="E262" t="s">
        <v>3152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2753</v>
      </c>
      <c r="O262" t="s">
        <v>717</v>
      </c>
      <c r="P262" t="str">
        <f>_xlfn.XLOOKUP(A262,'Classic Net to delete'!D:D,'Classic Net to delete'!A:A,"")</f>
        <v/>
      </c>
    </row>
    <row r="263" spans="1:16" x14ac:dyDescent="0.25">
      <c r="A263" t="s">
        <v>2751</v>
      </c>
      <c r="B263" t="s">
        <v>3930</v>
      </c>
      <c r="C263" t="s">
        <v>2752</v>
      </c>
      <c r="D263">
        <v>14.75</v>
      </c>
      <c r="E263" t="s">
        <v>3152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2751</v>
      </c>
      <c r="O263" t="s">
        <v>3174</v>
      </c>
      <c r="P263" t="str">
        <f>_xlfn.XLOOKUP(A263,'Classic Net to delete'!D:D,'Classic Net to delete'!A:A,"")</f>
        <v/>
      </c>
    </row>
    <row r="264" spans="1:16" x14ac:dyDescent="0.25">
      <c r="A264" t="s">
        <v>2749</v>
      </c>
      <c r="B264" t="s">
        <v>3253</v>
      </c>
      <c r="C264" t="s">
        <v>2750</v>
      </c>
      <c r="D264">
        <v>21.85</v>
      </c>
      <c r="E264" t="s">
        <v>3152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2749</v>
      </c>
      <c r="O264" t="s">
        <v>717</v>
      </c>
      <c r="P264" t="str">
        <f>_xlfn.XLOOKUP(A264,'Classic Net to delete'!D:D,'Classic Net to delete'!A:A,"")</f>
        <v/>
      </c>
    </row>
    <row r="265" spans="1:16" x14ac:dyDescent="0.25">
      <c r="A265" t="s">
        <v>2747</v>
      </c>
      <c r="B265" t="s">
        <v>3253</v>
      </c>
      <c r="C265" t="s">
        <v>2748</v>
      </c>
      <c r="D265">
        <v>9.85</v>
      </c>
      <c r="E265" t="s">
        <v>3152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2747</v>
      </c>
      <c r="O265" t="s">
        <v>717</v>
      </c>
      <c r="P265" t="str">
        <f>_xlfn.XLOOKUP(A265,'Classic Net to delete'!D:D,'Classic Net to delete'!A:A,"")</f>
        <v/>
      </c>
    </row>
    <row r="266" spans="1:16" x14ac:dyDescent="0.25">
      <c r="A266" t="s">
        <v>2745</v>
      </c>
      <c r="B266" t="s">
        <v>3253</v>
      </c>
      <c r="C266" t="s">
        <v>2746</v>
      </c>
      <c r="D266">
        <v>9.85</v>
      </c>
      <c r="E266" t="s">
        <v>3152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2745</v>
      </c>
      <c r="O266" t="s">
        <v>717</v>
      </c>
      <c r="P266" t="str">
        <f>_xlfn.XLOOKUP(A266,'Classic Net to delete'!D:D,'Classic Net to delete'!A:A,"")</f>
        <v/>
      </c>
    </row>
    <row r="267" spans="1:16" x14ac:dyDescent="0.25">
      <c r="A267" t="s">
        <v>1199</v>
      </c>
      <c r="B267" t="s">
        <v>3930</v>
      </c>
      <c r="C267" t="s">
        <v>1200</v>
      </c>
      <c r="D267">
        <v>20.65</v>
      </c>
      <c r="E267" t="s">
        <v>3152</v>
      </c>
      <c r="F267" s="186" t="s">
        <v>719</v>
      </c>
      <c r="H267" t="b">
        <v>1</v>
      </c>
      <c r="I267">
        <v>20.650000000000002</v>
      </c>
      <c r="J267" s="186" t="s">
        <v>1177</v>
      </c>
      <c r="M267" t="str">
        <f>IFERROR(_xlfn.XLOOKUP(A267,Fleet!A:A,Fleet!E:E,""),"")</f>
        <v/>
      </c>
      <c r="N267" t="s">
        <v>1199</v>
      </c>
      <c r="O267" t="s">
        <v>3174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1210</v>
      </c>
      <c r="B268" t="s">
        <v>3253</v>
      </c>
      <c r="C268" t="s">
        <v>1211</v>
      </c>
      <c r="D268">
        <v>9.85</v>
      </c>
      <c r="E268" t="s">
        <v>3152</v>
      </c>
      <c r="F268" s="186" t="s">
        <v>719</v>
      </c>
      <c r="H268" t="b">
        <v>1</v>
      </c>
      <c r="I268">
        <v>9.8500000000000014</v>
      </c>
      <c r="J268" s="186" t="s">
        <v>1177</v>
      </c>
      <c r="M268" t="str">
        <f>IFERROR(_xlfn.XLOOKUP(A268,Fleet!A:A,Fleet!E:E,""),"")</f>
        <v/>
      </c>
      <c r="N268" t="s">
        <v>1210</v>
      </c>
      <c r="O268" t="s">
        <v>717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1731</v>
      </c>
      <c r="B269" t="s">
        <v>3931</v>
      </c>
      <c r="C269" t="s">
        <v>1732</v>
      </c>
      <c r="D269">
        <v>3.55</v>
      </c>
      <c r="E269" t="s">
        <v>3152</v>
      </c>
      <c r="F269" s="186" t="s">
        <v>3932</v>
      </c>
      <c r="H269" t="b">
        <v>1</v>
      </c>
      <c r="I269">
        <v>3.5500000000000003</v>
      </c>
      <c r="J269" s="186" t="s">
        <v>1721</v>
      </c>
      <c r="M269" t="str">
        <f>IFERROR(_xlfn.XLOOKUP(A269,Fleet!A:A,Fleet!E:E,""),"")</f>
        <v/>
      </c>
      <c r="N269" t="s">
        <v>1731</v>
      </c>
      <c r="O269" t="s">
        <v>3173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1737</v>
      </c>
      <c r="B270" t="s">
        <v>3931</v>
      </c>
      <c r="C270" t="s">
        <v>1738</v>
      </c>
      <c r="D270">
        <v>10.050000000000001</v>
      </c>
      <c r="E270" t="s">
        <v>3152</v>
      </c>
      <c r="F270" s="186" t="s">
        <v>3932</v>
      </c>
      <c r="H270" t="b">
        <v>1</v>
      </c>
      <c r="I270">
        <v>10.050000000000001</v>
      </c>
      <c r="J270" s="186" t="s">
        <v>1721</v>
      </c>
      <c r="M270" t="str">
        <f>IFERROR(_xlfn.XLOOKUP(A270,Fleet!A:A,Fleet!E:E,""),"")</f>
        <v/>
      </c>
      <c r="N270" t="s">
        <v>1737</v>
      </c>
      <c r="O270" t="s">
        <v>3173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1728</v>
      </c>
      <c r="B271" t="s">
        <v>3931</v>
      </c>
      <c r="C271" t="s">
        <v>1729</v>
      </c>
      <c r="D271">
        <v>19.8</v>
      </c>
      <c r="E271" t="s">
        <v>3152</v>
      </c>
      <c r="F271" s="186" t="s">
        <v>3932</v>
      </c>
      <c r="H271" t="b">
        <v>1</v>
      </c>
      <c r="I271">
        <v>19.8</v>
      </c>
      <c r="J271" s="186" t="s">
        <v>1721</v>
      </c>
      <c r="M271" t="str">
        <f>IFERROR(_xlfn.XLOOKUP(A271,Fleet!A:A,Fleet!E:E,""),"")</f>
        <v/>
      </c>
      <c r="N271" t="s">
        <v>1728</v>
      </c>
      <c r="O271" t="s">
        <v>3173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2743</v>
      </c>
      <c r="B272" t="s">
        <v>3933</v>
      </c>
      <c r="C272" t="s">
        <v>2744</v>
      </c>
      <c r="D272">
        <v>3.55</v>
      </c>
      <c r="E272" t="s">
        <v>3152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2743</v>
      </c>
      <c r="O272" t="s">
        <v>3018</v>
      </c>
      <c r="P272" t="str">
        <f>_xlfn.XLOOKUP(A272,'Classic Net to delete'!D:D,'Classic Net to delete'!A:A,"")</f>
        <v/>
      </c>
    </row>
    <row r="273" spans="1:16" x14ac:dyDescent="0.25">
      <c r="A273" t="s">
        <v>2741</v>
      </c>
      <c r="B273" t="s">
        <v>3933</v>
      </c>
      <c r="C273" t="s">
        <v>2742</v>
      </c>
      <c r="D273">
        <v>3.55</v>
      </c>
      <c r="E273" t="s">
        <v>3152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2741</v>
      </c>
      <c r="O273" t="s">
        <v>3018</v>
      </c>
      <c r="P273" t="str">
        <f>_xlfn.XLOOKUP(A273,'Classic Net to delete'!D:D,'Classic Net to delete'!A:A,"")</f>
        <v/>
      </c>
    </row>
    <row r="274" spans="1:16" x14ac:dyDescent="0.25">
      <c r="A274" t="s">
        <v>2739</v>
      </c>
      <c r="B274" t="s">
        <v>3933</v>
      </c>
      <c r="C274" t="s">
        <v>2740</v>
      </c>
      <c r="D274">
        <v>3.55</v>
      </c>
      <c r="E274" t="s">
        <v>3152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2739</v>
      </c>
      <c r="O274" t="s">
        <v>3018</v>
      </c>
      <c r="P274" t="str">
        <f>_xlfn.XLOOKUP(A274,'Classic Net to delete'!D:D,'Classic Net to delete'!A:A,"")</f>
        <v/>
      </c>
    </row>
    <row r="275" spans="1:16" x14ac:dyDescent="0.25">
      <c r="A275" t="s">
        <v>2737</v>
      </c>
      <c r="B275" t="s">
        <v>3933</v>
      </c>
      <c r="C275" t="s">
        <v>2738</v>
      </c>
      <c r="D275">
        <v>3.55</v>
      </c>
      <c r="E275" t="s">
        <v>3152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2737</v>
      </c>
      <c r="O275" t="s">
        <v>3018</v>
      </c>
      <c r="P275" t="str">
        <f>_xlfn.XLOOKUP(A275,'Classic Net to delete'!D:D,'Classic Net to delete'!A:A,"")</f>
        <v/>
      </c>
    </row>
    <row r="276" spans="1:16" x14ac:dyDescent="0.25">
      <c r="A276" t="s">
        <v>2735</v>
      </c>
      <c r="B276" t="s">
        <v>3933</v>
      </c>
      <c r="C276" t="s">
        <v>2736</v>
      </c>
      <c r="D276">
        <v>3.55</v>
      </c>
      <c r="E276" t="s">
        <v>3152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2735</v>
      </c>
      <c r="O276" t="s">
        <v>3018</v>
      </c>
      <c r="P276" t="str">
        <f>_xlfn.XLOOKUP(A276,'Classic Net to delete'!D:D,'Classic Net to delete'!A:A,"")</f>
        <v/>
      </c>
    </row>
    <row r="277" spans="1:16" x14ac:dyDescent="0.25">
      <c r="A277" t="s">
        <v>2733</v>
      </c>
      <c r="B277" t="s">
        <v>3933</v>
      </c>
      <c r="C277" t="s">
        <v>2734</v>
      </c>
      <c r="D277">
        <v>3.55</v>
      </c>
      <c r="E277" t="s">
        <v>3152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2733</v>
      </c>
      <c r="O277" t="s">
        <v>3018</v>
      </c>
      <c r="P277" t="str">
        <f>_xlfn.XLOOKUP(A277,'Classic Net to delete'!D:D,'Classic Net to delete'!A:A,"")</f>
        <v/>
      </c>
    </row>
    <row r="278" spans="1:16" x14ac:dyDescent="0.25">
      <c r="A278" t="s">
        <v>2731</v>
      </c>
      <c r="B278" t="s">
        <v>3933</v>
      </c>
      <c r="C278" t="s">
        <v>2732</v>
      </c>
      <c r="D278">
        <v>3.55</v>
      </c>
      <c r="E278" t="s">
        <v>3152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2731</v>
      </c>
      <c r="O278" t="s">
        <v>3018</v>
      </c>
      <c r="P278" t="str">
        <f>_xlfn.XLOOKUP(A278,'Classic Net to delete'!D:D,'Classic Net to delete'!A:A,"")</f>
        <v/>
      </c>
    </row>
    <row r="279" spans="1:16" x14ac:dyDescent="0.25">
      <c r="A279" t="s">
        <v>2729</v>
      </c>
      <c r="B279" t="s">
        <v>3933</v>
      </c>
      <c r="C279" t="s">
        <v>2730</v>
      </c>
      <c r="D279">
        <v>3.55</v>
      </c>
      <c r="E279" t="s">
        <v>3152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2729</v>
      </c>
      <c r="O279" t="s">
        <v>3018</v>
      </c>
      <c r="P279" t="str">
        <f>_xlfn.XLOOKUP(A279,'Classic Net to delete'!D:D,'Classic Net to delete'!A:A,"")</f>
        <v/>
      </c>
    </row>
    <row r="280" spans="1:16" x14ac:dyDescent="0.25">
      <c r="A280" t="s">
        <v>2727</v>
      </c>
      <c r="B280" t="s">
        <v>3933</v>
      </c>
      <c r="C280" t="s">
        <v>2728</v>
      </c>
      <c r="D280">
        <v>3.55</v>
      </c>
      <c r="E280" t="s">
        <v>3152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2727</v>
      </c>
      <c r="O280" t="s">
        <v>3018</v>
      </c>
      <c r="P280" t="str">
        <f>_xlfn.XLOOKUP(A280,'Classic Net to delete'!D:D,'Classic Net to delete'!A:A,"")</f>
        <v/>
      </c>
    </row>
    <row r="281" spans="1:16" x14ac:dyDescent="0.25">
      <c r="A281" t="s">
        <v>2725</v>
      </c>
      <c r="B281" t="s">
        <v>3933</v>
      </c>
      <c r="C281" t="s">
        <v>2726</v>
      </c>
      <c r="D281">
        <v>3.55</v>
      </c>
      <c r="E281" t="s">
        <v>3152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2725</v>
      </c>
      <c r="O281" t="s">
        <v>3018</v>
      </c>
      <c r="P281" t="str">
        <f>_xlfn.XLOOKUP(A281,'Classic Net to delete'!D:D,'Classic Net to delete'!A:A,"")</f>
        <v/>
      </c>
    </row>
    <row r="282" spans="1:16" x14ac:dyDescent="0.25">
      <c r="A282" t="s">
        <v>2723</v>
      </c>
      <c r="B282" t="s">
        <v>3933</v>
      </c>
      <c r="C282" t="s">
        <v>2724</v>
      </c>
      <c r="D282">
        <v>3.55</v>
      </c>
      <c r="E282" t="s">
        <v>3152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2723</v>
      </c>
      <c r="O282" t="s">
        <v>3018</v>
      </c>
      <c r="P282" t="str">
        <f>_xlfn.XLOOKUP(A282,'Classic Net to delete'!D:D,'Classic Net to delete'!A:A,"")</f>
        <v/>
      </c>
    </row>
    <row r="283" spans="1:16" x14ac:dyDescent="0.25">
      <c r="A283" t="s">
        <v>2721</v>
      </c>
      <c r="B283" t="s">
        <v>3933</v>
      </c>
      <c r="C283" t="s">
        <v>2722</v>
      </c>
      <c r="D283">
        <v>3.55</v>
      </c>
      <c r="E283" t="s">
        <v>3152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2721</v>
      </c>
      <c r="O283" t="s">
        <v>3018</v>
      </c>
      <c r="P283" t="str">
        <f>_xlfn.XLOOKUP(A283,'Classic Net to delete'!D:D,'Classic Net to delete'!A:A,"")</f>
        <v/>
      </c>
    </row>
    <row r="284" spans="1:16" x14ac:dyDescent="0.25">
      <c r="A284" t="s">
        <v>2719</v>
      </c>
      <c r="B284" t="s">
        <v>3933</v>
      </c>
      <c r="C284" t="s">
        <v>2720</v>
      </c>
      <c r="D284">
        <v>3.55</v>
      </c>
      <c r="E284" t="s">
        <v>3152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2719</v>
      </c>
      <c r="O284" t="s">
        <v>3018</v>
      </c>
      <c r="P284" t="str">
        <f>_xlfn.XLOOKUP(A284,'Classic Net to delete'!D:D,'Classic Net to delete'!A:A,"")</f>
        <v/>
      </c>
    </row>
    <row r="285" spans="1:16" x14ac:dyDescent="0.25">
      <c r="A285" t="s">
        <v>2717</v>
      </c>
      <c r="B285" t="s">
        <v>3933</v>
      </c>
      <c r="C285" t="s">
        <v>2718</v>
      </c>
      <c r="D285">
        <v>3.55</v>
      </c>
      <c r="E285" t="s">
        <v>3152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2717</v>
      </c>
      <c r="O285" t="s">
        <v>3018</v>
      </c>
      <c r="P285" t="str">
        <f>_xlfn.XLOOKUP(A285,'Classic Net to delete'!D:D,'Classic Net to delete'!A:A,"")</f>
        <v/>
      </c>
    </row>
    <row r="286" spans="1:16" x14ac:dyDescent="0.25">
      <c r="A286" t="s">
        <v>2715</v>
      </c>
      <c r="B286" t="s">
        <v>3933</v>
      </c>
      <c r="C286" t="s">
        <v>2716</v>
      </c>
      <c r="D286">
        <v>3.55</v>
      </c>
      <c r="E286" t="s">
        <v>3152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2715</v>
      </c>
      <c r="O286" t="s">
        <v>3018</v>
      </c>
      <c r="P286" t="str">
        <f>_xlfn.XLOOKUP(A286,'Classic Net to delete'!D:D,'Classic Net to delete'!A:A,"")</f>
        <v/>
      </c>
    </row>
    <row r="287" spans="1:16" x14ac:dyDescent="0.25">
      <c r="A287" t="s">
        <v>2713</v>
      </c>
      <c r="B287" t="s">
        <v>3933</v>
      </c>
      <c r="C287" t="s">
        <v>2714</v>
      </c>
      <c r="D287">
        <v>3.55</v>
      </c>
      <c r="E287" t="s">
        <v>3152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2713</v>
      </c>
      <c r="O287" t="s">
        <v>3018</v>
      </c>
      <c r="P287" t="str">
        <f>_xlfn.XLOOKUP(A287,'Classic Net to delete'!D:D,'Classic Net to delete'!A:A,"")</f>
        <v/>
      </c>
    </row>
    <row r="288" spans="1:16" x14ac:dyDescent="0.25">
      <c r="A288" t="s">
        <v>2711</v>
      </c>
      <c r="B288" t="s">
        <v>3933</v>
      </c>
      <c r="C288" t="s">
        <v>2712</v>
      </c>
      <c r="D288">
        <v>3.55</v>
      </c>
      <c r="E288" t="s">
        <v>3152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2711</v>
      </c>
      <c r="O288" t="s">
        <v>3018</v>
      </c>
      <c r="P288" t="str">
        <f>_xlfn.XLOOKUP(A288,'Classic Net to delete'!D:D,'Classic Net to delete'!A:A,"")</f>
        <v/>
      </c>
    </row>
    <row r="289" spans="1:16" x14ac:dyDescent="0.25">
      <c r="A289" t="s">
        <v>2709</v>
      </c>
      <c r="B289" t="s">
        <v>3933</v>
      </c>
      <c r="C289" t="s">
        <v>2710</v>
      </c>
      <c r="D289">
        <v>3.55</v>
      </c>
      <c r="E289" t="s">
        <v>3152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2709</v>
      </c>
      <c r="O289" t="s">
        <v>3018</v>
      </c>
      <c r="P289" t="str">
        <f>_xlfn.XLOOKUP(A289,'Classic Net to delete'!D:D,'Classic Net to delete'!A:A,"")</f>
        <v/>
      </c>
    </row>
    <row r="290" spans="1:16" x14ac:dyDescent="0.25">
      <c r="A290" t="s">
        <v>2707</v>
      </c>
      <c r="B290" t="s">
        <v>3933</v>
      </c>
      <c r="C290" t="s">
        <v>2708</v>
      </c>
      <c r="D290">
        <v>3.55</v>
      </c>
      <c r="E290" t="s">
        <v>3152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2707</v>
      </c>
      <c r="O290" t="s">
        <v>3018</v>
      </c>
      <c r="P290" t="str">
        <f>_xlfn.XLOOKUP(A290,'Classic Net to delete'!D:D,'Classic Net to delete'!A:A,"")</f>
        <v/>
      </c>
    </row>
    <row r="291" spans="1:16" x14ac:dyDescent="0.25">
      <c r="A291" t="s">
        <v>2705</v>
      </c>
      <c r="B291" t="s">
        <v>3933</v>
      </c>
      <c r="C291" t="s">
        <v>2706</v>
      </c>
      <c r="D291">
        <v>3.55</v>
      </c>
      <c r="E291" t="s">
        <v>3152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2705</v>
      </c>
      <c r="O291" t="s">
        <v>3018</v>
      </c>
      <c r="P291" t="str">
        <f>_xlfn.XLOOKUP(A291,'Classic Net to delete'!D:D,'Classic Net to delete'!A:A,"")</f>
        <v/>
      </c>
    </row>
    <row r="292" spans="1:16" x14ac:dyDescent="0.25">
      <c r="A292" t="s">
        <v>2703</v>
      </c>
      <c r="B292" t="s">
        <v>3933</v>
      </c>
      <c r="C292" t="s">
        <v>2704</v>
      </c>
      <c r="D292">
        <v>3.55</v>
      </c>
      <c r="E292" t="s">
        <v>3152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2703</v>
      </c>
      <c r="O292" t="s">
        <v>3018</v>
      </c>
      <c r="P292" t="str">
        <f>_xlfn.XLOOKUP(A292,'Classic Net to delete'!D:D,'Classic Net to delete'!A:A,"")</f>
        <v/>
      </c>
    </row>
    <row r="293" spans="1:16" x14ac:dyDescent="0.25">
      <c r="A293" t="s">
        <v>2701</v>
      </c>
      <c r="B293" t="s">
        <v>3933</v>
      </c>
      <c r="C293" t="s">
        <v>2702</v>
      </c>
      <c r="D293">
        <v>3.55</v>
      </c>
      <c r="E293" t="s">
        <v>3152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2701</v>
      </c>
      <c r="O293" t="s">
        <v>3018</v>
      </c>
      <c r="P293" t="str">
        <f>_xlfn.XLOOKUP(A293,'Classic Net to delete'!D:D,'Classic Net to delete'!A:A,"")</f>
        <v/>
      </c>
    </row>
    <row r="294" spans="1:16" x14ac:dyDescent="0.25">
      <c r="A294" t="s">
        <v>2699</v>
      </c>
      <c r="B294" t="s">
        <v>3934</v>
      </c>
      <c r="C294" t="s">
        <v>2700</v>
      </c>
      <c r="D294">
        <v>2.2000000000000002</v>
      </c>
      <c r="E294" t="s">
        <v>3152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2699</v>
      </c>
      <c r="O294" t="s">
        <v>3170</v>
      </c>
      <c r="P294" t="str">
        <f>_xlfn.XLOOKUP(A294,'Classic Net to delete'!D:D,'Classic Net to delete'!A:A,"")</f>
        <v/>
      </c>
    </row>
    <row r="295" spans="1:16" x14ac:dyDescent="0.25">
      <c r="A295" t="s">
        <v>2697</v>
      </c>
      <c r="B295" t="s">
        <v>3934</v>
      </c>
      <c r="C295" t="s">
        <v>2698</v>
      </c>
      <c r="D295">
        <v>1.65</v>
      </c>
      <c r="E295" t="s">
        <v>3152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2697</v>
      </c>
      <c r="O295" t="s">
        <v>3170</v>
      </c>
      <c r="P295" t="str">
        <f>_xlfn.XLOOKUP(A295,'Classic Net to delete'!D:D,'Classic Net to delete'!A:A,"")</f>
        <v/>
      </c>
    </row>
    <row r="296" spans="1:16" x14ac:dyDescent="0.25">
      <c r="A296" t="s">
        <v>2695</v>
      </c>
      <c r="B296" t="s">
        <v>3934</v>
      </c>
      <c r="C296" t="s">
        <v>2696</v>
      </c>
      <c r="D296">
        <v>17.649999999999999</v>
      </c>
      <c r="E296" t="s">
        <v>3152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2695</v>
      </c>
      <c r="O296" t="s">
        <v>3170</v>
      </c>
      <c r="P296" t="str">
        <f>_xlfn.XLOOKUP(A296,'Classic Net to delete'!D:D,'Classic Net to delete'!A:A,"")</f>
        <v/>
      </c>
    </row>
    <row r="297" spans="1:16" x14ac:dyDescent="0.25">
      <c r="A297" t="s">
        <v>2693</v>
      </c>
      <c r="B297" t="s">
        <v>3934</v>
      </c>
      <c r="C297" t="s">
        <v>2694</v>
      </c>
      <c r="D297">
        <v>17.649999999999999</v>
      </c>
      <c r="E297" t="s">
        <v>3152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2693</v>
      </c>
      <c r="O297" t="s">
        <v>3170</v>
      </c>
      <c r="P297" t="str">
        <f>_xlfn.XLOOKUP(A297,'Classic Net to delete'!D:D,'Classic Net to delete'!A:A,"")</f>
        <v/>
      </c>
    </row>
    <row r="298" spans="1:16" x14ac:dyDescent="0.25">
      <c r="A298" t="s">
        <v>2691</v>
      </c>
      <c r="B298" t="s">
        <v>3934</v>
      </c>
      <c r="C298" t="s">
        <v>2692</v>
      </c>
      <c r="D298">
        <v>35.4</v>
      </c>
      <c r="E298" t="s">
        <v>3152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2691</v>
      </c>
      <c r="O298" t="s">
        <v>3170</v>
      </c>
      <c r="P298" t="str">
        <f>_xlfn.XLOOKUP(A298,'Classic Net to delete'!D:D,'Classic Net to delete'!A:A,"")</f>
        <v/>
      </c>
    </row>
    <row r="299" spans="1:16" x14ac:dyDescent="0.25">
      <c r="A299" t="s">
        <v>2689</v>
      </c>
      <c r="B299" t="s">
        <v>3934</v>
      </c>
      <c r="C299" t="s">
        <v>2690</v>
      </c>
      <c r="D299">
        <v>30.4</v>
      </c>
      <c r="E299" t="s">
        <v>3152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2689</v>
      </c>
      <c r="O299" t="s">
        <v>3170</v>
      </c>
      <c r="P299" t="str">
        <f>_xlfn.XLOOKUP(A299,'Classic Net to delete'!D:D,'Classic Net to delete'!A:A,"")</f>
        <v/>
      </c>
    </row>
    <row r="300" spans="1:16" x14ac:dyDescent="0.25">
      <c r="A300" t="s">
        <v>2687</v>
      </c>
      <c r="B300" t="s">
        <v>3934</v>
      </c>
      <c r="C300" t="s">
        <v>2688</v>
      </c>
      <c r="D300">
        <v>25.35</v>
      </c>
      <c r="E300" t="s">
        <v>3152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2687</v>
      </c>
      <c r="O300" t="s">
        <v>3170</v>
      </c>
      <c r="P300" t="str">
        <f>_xlfn.XLOOKUP(A300,'Classic Net to delete'!D:D,'Classic Net to delete'!A:A,"")</f>
        <v/>
      </c>
    </row>
    <row r="301" spans="1:16" x14ac:dyDescent="0.25">
      <c r="A301" t="s">
        <v>2685</v>
      </c>
      <c r="B301" t="s">
        <v>3934</v>
      </c>
      <c r="C301" t="s">
        <v>2686</v>
      </c>
      <c r="D301">
        <v>20.100000000000001</v>
      </c>
      <c r="E301" t="s">
        <v>3152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2685</v>
      </c>
      <c r="O301" t="s">
        <v>3170</v>
      </c>
      <c r="P301" t="str">
        <f>_xlfn.XLOOKUP(A301,'Classic Net to delete'!D:D,'Classic Net to delete'!A:A,"")</f>
        <v/>
      </c>
    </row>
    <row r="302" spans="1:16" x14ac:dyDescent="0.25">
      <c r="A302" t="s">
        <v>2683</v>
      </c>
      <c r="B302" t="s">
        <v>3934</v>
      </c>
      <c r="C302" t="s">
        <v>2684</v>
      </c>
      <c r="D302">
        <v>15.1</v>
      </c>
      <c r="E302" t="s">
        <v>3152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2683</v>
      </c>
      <c r="O302" t="s">
        <v>3170</v>
      </c>
      <c r="P302" t="str">
        <f>_xlfn.XLOOKUP(A302,'Classic Net to delete'!D:D,'Classic Net to delete'!A:A,"")</f>
        <v/>
      </c>
    </row>
    <row r="303" spans="1:16" x14ac:dyDescent="0.25">
      <c r="A303" t="s">
        <v>1055</v>
      </c>
      <c r="B303" t="s">
        <v>3934</v>
      </c>
      <c r="C303" t="s">
        <v>1056</v>
      </c>
      <c r="D303">
        <v>9.5</v>
      </c>
      <c r="E303" t="s">
        <v>3152</v>
      </c>
      <c r="F303" s="186" t="s">
        <v>719</v>
      </c>
      <c r="H303" t="b">
        <v>1</v>
      </c>
      <c r="I303">
        <v>9.5</v>
      </c>
      <c r="J303" s="186" t="s">
        <v>832</v>
      </c>
      <c r="M303" t="str">
        <f>IFERROR(_xlfn.XLOOKUP(A303,Fleet!A:A,Fleet!E:E,""),"")</f>
        <v/>
      </c>
      <c r="N303" t="s">
        <v>1055</v>
      </c>
      <c r="O303" t="s">
        <v>3170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919</v>
      </c>
      <c r="B304" t="s">
        <v>3934</v>
      </c>
      <c r="C304" t="s">
        <v>920</v>
      </c>
      <c r="D304">
        <v>53.05</v>
      </c>
      <c r="E304" t="s">
        <v>3152</v>
      </c>
      <c r="F304" s="186" t="s">
        <v>719</v>
      </c>
      <c r="H304" t="b">
        <v>1</v>
      </c>
      <c r="I304">
        <v>53.050000000000004</v>
      </c>
      <c r="J304" s="186" t="s">
        <v>832</v>
      </c>
      <c r="M304" t="str">
        <f>IFERROR(_xlfn.XLOOKUP(A304,Fleet!A:A,Fleet!E:E,""),"")</f>
        <v/>
      </c>
      <c r="N304" t="s">
        <v>919</v>
      </c>
      <c r="O304" t="s">
        <v>3170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927</v>
      </c>
      <c r="B305" t="s">
        <v>3934</v>
      </c>
      <c r="C305" t="s">
        <v>928</v>
      </c>
      <c r="D305">
        <v>18.600000000000001</v>
      </c>
      <c r="E305" t="s">
        <v>3152</v>
      </c>
      <c r="F305" s="186" t="s">
        <v>3935</v>
      </c>
      <c r="H305" t="b">
        <v>1</v>
      </c>
      <c r="I305">
        <v>18.600000000000001</v>
      </c>
      <c r="J305" s="186" t="s">
        <v>832</v>
      </c>
      <c r="M305" t="str">
        <f>IFERROR(_xlfn.XLOOKUP(A305,Fleet!A:A,Fleet!E:E,""),"")</f>
        <v/>
      </c>
      <c r="N305" t="s">
        <v>927</v>
      </c>
      <c r="O305" t="s">
        <v>3170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914</v>
      </c>
      <c r="B306" t="s">
        <v>3934</v>
      </c>
      <c r="C306" t="s">
        <v>915</v>
      </c>
      <c r="D306">
        <v>11.55</v>
      </c>
      <c r="E306" t="s">
        <v>3152</v>
      </c>
      <c r="F306" s="186" t="s">
        <v>719</v>
      </c>
      <c r="H306" t="b">
        <v>1</v>
      </c>
      <c r="I306">
        <v>11.55</v>
      </c>
      <c r="J306" s="186" t="s">
        <v>832</v>
      </c>
      <c r="M306" t="str">
        <f>IFERROR(_xlfn.XLOOKUP(A306,Fleet!A:A,Fleet!E:E,""),"")</f>
        <v/>
      </c>
      <c r="N306" t="s">
        <v>914</v>
      </c>
      <c r="O306" t="s">
        <v>3170</v>
      </c>
      <c r="P306" t="str">
        <f>_xlfn.XLOOKUP(A306,'Classic Net to delete'!D:D,'Classic Net to delete'!A:A,"")</f>
        <v>Slump Cone</v>
      </c>
    </row>
    <row r="307" spans="1:16" x14ac:dyDescent="0.25">
      <c r="A307" t="s">
        <v>2681</v>
      </c>
      <c r="B307" t="s">
        <v>3934</v>
      </c>
      <c r="C307" t="s">
        <v>2682</v>
      </c>
      <c r="D307">
        <v>13.3</v>
      </c>
      <c r="E307" t="s">
        <v>3152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2681</v>
      </c>
      <c r="O307" t="s">
        <v>3170</v>
      </c>
      <c r="P307" t="str">
        <f>_xlfn.XLOOKUP(A307,'Classic Net to delete'!D:D,'Classic Net to delete'!A:A,"")</f>
        <v/>
      </c>
    </row>
    <row r="308" spans="1:16" x14ac:dyDescent="0.25">
      <c r="A308" t="s">
        <v>911</v>
      </c>
      <c r="B308" t="s">
        <v>3934</v>
      </c>
      <c r="C308" t="s">
        <v>912</v>
      </c>
      <c r="D308">
        <v>13.3</v>
      </c>
      <c r="E308" t="s">
        <v>3152</v>
      </c>
      <c r="F308" s="186" t="s">
        <v>719</v>
      </c>
      <c r="H308" t="b">
        <v>1</v>
      </c>
      <c r="I308">
        <v>13.3</v>
      </c>
      <c r="J308" s="186" t="s">
        <v>832</v>
      </c>
      <c r="M308" t="str">
        <f>IFERROR(_xlfn.XLOOKUP(A308,Fleet!A:A,Fleet!E:E,""),"")</f>
        <v/>
      </c>
      <c r="N308" t="s">
        <v>911</v>
      </c>
      <c r="O308" t="s">
        <v>3170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901</v>
      </c>
      <c r="B309" t="s">
        <v>3934</v>
      </c>
      <c r="C309" t="s">
        <v>902</v>
      </c>
      <c r="D309">
        <v>15.95</v>
      </c>
      <c r="E309" t="s">
        <v>3152</v>
      </c>
      <c r="F309" s="186" t="s">
        <v>3936</v>
      </c>
      <c r="H309" t="b">
        <v>1</v>
      </c>
      <c r="I309">
        <v>15.950000000000001</v>
      </c>
      <c r="J309" s="186" t="s">
        <v>832</v>
      </c>
      <c r="M309" t="str">
        <f>IFERROR(_xlfn.XLOOKUP(A309,Fleet!A:A,Fleet!E:E,""),"")</f>
        <v/>
      </c>
      <c r="N309" t="s">
        <v>901</v>
      </c>
      <c r="O309" t="s">
        <v>3170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2679</v>
      </c>
      <c r="B310" t="s">
        <v>3937</v>
      </c>
      <c r="C310" t="s">
        <v>2680</v>
      </c>
      <c r="D310">
        <v>15.95</v>
      </c>
      <c r="E310" t="s">
        <v>3152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2679</v>
      </c>
      <c r="O310" t="s">
        <v>3167</v>
      </c>
      <c r="P310" t="str">
        <f>_xlfn.XLOOKUP(A310,'Classic Net to delete'!D:D,'Classic Net to delete'!A:A,"")</f>
        <v/>
      </c>
    </row>
    <row r="311" spans="1:16" x14ac:dyDescent="0.25">
      <c r="A311" t="s">
        <v>2677</v>
      </c>
      <c r="B311" t="s">
        <v>3937</v>
      </c>
      <c r="C311" t="s">
        <v>2678</v>
      </c>
      <c r="D311">
        <v>9.25</v>
      </c>
      <c r="E311" t="s">
        <v>3152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2677</v>
      </c>
      <c r="O311" t="s">
        <v>3167</v>
      </c>
      <c r="P311" t="str">
        <f>_xlfn.XLOOKUP(A311,'Classic Net to delete'!D:D,'Classic Net to delete'!A:A,"")</f>
        <v/>
      </c>
    </row>
    <row r="312" spans="1:16" x14ac:dyDescent="0.25">
      <c r="A312" t="s">
        <v>2675</v>
      </c>
      <c r="B312" t="s">
        <v>3937</v>
      </c>
      <c r="C312" t="s">
        <v>2676</v>
      </c>
      <c r="D312">
        <v>17.5</v>
      </c>
      <c r="E312" t="s">
        <v>3152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2675</v>
      </c>
      <c r="O312" t="s">
        <v>3167</v>
      </c>
      <c r="P312" t="str">
        <f>_xlfn.XLOOKUP(A312,'Classic Net to delete'!D:D,'Classic Net to delete'!A:A,"")</f>
        <v/>
      </c>
    </row>
    <row r="313" spans="1:16" x14ac:dyDescent="0.25">
      <c r="A313" t="s">
        <v>2673</v>
      </c>
      <c r="B313" t="s">
        <v>3938</v>
      </c>
      <c r="C313" t="s">
        <v>2674</v>
      </c>
      <c r="D313">
        <v>1.8</v>
      </c>
      <c r="E313" t="s">
        <v>3152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2673</v>
      </c>
      <c r="O313" t="s">
        <v>3169</v>
      </c>
      <c r="P313" t="str">
        <f>_xlfn.XLOOKUP(A313,'Classic Net to delete'!D:D,'Classic Net to delete'!A:A,"")</f>
        <v/>
      </c>
    </row>
    <row r="314" spans="1:16" x14ac:dyDescent="0.25">
      <c r="A314" t="s">
        <v>2671</v>
      </c>
      <c r="B314" t="s">
        <v>3938</v>
      </c>
      <c r="C314" t="s">
        <v>2672</v>
      </c>
      <c r="D314">
        <v>1.8</v>
      </c>
      <c r="E314" t="s">
        <v>3152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2671</v>
      </c>
      <c r="O314" t="s">
        <v>3169</v>
      </c>
      <c r="P314" t="str">
        <f>_xlfn.XLOOKUP(A314,'Classic Net to delete'!D:D,'Classic Net to delete'!A:A,"")</f>
        <v/>
      </c>
    </row>
    <row r="315" spans="1:16" x14ac:dyDescent="0.25">
      <c r="A315" t="s">
        <v>2669</v>
      </c>
      <c r="B315" t="s">
        <v>3938</v>
      </c>
      <c r="C315" t="s">
        <v>2670</v>
      </c>
      <c r="D315">
        <v>1.8</v>
      </c>
      <c r="E315" t="s">
        <v>3152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2669</v>
      </c>
      <c r="O315" t="s">
        <v>3169</v>
      </c>
      <c r="P315" t="str">
        <f>_xlfn.XLOOKUP(A315,'Classic Net to delete'!D:D,'Classic Net to delete'!A:A,"")</f>
        <v/>
      </c>
    </row>
    <row r="316" spans="1:16" x14ac:dyDescent="0.25">
      <c r="A316" t="s">
        <v>2667</v>
      </c>
      <c r="B316" t="s">
        <v>3938</v>
      </c>
      <c r="C316" t="s">
        <v>2668</v>
      </c>
      <c r="D316">
        <v>1.8</v>
      </c>
      <c r="E316" t="s">
        <v>3152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2667</v>
      </c>
      <c r="O316" t="s">
        <v>3169</v>
      </c>
      <c r="P316" t="str">
        <f>_xlfn.XLOOKUP(A316,'Classic Net to delete'!D:D,'Classic Net to delete'!A:A,"")</f>
        <v/>
      </c>
    </row>
    <row r="317" spans="1:16" x14ac:dyDescent="0.25">
      <c r="A317" t="s">
        <v>2665</v>
      </c>
      <c r="B317" t="s">
        <v>3938</v>
      </c>
      <c r="C317" t="s">
        <v>2666</v>
      </c>
      <c r="D317">
        <v>1.8</v>
      </c>
      <c r="E317" t="s">
        <v>3152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2665</v>
      </c>
      <c r="O317" t="s">
        <v>3169</v>
      </c>
      <c r="P317" t="str">
        <f>_xlfn.XLOOKUP(A317,'Classic Net to delete'!D:D,'Classic Net to delete'!A:A,"")</f>
        <v/>
      </c>
    </row>
    <row r="318" spans="1:16" x14ac:dyDescent="0.25">
      <c r="A318" t="s">
        <v>2663</v>
      </c>
      <c r="B318" t="s">
        <v>3938</v>
      </c>
      <c r="C318" t="s">
        <v>2664</v>
      </c>
      <c r="D318">
        <v>1.8</v>
      </c>
      <c r="E318" t="s">
        <v>3152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2663</v>
      </c>
      <c r="O318" t="s">
        <v>3169</v>
      </c>
      <c r="P318" t="str">
        <f>_xlfn.XLOOKUP(A318,'Classic Net to delete'!D:D,'Classic Net to delete'!A:A,"")</f>
        <v/>
      </c>
    </row>
    <row r="319" spans="1:16" x14ac:dyDescent="0.25">
      <c r="A319" t="s">
        <v>2661</v>
      </c>
      <c r="B319" t="s">
        <v>3938</v>
      </c>
      <c r="C319" t="s">
        <v>2662</v>
      </c>
      <c r="D319">
        <v>1.8</v>
      </c>
      <c r="E319" t="s">
        <v>3152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2661</v>
      </c>
      <c r="O319" t="s">
        <v>3169</v>
      </c>
      <c r="P319" t="str">
        <f>_xlfn.XLOOKUP(A319,'Classic Net to delete'!D:D,'Classic Net to delete'!A:A,"")</f>
        <v/>
      </c>
    </row>
    <row r="320" spans="1:16" x14ac:dyDescent="0.25">
      <c r="A320" t="s">
        <v>2659</v>
      </c>
      <c r="B320" t="s">
        <v>3938</v>
      </c>
      <c r="C320" t="s">
        <v>2660</v>
      </c>
      <c r="D320">
        <v>1.8</v>
      </c>
      <c r="E320" t="s">
        <v>3152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2659</v>
      </c>
      <c r="O320" t="s">
        <v>3169</v>
      </c>
      <c r="P320" t="str">
        <f>_xlfn.XLOOKUP(A320,'Classic Net to delete'!D:D,'Classic Net to delete'!A:A,"")</f>
        <v/>
      </c>
    </row>
    <row r="321" spans="1:16" x14ac:dyDescent="0.25">
      <c r="A321" t="s">
        <v>2657</v>
      </c>
      <c r="B321" t="s">
        <v>3938</v>
      </c>
      <c r="C321" t="s">
        <v>2658</v>
      </c>
      <c r="D321">
        <v>1.8</v>
      </c>
      <c r="E321" t="s">
        <v>3152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2657</v>
      </c>
      <c r="O321" t="s">
        <v>3169</v>
      </c>
      <c r="P321" t="str">
        <f>_xlfn.XLOOKUP(A321,'Classic Net to delete'!D:D,'Classic Net to delete'!A:A,"")</f>
        <v/>
      </c>
    </row>
    <row r="322" spans="1:16" x14ac:dyDescent="0.25">
      <c r="A322" t="s">
        <v>2655</v>
      </c>
      <c r="B322" t="s">
        <v>3938</v>
      </c>
      <c r="C322" t="s">
        <v>2656</v>
      </c>
      <c r="D322">
        <v>1.8</v>
      </c>
      <c r="E322" t="s">
        <v>3152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2655</v>
      </c>
      <c r="O322" t="s">
        <v>3169</v>
      </c>
      <c r="P322" t="str">
        <f>_xlfn.XLOOKUP(A322,'Classic Net to delete'!D:D,'Classic Net to delete'!A:A,"")</f>
        <v/>
      </c>
    </row>
    <row r="323" spans="1:16" x14ac:dyDescent="0.25">
      <c r="A323" t="s">
        <v>2653</v>
      </c>
      <c r="B323" t="s">
        <v>3938</v>
      </c>
      <c r="C323" t="s">
        <v>2654</v>
      </c>
      <c r="D323">
        <v>1.8</v>
      </c>
      <c r="E323" t="s">
        <v>3152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2653</v>
      </c>
      <c r="O323" t="s">
        <v>3169</v>
      </c>
      <c r="P323" t="str">
        <f>_xlfn.XLOOKUP(A323,'Classic Net to delete'!D:D,'Classic Net to delete'!A:A,"")</f>
        <v/>
      </c>
    </row>
    <row r="324" spans="1:16" x14ac:dyDescent="0.25">
      <c r="A324" t="s">
        <v>2651</v>
      </c>
      <c r="B324" t="s">
        <v>3927</v>
      </c>
      <c r="C324" t="s">
        <v>2652</v>
      </c>
      <c r="D324">
        <v>4.75</v>
      </c>
      <c r="E324" t="s">
        <v>3152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2651</v>
      </c>
      <c r="O324" t="s">
        <v>3168</v>
      </c>
      <c r="P324" t="str">
        <f>_xlfn.XLOOKUP(A324,'Classic Net to delete'!D:D,'Classic Net to delete'!A:A,"")</f>
        <v/>
      </c>
    </row>
    <row r="325" spans="1:16" x14ac:dyDescent="0.25">
      <c r="A325" t="s">
        <v>2649</v>
      </c>
      <c r="B325" t="s">
        <v>3927</v>
      </c>
      <c r="C325" t="s">
        <v>2650</v>
      </c>
      <c r="D325">
        <v>15.95</v>
      </c>
      <c r="E325" t="s">
        <v>3152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2649</v>
      </c>
      <c r="O325" t="s">
        <v>3168</v>
      </c>
      <c r="P325" t="str">
        <f>_xlfn.XLOOKUP(A325,'Classic Net to delete'!D:D,'Classic Net to delete'!A:A,"")</f>
        <v/>
      </c>
    </row>
    <row r="326" spans="1:16" x14ac:dyDescent="0.25">
      <c r="A326" t="s">
        <v>2647</v>
      </c>
      <c r="B326" t="s">
        <v>3937</v>
      </c>
      <c r="C326" t="s">
        <v>2648</v>
      </c>
      <c r="D326">
        <v>62.5</v>
      </c>
      <c r="E326" t="s">
        <v>3152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2647</v>
      </c>
      <c r="O326" t="s">
        <v>3167</v>
      </c>
      <c r="P326" t="str">
        <f>_xlfn.XLOOKUP(A326,'Classic Net to delete'!D:D,'Classic Net to delete'!A:A,"")</f>
        <v/>
      </c>
    </row>
    <row r="327" spans="1:16" x14ac:dyDescent="0.25">
      <c r="A327" t="s">
        <v>2645</v>
      </c>
      <c r="B327" t="s">
        <v>3937</v>
      </c>
      <c r="C327" t="s">
        <v>2646</v>
      </c>
      <c r="D327">
        <v>11.8</v>
      </c>
      <c r="E327" t="s">
        <v>3152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2645</v>
      </c>
      <c r="O327" t="s">
        <v>3167</v>
      </c>
      <c r="P327" t="str">
        <f>_xlfn.XLOOKUP(A327,'Classic Net to delete'!D:D,'Classic Net to delete'!A:A,"")</f>
        <v/>
      </c>
    </row>
    <row r="328" spans="1:16" x14ac:dyDescent="0.25">
      <c r="A328" t="s">
        <v>2643</v>
      </c>
      <c r="B328" t="s">
        <v>3937</v>
      </c>
      <c r="C328" t="s">
        <v>2644</v>
      </c>
      <c r="D328">
        <v>14.75</v>
      </c>
      <c r="E328" t="s">
        <v>3152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2643</v>
      </c>
      <c r="O328" t="s">
        <v>3167</v>
      </c>
      <c r="P328" t="str">
        <f>_xlfn.XLOOKUP(A328,'Classic Net to delete'!D:D,'Classic Net to delete'!A:A,"")</f>
        <v/>
      </c>
    </row>
    <row r="329" spans="1:16" x14ac:dyDescent="0.25">
      <c r="A329" t="s">
        <v>2641</v>
      </c>
      <c r="B329" t="s">
        <v>3937</v>
      </c>
      <c r="C329" t="s">
        <v>2642</v>
      </c>
      <c r="D329">
        <v>23.35</v>
      </c>
      <c r="E329" t="s">
        <v>3152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2641</v>
      </c>
      <c r="O329" t="s">
        <v>3167</v>
      </c>
      <c r="P329" t="str">
        <f>_xlfn.XLOOKUP(A329,'Classic Net to delete'!D:D,'Classic Net to delete'!A:A,"")</f>
        <v/>
      </c>
    </row>
    <row r="330" spans="1:16" x14ac:dyDescent="0.25">
      <c r="A330" t="s">
        <v>799</v>
      </c>
      <c r="B330" t="s">
        <v>3937</v>
      </c>
      <c r="C330" t="s">
        <v>800</v>
      </c>
      <c r="D330">
        <v>12.1</v>
      </c>
      <c r="E330" t="s">
        <v>3152</v>
      </c>
      <c r="F330" s="186" t="s">
        <v>774</v>
      </c>
      <c r="H330" t="b">
        <v>1</v>
      </c>
      <c r="I330">
        <v>12.100000000000001</v>
      </c>
      <c r="J330" s="186" t="s">
        <v>735</v>
      </c>
      <c r="M330" t="str">
        <f>IFERROR(_xlfn.XLOOKUP(A330,Fleet!A:A,Fleet!E:E,""),"")</f>
        <v/>
      </c>
      <c r="N330" t="s">
        <v>799</v>
      </c>
      <c r="O330" t="s">
        <v>3167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2639</v>
      </c>
      <c r="B331" t="s">
        <v>3937</v>
      </c>
      <c r="C331" t="s">
        <v>2640</v>
      </c>
      <c r="D331">
        <v>14.45</v>
      </c>
      <c r="E331" t="s">
        <v>3152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2639</v>
      </c>
      <c r="O331" t="s">
        <v>3167</v>
      </c>
      <c r="P331" t="str">
        <f>_xlfn.XLOOKUP(A331,'Classic Net to delete'!D:D,'Classic Net to delete'!A:A,"")</f>
        <v/>
      </c>
    </row>
    <row r="332" spans="1:16" x14ac:dyDescent="0.25">
      <c r="A332" t="s">
        <v>768</v>
      </c>
      <c r="B332" t="s">
        <v>3937</v>
      </c>
      <c r="C332" t="s">
        <v>769</v>
      </c>
      <c r="D332">
        <v>15.95</v>
      </c>
      <c r="E332" t="s">
        <v>3152</v>
      </c>
      <c r="F332" s="186" t="s">
        <v>3939</v>
      </c>
      <c r="H332" t="b">
        <v>1</v>
      </c>
      <c r="I332">
        <v>15.950000000000001</v>
      </c>
      <c r="J332" s="186" t="s">
        <v>735</v>
      </c>
      <c r="M332" t="str">
        <f>IFERROR(_xlfn.XLOOKUP(A332,Fleet!A:A,Fleet!E:E,""),"")</f>
        <v/>
      </c>
      <c r="N332" t="s">
        <v>768</v>
      </c>
      <c r="O332" t="s">
        <v>3167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2637</v>
      </c>
      <c r="B333" t="s">
        <v>3940</v>
      </c>
      <c r="C333" t="s">
        <v>2638</v>
      </c>
      <c r="D333">
        <v>6.5</v>
      </c>
      <c r="E333" t="s">
        <v>3152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2637</v>
      </c>
      <c r="O333" t="s">
        <v>3166</v>
      </c>
      <c r="P333" t="str">
        <f>_xlfn.XLOOKUP(A333,'Classic Net to delete'!D:D,'Classic Net to delete'!A:A,"")</f>
        <v/>
      </c>
    </row>
    <row r="334" spans="1:16" x14ac:dyDescent="0.25">
      <c r="A334" t="s">
        <v>2635</v>
      </c>
      <c r="B334" t="s">
        <v>3940</v>
      </c>
      <c r="C334" t="s">
        <v>2636</v>
      </c>
      <c r="D334">
        <v>6.5</v>
      </c>
      <c r="E334" t="s">
        <v>3152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2635</v>
      </c>
      <c r="O334" t="s">
        <v>3166</v>
      </c>
      <c r="P334" t="str">
        <f>_xlfn.XLOOKUP(A334,'Classic Net to delete'!D:D,'Classic Net to delete'!A:A,"")</f>
        <v/>
      </c>
    </row>
    <row r="335" spans="1:16" x14ac:dyDescent="0.25">
      <c r="A335" t="s">
        <v>2633</v>
      </c>
      <c r="B335" t="s">
        <v>3940</v>
      </c>
      <c r="C335" t="s">
        <v>2634</v>
      </c>
      <c r="D335">
        <v>6.5</v>
      </c>
      <c r="E335" t="s">
        <v>3152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2633</v>
      </c>
      <c r="O335" t="s">
        <v>3166</v>
      </c>
      <c r="P335" t="str">
        <f>_xlfn.XLOOKUP(A335,'Classic Net to delete'!D:D,'Classic Net to delete'!A:A,"")</f>
        <v/>
      </c>
    </row>
    <row r="336" spans="1:16" x14ac:dyDescent="0.25">
      <c r="A336" t="s">
        <v>2631</v>
      </c>
      <c r="B336" t="s">
        <v>3940</v>
      </c>
      <c r="C336" t="s">
        <v>2632</v>
      </c>
      <c r="D336">
        <v>6.5</v>
      </c>
      <c r="E336" t="s">
        <v>3152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2631</v>
      </c>
      <c r="O336" t="s">
        <v>3166</v>
      </c>
      <c r="P336" t="str">
        <f>_xlfn.XLOOKUP(A336,'Classic Net to delete'!D:D,'Classic Net to delete'!A:A,"")</f>
        <v/>
      </c>
    </row>
    <row r="337" spans="1:16" x14ac:dyDescent="0.25">
      <c r="A337" t="s">
        <v>2629</v>
      </c>
      <c r="B337" t="s">
        <v>3940</v>
      </c>
      <c r="C337" t="s">
        <v>2630</v>
      </c>
      <c r="D337">
        <v>3.55</v>
      </c>
      <c r="E337" t="s">
        <v>3152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2629</v>
      </c>
      <c r="O337" t="s">
        <v>3166</v>
      </c>
      <c r="P337" t="str">
        <f>_xlfn.XLOOKUP(A337,'Classic Net to delete'!D:D,'Classic Net to delete'!A:A,"")</f>
        <v/>
      </c>
    </row>
    <row r="338" spans="1:16" x14ac:dyDescent="0.25">
      <c r="A338" t="s">
        <v>2627</v>
      </c>
      <c r="B338" t="s">
        <v>3940</v>
      </c>
      <c r="C338" t="s">
        <v>2628</v>
      </c>
      <c r="D338">
        <v>3.55</v>
      </c>
      <c r="E338" t="s">
        <v>3152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2627</v>
      </c>
      <c r="O338" t="s">
        <v>3166</v>
      </c>
      <c r="P338" t="str">
        <f>_xlfn.XLOOKUP(A338,'Classic Net to delete'!D:D,'Classic Net to delete'!A:A,"")</f>
        <v/>
      </c>
    </row>
    <row r="339" spans="1:16" x14ac:dyDescent="0.25">
      <c r="A339" t="s">
        <v>2625</v>
      </c>
      <c r="B339" t="s">
        <v>3940</v>
      </c>
      <c r="C339" t="s">
        <v>2626</v>
      </c>
      <c r="D339">
        <v>3.55</v>
      </c>
      <c r="E339" t="s">
        <v>3152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2625</v>
      </c>
      <c r="O339" t="s">
        <v>3166</v>
      </c>
      <c r="P339" t="str">
        <f>_xlfn.XLOOKUP(A339,'Classic Net to delete'!D:D,'Classic Net to delete'!A:A,"")</f>
        <v/>
      </c>
    </row>
    <row r="340" spans="1:16" x14ac:dyDescent="0.25">
      <c r="A340" t="s">
        <v>2623</v>
      </c>
      <c r="B340" t="s">
        <v>3940</v>
      </c>
      <c r="C340" t="s">
        <v>2624</v>
      </c>
      <c r="D340">
        <v>3.55</v>
      </c>
      <c r="E340" t="s">
        <v>3152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2623</v>
      </c>
      <c r="O340" t="s">
        <v>3166</v>
      </c>
      <c r="P340" t="str">
        <f>_xlfn.XLOOKUP(A340,'Classic Net to delete'!D:D,'Classic Net to delete'!A:A,"")</f>
        <v/>
      </c>
    </row>
    <row r="341" spans="1:16" x14ac:dyDescent="0.25">
      <c r="A341" t="s">
        <v>2621</v>
      </c>
      <c r="B341" t="s">
        <v>3940</v>
      </c>
      <c r="C341" t="s">
        <v>2622</v>
      </c>
      <c r="D341">
        <v>3.55</v>
      </c>
      <c r="E341" t="s">
        <v>3152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2621</v>
      </c>
      <c r="O341" t="s">
        <v>3166</v>
      </c>
      <c r="P341" t="str">
        <f>_xlfn.XLOOKUP(A341,'Classic Net to delete'!D:D,'Classic Net to delete'!A:A,"")</f>
        <v/>
      </c>
    </row>
    <row r="342" spans="1:16" x14ac:dyDescent="0.25">
      <c r="A342" t="s">
        <v>2619</v>
      </c>
      <c r="B342" t="s">
        <v>3940</v>
      </c>
      <c r="C342" t="s">
        <v>2620</v>
      </c>
      <c r="D342">
        <v>3.55</v>
      </c>
      <c r="E342" t="s">
        <v>3152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2619</v>
      </c>
      <c r="O342" t="s">
        <v>3166</v>
      </c>
      <c r="P342" t="str">
        <f>_xlfn.XLOOKUP(A342,'Classic Net to delete'!D:D,'Classic Net to delete'!A:A,"")</f>
        <v/>
      </c>
    </row>
    <row r="343" spans="1:16" x14ac:dyDescent="0.25">
      <c r="A343" t="s">
        <v>2617</v>
      </c>
      <c r="B343" t="s">
        <v>3940</v>
      </c>
      <c r="C343" t="s">
        <v>2618</v>
      </c>
      <c r="D343">
        <v>3.55</v>
      </c>
      <c r="E343" t="s">
        <v>3152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2617</v>
      </c>
      <c r="O343" t="s">
        <v>3166</v>
      </c>
      <c r="P343" t="str">
        <f>_xlfn.XLOOKUP(A343,'Classic Net to delete'!D:D,'Classic Net to delete'!A:A,"")</f>
        <v/>
      </c>
    </row>
    <row r="344" spans="1:16" x14ac:dyDescent="0.25">
      <c r="A344" t="s">
        <v>2615</v>
      </c>
      <c r="B344" t="s">
        <v>3940</v>
      </c>
      <c r="C344" t="s">
        <v>2616</v>
      </c>
      <c r="D344">
        <v>3.55</v>
      </c>
      <c r="E344" t="s">
        <v>3152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2615</v>
      </c>
      <c r="O344" t="s">
        <v>3166</v>
      </c>
      <c r="P344" t="str">
        <f>_xlfn.XLOOKUP(A344,'Classic Net to delete'!D:D,'Classic Net to delete'!A:A,"")</f>
        <v/>
      </c>
    </row>
    <row r="345" spans="1:16" x14ac:dyDescent="0.25">
      <c r="A345" t="s">
        <v>2613</v>
      </c>
      <c r="B345" t="s">
        <v>3940</v>
      </c>
      <c r="C345" t="s">
        <v>2614</v>
      </c>
      <c r="D345">
        <v>3.55</v>
      </c>
      <c r="E345" t="s">
        <v>3152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2613</v>
      </c>
      <c r="O345" t="s">
        <v>3166</v>
      </c>
      <c r="P345" t="str">
        <f>_xlfn.XLOOKUP(A345,'Classic Net to delete'!D:D,'Classic Net to delete'!A:A,"")</f>
        <v/>
      </c>
    </row>
    <row r="346" spans="1:16" x14ac:dyDescent="0.25">
      <c r="A346" t="s">
        <v>2611</v>
      </c>
      <c r="B346" t="s">
        <v>3940</v>
      </c>
      <c r="C346" t="s">
        <v>2612</v>
      </c>
      <c r="D346">
        <v>3.55</v>
      </c>
      <c r="E346" t="s">
        <v>3152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2611</v>
      </c>
      <c r="O346" t="s">
        <v>3166</v>
      </c>
      <c r="P346" t="str">
        <f>_xlfn.XLOOKUP(A346,'Classic Net to delete'!D:D,'Classic Net to delete'!A:A,"")</f>
        <v/>
      </c>
    </row>
    <row r="347" spans="1:16" x14ac:dyDescent="0.25">
      <c r="A347" t="s">
        <v>2609</v>
      </c>
      <c r="B347" t="s">
        <v>3940</v>
      </c>
      <c r="C347" t="s">
        <v>2610</v>
      </c>
      <c r="D347">
        <v>3.55</v>
      </c>
      <c r="E347" t="s">
        <v>3152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2609</v>
      </c>
      <c r="O347" t="s">
        <v>3166</v>
      </c>
      <c r="P347" t="str">
        <f>_xlfn.XLOOKUP(A347,'Classic Net to delete'!D:D,'Classic Net to delete'!A:A,"")</f>
        <v/>
      </c>
    </row>
    <row r="348" spans="1:16" x14ac:dyDescent="0.25">
      <c r="A348" t="s">
        <v>2607</v>
      </c>
      <c r="B348" t="s">
        <v>3940</v>
      </c>
      <c r="C348" t="s">
        <v>2608</v>
      </c>
      <c r="D348">
        <v>3.55</v>
      </c>
      <c r="E348" t="s">
        <v>3152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2607</v>
      </c>
      <c r="O348" t="s">
        <v>3166</v>
      </c>
      <c r="P348" t="str">
        <f>_xlfn.XLOOKUP(A348,'Classic Net to delete'!D:D,'Classic Net to delete'!A:A,"")</f>
        <v/>
      </c>
    </row>
    <row r="349" spans="1:16" x14ac:dyDescent="0.25">
      <c r="A349" t="s">
        <v>2605</v>
      </c>
      <c r="B349" t="s">
        <v>3940</v>
      </c>
      <c r="C349" t="s">
        <v>2606</v>
      </c>
      <c r="D349">
        <v>3.55</v>
      </c>
      <c r="E349" t="s">
        <v>3152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2605</v>
      </c>
      <c r="O349" t="s">
        <v>3166</v>
      </c>
      <c r="P349" t="str">
        <f>_xlfn.XLOOKUP(A349,'Classic Net to delete'!D:D,'Classic Net to delete'!A:A,"")</f>
        <v/>
      </c>
    </row>
    <row r="350" spans="1:16" x14ac:dyDescent="0.25">
      <c r="A350" t="s">
        <v>2603</v>
      </c>
      <c r="B350" t="s">
        <v>3940</v>
      </c>
      <c r="C350" t="s">
        <v>2604</v>
      </c>
      <c r="D350">
        <v>3.55</v>
      </c>
      <c r="E350" t="s">
        <v>3152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2603</v>
      </c>
      <c r="O350" t="s">
        <v>3166</v>
      </c>
      <c r="P350" t="str">
        <f>_xlfn.XLOOKUP(A350,'Classic Net to delete'!D:D,'Classic Net to delete'!A:A,"")</f>
        <v/>
      </c>
    </row>
    <row r="351" spans="1:16" x14ac:dyDescent="0.25">
      <c r="A351" t="s">
        <v>2601</v>
      </c>
      <c r="B351" t="s">
        <v>3940</v>
      </c>
      <c r="C351" t="s">
        <v>2602</v>
      </c>
      <c r="D351">
        <v>3.55</v>
      </c>
      <c r="E351" t="s">
        <v>3152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2601</v>
      </c>
      <c r="O351" t="s">
        <v>3166</v>
      </c>
      <c r="P351" t="str">
        <f>_xlfn.XLOOKUP(A351,'Classic Net to delete'!D:D,'Classic Net to delete'!A:A,"")</f>
        <v/>
      </c>
    </row>
    <row r="352" spans="1:16" x14ac:dyDescent="0.25">
      <c r="A352" t="s">
        <v>2599</v>
      </c>
      <c r="B352" t="s">
        <v>3940</v>
      </c>
      <c r="C352" t="s">
        <v>2600</v>
      </c>
      <c r="D352">
        <v>3.55</v>
      </c>
      <c r="E352" t="s">
        <v>3152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2599</v>
      </c>
      <c r="O352" t="s">
        <v>3166</v>
      </c>
      <c r="P352" t="str">
        <f>_xlfn.XLOOKUP(A352,'Classic Net to delete'!D:D,'Classic Net to delete'!A:A,"")</f>
        <v/>
      </c>
    </row>
    <row r="353" spans="1:16" x14ac:dyDescent="0.25">
      <c r="A353" t="s">
        <v>2597</v>
      </c>
      <c r="B353" t="s">
        <v>3940</v>
      </c>
      <c r="C353" t="s">
        <v>2598</v>
      </c>
      <c r="D353">
        <v>3.55</v>
      </c>
      <c r="E353" t="s">
        <v>3152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2597</v>
      </c>
      <c r="O353" t="s">
        <v>3166</v>
      </c>
      <c r="P353" t="str">
        <f>_xlfn.XLOOKUP(A353,'Classic Net to delete'!D:D,'Classic Net to delete'!A:A,"")</f>
        <v/>
      </c>
    </row>
    <row r="354" spans="1:16" x14ac:dyDescent="0.25">
      <c r="A354" t="s">
        <v>2595</v>
      </c>
      <c r="B354" t="s">
        <v>3940</v>
      </c>
      <c r="C354" t="s">
        <v>2596</v>
      </c>
      <c r="D354">
        <v>3.55</v>
      </c>
      <c r="E354" t="s">
        <v>3152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2595</v>
      </c>
      <c r="O354" t="s">
        <v>3166</v>
      </c>
      <c r="P354" t="str">
        <f>_xlfn.XLOOKUP(A354,'Classic Net to delete'!D:D,'Classic Net to delete'!A:A,"")</f>
        <v/>
      </c>
    </row>
    <row r="355" spans="1:16" x14ac:dyDescent="0.25">
      <c r="A355" t="s">
        <v>2593</v>
      </c>
      <c r="B355" t="s">
        <v>3940</v>
      </c>
      <c r="C355" t="s">
        <v>2594</v>
      </c>
      <c r="D355">
        <v>3.55</v>
      </c>
      <c r="E355" t="s">
        <v>3152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2593</v>
      </c>
      <c r="O355" t="s">
        <v>3166</v>
      </c>
      <c r="P355" t="str">
        <f>_xlfn.XLOOKUP(A355,'Classic Net to delete'!D:D,'Classic Net to delete'!A:A,"")</f>
        <v/>
      </c>
    </row>
    <row r="356" spans="1:16" x14ac:dyDescent="0.25">
      <c r="A356" t="s">
        <v>2591</v>
      </c>
      <c r="B356" t="s">
        <v>3940</v>
      </c>
      <c r="C356" t="s">
        <v>2592</v>
      </c>
      <c r="D356">
        <v>3.55</v>
      </c>
      <c r="E356" t="s">
        <v>3152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2591</v>
      </c>
      <c r="O356" t="s">
        <v>3166</v>
      </c>
      <c r="P356" t="str">
        <f>_xlfn.XLOOKUP(A356,'Classic Net to delete'!D:D,'Classic Net to delete'!A:A,"")</f>
        <v/>
      </c>
    </row>
    <row r="357" spans="1:16" x14ac:dyDescent="0.25">
      <c r="A357" t="s">
        <v>2589</v>
      </c>
      <c r="B357" t="s">
        <v>3940</v>
      </c>
      <c r="C357" t="s">
        <v>2590</v>
      </c>
      <c r="D357">
        <v>3.55</v>
      </c>
      <c r="E357" t="s">
        <v>3152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2589</v>
      </c>
      <c r="O357" t="s">
        <v>3166</v>
      </c>
      <c r="P357" t="str">
        <f>_xlfn.XLOOKUP(A357,'Classic Net to delete'!D:D,'Classic Net to delete'!A:A,"")</f>
        <v/>
      </c>
    </row>
    <row r="358" spans="1:16" x14ac:dyDescent="0.25">
      <c r="A358" t="s">
        <v>2587</v>
      </c>
      <c r="B358" t="s">
        <v>3940</v>
      </c>
      <c r="C358" t="s">
        <v>2588</v>
      </c>
      <c r="D358">
        <v>3.55</v>
      </c>
      <c r="E358" t="s">
        <v>3152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2587</v>
      </c>
      <c r="O358" t="s">
        <v>3166</v>
      </c>
      <c r="P358" t="str">
        <f>_xlfn.XLOOKUP(A358,'Classic Net to delete'!D:D,'Classic Net to delete'!A:A,"")</f>
        <v/>
      </c>
    </row>
    <row r="359" spans="1:16" x14ac:dyDescent="0.25">
      <c r="A359" t="s">
        <v>2585</v>
      </c>
      <c r="B359" t="s">
        <v>3940</v>
      </c>
      <c r="C359" t="s">
        <v>2586</v>
      </c>
      <c r="D359">
        <v>3.55</v>
      </c>
      <c r="E359" t="s">
        <v>3152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2585</v>
      </c>
      <c r="O359" t="s">
        <v>3166</v>
      </c>
      <c r="P359" t="str">
        <f>_xlfn.XLOOKUP(A359,'Classic Net to delete'!D:D,'Classic Net to delete'!A:A,"")</f>
        <v/>
      </c>
    </row>
    <row r="360" spans="1:16" x14ac:dyDescent="0.25">
      <c r="A360" t="s">
        <v>2583</v>
      </c>
      <c r="B360" t="s">
        <v>3940</v>
      </c>
      <c r="C360" t="s">
        <v>2584</v>
      </c>
      <c r="D360">
        <v>3.55</v>
      </c>
      <c r="E360" t="s">
        <v>3152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2583</v>
      </c>
      <c r="O360" t="s">
        <v>3166</v>
      </c>
      <c r="P360" t="str">
        <f>_xlfn.XLOOKUP(A360,'Classic Net to delete'!D:D,'Classic Net to delete'!A:A,"")</f>
        <v/>
      </c>
    </row>
    <row r="361" spans="1:16" x14ac:dyDescent="0.25">
      <c r="A361" t="s">
        <v>2581</v>
      </c>
      <c r="B361" t="s">
        <v>3940</v>
      </c>
      <c r="C361" t="s">
        <v>2582</v>
      </c>
      <c r="D361">
        <v>3.55</v>
      </c>
      <c r="E361" t="s">
        <v>3152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2581</v>
      </c>
      <c r="O361" t="s">
        <v>3166</v>
      </c>
      <c r="P361" t="str">
        <f>_xlfn.XLOOKUP(A361,'Classic Net to delete'!D:D,'Classic Net to delete'!A:A,"")</f>
        <v/>
      </c>
    </row>
    <row r="362" spans="1:16" x14ac:dyDescent="0.25">
      <c r="A362" t="s">
        <v>2579</v>
      </c>
      <c r="B362" t="s">
        <v>3940</v>
      </c>
      <c r="C362" t="s">
        <v>2580</v>
      </c>
      <c r="D362">
        <v>3.55</v>
      </c>
      <c r="E362" t="s">
        <v>3152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2579</v>
      </c>
      <c r="O362" t="s">
        <v>3166</v>
      </c>
      <c r="P362" t="str">
        <f>_xlfn.XLOOKUP(A362,'Classic Net to delete'!D:D,'Classic Net to delete'!A:A,"")</f>
        <v/>
      </c>
    </row>
    <row r="363" spans="1:16" x14ac:dyDescent="0.25">
      <c r="A363" t="s">
        <v>2577</v>
      </c>
      <c r="B363" t="s">
        <v>3940</v>
      </c>
      <c r="C363" t="s">
        <v>2578</v>
      </c>
      <c r="D363">
        <v>3.55</v>
      </c>
      <c r="E363" t="s">
        <v>3152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2577</v>
      </c>
      <c r="O363" t="s">
        <v>3166</v>
      </c>
      <c r="P363" t="str">
        <f>_xlfn.XLOOKUP(A363,'Classic Net to delete'!D:D,'Classic Net to delete'!A:A,"")</f>
        <v/>
      </c>
    </row>
    <row r="364" spans="1:16" x14ac:dyDescent="0.25">
      <c r="A364" t="s">
        <v>2575</v>
      </c>
      <c r="B364" t="s">
        <v>3940</v>
      </c>
      <c r="C364" t="s">
        <v>2576</v>
      </c>
      <c r="D364">
        <v>3.55</v>
      </c>
      <c r="E364" t="s">
        <v>3152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2575</v>
      </c>
      <c r="O364" t="s">
        <v>3166</v>
      </c>
      <c r="P364" t="str">
        <f>_xlfn.XLOOKUP(A364,'Classic Net to delete'!D:D,'Classic Net to delete'!A:A,"")</f>
        <v/>
      </c>
    </row>
    <row r="365" spans="1:16" x14ac:dyDescent="0.25">
      <c r="A365" t="s">
        <v>2573</v>
      </c>
      <c r="B365" t="s">
        <v>3940</v>
      </c>
      <c r="C365" t="s">
        <v>2574</v>
      </c>
      <c r="D365">
        <v>3.55</v>
      </c>
      <c r="E365" t="s">
        <v>3152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2573</v>
      </c>
      <c r="O365" t="s">
        <v>3166</v>
      </c>
      <c r="P365" t="str">
        <f>_xlfn.XLOOKUP(A365,'Classic Net to delete'!D:D,'Classic Net to delete'!A:A,"")</f>
        <v/>
      </c>
    </row>
    <row r="366" spans="1:16" x14ac:dyDescent="0.25">
      <c r="A366" t="s">
        <v>2571</v>
      </c>
      <c r="B366" t="s">
        <v>3940</v>
      </c>
      <c r="C366" t="s">
        <v>2572</v>
      </c>
      <c r="D366">
        <v>3.55</v>
      </c>
      <c r="E366" t="s">
        <v>3152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2571</v>
      </c>
      <c r="O366" t="s">
        <v>3166</v>
      </c>
      <c r="P366" t="str">
        <f>_xlfn.XLOOKUP(A366,'Classic Net to delete'!D:D,'Classic Net to delete'!A:A,"")</f>
        <v/>
      </c>
    </row>
    <row r="367" spans="1:16" x14ac:dyDescent="0.25">
      <c r="A367" t="s">
        <v>2569</v>
      </c>
      <c r="B367" t="s">
        <v>3940</v>
      </c>
      <c r="C367" t="s">
        <v>2570</v>
      </c>
      <c r="D367">
        <v>3.55</v>
      </c>
      <c r="E367" t="s">
        <v>3152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2569</v>
      </c>
      <c r="O367" t="s">
        <v>3166</v>
      </c>
      <c r="P367" t="str">
        <f>_xlfn.XLOOKUP(A367,'Classic Net to delete'!D:D,'Classic Net to delete'!A:A,"")</f>
        <v/>
      </c>
    </row>
    <row r="368" spans="1:16" x14ac:dyDescent="0.25">
      <c r="A368" t="s">
        <v>2567</v>
      </c>
      <c r="B368" t="s">
        <v>3940</v>
      </c>
      <c r="C368" t="s">
        <v>2568</v>
      </c>
      <c r="D368">
        <v>3.55</v>
      </c>
      <c r="E368" t="s">
        <v>3152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2567</v>
      </c>
      <c r="O368" t="s">
        <v>3166</v>
      </c>
      <c r="P368" t="str">
        <f>_xlfn.XLOOKUP(A368,'Classic Net to delete'!D:D,'Classic Net to delete'!A:A,"")</f>
        <v/>
      </c>
    </row>
    <row r="369" spans="1:16" x14ac:dyDescent="0.25">
      <c r="A369" t="s">
        <v>2565</v>
      </c>
      <c r="B369" t="s">
        <v>3940</v>
      </c>
      <c r="C369" t="s">
        <v>2566</v>
      </c>
      <c r="D369">
        <v>3.55</v>
      </c>
      <c r="E369" t="s">
        <v>3152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2565</v>
      </c>
      <c r="O369" t="s">
        <v>3166</v>
      </c>
      <c r="P369" t="str">
        <f>_xlfn.XLOOKUP(A369,'Classic Net to delete'!D:D,'Classic Net to delete'!A:A,"")</f>
        <v/>
      </c>
    </row>
    <row r="370" spans="1:16" x14ac:dyDescent="0.25">
      <c r="A370" t="s">
        <v>2563</v>
      </c>
      <c r="B370" t="s">
        <v>3940</v>
      </c>
      <c r="C370" t="s">
        <v>2564</v>
      </c>
      <c r="D370">
        <v>3.55</v>
      </c>
      <c r="E370" t="s">
        <v>3152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2563</v>
      </c>
      <c r="O370" t="s">
        <v>3166</v>
      </c>
      <c r="P370" t="str">
        <f>_xlfn.XLOOKUP(A370,'Classic Net to delete'!D:D,'Classic Net to delete'!A:A,"")</f>
        <v/>
      </c>
    </row>
    <row r="371" spans="1:16" x14ac:dyDescent="0.25">
      <c r="A371" t="s">
        <v>2561</v>
      </c>
      <c r="B371" t="s">
        <v>3940</v>
      </c>
      <c r="C371" t="s">
        <v>2562</v>
      </c>
      <c r="D371">
        <v>3.55</v>
      </c>
      <c r="E371" t="s">
        <v>3152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2561</v>
      </c>
      <c r="O371" t="s">
        <v>3166</v>
      </c>
      <c r="P371" t="str">
        <f>_xlfn.XLOOKUP(A371,'Classic Net to delete'!D:D,'Classic Net to delete'!A:A,"")</f>
        <v/>
      </c>
    </row>
    <row r="372" spans="1:16" x14ac:dyDescent="0.25">
      <c r="A372" t="s">
        <v>2559</v>
      </c>
      <c r="B372" t="s">
        <v>3940</v>
      </c>
      <c r="C372" t="s">
        <v>2560</v>
      </c>
      <c r="D372">
        <v>3.55</v>
      </c>
      <c r="E372" t="s">
        <v>3152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2559</v>
      </c>
      <c r="O372" t="s">
        <v>3166</v>
      </c>
      <c r="P372" t="str">
        <f>_xlfn.XLOOKUP(A372,'Classic Net to delete'!D:D,'Classic Net to delete'!A:A,"")</f>
        <v/>
      </c>
    </row>
    <row r="373" spans="1:16" x14ac:dyDescent="0.25">
      <c r="A373" t="s">
        <v>2557</v>
      </c>
      <c r="B373" t="s">
        <v>3940</v>
      </c>
      <c r="C373" t="s">
        <v>2558</v>
      </c>
      <c r="D373">
        <v>3.55</v>
      </c>
      <c r="E373" t="s">
        <v>3152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2557</v>
      </c>
      <c r="O373" t="s">
        <v>3166</v>
      </c>
      <c r="P373" t="str">
        <f>_xlfn.XLOOKUP(A373,'Classic Net to delete'!D:D,'Classic Net to delete'!A:A,"")</f>
        <v/>
      </c>
    </row>
    <row r="374" spans="1:16" x14ac:dyDescent="0.25">
      <c r="A374" t="s">
        <v>2555</v>
      </c>
      <c r="B374" t="s">
        <v>3940</v>
      </c>
      <c r="C374" t="s">
        <v>2556</v>
      </c>
      <c r="D374">
        <v>3.55</v>
      </c>
      <c r="E374" t="s">
        <v>3152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2555</v>
      </c>
      <c r="O374" t="s">
        <v>3166</v>
      </c>
      <c r="P374" t="str">
        <f>_xlfn.XLOOKUP(A374,'Classic Net to delete'!D:D,'Classic Net to delete'!A:A,"")</f>
        <v/>
      </c>
    </row>
    <row r="375" spans="1:16" x14ac:dyDescent="0.25">
      <c r="A375" t="s">
        <v>2553</v>
      </c>
      <c r="B375" t="s">
        <v>3940</v>
      </c>
      <c r="C375" t="s">
        <v>2554</v>
      </c>
      <c r="D375">
        <v>3.55</v>
      </c>
      <c r="E375" t="s">
        <v>3152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2553</v>
      </c>
      <c r="O375" t="s">
        <v>3166</v>
      </c>
      <c r="P375" t="str">
        <f>_xlfn.XLOOKUP(A375,'Classic Net to delete'!D:D,'Classic Net to delete'!A:A,"")</f>
        <v/>
      </c>
    </row>
    <row r="376" spans="1:16" x14ac:dyDescent="0.25">
      <c r="A376" t="s">
        <v>2551</v>
      </c>
      <c r="B376" t="s">
        <v>3940</v>
      </c>
      <c r="C376" t="s">
        <v>2552</v>
      </c>
      <c r="D376">
        <v>3.55</v>
      </c>
      <c r="E376" t="s">
        <v>3152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2551</v>
      </c>
      <c r="O376" t="s">
        <v>3166</v>
      </c>
      <c r="P376" t="str">
        <f>_xlfn.XLOOKUP(A376,'Classic Net to delete'!D:D,'Classic Net to delete'!A:A,"")</f>
        <v/>
      </c>
    </row>
    <row r="377" spans="1:16" x14ac:dyDescent="0.25">
      <c r="A377" t="s">
        <v>2549</v>
      </c>
      <c r="B377" t="s">
        <v>3940</v>
      </c>
      <c r="C377" t="s">
        <v>2550</v>
      </c>
      <c r="D377">
        <v>3.55</v>
      </c>
      <c r="E377" t="s">
        <v>3152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2549</v>
      </c>
      <c r="O377" t="s">
        <v>3166</v>
      </c>
      <c r="P377" t="str">
        <f>_xlfn.XLOOKUP(A377,'Classic Net to delete'!D:D,'Classic Net to delete'!A:A,"")</f>
        <v/>
      </c>
    </row>
    <row r="378" spans="1:16" x14ac:dyDescent="0.25">
      <c r="A378" t="s">
        <v>2547</v>
      </c>
      <c r="B378" t="s">
        <v>3941</v>
      </c>
      <c r="C378" t="s">
        <v>2548</v>
      </c>
      <c r="D378">
        <v>4.75</v>
      </c>
      <c r="E378" t="s">
        <v>3152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2547</v>
      </c>
      <c r="O378" t="s">
        <v>3165</v>
      </c>
      <c r="P378" t="str">
        <f>_xlfn.XLOOKUP(A378,'Classic Net to delete'!D:D,'Classic Net to delete'!A:A,"")</f>
        <v/>
      </c>
    </row>
    <row r="379" spans="1:16" x14ac:dyDescent="0.25">
      <c r="A379" t="s">
        <v>2545</v>
      </c>
      <c r="B379" t="s">
        <v>3941</v>
      </c>
      <c r="C379" t="s">
        <v>2546</v>
      </c>
      <c r="D379">
        <v>10.050000000000001</v>
      </c>
      <c r="E379" t="s">
        <v>3152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2545</v>
      </c>
      <c r="O379" t="s">
        <v>3165</v>
      </c>
      <c r="P379" t="str">
        <f>_xlfn.XLOOKUP(A379,'Classic Net to delete'!D:D,'Classic Net to delete'!A:A,"")</f>
        <v/>
      </c>
    </row>
    <row r="380" spans="1:16" x14ac:dyDescent="0.25">
      <c r="A380" t="s">
        <v>2543</v>
      </c>
      <c r="B380" t="s">
        <v>3941</v>
      </c>
      <c r="C380" t="s">
        <v>2544</v>
      </c>
      <c r="D380">
        <v>4.75</v>
      </c>
      <c r="E380" t="s">
        <v>3152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2543</v>
      </c>
      <c r="O380" t="s">
        <v>3165</v>
      </c>
      <c r="P380" t="str">
        <f>_xlfn.XLOOKUP(A380,'Classic Net to delete'!D:D,'Classic Net to delete'!A:A,"")</f>
        <v/>
      </c>
    </row>
    <row r="381" spans="1:16" x14ac:dyDescent="0.25">
      <c r="A381" t="s">
        <v>2541</v>
      </c>
      <c r="B381" t="s">
        <v>3941</v>
      </c>
      <c r="C381" t="s">
        <v>2542</v>
      </c>
      <c r="D381">
        <v>4.75</v>
      </c>
      <c r="E381" t="s">
        <v>3152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2541</v>
      </c>
      <c r="O381" t="s">
        <v>3165</v>
      </c>
      <c r="P381" t="str">
        <f>_xlfn.XLOOKUP(A381,'Classic Net to delete'!D:D,'Classic Net to delete'!A:A,"")</f>
        <v/>
      </c>
    </row>
    <row r="382" spans="1:16" x14ac:dyDescent="0.25">
      <c r="A382" t="s">
        <v>2539</v>
      </c>
      <c r="B382" t="s">
        <v>3941</v>
      </c>
      <c r="C382" t="s">
        <v>2540</v>
      </c>
      <c r="D382">
        <v>4.75</v>
      </c>
      <c r="E382" t="s">
        <v>3152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2539</v>
      </c>
      <c r="O382" t="s">
        <v>3165</v>
      </c>
      <c r="P382" t="str">
        <f>_xlfn.XLOOKUP(A382,'Classic Net to delete'!D:D,'Classic Net to delete'!A:A,"")</f>
        <v/>
      </c>
    </row>
    <row r="383" spans="1:16" x14ac:dyDescent="0.25">
      <c r="A383" t="s">
        <v>2537</v>
      </c>
      <c r="B383" t="s">
        <v>3941</v>
      </c>
      <c r="C383" t="s">
        <v>2538</v>
      </c>
      <c r="D383">
        <v>2.1</v>
      </c>
      <c r="E383" t="s">
        <v>3152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2537</v>
      </c>
      <c r="O383" t="s">
        <v>3165</v>
      </c>
      <c r="P383" t="str">
        <f>_xlfn.XLOOKUP(A383,'Classic Net to delete'!D:D,'Classic Net to delete'!A:A,"")</f>
        <v/>
      </c>
    </row>
    <row r="384" spans="1:16" x14ac:dyDescent="0.25">
      <c r="A384" t="s">
        <v>2535</v>
      </c>
      <c r="B384" t="s">
        <v>3941</v>
      </c>
      <c r="C384" t="s">
        <v>2536</v>
      </c>
      <c r="D384">
        <v>9.15</v>
      </c>
      <c r="E384" t="s">
        <v>3152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2535</v>
      </c>
      <c r="O384" t="s">
        <v>3165</v>
      </c>
      <c r="P384" t="str">
        <f>_xlfn.XLOOKUP(A384,'Classic Net to delete'!D:D,'Classic Net to delete'!A:A,"")</f>
        <v/>
      </c>
    </row>
    <row r="385" spans="1:16" x14ac:dyDescent="0.25">
      <c r="A385" t="s">
        <v>2533</v>
      </c>
      <c r="B385" t="s">
        <v>3941</v>
      </c>
      <c r="C385" t="s">
        <v>2534</v>
      </c>
      <c r="D385">
        <v>4.75</v>
      </c>
      <c r="E385" t="s">
        <v>3152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2533</v>
      </c>
      <c r="O385" t="s">
        <v>3165</v>
      </c>
      <c r="P385" t="str">
        <f>_xlfn.XLOOKUP(A385,'Classic Net to delete'!D:D,'Classic Net to delete'!A:A,"")</f>
        <v/>
      </c>
    </row>
    <row r="386" spans="1:16" x14ac:dyDescent="0.25">
      <c r="A386" t="s">
        <v>2531</v>
      </c>
      <c r="B386" t="s">
        <v>3941</v>
      </c>
      <c r="C386" t="s">
        <v>2532</v>
      </c>
      <c r="D386">
        <v>4.75</v>
      </c>
      <c r="E386" t="s">
        <v>3152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2531</v>
      </c>
      <c r="O386" t="s">
        <v>3165</v>
      </c>
      <c r="P386" t="str">
        <f>_xlfn.XLOOKUP(A386,'Classic Net to delete'!D:D,'Classic Net to delete'!A:A,"")</f>
        <v/>
      </c>
    </row>
    <row r="387" spans="1:16" x14ac:dyDescent="0.25">
      <c r="A387" t="s">
        <v>2529</v>
      </c>
      <c r="B387" t="s">
        <v>3941</v>
      </c>
      <c r="C387" t="s">
        <v>2530</v>
      </c>
      <c r="D387">
        <v>2.1</v>
      </c>
      <c r="E387" t="s">
        <v>3152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2529</v>
      </c>
      <c r="O387" t="s">
        <v>3165</v>
      </c>
      <c r="P387" t="str">
        <f>_xlfn.XLOOKUP(A387,'Classic Net to delete'!D:D,'Classic Net to delete'!A:A,"")</f>
        <v/>
      </c>
    </row>
    <row r="388" spans="1:16" x14ac:dyDescent="0.25">
      <c r="A388" t="s">
        <v>2527</v>
      </c>
      <c r="B388" t="s">
        <v>3941</v>
      </c>
      <c r="C388" t="s">
        <v>2528</v>
      </c>
      <c r="D388">
        <v>2.1</v>
      </c>
      <c r="E388" t="s">
        <v>3152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2527</v>
      </c>
      <c r="O388" t="s">
        <v>3165</v>
      </c>
      <c r="P388" t="str">
        <f>_xlfn.XLOOKUP(A388,'Classic Net to delete'!D:D,'Classic Net to delete'!A:A,"")</f>
        <v/>
      </c>
    </row>
    <row r="389" spans="1:16" x14ac:dyDescent="0.25">
      <c r="A389" t="s">
        <v>2525</v>
      </c>
      <c r="B389" t="s">
        <v>3941</v>
      </c>
      <c r="C389" t="s">
        <v>2526</v>
      </c>
      <c r="D389">
        <v>2.1</v>
      </c>
      <c r="E389" t="s">
        <v>3152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2525</v>
      </c>
      <c r="O389" t="s">
        <v>3165</v>
      </c>
      <c r="P389" t="str">
        <f>_xlfn.XLOOKUP(A389,'Classic Net to delete'!D:D,'Classic Net to delete'!A:A,"")</f>
        <v/>
      </c>
    </row>
    <row r="390" spans="1:16" x14ac:dyDescent="0.25">
      <c r="A390" t="s">
        <v>2523</v>
      </c>
      <c r="B390" t="s">
        <v>3941</v>
      </c>
      <c r="C390" t="s">
        <v>2524</v>
      </c>
      <c r="D390">
        <v>8.5500000000000007</v>
      </c>
      <c r="E390" t="s">
        <v>3152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2523</v>
      </c>
      <c r="O390" t="s">
        <v>3165</v>
      </c>
      <c r="P390" t="str">
        <f>_xlfn.XLOOKUP(A390,'Classic Net to delete'!D:D,'Classic Net to delete'!A:A,"")</f>
        <v/>
      </c>
    </row>
    <row r="391" spans="1:16" x14ac:dyDescent="0.25">
      <c r="A391" t="s">
        <v>2521</v>
      </c>
      <c r="B391" t="s">
        <v>3941</v>
      </c>
      <c r="C391" t="s">
        <v>2522</v>
      </c>
      <c r="D391">
        <v>4.75</v>
      </c>
      <c r="E391" t="s">
        <v>3152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2521</v>
      </c>
      <c r="O391" t="s">
        <v>3165</v>
      </c>
      <c r="P391" t="str">
        <f>_xlfn.XLOOKUP(A391,'Classic Net to delete'!D:D,'Classic Net to delete'!A:A,"")</f>
        <v/>
      </c>
    </row>
    <row r="392" spans="1:16" x14ac:dyDescent="0.25">
      <c r="A392" t="s">
        <v>2519</v>
      </c>
      <c r="B392" t="s">
        <v>3941</v>
      </c>
      <c r="C392" t="s">
        <v>2520</v>
      </c>
      <c r="D392">
        <v>2.1</v>
      </c>
      <c r="E392" t="s">
        <v>3152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2519</v>
      </c>
      <c r="O392" t="s">
        <v>3165</v>
      </c>
      <c r="P392" t="str">
        <f>_xlfn.XLOOKUP(A392,'Classic Net to delete'!D:D,'Classic Net to delete'!A:A,"")</f>
        <v/>
      </c>
    </row>
    <row r="393" spans="1:16" x14ac:dyDescent="0.25">
      <c r="A393" t="s">
        <v>2517</v>
      </c>
      <c r="B393" t="s">
        <v>3941</v>
      </c>
      <c r="C393" t="s">
        <v>2518</v>
      </c>
      <c r="D393">
        <v>2.1</v>
      </c>
      <c r="E393" t="s">
        <v>3152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2517</v>
      </c>
      <c r="O393" t="s">
        <v>3165</v>
      </c>
      <c r="P393" t="str">
        <f>_xlfn.XLOOKUP(A393,'Classic Net to delete'!D:D,'Classic Net to delete'!A:A,"")</f>
        <v/>
      </c>
    </row>
    <row r="394" spans="1:16" x14ac:dyDescent="0.25">
      <c r="A394" t="s">
        <v>2515</v>
      </c>
      <c r="B394" t="s">
        <v>3941</v>
      </c>
      <c r="C394" t="s">
        <v>2516</v>
      </c>
      <c r="D394">
        <v>2.1</v>
      </c>
      <c r="E394" t="s">
        <v>3152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2515</v>
      </c>
      <c r="O394" t="s">
        <v>3165</v>
      </c>
      <c r="P394" t="str">
        <f>_xlfn.XLOOKUP(A394,'Classic Net to delete'!D:D,'Classic Net to delete'!A:A,"")</f>
        <v/>
      </c>
    </row>
    <row r="395" spans="1:16" x14ac:dyDescent="0.25">
      <c r="A395" t="s">
        <v>2513</v>
      </c>
      <c r="B395" t="s">
        <v>3941</v>
      </c>
      <c r="C395" t="s">
        <v>2514</v>
      </c>
      <c r="D395">
        <v>4.75</v>
      </c>
      <c r="E395" t="s">
        <v>3152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2513</v>
      </c>
      <c r="O395" t="s">
        <v>3165</v>
      </c>
      <c r="P395" t="str">
        <f>_xlfn.XLOOKUP(A395,'Classic Net to delete'!D:D,'Classic Net to delete'!A:A,"")</f>
        <v/>
      </c>
    </row>
    <row r="396" spans="1:16" x14ac:dyDescent="0.25">
      <c r="A396" t="s">
        <v>2511</v>
      </c>
      <c r="B396" t="s">
        <v>3941</v>
      </c>
      <c r="C396" t="s">
        <v>2512</v>
      </c>
      <c r="D396">
        <v>4.75</v>
      </c>
      <c r="E396" t="s">
        <v>3152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2511</v>
      </c>
      <c r="O396" t="s">
        <v>3165</v>
      </c>
      <c r="P396" t="str">
        <f>_xlfn.XLOOKUP(A396,'Classic Net to delete'!D:D,'Classic Net to delete'!A:A,"")</f>
        <v/>
      </c>
    </row>
    <row r="397" spans="1:16" x14ac:dyDescent="0.25">
      <c r="A397" t="s">
        <v>2509</v>
      </c>
      <c r="B397" t="s">
        <v>3941</v>
      </c>
      <c r="C397" t="s">
        <v>2510</v>
      </c>
      <c r="D397">
        <v>3.85</v>
      </c>
      <c r="E397" t="s">
        <v>3152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2509</v>
      </c>
      <c r="O397" t="s">
        <v>3165</v>
      </c>
      <c r="P397" t="str">
        <f>_xlfn.XLOOKUP(A397,'Classic Net to delete'!D:D,'Classic Net to delete'!A:A,"")</f>
        <v/>
      </c>
    </row>
    <row r="398" spans="1:16" x14ac:dyDescent="0.25">
      <c r="A398" t="s">
        <v>2507</v>
      </c>
      <c r="B398" t="s">
        <v>3942</v>
      </c>
      <c r="C398" t="s">
        <v>2508</v>
      </c>
      <c r="D398">
        <v>3.55</v>
      </c>
      <c r="E398" t="s">
        <v>3152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2507</v>
      </c>
      <c r="O398" t="s">
        <v>3164</v>
      </c>
      <c r="P398" t="str">
        <f>_xlfn.XLOOKUP(A398,'Classic Net to delete'!D:D,'Classic Net to delete'!A:A,"")</f>
        <v/>
      </c>
    </row>
    <row r="399" spans="1:16" x14ac:dyDescent="0.25">
      <c r="A399" t="s">
        <v>2505</v>
      </c>
      <c r="B399" t="s">
        <v>3942</v>
      </c>
      <c r="C399" t="s">
        <v>2506</v>
      </c>
      <c r="D399">
        <v>3.55</v>
      </c>
      <c r="E399" t="s">
        <v>3152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2505</v>
      </c>
      <c r="O399" t="s">
        <v>3164</v>
      </c>
      <c r="P399" t="str">
        <f>_xlfn.XLOOKUP(A399,'Classic Net to delete'!D:D,'Classic Net to delete'!A:A,"")</f>
        <v/>
      </c>
    </row>
    <row r="400" spans="1:16" x14ac:dyDescent="0.25">
      <c r="A400" t="s">
        <v>2503</v>
      </c>
      <c r="B400" t="s">
        <v>3942</v>
      </c>
      <c r="C400" t="s">
        <v>2504</v>
      </c>
      <c r="D400">
        <v>3.55</v>
      </c>
      <c r="E400" t="s">
        <v>3152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2503</v>
      </c>
      <c r="O400" t="s">
        <v>3164</v>
      </c>
      <c r="P400" t="str">
        <f>_xlfn.XLOOKUP(A400,'Classic Net to delete'!D:D,'Classic Net to delete'!A:A,"")</f>
        <v/>
      </c>
    </row>
    <row r="401" spans="1:16" x14ac:dyDescent="0.25">
      <c r="A401" t="s">
        <v>2501</v>
      </c>
      <c r="B401" t="s">
        <v>3942</v>
      </c>
      <c r="C401" t="s">
        <v>2502</v>
      </c>
      <c r="D401">
        <v>3.55</v>
      </c>
      <c r="E401" t="s">
        <v>3152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2501</v>
      </c>
      <c r="O401" t="s">
        <v>3164</v>
      </c>
      <c r="P401" t="str">
        <f>_xlfn.XLOOKUP(A401,'Classic Net to delete'!D:D,'Classic Net to delete'!A:A,"")</f>
        <v/>
      </c>
    </row>
    <row r="402" spans="1:16" x14ac:dyDescent="0.25">
      <c r="A402" t="s">
        <v>2499</v>
      </c>
      <c r="B402" t="s">
        <v>3942</v>
      </c>
      <c r="C402" t="s">
        <v>2500</v>
      </c>
      <c r="D402">
        <v>3.55</v>
      </c>
      <c r="E402" t="s">
        <v>3152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2499</v>
      </c>
      <c r="O402" t="s">
        <v>3164</v>
      </c>
      <c r="P402" t="str">
        <f>_xlfn.XLOOKUP(A402,'Classic Net to delete'!D:D,'Classic Net to delete'!A:A,"")</f>
        <v/>
      </c>
    </row>
    <row r="403" spans="1:16" x14ac:dyDescent="0.25">
      <c r="A403" t="s">
        <v>2497</v>
      </c>
      <c r="B403" t="s">
        <v>3942</v>
      </c>
      <c r="C403" t="s">
        <v>2498</v>
      </c>
      <c r="D403">
        <v>3.55</v>
      </c>
      <c r="E403" t="s">
        <v>3152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2497</v>
      </c>
      <c r="O403" t="s">
        <v>3164</v>
      </c>
      <c r="P403" t="str">
        <f>_xlfn.XLOOKUP(A403,'Classic Net to delete'!D:D,'Classic Net to delete'!A:A,"")</f>
        <v/>
      </c>
    </row>
    <row r="404" spans="1:16" x14ac:dyDescent="0.25">
      <c r="A404" t="s">
        <v>2495</v>
      </c>
      <c r="B404" t="s">
        <v>3942</v>
      </c>
      <c r="C404" t="s">
        <v>2496</v>
      </c>
      <c r="D404">
        <v>3.55</v>
      </c>
      <c r="E404" t="s">
        <v>3152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2495</v>
      </c>
      <c r="O404" t="s">
        <v>3164</v>
      </c>
      <c r="P404" t="str">
        <f>_xlfn.XLOOKUP(A404,'Classic Net to delete'!D:D,'Classic Net to delete'!A:A,"")</f>
        <v/>
      </c>
    </row>
    <row r="405" spans="1:16" x14ac:dyDescent="0.25">
      <c r="A405" t="s">
        <v>2493</v>
      </c>
      <c r="B405" t="s">
        <v>3942</v>
      </c>
      <c r="C405" t="s">
        <v>2494</v>
      </c>
      <c r="D405">
        <v>3.55</v>
      </c>
      <c r="E405" t="s">
        <v>3152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2493</v>
      </c>
      <c r="O405" t="s">
        <v>3164</v>
      </c>
      <c r="P405" t="str">
        <f>_xlfn.XLOOKUP(A405,'Classic Net to delete'!D:D,'Classic Net to delete'!A:A,"")</f>
        <v/>
      </c>
    </row>
    <row r="406" spans="1:16" x14ac:dyDescent="0.25">
      <c r="A406" t="s">
        <v>2491</v>
      </c>
      <c r="B406" t="s">
        <v>3942</v>
      </c>
      <c r="C406" t="s">
        <v>2492</v>
      </c>
      <c r="D406">
        <v>3.55</v>
      </c>
      <c r="E406" t="s">
        <v>3152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2491</v>
      </c>
      <c r="O406" t="s">
        <v>3164</v>
      </c>
      <c r="P406" t="str">
        <f>_xlfn.XLOOKUP(A406,'Classic Net to delete'!D:D,'Classic Net to delete'!A:A,"")</f>
        <v/>
      </c>
    </row>
    <row r="407" spans="1:16" x14ac:dyDescent="0.25">
      <c r="A407" t="s">
        <v>2489</v>
      </c>
      <c r="B407" t="s">
        <v>3942</v>
      </c>
      <c r="C407" t="s">
        <v>2490</v>
      </c>
      <c r="D407">
        <v>3.55</v>
      </c>
      <c r="E407" t="s">
        <v>3152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2489</v>
      </c>
      <c r="O407" t="s">
        <v>3164</v>
      </c>
      <c r="P407" t="str">
        <f>_xlfn.XLOOKUP(A407,'Classic Net to delete'!D:D,'Classic Net to delete'!A:A,"")</f>
        <v/>
      </c>
    </row>
    <row r="408" spans="1:16" x14ac:dyDescent="0.25">
      <c r="A408" t="s">
        <v>2487</v>
      </c>
      <c r="B408" t="s">
        <v>3942</v>
      </c>
      <c r="C408" t="s">
        <v>2488</v>
      </c>
      <c r="D408">
        <v>3.55</v>
      </c>
      <c r="E408" t="s">
        <v>3152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2487</v>
      </c>
      <c r="O408" t="s">
        <v>3164</v>
      </c>
      <c r="P408" t="str">
        <f>_xlfn.XLOOKUP(A408,'Classic Net to delete'!D:D,'Classic Net to delete'!A:A,"")</f>
        <v/>
      </c>
    </row>
    <row r="409" spans="1:16" x14ac:dyDescent="0.25">
      <c r="A409" t="s">
        <v>2485</v>
      </c>
      <c r="B409" t="s">
        <v>3942</v>
      </c>
      <c r="C409" t="s">
        <v>2486</v>
      </c>
      <c r="D409">
        <v>3.55</v>
      </c>
      <c r="E409" t="s">
        <v>3152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2485</v>
      </c>
      <c r="O409" t="s">
        <v>3164</v>
      </c>
      <c r="P409" t="str">
        <f>_xlfn.XLOOKUP(A409,'Classic Net to delete'!D:D,'Classic Net to delete'!A:A,"")</f>
        <v/>
      </c>
    </row>
    <row r="410" spans="1:16" x14ac:dyDescent="0.25">
      <c r="A410" t="s">
        <v>2483</v>
      </c>
      <c r="B410" t="s">
        <v>3942</v>
      </c>
      <c r="C410" t="s">
        <v>2484</v>
      </c>
      <c r="D410">
        <v>3.55</v>
      </c>
      <c r="E410" t="s">
        <v>3152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2483</v>
      </c>
      <c r="O410" t="s">
        <v>3164</v>
      </c>
      <c r="P410" t="str">
        <f>_xlfn.XLOOKUP(A410,'Classic Net to delete'!D:D,'Classic Net to delete'!A:A,"")</f>
        <v/>
      </c>
    </row>
    <row r="411" spans="1:16" x14ac:dyDescent="0.25">
      <c r="A411" t="s">
        <v>2481</v>
      </c>
      <c r="B411" t="s">
        <v>3942</v>
      </c>
      <c r="C411" t="s">
        <v>2482</v>
      </c>
      <c r="D411">
        <v>3.55</v>
      </c>
      <c r="E411" t="s">
        <v>3152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2481</v>
      </c>
      <c r="O411" t="s">
        <v>3164</v>
      </c>
      <c r="P411" t="str">
        <f>_xlfn.XLOOKUP(A411,'Classic Net to delete'!D:D,'Classic Net to delete'!A:A,"")</f>
        <v/>
      </c>
    </row>
    <row r="412" spans="1:16" x14ac:dyDescent="0.25">
      <c r="A412" t="s">
        <v>2479</v>
      </c>
      <c r="B412" t="s">
        <v>3942</v>
      </c>
      <c r="C412" t="s">
        <v>2480</v>
      </c>
      <c r="D412">
        <v>3.55</v>
      </c>
      <c r="E412" t="s">
        <v>3152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2479</v>
      </c>
      <c r="O412" t="s">
        <v>3164</v>
      </c>
      <c r="P412" t="str">
        <f>_xlfn.XLOOKUP(A412,'Classic Net to delete'!D:D,'Classic Net to delete'!A:A,"")</f>
        <v/>
      </c>
    </row>
    <row r="413" spans="1:16" x14ac:dyDescent="0.25">
      <c r="A413" t="s">
        <v>2477</v>
      </c>
      <c r="B413" t="s">
        <v>3253</v>
      </c>
      <c r="C413" t="s">
        <v>2478</v>
      </c>
      <c r="D413">
        <v>21.85</v>
      </c>
      <c r="E413" t="s">
        <v>3152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2477</v>
      </c>
      <c r="O413" t="s">
        <v>717</v>
      </c>
      <c r="P413" t="str">
        <f>_xlfn.XLOOKUP(A413,'Classic Net to delete'!D:D,'Classic Net to delete'!A:A,"")</f>
        <v/>
      </c>
    </row>
    <row r="414" spans="1:16" x14ac:dyDescent="0.25">
      <c r="A414" t="s">
        <v>2475</v>
      </c>
      <c r="B414" t="s">
        <v>3253</v>
      </c>
      <c r="C414" t="s">
        <v>2476</v>
      </c>
      <c r="D414">
        <v>21.85</v>
      </c>
      <c r="E414" t="s">
        <v>3152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2475</v>
      </c>
      <c r="O414" t="s">
        <v>717</v>
      </c>
      <c r="P414" t="str">
        <f>_xlfn.XLOOKUP(A414,'Classic Net to delete'!D:D,'Classic Net to delete'!A:A,"")</f>
        <v/>
      </c>
    </row>
    <row r="415" spans="1:16" x14ac:dyDescent="0.25">
      <c r="A415" t="s">
        <v>2473</v>
      </c>
      <c r="B415" t="s">
        <v>3253</v>
      </c>
      <c r="C415" t="s">
        <v>2474</v>
      </c>
      <c r="D415">
        <v>9.85</v>
      </c>
      <c r="E415" t="s">
        <v>3152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2473</v>
      </c>
      <c r="O415" t="s">
        <v>717</v>
      </c>
      <c r="P415" t="str">
        <f>_xlfn.XLOOKUP(A415,'Classic Net to delete'!D:D,'Classic Net to delete'!A:A,"")</f>
        <v/>
      </c>
    </row>
    <row r="416" spans="1:16" x14ac:dyDescent="0.25">
      <c r="A416" t="s">
        <v>2471</v>
      </c>
      <c r="B416" t="s">
        <v>3253</v>
      </c>
      <c r="C416" t="s">
        <v>2472</v>
      </c>
      <c r="D416">
        <v>21.85</v>
      </c>
      <c r="E416" t="s">
        <v>3152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2471</v>
      </c>
      <c r="O416" t="s">
        <v>717</v>
      </c>
      <c r="P416" t="str">
        <f>_xlfn.XLOOKUP(A416,'Classic Net to delete'!D:D,'Classic Net to delete'!A:A,"")</f>
        <v/>
      </c>
    </row>
    <row r="417" spans="1:16" x14ac:dyDescent="0.25">
      <c r="A417" t="s">
        <v>642</v>
      </c>
      <c r="B417" t="s">
        <v>3253</v>
      </c>
      <c r="C417" t="s">
        <v>643</v>
      </c>
      <c r="D417">
        <v>14.8</v>
      </c>
      <c r="E417" t="s">
        <v>3152</v>
      </c>
      <c r="F417" s="186" t="s">
        <v>719</v>
      </c>
      <c r="H417" t="b">
        <v>1</v>
      </c>
      <c r="I417">
        <v>9.8500000000000014</v>
      </c>
      <c r="J417" s="186" t="s">
        <v>3943</v>
      </c>
      <c r="M417" t="str">
        <f>IFERROR(_xlfn.XLOOKUP(A417,Fleet!A:A,Fleet!E:E,""),"")</f>
        <v/>
      </c>
      <c r="N417" t="s">
        <v>642</v>
      </c>
      <c r="O417" t="s">
        <v>717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642</v>
      </c>
      <c r="B418" t="s">
        <v>3253</v>
      </c>
      <c r="C418" t="s">
        <v>643</v>
      </c>
      <c r="D418">
        <v>14.35</v>
      </c>
      <c r="E418" t="s">
        <v>3152</v>
      </c>
      <c r="F418" s="186" t="s">
        <v>719</v>
      </c>
      <c r="H418" t="b">
        <v>1</v>
      </c>
      <c r="I418">
        <v>9.8500000000000014</v>
      </c>
      <c r="J418" s="186" t="s">
        <v>3943</v>
      </c>
      <c r="M418" t="str">
        <f>IFERROR(_xlfn.XLOOKUP(A418,Fleet!A:A,Fleet!E:E,""),"")</f>
        <v/>
      </c>
      <c r="N418" t="s">
        <v>642</v>
      </c>
      <c r="O418" t="s">
        <v>717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2469</v>
      </c>
      <c r="B419" t="s">
        <v>3253</v>
      </c>
      <c r="C419" t="s">
        <v>2470</v>
      </c>
      <c r="D419">
        <v>9.85</v>
      </c>
      <c r="E419" t="s">
        <v>3152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2469</v>
      </c>
      <c r="O419" t="s">
        <v>717</v>
      </c>
      <c r="P419" t="str">
        <f>_xlfn.XLOOKUP(A419,'Classic Net to delete'!D:D,'Classic Net to delete'!A:A,"")</f>
        <v/>
      </c>
    </row>
    <row r="420" spans="1:16" x14ac:dyDescent="0.25">
      <c r="A420" t="s">
        <v>2467</v>
      </c>
      <c r="B420" t="s">
        <v>3253</v>
      </c>
      <c r="C420" t="s">
        <v>2468</v>
      </c>
      <c r="D420">
        <v>14.8</v>
      </c>
      <c r="E420" t="s">
        <v>3152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2467</v>
      </c>
      <c r="O420" t="s">
        <v>717</v>
      </c>
      <c r="P420" t="str">
        <f>_xlfn.XLOOKUP(A420,'Classic Net to delete'!D:D,'Classic Net to delete'!A:A,"")</f>
        <v/>
      </c>
    </row>
    <row r="421" spans="1:16" x14ac:dyDescent="0.25">
      <c r="A421" t="s">
        <v>631</v>
      </c>
      <c r="B421" t="s">
        <v>3253</v>
      </c>
      <c r="C421" t="s">
        <v>3159</v>
      </c>
      <c r="D421">
        <v>14.8</v>
      </c>
      <c r="E421" t="s">
        <v>3152</v>
      </c>
      <c r="F421" s="186" t="s">
        <v>719</v>
      </c>
      <c r="H421" t="b">
        <v>1</v>
      </c>
      <c r="I421">
        <v>14.8</v>
      </c>
      <c r="J421" s="186" t="s">
        <v>3943</v>
      </c>
      <c r="M421" t="str">
        <f>IFERROR(_xlfn.XLOOKUP(A421,Fleet!A:A,Fleet!E:E,""),"")</f>
        <v/>
      </c>
      <c r="N421" t="s">
        <v>631</v>
      </c>
      <c r="O421" t="s">
        <v>717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620</v>
      </c>
      <c r="B422" t="s">
        <v>3253</v>
      </c>
      <c r="C422" t="s">
        <v>3158</v>
      </c>
      <c r="D422">
        <v>9.85</v>
      </c>
      <c r="E422" t="s">
        <v>3152</v>
      </c>
      <c r="F422" s="186" t="s">
        <v>719</v>
      </c>
      <c r="H422" t="b">
        <v>1</v>
      </c>
      <c r="I422">
        <v>9.8500000000000014</v>
      </c>
      <c r="J422" s="186" t="s">
        <v>3943</v>
      </c>
      <c r="M422" t="str">
        <f>IFERROR(_xlfn.XLOOKUP(A422,Fleet!A:A,Fleet!E:E,""),"")</f>
        <v/>
      </c>
      <c r="N422" t="s">
        <v>620</v>
      </c>
      <c r="O422" t="s">
        <v>717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2465</v>
      </c>
      <c r="B423" t="s">
        <v>3253</v>
      </c>
      <c r="C423" t="s">
        <v>2466</v>
      </c>
      <c r="D423">
        <v>9.85</v>
      </c>
      <c r="E423" t="s">
        <v>3152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2465</v>
      </c>
      <c r="O423" t="s">
        <v>717</v>
      </c>
      <c r="P423" t="str">
        <f>_xlfn.XLOOKUP(A423,'Classic Net to delete'!D:D,'Classic Net to delete'!A:A,"")</f>
        <v/>
      </c>
    </row>
    <row r="424" spans="1:16" x14ac:dyDescent="0.25">
      <c r="A424" t="s">
        <v>2463</v>
      </c>
      <c r="B424" t="s">
        <v>3253</v>
      </c>
      <c r="C424" t="s">
        <v>2464</v>
      </c>
      <c r="D424">
        <v>9.85</v>
      </c>
      <c r="E424" t="s">
        <v>3152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2463</v>
      </c>
      <c r="O424" t="s">
        <v>717</v>
      </c>
      <c r="P424" t="str">
        <f>_xlfn.XLOOKUP(A424,'Classic Net to delete'!D:D,'Classic Net to delete'!A:A,"")</f>
        <v/>
      </c>
    </row>
    <row r="425" spans="1:16" x14ac:dyDescent="0.25">
      <c r="A425" t="s">
        <v>2461</v>
      </c>
      <c r="B425" t="s">
        <v>3944</v>
      </c>
      <c r="C425" t="s">
        <v>2462</v>
      </c>
      <c r="D425">
        <v>18.899999999999999</v>
      </c>
      <c r="E425" t="s">
        <v>3152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2461</v>
      </c>
      <c r="O425" t="s">
        <v>3157</v>
      </c>
      <c r="P425" t="str">
        <f>_xlfn.XLOOKUP(A425,'Classic Net to delete'!D:D,'Classic Net to delete'!A:A,"")</f>
        <v/>
      </c>
    </row>
    <row r="426" spans="1:16" x14ac:dyDescent="0.25">
      <c r="A426" t="s">
        <v>2459</v>
      </c>
      <c r="B426" t="s">
        <v>3944</v>
      </c>
      <c r="C426" t="s">
        <v>2460</v>
      </c>
      <c r="D426">
        <v>31.55</v>
      </c>
      <c r="E426" t="s">
        <v>3152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2459</v>
      </c>
      <c r="O426" t="s">
        <v>3157</v>
      </c>
      <c r="P426" t="str">
        <f>_xlfn.XLOOKUP(A426,'Classic Net to delete'!D:D,'Classic Net to delete'!A:A,"")</f>
        <v/>
      </c>
    </row>
    <row r="427" spans="1:16" x14ac:dyDescent="0.25">
      <c r="A427" t="s">
        <v>2457</v>
      </c>
      <c r="B427" t="s">
        <v>3944</v>
      </c>
      <c r="C427" t="s">
        <v>2458</v>
      </c>
      <c r="D427">
        <v>11.8</v>
      </c>
      <c r="E427" t="s">
        <v>3152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2457</v>
      </c>
      <c r="O427" t="s">
        <v>3157</v>
      </c>
      <c r="P427" t="str">
        <f>_xlfn.XLOOKUP(A427,'Classic Net to delete'!D:D,'Classic Net to delete'!A:A,"")</f>
        <v/>
      </c>
    </row>
    <row r="428" spans="1:16" x14ac:dyDescent="0.25">
      <c r="A428" t="s">
        <v>2455</v>
      </c>
      <c r="B428" t="s">
        <v>3944</v>
      </c>
      <c r="C428" t="s">
        <v>2456</v>
      </c>
      <c r="D428">
        <v>11.8</v>
      </c>
      <c r="E428" t="s">
        <v>3152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2455</v>
      </c>
      <c r="O428" t="s">
        <v>3157</v>
      </c>
      <c r="P428" t="str">
        <f>_xlfn.XLOOKUP(A428,'Classic Net to delete'!D:D,'Classic Net to delete'!A:A,"")</f>
        <v/>
      </c>
    </row>
    <row r="429" spans="1:16" x14ac:dyDescent="0.25">
      <c r="A429" t="s">
        <v>2453</v>
      </c>
      <c r="B429" t="s">
        <v>3944</v>
      </c>
      <c r="C429" t="s">
        <v>2454</v>
      </c>
      <c r="D429">
        <v>3.85</v>
      </c>
      <c r="E429" t="s">
        <v>3152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2453</v>
      </c>
      <c r="O429" t="s">
        <v>3157</v>
      </c>
      <c r="P429" t="str">
        <f>_xlfn.XLOOKUP(A429,'Classic Net to delete'!D:D,'Classic Net to delete'!A:A,"")</f>
        <v/>
      </c>
    </row>
    <row r="430" spans="1:16" x14ac:dyDescent="0.25">
      <c r="A430" t="s">
        <v>2451</v>
      </c>
      <c r="B430" t="s">
        <v>3944</v>
      </c>
      <c r="C430" t="s">
        <v>2452</v>
      </c>
      <c r="D430">
        <v>3.85</v>
      </c>
      <c r="E430" t="s">
        <v>3152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2451</v>
      </c>
      <c r="O430" t="s">
        <v>3157</v>
      </c>
      <c r="P430" t="str">
        <f>_xlfn.XLOOKUP(A430,'Classic Net to delete'!D:D,'Classic Net to delete'!A:A,"")</f>
        <v/>
      </c>
    </row>
    <row r="431" spans="1:16" x14ac:dyDescent="0.25">
      <c r="A431" t="s">
        <v>2449</v>
      </c>
      <c r="B431" t="s">
        <v>3944</v>
      </c>
      <c r="C431" t="s">
        <v>2450</v>
      </c>
      <c r="D431">
        <v>3.85</v>
      </c>
      <c r="E431" t="s">
        <v>3152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2449</v>
      </c>
      <c r="O431" t="s">
        <v>3157</v>
      </c>
      <c r="P431" t="str">
        <f>_xlfn.XLOOKUP(A431,'Classic Net to delete'!D:D,'Classic Net to delete'!A:A,"")</f>
        <v/>
      </c>
    </row>
    <row r="432" spans="1:16" x14ac:dyDescent="0.25">
      <c r="A432" t="s">
        <v>2447</v>
      </c>
      <c r="B432" t="s">
        <v>3944</v>
      </c>
      <c r="C432" t="s">
        <v>2448</v>
      </c>
      <c r="D432">
        <v>4.1500000000000004</v>
      </c>
      <c r="E432" t="s">
        <v>3152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2447</v>
      </c>
      <c r="O432" t="s">
        <v>3157</v>
      </c>
      <c r="P432" t="str">
        <f>_xlfn.XLOOKUP(A432,'Classic Net to delete'!D:D,'Classic Net to delete'!A:A,"")</f>
        <v/>
      </c>
    </row>
    <row r="433" spans="1:16" x14ac:dyDescent="0.25">
      <c r="A433" t="s">
        <v>2445</v>
      </c>
      <c r="B433" t="s">
        <v>3944</v>
      </c>
      <c r="C433" t="s">
        <v>2446</v>
      </c>
      <c r="D433">
        <v>2.7</v>
      </c>
      <c r="E433" t="s">
        <v>3152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2445</v>
      </c>
      <c r="O433" t="s">
        <v>3157</v>
      </c>
      <c r="P433" t="str">
        <f>_xlfn.XLOOKUP(A433,'Classic Net to delete'!D:D,'Classic Net to delete'!A:A,"")</f>
        <v/>
      </c>
    </row>
    <row r="434" spans="1:16" x14ac:dyDescent="0.25">
      <c r="A434" t="s">
        <v>532</v>
      </c>
      <c r="B434" t="s">
        <v>3944</v>
      </c>
      <c r="C434" t="s">
        <v>533</v>
      </c>
      <c r="D434">
        <v>10.6</v>
      </c>
      <c r="E434" t="s">
        <v>3152</v>
      </c>
      <c r="F434" s="186" t="s">
        <v>719</v>
      </c>
      <c r="H434" t="b">
        <v>1</v>
      </c>
      <c r="I434">
        <v>10.600000000000001</v>
      </c>
      <c r="J434" s="186" t="s">
        <v>464</v>
      </c>
      <c r="M434" t="str">
        <f>IFERROR(_xlfn.XLOOKUP(A434,Fleet!A:A,Fleet!E:E,""),"")</f>
        <v/>
      </c>
      <c r="N434" t="s">
        <v>532</v>
      </c>
      <c r="O434" t="s">
        <v>3157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656</v>
      </c>
      <c r="B435" t="s">
        <v>3944</v>
      </c>
      <c r="C435" t="s">
        <v>657</v>
      </c>
      <c r="D435">
        <v>16.55</v>
      </c>
      <c r="E435" t="s">
        <v>3152</v>
      </c>
      <c r="F435" s="186" t="s">
        <v>719</v>
      </c>
      <c r="H435" t="b">
        <v>1</v>
      </c>
      <c r="I435">
        <v>16.55</v>
      </c>
      <c r="J435" s="186" t="s">
        <v>464</v>
      </c>
      <c r="M435" t="str">
        <f>IFERROR(_xlfn.XLOOKUP(A435,Fleet!A:A,Fleet!E:E,""),"")</f>
        <v/>
      </c>
      <c r="N435" t="s">
        <v>656</v>
      </c>
      <c r="O435" t="s">
        <v>3157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2443</v>
      </c>
      <c r="B436" t="s">
        <v>3944</v>
      </c>
      <c r="C436" t="s">
        <v>2444</v>
      </c>
      <c r="D436">
        <v>3.55</v>
      </c>
      <c r="E436" t="s">
        <v>3152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2443</v>
      </c>
      <c r="O436" t="s">
        <v>3157</v>
      </c>
      <c r="P436" t="str">
        <f>_xlfn.XLOOKUP(A436,'Classic Net to delete'!D:D,'Classic Net to delete'!A:A,"")</f>
        <v/>
      </c>
    </row>
    <row r="437" spans="1:16" x14ac:dyDescent="0.25">
      <c r="A437" t="s">
        <v>575</v>
      </c>
      <c r="B437" t="s">
        <v>3944</v>
      </c>
      <c r="C437" t="s">
        <v>576</v>
      </c>
      <c r="D437">
        <v>25.7</v>
      </c>
      <c r="E437" t="s">
        <v>3152</v>
      </c>
      <c r="F437" s="186" t="s">
        <v>719</v>
      </c>
      <c r="H437" t="b">
        <v>1</v>
      </c>
      <c r="I437">
        <v>25.700000000000003</v>
      </c>
      <c r="J437" s="186" t="s">
        <v>464</v>
      </c>
      <c r="M437" t="str">
        <f>IFERROR(_xlfn.XLOOKUP(A437,Fleet!A:A,Fleet!E:E,""),"")</f>
        <v/>
      </c>
      <c r="N437" t="s">
        <v>575</v>
      </c>
      <c r="O437" t="s">
        <v>3157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2441</v>
      </c>
      <c r="B438" t="s">
        <v>3945</v>
      </c>
      <c r="C438" t="s">
        <v>2442</v>
      </c>
      <c r="D438">
        <v>5.35</v>
      </c>
      <c r="E438" t="s">
        <v>3152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2441</v>
      </c>
      <c r="O438" t="s">
        <v>3156</v>
      </c>
      <c r="P438" t="str">
        <f>_xlfn.XLOOKUP(A438,'Classic Net to delete'!D:D,'Classic Net to delete'!A:A,"")</f>
        <v/>
      </c>
    </row>
    <row r="439" spans="1:16" x14ac:dyDescent="0.25">
      <c r="A439" t="s">
        <v>2439</v>
      </c>
      <c r="B439" t="s">
        <v>3945</v>
      </c>
      <c r="C439" t="s">
        <v>2440</v>
      </c>
      <c r="D439">
        <v>5.35</v>
      </c>
      <c r="E439" t="s">
        <v>3152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2439</v>
      </c>
      <c r="O439" t="s">
        <v>3156</v>
      </c>
      <c r="P439" t="str">
        <f>_xlfn.XLOOKUP(A439,'Classic Net to delete'!D:D,'Classic Net to delete'!A:A,"")</f>
        <v/>
      </c>
    </row>
    <row r="440" spans="1:16" x14ac:dyDescent="0.25">
      <c r="A440" t="s">
        <v>477</v>
      </c>
      <c r="B440" t="s">
        <v>3945</v>
      </c>
      <c r="C440" t="s">
        <v>478</v>
      </c>
      <c r="D440">
        <v>14.45</v>
      </c>
      <c r="E440" t="s">
        <v>3152</v>
      </c>
      <c r="F440" s="186" t="s">
        <v>719</v>
      </c>
      <c r="H440" t="b">
        <v>1</v>
      </c>
      <c r="I440">
        <v>14.450000000000001</v>
      </c>
      <c r="J440" s="186" t="s">
        <v>464</v>
      </c>
      <c r="M440" t="str">
        <f>IFERROR(_xlfn.XLOOKUP(A440,Fleet!A:A,Fleet!E:E,""),"")</f>
        <v/>
      </c>
      <c r="N440" t="s">
        <v>477</v>
      </c>
      <c r="O440" t="s">
        <v>3156</v>
      </c>
      <c r="P440" t="str">
        <f>_xlfn.XLOOKUP(A440,'Classic Net to delete'!D:D,'Classic Net to delete'!A:A,"")</f>
        <v>Inline Oiler</v>
      </c>
    </row>
    <row r="441" spans="1:16" x14ac:dyDescent="0.25">
      <c r="A441" t="s">
        <v>474</v>
      </c>
      <c r="B441" t="s">
        <v>3945</v>
      </c>
      <c r="C441" t="s">
        <v>475</v>
      </c>
      <c r="D441">
        <v>9.15</v>
      </c>
      <c r="E441" t="s">
        <v>3152</v>
      </c>
      <c r="F441" s="186" t="s">
        <v>719</v>
      </c>
      <c r="H441" t="b">
        <v>1</v>
      </c>
      <c r="I441">
        <v>9.15</v>
      </c>
      <c r="J441" s="186" t="s">
        <v>464</v>
      </c>
      <c r="M441" t="str">
        <f>IFERROR(_xlfn.XLOOKUP(A441,Fleet!A:A,Fleet!E:E,""),"")</f>
        <v/>
      </c>
      <c r="N441" t="s">
        <v>474</v>
      </c>
      <c r="O441" t="s">
        <v>3156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460</v>
      </c>
      <c r="B442" t="s">
        <v>3946</v>
      </c>
      <c r="C442" t="s">
        <v>461</v>
      </c>
      <c r="D442">
        <v>60.05</v>
      </c>
      <c r="E442" t="s">
        <v>3152</v>
      </c>
      <c r="F442" s="186" t="s">
        <v>366</v>
      </c>
      <c r="H442" t="b">
        <v>1</v>
      </c>
      <c r="I442">
        <v>60.050000000000004</v>
      </c>
      <c r="J442" s="186" t="s">
        <v>3947</v>
      </c>
      <c r="M442" t="str">
        <f>IFERROR(_xlfn.XLOOKUP(A442,Fleet!A:A,Fleet!E:E,""),"")</f>
        <v/>
      </c>
      <c r="N442" t="s">
        <v>460</v>
      </c>
      <c r="O442" t="s">
        <v>3155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446</v>
      </c>
      <c r="B443" t="s">
        <v>3946</v>
      </c>
      <c r="C443" t="s">
        <v>447</v>
      </c>
      <c r="D443">
        <v>33.950000000000003</v>
      </c>
      <c r="E443" t="s">
        <v>3152</v>
      </c>
      <c r="F443" s="186" t="s">
        <v>366</v>
      </c>
      <c r="H443" t="b">
        <v>1</v>
      </c>
      <c r="I443">
        <v>33.950000000000003</v>
      </c>
      <c r="J443" s="186" t="s">
        <v>3947</v>
      </c>
      <c r="M443" t="str">
        <f>IFERROR(_xlfn.XLOOKUP(A443,Fleet!A:A,Fleet!E:E,""),"")</f>
        <v/>
      </c>
      <c r="N443" t="s">
        <v>446</v>
      </c>
      <c r="O443" t="s">
        <v>3155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458</v>
      </c>
      <c r="B444" t="s">
        <v>3946</v>
      </c>
      <c r="C444" t="s">
        <v>459</v>
      </c>
      <c r="D444">
        <v>53.8</v>
      </c>
      <c r="E444" t="s">
        <v>3152</v>
      </c>
      <c r="F444" s="186" t="s">
        <v>366</v>
      </c>
      <c r="H444" t="b">
        <v>1</v>
      </c>
      <c r="I444">
        <v>53.800000000000004</v>
      </c>
      <c r="J444" s="186" t="s">
        <v>3947</v>
      </c>
      <c r="M444" t="str">
        <f>IFERROR(_xlfn.XLOOKUP(A444,Fleet!A:A,Fleet!E:E,""),"")</f>
        <v/>
      </c>
      <c r="N444" t="s">
        <v>458</v>
      </c>
      <c r="O444" t="s">
        <v>3155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444</v>
      </c>
      <c r="B445" t="s">
        <v>3946</v>
      </c>
      <c r="C445" t="s">
        <v>445</v>
      </c>
      <c r="D445">
        <v>30.55</v>
      </c>
      <c r="E445" t="s">
        <v>3152</v>
      </c>
      <c r="F445" s="186" t="s">
        <v>366</v>
      </c>
      <c r="H445" t="b">
        <v>1</v>
      </c>
      <c r="I445">
        <v>30.55</v>
      </c>
      <c r="J445" s="186" t="s">
        <v>3947</v>
      </c>
      <c r="M445" t="str">
        <f>IFERROR(_xlfn.XLOOKUP(A445,Fleet!A:A,Fleet!E:E,""),"")</f>
        <v/>
      </c>
      <c r="N445" t="s">
        <v>444</v>
      </c>
      <c r="O445" t="s">
        <v>3155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456</v>
      </c>
      <c r="B446" t="s">
        <v>3946</v>
      </c>
      <c r="C446" t="s">
        <v>457</v>
      </c>
      <c r="D446">
        <v>47.95</v>
      </c>
      <c r="E446" t="s">
        <v>3152</v>
      </c>
      <c r="F446" s="186" t="s">
        <v>366</v>
      </c>
      <c r="H446" t="b">
        <v>1</v>
      </c>
      <c r="I446">
        <v>47.95</v>
      </c>
      <c r="J446" s="186" t="s">
        <v>3947</v>
      </c>
      <c r="M446" t="str">
        <f>IFERROR(_xlfn.XLOOKUP(A446,Fleet!A:A,Fleet!E:E,""),"")</f>
        <v/>
      </c>
      <c r="N446" t="s">
        <v>456</v>
      </c>
      <c r="O446" t="s">
        <v>3155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442</v>
      </c>
      <c r="B447" t="s">
        <v>3946</v>
      </c>
      <c r="C447" t="s">
        <v>443</v>
      </c>
      <c r="D447">
        <v>27.15</v>
      </c>
      <c r="E447" t="s">
        <v>3152</v>
      </c>
      <c r="F447" s="186" t="s">
        <v>366</v>
      </c>
      <c r="H447" t="b">
        <v>1</v>
      </c>
      <c r="I447">
        <v>27.150000000000002</v>
      </c>
      <c r="J447" s="186" t="s">
        <v>3947</v>
      </c>
      <c r="M447" t="str">
        <f>IFERROR(_xlfn.XLOOKUP(A447,Fleet!A:A,Fleet!E:E,""),"")</f>
        <v/>
      </c>
      <c r="N447" t="s">
        <v>442</v>
      </c>
      <c r="O447" t="s">
        <v>3155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454</v>
      </c>
      <c r="B448" t="s">
        <v>3946</v>
      </c>
      <c r="C448" t="s">
        <v>455</v>
      </c>
      <c r="D448">
        <v>42</v>
      </c>
      <c r="E448" t="s">
        <v>3152</v>
      </c>
      <c r="F448" s="186" t="s">
        <v>366</v>
      </c>
      <c r="H448" t="b">
        <v>1</v>
      </c>
      <c r="I448">
        <v>42</v>
      </c>
      <c r="J448" s="186" t="s">
        <v>3947</v>
      </c>
      <c r="M448" t="str">
        <f>IFERROR(_xlfn.XLOOKUP(A448,Fleet!A:A,Fleet!E:E,""),"")</f>
        <v/>
      </c>
      <c r="N448" t="s">
        <v>454</v>
      </c>
      <c r="O448" t="s">
        <v>3155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440</v>
      </c>
      <c r="B449" t="s">
        <v>3946</v>
      </c>
      <c r="C449" t="s">
        <v>441</v>
      </c>
      <c r="D449">
        <v>23.65</v>
      </c>
      <c r="E449" t="s">
        <v>3152</v>
      </c>
      <c r="F449" s="186" t="s">
        <v>366</v>
      </c>
      <c r="H449" t="b">
        <v>1</v>
      </c>
      <c r="I449">
        <v>23.650000000000002</v>
      </c>
      <c r="J449" s="186" t="s">
        <v>3947</v>
      </c>
      <c r="M449" t="str">
        <f>IFERROR(_xlfn.XLOOKUP(A449,Fleet!A:A,Fleet!E:E,""),"")</f>
        <v/>
      </c>
      <c r="N449" t="s">
        <v>440</v>
      </c>
      <c r="O449" t="s">
        <v>3155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452</v>
      </c>
      <c r="B450" t="s">
        <v>3946</v>
      </c>
      <c r="C450" t="s">
        <v>453</v>
      </c>
      <c r="D450">
        <v>36.1</v>
      </c>
      <c r="E450" t="s">
        <v>3152</v>
      </c>
      <c r="F450" s="186" t="s">
        <v>366</v>
      </c>
      <c r="H450" t="b">
        <v>1</v>
      </c>
      <c r="I450">
        <v>36.1</v>
      </c>
      <c r="J450" s="186" t="s">
        <v>3947</v>
      </c>
      <c r="M450" t="str">
        <f>IFERROR(_xlfn.XLOOKUP(A450,Fleet!A:A,Fleet!E:E,""),"")</f>
        <v/>
      </c>
      <c r="N450" t="s">
        <v>452</v>
      </c>
      <c r="O450" t="s">
        <v>3155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450</v>
      </c>
      <c r="B451" t="s">
        <v>3946</v>
      </c>
      <c r="C451" t="s">
        <v>451</v>
      </c>
      <c r="D451">
        <v>29.85</v>
      </c>
      <c r="E451" t="s">
        <v>3152</v>
      </c>
      <c r="F451" s="186" t="s">
        <v>366</v>
      </c>
      <c r="H451" t="b">
        <v>1</v>
      </c>
      <c r="I451">
        <v>29.85</v>
      </c>
      <c r="J451" s="186" t="s">
        <v>3947</v>
      </c>
      <c r="M451" t="str">
        <f>IFERROR(_xlfn.XLOOKUP(A451,Fleet!A:A,Fleet!E:E,""),"")</f>
        <v/>
      </c>
      <c r="N451" t="s">
        <v>450</v>
      </c>
      <c r="O451" t="s">
        <v>3155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438</v>
      </c>
      <c r="B452" t="s">
        <v>3946</v>
      </c>
      <c r="C452" t="s">
        <v>439</v>
      </c>
      <c r="D452">
        <v>20.25</v>
      </c>
      <c r="E452" t="s">
        <v>3152</v>
      </c>
      <c r="F452" s="186" t="s">
        <v>366</v>
      </c>
      <c r="H452" t="b">
        <v>1</v>
      </c>
      <c r="I452">
        <v>20.25</v>
      </c>
      <c r="J452" s="186" t="s">
        <v>3947</v>
      </c>
      <c r="M452" t="str">
        <f>IFERROR(_xlfn.XLOOKUP(A452,Fleet!A:A,Fleet!E:E,""),"")</f>
        <v/>
      </c>
      <c r="N452" t="s">
        <v>438</v>
      </c>
      <c r="O452" t="s">
        <v>3155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436</v>
      </c>
      <c r="B453" t="s">
        <v>3946</v>
      </c>
      <c r="C453" t="s">
        <v>437</v>
      </c>
      <c r="D453">
        <v>17.149999999999999</v>
      </c>
      <c r="E453" t="s">
        <v>3152</v>
      </c>
      <c r="F453" s="186" t="s">
        <v>366</v>
      </c>
      <c r="H453" t="b">
        <v>1</v>
      </c>
      <c r="I453">
        <v>17.150000000000002</v>
      </c>
      <c r="J453" s="186" t="s">
        <v>3947</v>
      </c>
      <c r="M453" t="str">
        <f>IFERROR(_xlfn.XLOOKUP(A453,Fleet!A:A,Fleet!E:E,""),"")</f>
        <v/>
      </c>
      <c r="N453" t="s">
        <v>436</v>
      </c>
      <c r="O453" t="s">
        <v>3155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448</v>
      </c>
      <c r="B454" t="s">
        <v>3946</v>
      </c>
      <c r="C454" t="s">
        <v>449</v>
      </c>
      <c r="D454">
        <v>24</v>
      </c>
      <c r="E454" t="s">
        <v>3152</v>
      </c>
      <c r="F454" s="186" t="s">
        <v>366</v>
      </c>
      <c r="H454" t="b">
        <v>1</v>
      </c>
      <c r="I454">
        <v>24</v>
      </c>
      <c r="J454" s="186" t="s">
        <v>3947</v>
      </c>
      <c r="M454" t="str">
        <f>IFERROR(_xlfn.XLOOKUP(A454,Fleet!A:A,Fleet!E:E,""),"")</f>
        <v/>
      </c>
      <c r="N454" t="s">
        <v>448</v>
      </c>
      <c r="O454" t="s">
        <v>3155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434</v>
      </c>
      <c r="B455" t="s">
        <v>3946</v>
      </c>
      <c r="C455" t="s">
        <v>435</v>
      </c>
      <c r="D455">
        <v>13.75</v>
      </c>
      <c r="E455" t="s">
        <v>3152</v>
      </c>
      <c r="F455" s="186" t="s">
        <v>366</v>
      </c>
      <c r="H455" t="b">
        <v>1</v>
      </c>
      <c r="I455">
        <v>13.75</v>
      </c>
      <c r="J455" s="186" t="s">
        <v>3947</v>
      </c>
      <c r="M455" t="str">
        <f>IFERROR(_xlfn.XLOOKUP(A455,Fleet!A:A,Fleet!E:E,""),"")</f>
        <v/>
      </c>
      <c r="N455" t="s">
        <v>434</v>
      </c>
      <c r="O455" t="s">
        <v>3155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383</v>
      </c>
      <c r="B456" t="s">
        <v>3948</v>
      </c>
      <c r="C456" t="s">
        <v>384</v>
      </c>
      <c r="D456">
        <v>4.45</v>
      </c>
      <c r="E456" t="s">
        <v>3152</v>
      </c>
      <c r="F456" s="186" t="s">
        <v>366</v>
      </c>
      <c r="H456" t="s">
        <v>22</v>
      </c>
      <c r="I456" t="s">
        <v>22</v>
      </c>
      <c r="J456" s="186" t="s">
        <v>3947</v>
      </c>
      <c r="M456" t="str">
        <f>IFERROR(_xlfn.XLOOKUP(A456,Fleet!A:A,Fleet!E:E,""),"")</f>
        <v/>
      </c>
      <c r="N456" t="s">
        <v>383</v>
      </c>
      <c r="O456" t="s">
        <v>3154</v>
      </c>
      <c r="P456" t="str">
        <f>_xlfn.XLOOKUP(A456,'Classic Net to delete'!D:D,'Classic Net to delete'!A:A,"")</f>
        <v/>
      </c>
    </row>
    <row r="457" spans="1:16" x14ac:dyDescent="0.25">
      <c r="A457" t="s">
        <v>381</v>
      </c>
      <c r="B457" t="s">
        <v>3948</v>
      </c>
      <c r="C457" t="s">
        <v>382</v>
      </c>
      <c r="D457">
        <v>3.75</v>
      </c>
      <c r="E457" t="s">
        <v>3152</v>
      </c>
      <c r="F457" s="186" t="s">
        <v>366</v>
      </c>
      <c r="H457" t="s">
        <v>22</v>
      </c>
      <c r="I457" t="s">
        <v>22</v>
      </c>
      <c r="J457" s="186" t="s">
        <v>3947</v>
      </c>
      <c r="M457" t="str">
        <f>IFERROR(_xlfn.XLOOKUP(A457,Fleet!A:A,Fleet!E:E,""),"")</f>
        <v/>
      </c>
      <c r="N457" t="s">
        <v>381</v>
      </c>
      <c r="O457" t="s">
        <v>3154</v>
      </c>
      <c r="P457" t="str">
        <f>_xlfn.XLOOKUP(A457,'Classic Net to delete'!D:D,'Classic Net to delete'!A:A,"")</f>
        <v/>
      </c>
    </row>
    <row r="458" spans="1:16" x14ac:dyDescent="0.25">
      <c r="A458" t="s">
        <v>379</v>
      </c>
      <c r="B458" t="s">
        <v>3948</v>
      </c>
      <c r="C458" t="s">
        <v>380</v>
      </c>
      <c r="D458">
        <v>3.45</v>
      </c>
      <c r="E458" t="s">
        <v>3152</v>
      </c>
      <c r="F458" s="186" t="s">
        <v>366</v>
      </c>
      <c r="H458" t="s">
        <v>22</v>
      </c>
      <c r="I458" t="s">
        <v>22</v>
      </c>
      <c r="J458" s="186" t="s">
        <v>3947</v>
      </c>
      <c r="M458" t="str">
        <f>IFERROR(_xlfn.XLOOKUP(A458,Fleet!A:A,Fleet!E:E,""),"")</f>
        <v/>
      </c>
      <c r="N458" t="s">
        <v>379</v>
      </c>
      <c r="O458" t="s">
        <v>3154</v>
      </c>
      <c r="P458" t="str">
        <f>_xlfn.XLOOKUP(A458,'Classic Net to delete'!D:D,'Classic Net to delete'!A:A,"")</f>
        <v/>
      </c>
    </row>
    <row r="459" spans="1:16" x14ac:dyDescent="0.25">
      <c r="A459" t="s">
        <v>377</v>
      </c>
      <c r="B459" t="s">
        <v>3948</v>
      </c>
      <c r="C459" t="s">
        <v>378</v>
      </c>
      <c r="D459">
        <v>3.1</v>
      </c>
      <c r="E459" t="s">
        <v>3152</v>
      </c>
      <c r="F459" s="186" t="s">
        <v>366</v>
      </c>
      <c r="H459" t="s">
        <v>22</v>
      </c>
      <c r="I459" t="s">
        <v>22</v>
      </c>
      <c r="J459" s="186" t="s">
        <v>3947</v>
      </c>
      <c r="M459" t="str">
        <f>IFERROR(_xlfn.XLOOKUP(A459,Fleet!A:A,Fleet!E:E,""),"")</f>
        <v/>
      </c>
      <c r="N459" t="s">
        <v>377</v>
      </c>
      <c r="O459" t="s">
        <v>3154</v>
      </c>
      <c r="P459" t="str">
        <f>_xlfn.XLOOKUP(A459,'Classic Net to delete'!D:D,'Classic Net to delete'!A:A,"")</f>
        <v/>
      </c>
    </row>
    <row r="460" spans="1:16" x14ac:dyDescent="0.25">
      <c r="A460" t="s">
        <v>375</v>
      </c>
      <c r="B460" t="s">
        <v>3948</v>
      </c>
      <c r="C460" t="s">
        <v>376</v>
      </c>
      <c r="D460">
        <v>2.85</v>
      </c>
      <c r="E460" t="s">
        <v>3152</v>
      </c>
      <c r="F460" s="186" t="s">
        <v>366</v>
      </c>
      <c r="H460" t="s">
        <v>22</v>
      </c>
      <c r="I460" t="s">
        <v>22</v>
      </c>
      <c r="J460" s="186" t="s">
        <v>3947</v>
      </c>
      <c r="M460" t="str">
        <f>IFERROR(_xlfn.XLOOKUP(A460,Fleet!A:A,Fleet!E:E,""),"")</f>
        <v/>
      </c>
      <c r="N460" t="s">
        <v>375</v>
      </c>
      <c r="O460" t="s">
        <v>3154</v>
      </c>
      <c r="P460" t="str">
        <f>_xlfn.XLOOKUP(A460,'Classic Net to delete'!D:D,'Classic Net to delete'!A:A,"")</f>
        <v/>
      </c>
    </row>
    <row r="461" spans="1:16" x14ac:dyDescent="0.25">
      <c r="A461" t="s">
        <v>373</v>
      </c>
      <c r="B461" t="s">
        <v>3948</v>
      </c>
      <c r="C461" t="s">
        <v>374</v>
      </c>
      <c r="D461">
        <v>2.2000000000000002</v>
      </c>
      <c r="E461" t="s">
        <v>3152</v>
      </c>
      <c r="F461" s="186" t="s">
        <v>366</v>
      </c>
      <c r="H461" t="s">
        <v>22</v>
      </c>
      <c r="I461" t="s">
        <v>22</v>
      </c>
      <c r="J461" s="186" t="s">
        <v>3947</v>
      </c>
      <c r="M461" t="str">
        <f>IFERROR(_xlfn.XLOOKUP(A461,Fleet!A:A,Fleet!E:E,""),"")</f>
        <v/>
      </c>
      <c r="N461" t="s">
        <v>373</v>
      </c>
      <c r="O461" t="s">
        <v>3154</v>
      </c>
      <c r="P461" t="str">
        <f>_xlfn.XLOOKUP(A461,'Classic Net to delete'!D:D,'Classic Net to delete'!A:A,"")</f>
        <v/>
      </c>
    </row>
    <row r="462" spans="1:16" x14ac:dyDescent="0.25">
      <c r="A462" t="s">
        <v>371</v>
      </c>
      <c r="B462" t="s">
        <v>3948</v>
      </c>
      <c r="C462" t="s">
        <v>372</v>
      </c>
      <c r="D462">
        <v>1.85</v>
      </c>
      <c r="E462" t="s">
        <v>3152</v>
      </c>
      <c r="F462" s="186" t="s">
        <v>366</v>
      </c>
      <c r="H462" t="s">
        <v>22</v>
      </c>
      <c r="I462" t="s">
        <v>22</v>
      </c>
      <c r="J462" s="186" t="s">
        <v>3947</v>
      </c>
      <c r="M462" t="str">
        <f>IFERROR(_xlfn.XLOOKUP(A462,Fleet!A:A,Fleet!E:E,""),"")</f>
        <v/>
      </c>
      <c r="N462" t="s">
        <v>371</v>
      </c>
      <c r="O462" t="s">
        <v>3154</v>
      </c>
      <c r="P462" t="str">
        <f>_xlfn.XLOOKUP(A462,'Classic Net to delete'!D:D,'Classic Net to delete'!A:A,"")</f>
        <v/>
      </c>
    </row>
    <row r="463" spans="1:16" x14ac:dyDescent="0.25">
      <c r="A463" t="s">
        <v>369</v>
      </c>
      <c r="B463" t="s">
        <v>3948</v>
      </c>
      <c r="C463" t="s">
        <v>370</v>
      </c>
      <c r="D463">
        <v>5.9</v>
      </c>
      <c r="E463" t="s">
        <v>3152</v>
      </c>
      <c r="F463" s="186" t="s">
        <v>366</v>
      </c>
      <c r="H463" t="s">
        <v>22</v>
      </c>
      <c r="I463" t="s">
        <v>22</v>
      </c>
      <c r="J463" s="186" t="s">
        <v>3947</v>
      </c>
      <c r="M463" t="str">
        <f>IFERROR(_xlfn.XLOOKUP(A463,Fleet!A:A,Fleet!E:E,""),"")</f>
        <v/>
      </c>
      <c r="N463" t="s">
        <v>369</v>
      </c>
      <c r="O463" t="s">
        <v>3154</v>
      </c>
      <c r="P463" t="str">
        <f>_xlfn.XLOOKUP(A463,'Classic Net to delete'!D:D,'Classic Net to delete'!A:A,"")</f>
        <v/>
      </c>
    </row>
    <row r="464" spans="1:16" x14ac:dyDescent="0.25">
      <c r="A464" t="s">
        <v>367</v>
      </c>
      <c r="B464" t="s">
        <v>3949</v>
      </c>
      <c r="C464" t="s">
        <v>368</v>
      </c>
      <c r="D464">
        <v>2.7</v>
      </c>
      <c r="E464" t="s">
        <v>3152</v>
      </c>
      <c r="F464" s="186" t="s">
        <v>366</v>
      </c>
      <c r="H464" t="s">
        <v>22</v>
      </c>
      <c r="I464" t="s">
        <v>22</v>
      </c>
      <c r="J464" s="186" t="s">
        <v>3947</v>
      </c>
      <c r="M464" t="str">
        <f>IFERROR(_xlfn.XLOOKUP(A464,Fleet!A:A,Fleet!E:E,""),"")</f>
        <v/>
      </c>
      <c r="N464" t="s">
        <v>367</v>
      </c>
      <c r="O464" t="s">
        <v>3153</v>
      </c>
      <c r="P464" t="str">
        <f>_xlfn.XLOOKUP(A464,'Classic Net to delete'!D:D,'Classic Net to delete'!A:A,"")</f>
        <v/>
      </c>
    </row>
    <row r="465" spans="1:16" x14ac:dyDescent="0.25">
      <c r="A465" t="s">
        <v>333</v>
      </c>
      <c r="B465" t="s">
        <v>3949</v>
      </c>
      <c r="C465" t="s">
        <v>334</v>
      </c>
      <c r="D465">
        <v>6.25</v>
      </c>
      <c r="E465" t="s">
        <v>3152</v>
      </c>
      <c r="F465" s="186" t="s">
        <v>3247</v>
      </c>
      <c r="H465" t="b">
        <v>1</v>
      </c>
      <c r="I465">
        <v>6.25</v>
      </c>
      <c r="J465" s="186" t="s">
        <v>3947</v>
      </c>
      <c r="M465" t="str">
        <f>IFERROR(_xlfn.XLOOKUP(A465,Fleet!A:A,Fleet!E:E,""),"")</f>
        <v/>
      </c>
      <c r="N465" t="s">
        <v>333</v>
      </c>
      <c r="O465" t="s">
        <v>3153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385</v>
      </c>
      <c r="B466" t="s">
        <v>3949</v>
      </c>
      <c r="C466" t="s">
        <v>386</v>
      </c>
      <c r="D466">
        <v>1.25</v>
      </c>
      <c r="E466" t="s">
        <v>3152</v>
      </c>
      <c r="F466" s="186" t="s">
        <v>366</v>
      </c>
      <c r="H466" t="b">
        <v>1</v>
      </c>
      <c r="I466">
        <v>1.25</v>
      </c>
      <c r="J466" s="186" t="s">
        <v>3947</v>
      </c>
      <c r="M466" t="str">
        <f>IFERROR(_xlfn.XLOOKUP(A466,Fleet!A:A,Fleet!E:E,""),"")</f>
        <v/>
      </c>
      <c r="N466" t="s">
        <v>385</v>
      </c>
      <c r="O466" t="s">
        <v>3153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405</v>
      </c>
      <c r="B467" t="s">
        <v>3949</v>
      </c>
      <c r="C467" t="s">
        <v>406</v>
      </c>
      <c r="D467">
        <v>2.85</v>
      </c>
      <c r="E467" t="s">
        <v>3152</v>
      </c>
      <c r="F467" s="186" t="s">
        <v>366</v>
      </c>
      <c r="H467" t="b">
        <v>1</v>
      </c>
      <c r="I467">
        <v>2.85</v>
      </c>
      <c r="J467" s="186" t="s">
        <v>3947</v>
      </c>
      <c r="M467" t="str">
        <f>IFERROR(_xlfn.XLOOKUP(A467,Fleet!A:A,Fleet!E:E,""),"")</f>
        <v/>
      </c>
      <c r="N467" t="s">
        <v>405</v>
      </c>
      <c r="O467" t="s">
        <v>3153</v>
      </c>
      <c r="P467" t="str">
        <f>_xlfn.XLOOKUP(A467,'Classic Net to delete'!D:D,'Classic Net to delete'!A:A,"")</f>
        <v>3.96m (13')</v>
      </c>
    </row>
    <row r="468" spans="1:16" x14ac:dyDescent="0.25">
      <c r="A468" t="s">
        <v>402</v>
      </c>
      <c r="B468" t="s">
        <v>3949</v>
      </c>
      <c r="C468" t="s">
        <v>403</v>
      </c>
      <c r="D468">
        <v>2.85</v>
      </c>
      <c r="E468" t="s">
        <v>3152</v>
      </c>
      <c r="F468" s="186" t="s">
        <v>366</v>
      </c>
      <c r="H468" t="b">
        <v>1</v>
      </c>
      <c r="I468">
        <v>2.85</v>
      </c>
      <c r="J468" s="186" t="s">
        <v>3947</v>
      </c>
      <c r="M468" t="str">
        <f>IFERROR(_xlfn.XLOOKUP(A468,Fleet!A:A,Fleet!E:E,""),"")</f>
        <v/>
      </c>
      <c r="N468" t="s">
        <v>402</v>
      </c>
      <c r="O468" t="s">
        <v>3153</v>
      </c>
      <c r="P468" t="str">
        <f>_xlfn.XLOOKUP(A468,'Classic Net to delete'!D:D,'Classic Net to delete'!A:A,"")</f>
        <v>3.05m (10')</v>
      </c>
    </row>
    <row r="469" spans="1:16" x14ac:dyDescent="0.25">
      <c r="A469" t="s">
        <v>399</v>
      </c>
      <c r="B469" t="s">
        <v>3949</v>
      </c>
      <c r="C469" t="s">
        <v>400</v>
      </c>
      <c r="D469">
        <v>2.85</v>
      </c>
      <c r="E469" t="s">
        <v>3152</v>
      </c>
      <c r="F469" s="186" t="s">
        <v>366</v>
      </c>
      <c r="H469" t="b">
        <v>1</v>
      </c>
      <c r="I469">
        <v>2.85</v>
      </c>
      <c r="J469" s="186" t="s">
        <v>3947</v>
      </c>
      <c r="M469" t="str">
        <f>IFERROR(_xlfn.XLOOKUP(A469,Fleet!A:A,Fleet!E:E,""),"")</f>
        <v/>
      </c>
      <c r="N469" t="s">
        <v>399</v>
      </c>
      <c r="O469" t="s">
        <v>3153</v>
      </c>
      <c r="P469" t="str">
        <f>_xlfn.XLOOKUP(A469,'Classic Net to delete'!D:D,'Classic Net to delete'!A:A,"")</f>
        <v>2.44m (8')</v>
      </c>
    </row>
    <row r="470" spans="1:16" x14ac:dyDescent="0.25">
      <c r="A470" t="s">
        <v>396</v>
      </c>
      <c r="B470" t="s">
        <v>3949</v>
      </c>
      <c r="C470" t="s">
        <v>397</v>
      </c>
      <c r="D470">
        <v>2.85</v>
      </c>
      <c r="E470" t="s">
        <v>3152</v>
      </c>
      <c r="F470" s="186" t="s">
        <v>366</v>
      </c>
      <c r="H470" t="b">
        <v>1</v>
      </c>
      <c r="I470">
        <v>2.85</v>
      </c>
      <c r="J470" s="186" t="s">
        <v>3947</v>
      </c>
      <c r="M470" t="str">
        <f>IFERROR(_xlfn.XLOOKUP(A470,Fleet!A:A,Fleet!E:E,""),"")</f>
        <v/>
      </c>
      <c r="N470" t="s">
        <v>396</v>
      </c>
      <c r="O470" t="s">
        <v>3153</v>
      </c>
      <c r="P470" t="str">
        <f>_xlfn.XLOOKUP(A470,'Classic Net to delete'!D:D,'Classic Net to delete'!A:A,"")</f>
        <v>1.83m (6')</v>
      </c>
    </row>
    <row r="471" spans="1:16" x14ac:dyDescent="0.25">
      <c r="A471" t="s">
        <v>364</v>
      </c>
      <c r="B471" t="s">
        <v>3949</v>
      </c>
      <c r="C471" t="s">
        <v>365</v>
      </c>
      <c r="D471">
        <v>6.25</v>
      </c>
      <c r="E471" t="s">
        <v>3152</v>
      </c>
      <c r="F471" s="186" t="s">
        <v>366</v>
      </c>
      <c r="H471" t="s">
        <v>22</v>
      </c>
      <c r="I471" t="s">
        <v>22</v>
      </c>
      <c r="J471" s="186" t="s">
        <v>3947</v>
      </c>
      <c r="M471" t="str">
        <f>IFERROR(_xlfn.XLOOKUP(A471,Fleet!A:A,Fleet!E:E,""),"")</f>
        <v/>
      </c>
      <c r="N471" t="s">
        <v>364</v>
      </c>
      <c r="O471" t="s">
        <v>3153</v>
      </c>
      <c r="P471" t="str">
        <f>_xlfn.XLOOKUP(A471,'Classic Net to delete'!D:D,'Classic Net to delete'!A:A,"")</f>
        <v/>
      </c>
    </row>
    <row r="472" spans="1:16" x14ac:dyDescent="0.25">
      <c r="A472" t="s">
        <v>393</v>
      </c>
      <c r="B472" t="s">
        <v>3949</v>
      </c>
      <c r="C472" t="s">
        <v>394</v>
      </c>
      <c r="D472">
        <v>6.25</v>
      </c>
      <c r="E472" t="s">
        <v>3152</v>
      </c>
      <c r="F472" s="186" t="s">
        <v>366</v>
      </c>
      <c r="H472" t="b">
        <v>1</v>
      </c>
      <c r="I472">
        <v>6.25</v>
      </c>
      <c r="J472" s="186" t="s">
        <v>3947</v>
      </c>
      <c r="M472" t="str">
        <f>IFERROR(_xlfn.XLOOKUP(A472,Fleet!A:A,Fleet!E:E,""),"")</f>
        <v/>
      </c>
      <c r="N472" t="s">
        <v>393</v>
      </c>
      <c r="O472" t="s">
        <v>3153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390</v>
      </c>
      <c r="B473" t="s">
        <v>3949</v>
      </c>
      <c r="C473" t="s">
        <v>391</v>
      </c>
      <c r="D473">
        <v>6.25</v>
      </c>
      <c r="E473" t="s">
        <v>3152</v>
      </c>
      <c r="F473" s="186" t="s">
        <v>366</v>
      </c>
      <c r="H473" t="b">
        <v>1</v>
      </c>
      <c r="I473">
        <v>6.25</v>
      </c>
      <c r="J473" s="186" t="s">
        <v>3947</v>
      </c>
      <c r="M473" t="str">
        <f>IFERROR(_xlfn.XLOOKUP(A473,Fleet!A:A,Fleet!E:E,""),"")</f>
        <v/>
      </c>
      <c r="N473" t="s">
        <v>390</v>
      </c>
      <c r="O473" t="s">
        <v>3153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387</v>
      </c>
      <c r="B474" t="s">
        <v>3949</v>
      </c>
      <c r="C474" t="s">
        <v>388</v>
      </c>
      <c r="D474">
        <v>6.25</v>
      </c>
      <c r="E474" t="s">
        <v>3152</v>
      </c>
      <c r="F474" s="186" t="s">
        <v>366</v>
      </c>
      <c r="H474" t="b">
        <v>1</v>
      </c>
      <c r="I474">
        <v>6.25</v>
      </c>
      <c r="J474" s="186" t="s">
        <v>3947</v>
      </c>
      <c r="M474" t="str">
        <f>IFERROR(_xlfn.XLOOKUP(A474,Fleet!A:A,Fleet!E:E,""),"")</f>
        <v/>
      </c>
      <c r="N474" t="s">
        <v>387</v>
      </c>
      <c r="O474" t="s">
        <v>3153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330</v>
      </c>
      <c r="B475" t="s">
        <v>3949</v>
      </c>
      <c r="C475" t="s">
        <v>331</v>
      </c>
      <c r="D475">
        <v>10.050000000000001</v>
      </c>
      <c r="E475" t="s">
        <v>3152</v>
      </c>
      <c r="F475" s="186" t="s">
        <v>3247</v>
      </c>
      <c r="H475" t="b">
        <v>1</v>
      </c>
      <c r="I475">
        <v>10.050000000000001</v>
      </c>
      <c r="J475" s="186" t="s">
        <v>3947</v>
      </c>
      <c r="M475" t="str">
        <f>IFERROR(_xlfn.XLOOKUP(A475,Fleet!A:A,Fleet!E:E,""),"")</f>
        <v/>
      </c>
      <c r="N475" t="s">
        <v>330</v>
      </c>
      <c r="O475" t="s">
        <v>3153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246</v>
      </c>
      <c r="B476" t="s">
        <v>247</v>
      </c>
      <c r="C476" t="s">
        <v>247</v>
      </c>
      <c r="D476">
        <v>22.4</v>
      </c>
      <c r="E476" t="s">
        <v>3067</v>
      </c>
      <c r="F476" s="186" t="s">
        <v>3247</v>
      </c>
      <c r="H476" t="b">
        <v>1</v>
      </c>
      <c r="I476">
        <v>22.400000000000002</v>
      </c>
      <c r="J476" s="186" t="s">
        <v>3947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249</v>
      </c>
      <c r="B477" t="s">
        <v>250</v>
      </c>
      <c r="C477" t="s">
        <v>250</v>
      </c>
      <c r="D477">
        <v>23.65</v>
      </c>
      <c r="E477" t="s">
        <v>3067</v>
      </c>
      <c r="F477" s="186" t="s">
        <v>3247</v>
      </c>
      <c r="H477" t="b">
        <v>1</v>
      </c>
      <c r="I477">
        <v>23.650000000000002</v>
      </c>
      <c r="J477" s="186" t="s">
        <v>3947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252</v>
      </c>
      <c r="B478" t="s">
        <v>253</v>
      </c>
      <c r="C478" t="s">
        <v>253</v>
      </c>
      <c r="D478">
        <v>25.25</v>
      </c>
      <c r="E478" t="s">
        <v>3067</v>
      </c>
      <c r="F478" s="186" t="s">
        <v>3247</v>
      </c>
      <c r="H478" t="b">
        <v>1</v>
      </c>
      <c r="I478">
        <v>25.25</v>
      </c>
      <c r="J478" s="186" t="s">
        <v>3947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255</v>
      </c>
      <c r="B479" t="s">
        <v>256</v>
      </c>
      <c r="C479" t="s">
        <v>256</v>
      </c>
      <c r="D479">
        <v>26.8</v>
      </c>
      <c r="E479" t="s">
        <v>3067</v>
      </c>
      <c r="F479" s="186" t="s">
        <v>3247</v>
      </c>
      <c r="H479" t="b">
        <v>1</v>
      </c>
      <c r="I479">
        <v>26.8</v>
      </c>
      <c r="J479" s="186" t="s">
        <v>3947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335</v>
      </c>
      <c r="B480" t="s">
        <v>336</v>
      </c>
      <c r="C480" t="s">
        <v>336</v>
      </c>
      <c r="D480">
        <v>40.799999999999997</v>
      </c>
      <c r="E480" t="s">
        <v>3067</v>
      </c>
      <c r="F480" s="186" t="s">
        <v>3247</v>
      </c>
      <c r="H480" t="b">
        <v>1</v>
      </c>
      <c r="I480">
        <v>40.800000000000004</v>
      </c>
      <c r="J480" s="186" t="s">
        <v>3947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340</v>
      </c>
      <c r="B481" t="s">
        <v>341</v>
      </c>
      <c r="C481" t="s">
        <v>341</v>
      </c>
      <c r="D481">
        <v>42</v>
      </c>
      <c r="E481" t="s">
        <v>3067</v>
      </c>
      <c r="F481" s="186" t="s">
        <v>3247</v>
      </c>
      <c r="H481" t="b">
        <v>1</v>
      </c>
      <c r="I481">
        <v>42</v>
      </c>
      <c r="J481" s="186" t="s">
        <v>3947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343</v>
      </c>
      <c r="B482" t="s">
        <v>344</v>
      </c>
      <c r="C482" t="s">
        <v>344</v>
      </c>
      <c r="D482">
        <v>43.25</v>
      </c>
      <c r="E482" t="s">
        <v>3067</v>
      </c>
      <c r="F482" s="186" t="s">
        <v>3247</v>
      </c>
      <c r="H482" t="b">
        <v>1</v>
      </c>
      <c r="I482">
        <v>43.25</v>
      </c>
      <c r="J482" s="186" t="s">
        <v>3947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300</v>
      </c>
      <c r="B483" t="s">
        <v>301</v>
      </c>
      <c r="C483" t="s">
        <v>301</v>
      </c>
      <c r="D483">
        <v>29.3</v>
      </c>
      <c r="E483" t="s">
        <v>3067</v>
      </c>
      <c r="F483" s="186" t="s">
        <v>3247</v>
      </c>
      <c r="H483" t="b">
        <v>1</v>
      </c>
      <c r="I483">
        <v>29.3</v>
      </c>
      <c r="J483" s="186" t="s">
        <v>3947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303</v>
      </c>
      <c r="B484" t="s">
        <v>304</v>
      </c>
      <c r="C484" t="s">
        <v>304</v>
      </c>
      <c r="D484">
        <v>29.85</v>
      </c>
      <c r="E484" t="s">
        <v>3067</v>
      </c>
      <c r="F484" s="186" t="s">
        <v>3247</v>
      </c>
      <c r="H484" t="b">
        <v>1</v>
      </c>
      <c r="I484">
        <v>29.85</v>
      </c>
      <c r="J484" s="186" t="s">
        <v>3947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306</v>
      </c>
      <c r="B485" t="s">
        <v>307</v>
      </c>
      <c r="C485" t="s">
        <v>307</v>
      </c>
      <c r="D485">
        <v>32.4</v>
      </c>
      <c r="E485" t="s">
        <v>3067</v>
      </c>
      <c r="F485" s="186" t="s">
        <v>3247</v>
      </c>
      <c r="H485" t="b">
        <v>1</v>
      </c>
      <c r="I485">
        <v>32.4</v>
      </c>
      <c r="J485" s="186" t="s">
        <v>3947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309</v>
      </c>
      <c r="B486" t="s">
        <v>310</v>
      </c>
      <c r="C486" t="s">
        <v>310</v>
      </c>
      <c r="D486">
        <v>34.85</v>
      </c>
      <c r="E486" t="s">
        <v>3067</v>
      </c>
      <c r="F486" s="186" t="s">
        <v>3247</v>
      </c>
      <c r="H486" t="b">
        <v>1</v>
      </c>
      <c r="I486">
        <v>34.85</v>
      </c>
      <c r="J486" s="186" t="s">
        <v>3947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312</v>
      </c>
      <c r="B487" t="s">
        <v>313</v>
      </c>
      <c r="C487" t="s">
        <v>313</v>
      </c>
      <c r="D487">
        <v>39.25</v>
      </c>
      <c r="E487" t="s">
        <v>3067</v>
      </c>
      <c r="F487" s="186" t="s">
        <v>3247</v>
      </c>
      <c r="H487" t="b">
        <v>1</v>
      </c>
      <c r="I487">
        <v>39.25</v>
      </c>
      <c r="J487" s="186" t="s">
        <v>3947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315</v>
      </c>
      <c r="B488" t="s">
        <v>316</v>
      </c>
      <c r="C488" t="s">
        <v>316</v>
      </c>
      <c r="D488">
        <v>42</v>
      </c>
      <c r="E488" t="s">
        <v>3067</v>
      </c>
      <c r="F488" s="186" t="s">
        <v>3247</v>
      </c>
      <c r="H488" t="b">
        <v>1</v>
      </c>
      <c r="I488">
        <v>42</v>
      </c>
      <c r="J488" s="186" t="s">
        <v>3947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258</v>
      </c>
      <c r="B489" t="s">
        <v>259</v>
      </c>
      <c r="C489" t="s">
        <v>259</v>
      </c>
      <c r="D489">
        <v>25.35</v>
      </c>
      <c r="E489" t="s">
        <v>3067</v>
      </c>
      <c r="F489" s="186" t="s">
        <v>3247</v>
      </c>
      <c r="H489" t="b">
        <v>1</v>
      </c>
      <c r="I489">
        <v>25.35</v>
      </c>
      <c r="J489" s="186" t="s">
        <v>3947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261</v>
      </c>
      <c r="B490" t="s">
        <v>262</v>
      </c>
      <c r="C490" t="s">
        <v>262</v>
      </c>
      <c r="D490">
        <v>28.95</v>
      </c>
      <c r="E490" t="s">
        <v>3067</v>
      </c>
      <c r="F490" s="186" t="s">
        <v>3247</v>
      </c>
      <c r="H490" t="b">
        <v>1</v>
      </c>
      <c r="I490">
        <v>28.950000000000003</v>
      </c>
      <c r="J490" s="186" t="s">
        <v>3947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264</v>
      </c>
      <c r="B491" t="s">
        <v>265</v>
      </c>
      <c r="C491" t="s">
        <v>265</v>
      </c>
      <c r="D491">
        <v>30.4</v>
      </c>
      <c r="E491" t="s">
        <v>3067</v>
      </c>
      <c r="F491" s="186" t="s">
        <v>3247</v>
      </c>
      <c r="H491" t="b">
        <v>1</v>
      </c>
      <c r="I491">
        <v>30.400000000000002</v>
      </c>
      <c r="J491" s="186" t="s">
        <v>3947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267</v>
      </c>
      <c r="B492" t="s">
        <v>268</v>
      </c>
      <c r="C492" t="s">
        <v>268</v>
      </c>
      <c r="D492">
        <v>31.55</v>
      </c>
      <c r="E492" t="s">
        <v>3067</v>
      </c>
      <c r="F492" s="186" t="s">
        <v>3247</v>
      </c>
      <c r="H492" t="b">
        <v>1</v>
      </c>
      <c r="I492">
        <v>31.55</v>
      </c>
      <c r="J492" s="186" t="s">
        <v>3947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346</v>
      </c>
      <c r="B493" t="s">
        <v>347</v>
      </c>
      <c r="C493" t="s">
        <v>347</v>
      </c>
      <c r="D493">
        <v>34.25</v>
      </c>
      <c r="E493" t="s">
        <v>3067</v>
      </c>
      <c r="F493" s="186" t="s">
        <v>3247</v>
      </c>
      <c r="H493" t="b">
        <v>1</v>
      </c>
      <c r="I493">
        <v>34.25</v>
      </c>
      <c r="J493" s="186" t="s">
        <v>3947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349</v>
      </c>
      <c r="B494" t="s">
        <v>350</v>
      </c>
      <c r="C494" t="s">
        <v>350</v>
      </c>
      <c r="D494">
        <v>35.549999999999997</v>
      </c>
      <c r="E494" t="s">
        <v>3067</v>
      </c>
      <c r="F494" s="186" t="s">
        <v>3247</v>
      </c>
      <c r="H494" t="b">
        <v>1</v>
      </c>
      <c r="I494">
        <v>35.550000000000004</v>
      </c>
      <c r="J494" s="186" t="s">
        <v>3947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352</v>
      </c>
      <c r="B495" t="s">
        <v>353</v>
      </c>
      <c r="C495" t="s">
        <v>353</v>
      </c>
      <c r="D495">
        <v>40.799999999999997</v>
      </c>
      <c r="E495" t="s">
        <v>3067</v>
      </c>
      <c r="F495" s="186" t="s">
        <v>3247</v>
      </c>
      <c r="H495" t="b">
        <v>1</v>
      </c>
      <c r="I495">
        <v>40.800000000000004</v>
      </c>
      <c r="J495" s="186" t="s">
        <v>3947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355</v>
      </c>
      <c r="B496" t="s">
        <v>356</v>
      </c>
      <c r="C496" t="s">
        <v>356</v>
      </c>
      <c r="D496">
        <v>43.95</v>
      </c>
      <c r="E496" t="s">
        <v>3067</v>
      </c>
      <c r="F496" s="186" t="s">
        <v>3247</v>
      </c>
      <c r="H496" t="b">
        <v>1</v>
      </c>
      <c r="I496">
        <v>43.95</v>
      </c>
      <c r="J496" s="186" t="s">
        <v>3947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358</v>
      </c>
      <c r="B497" t="s">
        <v>359</v>
      </c>
      <c r="C497" t="s">
        <v>359</v>
      </c>
      <c r="D497">
        <v>46.4</v>
      </c>
      <c r="E497" t="s">
        <v>3067</v>
      </c>
      <c r="F497" s="186" t="s">
        <v>3247</v>
      </c>
      <c r="H497" t="b">
        <v>1</v>
      </c>
      <c r="I497">
        <v>46.400000000000006</v>
      </c>
      <c r="J497" s="186" t="s">
        <v>3947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361</v>
      </c>
      <c r="B498" t="s">
        <v>362</v>
      </c>
      <c r="C498" t="s">
        <v>362</v>
      </c>
      <c r="D498">
        <v>48.95</v>
      </c>
      <c r="E498" t="s">
        <v>3067</v>
      </c>
      <c r="F498" s="186" t="s">
        <v>3247</v>
      </c>
      <c r="H498" t="b">
        <v>1</v>
      </c>
      <c r="I498">
        <v>48.95</v>
      </c>
      <c r="J498" s="186" t="s">
        <v>3947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291</v>
      </c>
      <c r="B499" t="s">
        <v>292</v>
      </c>
      <c r="C499" t="s">
        <v>292</v>
      </c>
      <c r="D499">
        <v>51.65</v>
      </c>
      <c r="E499" t="s">
        <v>3067</v>
      </c>
      <c r="F499" s="186" t="s">
        <v>3247</v>
      </c>
      <c r="H499" t="b">
        <v>1</v>
      </c>
      <c r="I499" t="s">
        <v>22</v>
      </c>
      <c r="J499" s="186" t="s">
        <v>3947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318</v>
      </c>
      <c r="B500" t="s">
        <v>319</v>
      </c>
      <c r="C500" t="s">
        <v>319</v>
      </c>
      <c r="D500">
        <v>42</v>
      </c>
      <c r="E500" t="s">
        <v>3067</v>
      </c>
      <c r="F500" s="186" t="s">
        <v>3247</v>
      </c>
      <c r="H500" t="b">
        <v>1</v>
      </c>
      <c r="I500">
        <v>42</v>
      </c>
      <c r="J500" s="186" t="s">
        <v>3947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321</v>
      </c>
      <c r="B501" t="s">
        <v>322</v>
      </c>
      <c r="C501" t="s">
        <v>322</v>
      </c>
      <c r="D501">
        <v>43.25</v>
      </c>
      <c r="E501" t="s">
        <v>3067</v>
      </c>
      <c r="F501" s="186" t="s">
        <v>3247</v>
      </c>
      <c r="H501" t="b">
        <v>1</v>
      </c>
      <c r="I501">
        <v>43.25</v>
      </c>
      <c r="J501" s="186" t="s">
        <v>3947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324</v>
      </c>
      <c r="B502" t="s">
        <v>325</v>
      </c>
      <c r="C502" t="s">
        <v>325</v>
      </c>
      <c r="D502">
        <v>45.8</v>
      </c>
      <c r="E502" t="s">
        <v>3067</v>
      </c>
      <c r="F502" s="186" t="s">
        <v>3247</v>
      </c>
      <c r="H502" t="b">
        <v>1</v>
      </c>
      <c r="I502">
        <v>45.800000000000004</v>
      </c>
      <c r="J502" s="186" t="s">
        <v>3947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327</v>
      </c>
      <c r="B503" t="s">
        <v>328</v>
      </c>
      <c r="C503" t="s">
        <v>328</v>
      </c>
      <c r="D503">
        <v>73.45</v>
      </c>
      <c r="E503" t="s">
        <v>3067</v>
      </c>
      <c r="F503" s="186" t="s">
        <v>3247</v>
      </c>
      <c r="H503" t="b">
        <v>1</v>
      </c>
      <c r="I503">
        <v>73.45</v>
      </c>
      <c r="J503" s="186" t="s">
        <v>3947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408</v>
      </c>
      <c r="B504" t="s">
        <v>409</v>
      </c>
      <c r="C504" t="s">
        <v>409</v>
      </c>
      <c r="D504">
        <v>17.399999999999999</v>
      </c>
      <c r="E504" t="s">
        <v>3067</v>
      </c>
      <c r="F504" s="186" t="s">
        <v>366</v>
      </c>
      <c r="H504" t="b">
        <v>1</v>
      </c>
      <c r="I504">
        <v>17.400000000000002</v>
      </c>
      <c r="J504" s="186" t="s">
        <v>3947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411</v>
      </c>
      <c r="B505" t="s">
        <v>412</v>
      </c>
      <c r="C505" t="s">
        <v>412</v>
      </c>
      <c r="D505">
        <v>19.8</v>
      </c>
      <c r="E505" t="s">
        <v>3067</v>
      </c>
      <c r="F505" s="186" t="s">
        <v>366</v>
      </c>
      <c r="H505" t="b">
        <v>1</v>
      </c>
      <c r="I505">
        <v>19.8</v>
      </c>
      <c r="J505" s="186" t="s">
        <v>3947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413</v>
      </c>
      <c r="B506" t="s">
        <v>414</v>
      </c>
      <c r="C506" t="s">
        <v>414</v>
      </c>
      <c r="D506">
        <v>22.4</v>
      </c>
      <c r="E506" t="s">
        <v>3067</v>
      </c>
      <c r="F506" s="186" t="s">
        <v>366</v>
      </c>
      <c r="H506" t="b">
        <v>1</v>
      </c>
      <c r="I506">
        <v>22.400000000000002</v>
      </c>
      <c r="J506" s="186" t="s">
        <v>3947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415</v>
      </c>
      <c r="B507" t="s">
        <v>416</v>
      </c>
      <c r="C507" t="s">
        <v>416</v>
      </c>
      <c r="D507">
        <v>24.45</v>
      </c>
      <c r="E507" t="s">
        <v>3067</v>
      </c>
      <c r="F507" s="186" t="s">
        <v>366</v>
      </c>
      <c r="H507" t="b">
        <v>1</v>
      </c>
      <c r="I507">
        <v>24.450000000000003</v>
      </c>
      <c r="J507" s="186" t="s">
        <v>3947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418</v>
      </c>
      <c r="B508" t="s">
        <v>419</v>
      </c>
      <c r="C508" t="s">
        <v>419</v>
      </c>
      <c r="D508">
        <v>27.75</v>
      </c>
      <c r="E508" t="s">
        <v>3067</v>
      </c>
      <c r="F508" s="186" t="s">
        <v>366</v>
      </c>
      <c r="H508" t="b">
        <v>1</v>
      </c>
      <c r="I508">
        <v>27.75</v>
      </c>
      <c r="J508" s="186" t="s">
        <v>3947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421</v>
      </c>
      <c r="B509" t="s">
        <v>422</v>
      </c>
      <c r="C509" t="s">
        <v>422</v>
      </c>
      <c r="D509">
        <v>31.9</v>
      </c>
      <c r="E509" t="s">
        <v>3067</v>
      </c>
      <c r="F509" s="186" t="s">
        <v>366</v>
      </c>
      <c r="H509" t="b">
        <v>1</v>
      </c>
      <c r="I509">
        <v>31.900000000000002</v>
      </c>
      <c r="J509" s="186" t="s">
        <v>3947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424</v>
      </c>
      <c r="B510" t="s">
        <v>425</v>
      </c>
      <c r="C510" t="s">
        <v>425</v>
      </c>
      <c r="D510">
        <v>35.700000000000003</v>
      </c>
      <c r="E510" t="s">
        <v>3067</v>
      </c>
      <c r="F510" s="186" t="s">
        <v>366</v>
      </c>
      <c r="H510" t="b">
        <v>1</v>
      </c>
      <c r="I510">
        <v>35.700000000000003</v>
      </c>
      <c r="J510" s="186" t="s">
        <v>3947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426</v>
      </c>
      <c r="B511" t="s">
        <v>427</v>
      </c>
      <c r="C511" t="s">
        <v>427</v>
      </c>
      <c r="D511">
        <v>41</v>
      </c>
      <c r="E511" t="s">
        <v>3067</v>
      </c>
      <c r="F511" s="186" t="s">
        <v>366</v>
      </c>
      <c r="H511" t="b">
        <v>1</v>
      </c>
      <c r="I511">
        <v>41</v>
      </c>
      <c r="J511" s="186" t="s">
        <v>3947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432</v>
      </c>
      <c r="B512" t="s">
        <v>433</v>
      </c>
      <c r="C512" t="s">
        <v>433</v>
      </c>
      <c r="D512">
        <v>55.45</v>
      </c>
      <c r="E512" t="s">
        <v>3067</v>
      </c>
      <c r="F512" s="186" t="s">
        <v>366</v>
      </c>
      <c r="H512" t="b">
        <v>1</v>
      </c>
      <c r="I512">
        <v>55.45</v>
      </c>
      <c r="J512" s="186" t="s">
        <v>3947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337</v>
      </c>
      <c r="B513" t="s">
        <v>338</v>
      </c>
      <c r="C513" t="s">
        <v>338</v>
      </c>
      <c r="D513">
        <v>41.4</v>
      </c>
      <c r="E513" t="s">
        <v>3067</v>
      </c>
      <c r="F513" s="186" t="s">
        <v>3247</v>
      </c>
      <c r="H513" t="b">
        <v>1</v>
      </c>
      <c r="I513">
        <v>41.400000000000006</v>
      </c>
      <c r="J513" s="186" t="s">
        <v>3947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288</v>
      </c>
      <c r="B514" t="s">
        <v>289</v>
      </c>
      <c r="C514" t="s">
        <v>289</v>
      </c>
      <c r="D514">
        <v>65.05</v>
      </c>
      <c r="E514" t="s">
        <v>3067</v>
      </c>
      <c r="F514" s="186" t="s">
        <v>3247</v>
      </c>
      <c r="H514" t="b">
        <v>1</v>
      </c>
      <c r="I514">
        <v>65.05</v>
      </c>
      <c r="J514" s="186" t="s">
        <v>3947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220</v>
      </c>
      <c r="B515" t="s">
        <v>221</v>
      </c>
      <c r="C515" t="s">
        <v>221</v>
      </c>
      <c r="D515">
        <v>66.349999999999994</v>
      </c>
      <c r="E515" t="s">
        <v>3067</v>
      </c>
      <c r="F515" s="186" t="s">
        <v>198</v>
      </c>
      <c r="H515" t="b">
        <v>1</v>
      </c>
      <c r="I515">
        <v>66.350000000000009</v>
      </c>
      <c r="J515" s="186" t="s">
        <v>3947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229</v>
      </c>
      <c r="B516" t="s">
        <v>230</v>
      </c>
      <c r="C516" t="s">
        <v>230</v>
      </c>
      <c r="D516">
        <v>8.0500000000000007</v>
      </c>
      <c r="E516" t="s">
        <v>3067</v>
      </c>
      <c r="F516" s="186" t="s">
        <v>198</v>
      </c>
      <c r="H516" t="b">
        <v>1</v>
      </c>
      <c r="I516">
        <v>8.0500000000000007</v>
      </c>
      <c r="J516" s="186" t="s">
        <v>3947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190</v>
      </c>
      <c r="B517" t="s">
        <v>191</v>
      </c>
      <c r="C517" t="s">
        <v>191</v>
      </c>
      <c r="D517">
        <v>47.15</v>
      </c>
      <c r="E517" t="s">
        <v>3067</v>
      </c>
      <c r="F517" s="186" t="s">
        <v>3249</v>
      </c>
      <c r="H517" t="b">
        <v>1</v>
      </c>
      <c r="I517">
        <v>47.150000000000006</v>
      </c>
      <c r="J517" s="186" t="s">
        <v>3947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3067</v>
      </c>
      <c r="F518" s="186" t="s">
        <v>23</v>
      </c>
      <c r="H518" t="b">
        <v>1</v>
      </c>
      <c r="I518" t="s">
        <v>22</v>
      </c>
      <c r="J518" s="186" t="s">
        <v>3947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196</v>
      </c>
      <c r="B519" t="s">
        <v>197</v>
      </c>
      <c r="C519" t="s">
        <v>197</v>
      </c>
      <c r="D519">
        <v>57.2</v>
      </c>
      <c r="E519" t="s">
        <v>3067</v>
      </c>
      <c r="F519" s="186" t="s">
        <v>198</v>
      </c>
      <c r="H519" t="b">
        <v>1</v>
      </c>
      <c r="I519" t="s">
        <v>22</v>
      </c>
      <c r="J519" s="186" t="s">
        <v>3947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205</v>
      </c>
      <c r="B520" t="s">
        <v>206</v>
      </c>
      <c r="C520" t="s">
        <v>206</v>
      </c>
      <c r="D520">
        <v>106.15</v>
      </c>
      <c r="E520" t="s">
        <v>3067</v>
      </c>
      <c r="F520" s="186" t="s">
        <v>198</v>
      </c>
      <c r="H520" t="b">
        <v>1</v>
      </c>
      <c r="I520" t="s">
        <v>22</v>
      </c>
      <c r="J520" s="186" t="s">
        <v>3947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285</v>
      </c>
      <c r="B521" t="s">
        <v>286</v>
      </c>
      <c r="C521" t="s">
        <v>286</v>
      </c>
      <c r="D521">
        <v>55.45</v>
      </c>
      <c r="E521" t="s">
        <v>3067</v>
      </c>
      <c r="F521" s="186" t="s">
        <v>3247</v>
      </c>
      <c r="H521" t="b">
        <v>1</v>
      </c>
      <c r="I521">
        <v>55.45</v>
      </c>
      <c r="J521" s="186" t="s">
        <v>3947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214</v>
      </c>
      <c r="B522" t="s">
        <v>215</v>
      </c>
      <c r="C522" t="s">
        <v>215</v>
      </c>
      <c r="D522">
        <v>57.2</v>
      </c>
      <c r="E522" t="s">
        <v>3067</v>
      </c>
      <c r="F522" s="186" t="s">
        <v>198</v>
      </c>
      <c r="H522" t="b">
        <v>1</v>
      </c>
      <c r="I522">
        <v>57.2</v>
      </c>
      <c r="J522" s="186" t="s">
        <v>3947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211</v>
      </c>
      <c r="B523" t="s">
        <v>212</v>
      </c>
      <c r="C523" t="s">
        <v>212</v>
      </c>
      <c r="D523">
        <v>62.5</v>
      </c>
      <c r="E523" t="s">
        <v>3067</v>
      </c>
      <c r="F523" s="186" t="s">
        <v>3248</v>
      </c>
      <c r="H523" t="b">
        <v>1</v>
      </c>
      <c r="I523">
        <v>62.5</v>
      </c>
      <c r="J523" s="186" t="s">
        <v>3947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294</v>
      </c>
      <c r="B524" t="s">
        <v>295</v>
      </c>
      <c r="C524" t="s">
        <v>295</v>
      </c>
      <c r="D524">
        <v>53.05</v>
      </c>
      <c r="E524" t="s">
        <v>3067</v>
      </c>
      <c r="F524" s="186" t="s">
        <v>3247</v>
      </c>
      <c r="H524" t="b">
        <v>1</v>
      </c>
      <c r="I524">
        <v>53.050000000000004</v>
      </c>
      <c r="J524" s="186" t="s">
        <v>3947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297</v>
      </c>
      <c r="B525" t="s">
        <v>298</v>
      </c>
      <c r="C525" t="s">
        <v>298</v>
      </c>
      <c r="D525">
        <v>69.3</v>
      </c>
      <c r="E525" t="s">
        <v>3067</v>
      </c>
      <c r="F525" s="186" t="s">
        <v>3247</v>
      </c>
      <c r="H525" t="b">
        <v>1</v>
      </c>
      <c r="I525">
        <v>69.3</v>
      </c>
      <c r="J525" s="186" t="s">
        <v>3947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3069</v>
      </c>
      <c r="C526" t="s">
        <v>3251</v>
      </c>
      <c r="D526">
        <v>250.3</v>
      </c>
      <c r="E526" t="s">
        <v>3067</v>
      </c>
      <c r="F526" s="186" t="s">
        <v>23</v>
      </c>
      <c r="H526" t="b">
        <v>1</v>
      </c>
      <c r="I526">
        <v>250.3</v>
      </c>
      <c r="J526" s="186" t="s">
        <v>3947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3067</v>
      </c>
      <c r="F527" s="186" t="s">
        <v>23</v>
      </c>
      <c r="H527" t="b">
        <v>1</v>
      </c>
      <c r="I527">
        <v>173.9</v>
      </c>
      <c r="J527" s="186" t="s">
        <v>3947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238</v>
      </c>
      <c r="B528" t="s">
        <v>239</v>
      </c>
      <c r="C528" t="s">
        <v>239</v>
      </c>
      <c r="D528">
        <v>54.85</v>
      </c>
      <c r="E528" t="s">
        <v>3067</v>
      </c>
      <c r="F528" s="186" t="s">
        <v>198</v>
      </c>
      <c r="H528" t="b">
        <v>1</v>
      </c>
      <c r="I528">
        <v>54.85</v>
      </c>
      <c r="J528" s="186" t="s">
        <v>3947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184</v>
      </c>
      <c r="B529" t="s">
        <v>185</v>
      </c>
      <c r="C529" t="s">
        <v>185</v>
      </c>
      <c r="D529">
        <v>151.55000000000001</v>
      </c>
      <c r="E529" t="s">
        <v>3067</v>
      </c>
      <c r="F529" s="186" t="s">
        <v>3249</v>
      </c>
      <c r="H529" t="b">
        <v>1</v>
      </c>
      <c r="I529">
        <v>151.55000000000001</v>
      </c>
      <c r="J529" s="186" t="s">
        <v>3947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3067</v>
      </c>
      <c r="F530" s="186" t="s">
        <v>23</v>
      </c>
      <c r="H530" t="b">
        <v>1</v>
      </c>
      <c r="I530">
        <v>199.65</v>
      </c>
      <c r="J530" s="186" t="s">
        <v>3947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199</v>
      </c>
      <c r="B531" t="s">
        <v>200</v>
      </c>
      <c r="C531" t="s">
        <v>200</v>
      </c>
      <c r="D531">
        <v>57.2</v>
      </c>
      <c r="E531" t="s">
        <v>3067</v>
      </c>
      <c r="F531" s="186" t="s">
        <v>198</v>
      </c>
      <c r="H531" t="b">
        <v>1</v>
      </c>
      <c r="I531" t="s">
        <v>22</v>
      </c>
      <c r="J531" s="186" t="s">
        <v>3947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201</v>
      </c>
      <c r="B532" t="s">
        <v>202</v>
      </c>
      <c r="C532" t="s">
        <v>202</v>
      </c>
      <c r="D532">
        <v>66.349999999999994</v>
      </c>
      <c r="E532" t="s">
        <v>3067</v>
      </c>
      <c r="F532" s="186" t="s">
        <v>198</v>
      </c>
      <c r="H532" t="b">
        <v>1</v>
      </c>
      <c r="I532" t="s">
        <v>22</v>
      </c>
      <c r="J532" s="186" t="s">
        <v>3947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223</v>
      </c>
      <c r="B533" t="s">
        <v>224</v>
      </c>
      <c r="C533" t="s">
        <v>224</v>
      </c>
      <c r="D533">
        <v>106.15</v>
      </c>
      <c r="E533" t="s">
        <v>3067</v>
      </c>
      <c r="F533" s="186" t="s">
        <v>198</v>
      </c>
      <c r="H533" t="b">
        <v>1</v>
      </c>
      <c r="I533">
        <v>106.15</v>
      </c>
      <c r="J533" s="186" t="s">
        <v>3947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217</v>
      </c>
      <c r="B534" t="s">
        <v>218</v>
      </c>
      <c r="C534" t="s">
        <v>218</v>
      </c>
      <c r="D534">
        <v>57.2</v>
      </c>
      <c r="E534" t="s">
        <v>3067</v>
      </c>
      <c r="F534" s="186" t="s">
        <v>198</v>
      </c>
      <c r="H534" t="b">
        <v>1</v>
      </c>
      <c r="I534">
        <v>57.2</v>
      </c>
      <c r="J534" s="186" t="s">
        <v>3947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193</v>
      </c>
      <c r="B535" t="s">
        <v>194</v>
      </c>
      <c r="C535" t="s">
        <v>194</v>
      </c>
      <c r="D535">
        <v>48.65</v>
      </c>
      <c r="E535" t="s">
        <v>3067</v>
      </c>
      <c r="F535" s="186" t="s">
        <v>3249</v>
      </c>
      <c r="H535" t="b">
        <v>1</v>
      </c>
      <c r="I535">
        <v>48.650000000000006</v>
      </c>
      <c r="J535" s="186" t="s">
        <v>3947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187</v>
      </c>
      <c r="B536" t="s">
        <v>188</v>
      </c>
      <c r="C536" t="s">
        <v>188</v>
      </c>
      <c r="D536">
        <v>193.15</v>
      </c>
      <c r="E536" t="s">
        <v>3067</v>
      </c>
      <c r="F536" s="186" t="s">
        <v>3249</v>
      </c>
      <c r="H536" t="b">
        <v>1</v>
      </c>
      <c r="I536">
        <v>193.15</v>
      </c>
      <c r="J536" s="186" t="s">
        <v>3947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226</v>
      </c>
      <c r="B537" t="s">
        <v>227</v>
      </c>
      <c r="C537" t="s">
        <v>227</v>
      </c>
      <c r="D537">
        <v>141.5</v>
      </c>
      <c r="E537" t="s">
        <v>3067</v>
      </c>
      <c r="F537" s="186" t="s">
        <v>198</v>
      </c>
      <c r="H537" t="b">
        <v>1</v>
      </c>
      <c r="I537">
        <v>141.5</v>
      </c>
      <c r="J537" s="186" t="s">
        <v>3947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232</v>
      </c>
      <c r="B538" t="s">
        <v>233</v>
      </c>
      <c r="C538" t="s">
        <v>233</v>
      </c>
      <c r="D538">
        <v>13.3</v>
      </c>
      <c r="E538" t="s">
        <v>3067</v>
      </c>
      <c r="F538" s="186" t="s">
        <v>198</v>
      </c>
      <c r="H538" t="b">
        <v>1</v>
      </c>
      <c r="I538">
        <v>13.3</v>
      </c>
      <c r="J538" s="186" t="s">
        <v>3947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3067</v>
      </c>
      <c r="F539" s="186" t="s">
        <v>23</v>
      </c>
      <c r="H539" t="b">
        <v>1</v>
      </c>
      <c r="I539">
        <v>152</v>
      </c>
      <c r="J539" s="186" t="s">
        <v>3947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235</v>
      </c>
      <c r="B540" t="s">
        <v>236</v>
      </c>
      <c r="C540" t="s">
        <v>236</v>
      </c>
      <c r="D540">
        <v>13.3</v>
      </c>
      <c r="E540" t="s">
        <v>3067</v>
      </c>
      <c r="F540" s="186" t="s">
        <v>198</v>
      </c>
      <c r="H540" t="b">
        <v>1</v>
      </c>
      <c r="I540">
        <v>13.3</v>
      </c>
      <c r="J540" s="186" t="s">
        <v>3947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282</v>
      </c>
      <c r="B541" t="s">
        <v>283</v>
      </c>
      <c r="C541" t="s">
        <v>283</v>
      </c>
      <c r="D541">
        <v>50.1</v>
      </c>
      <c r="E541" t="s">
        <v>3067</v>
      </c>
      <c r="F541" s="186" t="s">
        <v>3247</v>
      </c>
      <c r="H541" t="b">
        <v>1</v>
      </c>
      <c r="I541">
        <v>50.1</v>
      </c>
      <c r="J541" s="186" t="s">
        <v>3947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428</v>
      </c>
      <c r="B542" t="s">
        <v>429</v>
      </c>
      <c r="C542" t="s">
        <v>429</v>
      </c>
      <c r="D542">
        <v>45.1</v>
      </c>
      <c r="E542" t="s">
        <v>3067</v>
      </c>
      <c r="F542" s="186" t="s">
        <v>366</v>
      </c>
      <c r="H542" t="b">
        <v>1</v>
      </c>
      <c r="I542">
        <v>45.1</v>
      </c>
      <c r="J542" s="186" t="s">
        <v>3947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203</v>
      </c>
      <c r="B543" t="s">
        <v>204</v>
      </c>
      <c r="C543" t="s">
        <v>204</v>
      </c>
      <c r="D543">
        <v>106.15</v>
      </c>
      <c r="E543" t="s">
        <v>3067</v>
      </c>
      <c r="F543" s="186" t="s">
        <v>198</v>
      </c>
      <c r="H543" t="b">
        <v>1</v>
      </c>
      <c r="I543" t="s">
        <v>22</v>
      </c>
      <c r="J543" s="186" t="s">
        <v>3947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430</v>
      </c>
      <c r="B544" t="s">
        <v>431</v>
      </c>
      <c r="C544" t="s">
        <v>431</v>
      </c>
      <c r="D544">
        <v>51.6</v>
      </c>
      <c r="E544" t="s">
        <v>3067</v>
      </c>
      <c r="F544" s="186" t="s">
        <v>366</v>
      </c>
      <c r="H544" t="b">
        <v>1</v>
      </c>
      <c r="I544">
        <v>51.6</v>
      </c>
      <c r="J544" s="186" t="s">
        <v>3947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3067</v>
      </c>
      <c r="F545" s="186" t="s">
        <v>23</v>
      </c>
      <c r="H545" t="b">
        <v>1</v>
      </c>
      <c r="I545" t="s">
        <v>22</v>
      </c>
      <c r="J545" s="186" t="s">
        <v>3947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276</v>
      </c>
      <c r="B546" t="s">
        <v>277</v>
      </c>
      <c r="C546" t="s">
        <v>277</v>
      </c>
      <c r="D546">
        <v>38.950000000000003</v>
      </c>
      <c r="E546" t="s">
        <v>3067</v>
      </c>
      <c r="F546" s="186" t="s">
        <v>3247</v>
      </c>
      <c r="H546" t="b">
        <v>1</v>
      </c>
      <c r="I546">
        <v>38.950000000000003</v>
      </c>
      <c r="J546" s="186" t="s">
        <v>3947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270</v>
      </c>
      <c r="B547" t="s">
        <v>271</v>
      </c>
      <c r="C547" t="s">
        <v>271</v>
      </c>
      <c r="D547">
        <v>35.4</v>
      </c>
      <c r="E547" t="s">
        <v>3067</v>
      </c>
      <c r="F547" s="186" t="s">
        <v>3247</v>
      </c>
      <c r="H547" t="b">
        <v>1</v>
      </c>
      <c r="I547">
        <v>35.4</v>
      </c>
      <c r="J547" s="186" t="s">
        <v>3947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273</v>
      </c>
      <c r="B548" t="s">
        <v>274</v>
      </c>
      <c r="C548" t="s">
        <v>274</v>
      </c>
      <c r="D548">
        <v>37.5</v>
      </c>
      <c r="E548" t="s">
        <v>3067</v>
      </c>
      <c r="F548" s="186" t="s">
        <v>3247</v>
      </c>
      <c r="H548" t="b">
        <v>1</v>
      </c>
      <c r="I548">
        <v>37.5</v>
      </c>
      <c r="J548" s="186" t="s">
        <v>3947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207</v>
      </c>
      <c r="B549" t="s">
        <v>208</v>
      </c>
      <c r="C549" t="s">
        <v>208</v>
      </c>
      <c r="D549">
        <v>54.85</v>
      </c>
      <c r="E549" t="s">
        <v>3067</v>
      </c>
      <c r="F549" s="186" t="s">
        <v>198</v>
      </c>
      <c r="H549" t="b">
        <v>1</v>
      </c>
      <c r="I549" t="s">
        <v>22</v>
      </c>
      <c r="J549" s="186" t="s">
        <v>3947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3067</v>
      </c>
      <c r="F550" s="186" t="s">
        <v>23</v>
      </c>
      <c r="H550" t="b">
        <v>1</v>
      </c>
      <c r="I550">
        <v>32.5</v>
      </c>
      <c r="J550" s="186" t="s">
        <v>3947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3067</v>
      </c>
      <c r="F551" s="186" t="s">
        <v>23</v>
      </c>
      <c r="H551" t="b">
        <v>1</v>
      </c>
      <c r="I551">
        <v>287.35000000000002</v>
      </c>
      <c r="J551" s="186" t="s">
        <v>3947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279</v>
      </c>
      <c r="B552" t="s">
        <v>3068</v>
      </c>
      <c r="C552" t="s">
        <v>280</v>
      </c>
      <c r="D552">
        <v>44.25</v>
      </c>
      <c r="E552" t="s">
        <v>3067</v>
      </c>
      <c r="F552" s="186" t="s">
        <v>3247</v>
      </c>
      <c r="H552" t="b">
        <v>1</v>
      </c>
      <c r="I552">
        <v>44.25</v>
      </c>
      <c r="J552" s="186" t="s">
        <v>3947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3067</v>
      </c>
      <c r="F553" s="186" t="s">
        <v>23</v>
      </c>
      <c r="H553" t="b">
        <v>1</v>
      </c>
      <c r="I553" t="s">
        <v>22</v>
      </c>
      <c r="J553" s="186" t="s">
        <v>3947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182</v>
      </c>
      <c r="B554" t="s">
        <v>183</v>
      </c>
      <c r="C554" t="s">
        <v>183</v>
      </c>
      <c r="D554">
        <v>151.55000000000001</v>
      </c>
      <c r="E554" t="s">
        <v>3067</v>
      </c>
      <c r="F554" s="186" t="s">
        <v>3249</v>
      </c>
      <c r="H554" t="b">
        <v>1</v>
      </c>
      <c r="I554" t="s">
        <v>22</v>
      </c>
      <c r="J554" s="186" t="s">
        <v>3947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179</v>
      </c>
      <c r="B555" t="s">
        <v>3950</v>
      </c>
      <c r="C555" t="s">
        <v>3250</v>
      </c>
      <c r="D555">
        <v>166.5</v>
      </c>
      <c r="E555" t="s">
        <v>3067</v>
      </c>
      <c r="F555" s="186" t="s">
        <v>3249</v>
      </c>
      <c r="H555" t="b">
        <v>1</v>
      </c>
      <c r="I555" t="s">
        <v>22</v>
      </c>
      <c r="J555" s="186" t="s">
        <v>3947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241</v>
      </c>
      <c r="B556" t="s">
        <v>242</v>
      </c>
      <c r="C556" t="s">
        <v>242</v>
      </c>
      <c r="D556">
        <v>31.95</v>
      </c>
      <c r="E556" t="s">
        <v>3067</v>
      </c>
      <c r="F556" s="186" t="s">
        <v>3247</v>
      </c>
      <c r="H556" t="b">
        <v>1</v>
      </c>
      <c r="I556" t="s">
        <v>22</v>
      </c>
      <c r="J556" s="186" t="s">
        <v>3947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244</v>
      </c>
      <c r="B557" t="s">
        <v>245</v>
      </c>
      <c r="C557" t="s">
        <v>245</v>
      </c>
      <c r="D557">
        <v>35.1</v>
      </c>
      <c r="E557" t="s">
        <v>3067</v>
      </c>
      <c r="F557" s="186" t="s">
        <v>3247</v>
      </c>
      <c r="H557" t="b">
        <v>1</v>
      </c>
      <c r="I557" t="s">
        <v>22</v>
      </c>
      <c r="J557" s="186" t="s">
        <v>3947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209</v>
      </c>
      <c r="B558" t="s">
        <v>210</v>
      </c>
      <c r="C558" t="s">
        <v>210</v>
      </c>
      <c r="D558">
        <v>206</v>
      </c>
      <c r="E558" t="s">
        <v>3067</v>
      </c>
      <c r="F558" s="186" t="s">
        <v>198</v>
      </c>
      <c r="H558" t="b">
        <v>1</v>
      </c>
      <c r="I558" t="s">
        <v>22</v>
      </c>
      <c r="J558" s="186" t="s">
        <v>3947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3067</v>
      </c>
      <c r="F559" s="186" t="s">
        <v>23</v>
      </c>
      <c r="H559" t="b">
        <v>1</v>
      </c>
      <c r="I559" t="s">
        <v>22</v>
      </c>
      <c r="J559" s="186" t="s">
        <v>3947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187</v>
      </c>
      <c r="B560" t="s">
        <v>188</v>
      </c>
      <c r="C560" t="s">
        <v>185</v>
      </c>
      <c r="D560">
        <v>151.55000000000001</v>
      </c>
      <c r="E560" t="s">
        <v>3067</v>
      </c>
      <c r="F560" s="186" t="s">
        <v>3249</v>
      </c>
      <c r="H560" t="b">
        <v>1</v>
      </c>
      <c r="I560">
        <v>193.15</v>
      </c>
      <c r="J560" s="186" t="s">
        <v>3947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149</v>
      </c>
      <c r="C561" s="1" t="s">
        <v>150</v>
      </c>
      <c r="D561">
        <v>36.6</v>
      </c>
      <c r="E561" t="s">
        <v>3241</v>
      </c>
      <c r="F561" s="187" t="s">
        <v>3242</v>
      </c>
      <c r="G561">
        <v>75</v>
      </c>
      <c r="H561" t="b">
        <v>1</v>
      </c>
      <c r="J561" s="186" t="s">
        <v>3951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151</v>
      </c>
      <c r="C562" s="1" t="s">
        <v>152</v>
      </c>
      <c r="D562">
        <v>36.6</v>
      </c>
      <c r="E562" t="s">
        <v>3241</v>
      </c>
      <c r="F562" s="187" t="s">
        <v>3242</v>
      </c>
      <c r="G562">
        <v>75</v>
      </c>
      <c r="H562" t="b">
        <v>1</v>
      </c>
      <c r="J562" s="186" t="s">
        <v>3951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153</v>
      </c>
      <c r="C563" s="1" t="s">
        <v>154</v>
      </c>
      <c r="D563">
        <v>36.6</v>
      </c>
      <c r="E563" t="s">
        <v>3241</v>
      </c>
      <c r="F563" s="187" t="s">
        <v>3242</v>
      </c>
      <c r="G563">
        <v>75</v>
      </c>
      <c r="H563" t="b">
        <v>1</v>
      </c>
      <c r="J563" s="186" t="s">
        <v>3951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155</v>
      </c>
      <c r="C564" s="1" t="s">
        <v>156</v>
      </c>
      <c r="D564">
        <v>36.6</v>
      </c>
      <c r="E564" t="s">
        <v>3241</v>
      </c>
      <c r="F564" s="187" t="s">
        <v>3242</v>
      </c>
      <c r="G564">
        <v>75</v>
      </c>
      <c r="H564" t="b">
        <v>1</v>
      </c>
      <c r="J564" s="186" t="s">
        <v>3951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3241</v>
      </c>
      <c r="F565" s="186" t="s">
        <v>3243</v>
      </c>
      <c r="G565">
        <v>75</v>
      </c>
      <c r="H565" t="b">
        <v>1</v>
      </c>
      <c r="J565" s="186" t="s">
        <v>3951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111</v>
      </c>
      <c r="C566" s="4" t="s">
        <v>112</v>
      </c>
      <c r="D566">
        <v>21.5</v>
      </c>
      <c r="E566" t="s">
        <v>3241</v>
      </c>
      <c r="F566" s="186" t="s">
        <v>3243</v>
      </c>
      <c r="G566">
        <v>75</v>
      </c>
      <c r="H566" t="b">
        <v>1</v>
      </c>
      <c r="J566" s="186" t="s">
        <v>3951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113</v>
      </c>
      <c r="C567" s="4" t="s">
        <v>114</v>
      </c>
      <c r="D567">
        <v>21.5</v>
      </c>
      <c r="E567" t="s">
        <v>3241</v>
      </c>
      <c r="F567" s="186" t="s">
        <v>3243</v>
      </c>
      <c r="G567">
        <v>75</v>
      </c>
      <c r="H567" t="b">
        <v>1</v>
      </c>
      <c r="J567" s="186" t="s">
        <v>3951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115</v>
      </c>
      <c r="C568" s="4" t="s">
        <v>116</v>
      </c>
      <c r="D568">
        <v>21.5</v>
      </c>
      <c r="E568" t="s">
        <v>3241</v>
      </c>
      <c r="F568" s="186" t="s">
        <v>3243</v>
      </c>
      <c r="G568">
        <v>75</v>
      </c>
      <c r="H568" t="b">
        <v>1</v>
      </c>
      <c r="J568" s="186" t="s">
        <v>3951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117</v>
      </c>
      <c r="C569" s="4" t="s">
        <v>118</v>
      </c>
      <c r="D569">
        <v>21.5</v>
      </c>
      <c r="E569" t="s">
        <v>3241</v>
      </c>
      <c r="F569" s="186" t="s">
        <v>3243</v>
      </c>
      <c r="G569">
        <v>75</v>
      </c>
      <c r="H569" t="b">
        <v>1</v>
      </c>
      <c r="J569" s="186" t="s">
        <v>3951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119</v>
      </c>
      <c r="C570" s="4" t="s">
        <v>120</v>
      </c>
      <c r="D570">
        <v>21.5</v>
      </c>
      <c r="E570" t="s">
        <v>3241</v>
      </c>
      <c r="F570" s="186" t="s">
        <v>3243</v>
      </c>
      <c r="G570">
        <v>75</v>
      </c>
      <c r="H570" t="b">
        <v>1</v>
      </c>
      <c r="J570" s="186" t="s">
        <v>3951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121</v>
      </c>
      <c r="C571" s="4" t="s">
        <v>122</v>
      </c>
      <c r="D571">
        <v>21.5</v>
      </c>
      <c r="E571" t="s">
        <v>3241</v>
      </c>
      <c r="F571" s="186" t="s">
        <v>3243</v>
      </c>
      <c r="G571">
        <v>75</v>
      </c>
      <c r="H571" t="b">
        <v>1</v>
      </c>
      <c r="J571" s="186" t="s">
        <v>3951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123</v>
      </c>
      <c r="C572" s="4" t="s">
        <v>124</v>
      </c>
      <c r="D572">
        <v>21.5</v>
      </c>
      <c r="E572" t="s">
        <v>3241</v>
      </c>
      <c r="F572" s="186" t="s">
        <v>3243</v>
      </c>
      <c r="G572">
        <v>75</v>
      </c>
      <c r="H572" t="b">
        <v>1</v>
      </c>
      <c r="J572" s="186" t="s">
        <v>3951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125</v>
      </c>
      <c r="C573" s="4" t="s">
        <v>126</v>
      </c>
      <c r="D573">
        <v>21.5</v>
      </c>
      <c r="E573" t="s">
        <v>3241</v>
      </c>
      <c r="F573" s="186" t="s">
        <v>3243</v>
      </c>
      <c r="G573">
        <v>75</v>
      </c>
      <c r="H573" t="b">
        <v>1</v>
      </c>
      <c r="J573" s="186" t="s">
        <v>3951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127</v>
      </c>
      <c r="C574" t="s">
        <v>116</v>
      </c>
      <c r="D574">
        <v>27.15</v>
      </c>
      <c r="E574" t="s">
        <v>3241</v>
      </c>
      <c r="F574" s="186" t="s">
        <v>3244</v>
      </c>
      <c r="G574">
        <v>75</v>
      </c>
      <c r="H574" t="b">
        <v>1</v>
      </c>
      <c r="J574" s="186" t="s">
        <v>3951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128</v>
      </c>
      <c r="C575" t="s">
        <v>118</v>
      </c>
      <c r="D575">
        <v>27.15</v>
      </c>
      <c r="E575" t="s">
        <v>3241</v>
      </c>
      <c r="F575" s="186" t="s">
        <v>3244</v>
      </c>
      <c r="G575">
        <v>75</v>
      </c>
      <c r="H575" t="b">
        <v>1</v>
      </c>
      <c r="J575" s="186" t="s">
        <v>3951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129</v>
      </c>
      <c r="C576" t="s">
        <v>130</v>
      </c>
      <c r="D576">
        <v>27.15</v>
      </c>
      <c r="E576" t="s">
        <v>3241</v>
      </c>
      <c r="F576" s="186" t="s">
        <v>3244</v>
      </c>
      <c r="G576">
        <v>75</v>
      </c>
      <c r="H576" t="b">
        <v>1</v>
      </c>
      <c r="J576" s="186" t="s">
        <v>3951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131</v>
      </c>
      <c r="C577" t="s">
        <v>132</v>
      </c>
      <c r="D577">
        <v>27.15</v>
      </c>
      <c r="E577" t="s">
        <v>3241</v>
      </c>
      <c r="F577" s="186" t="s">
        <v>3244</v>
      </c>
      <c r="G577">
        <v>75</v>
      </c>
      <c r="H577" t="b">
        <v>1</v>
      </c>
      <c r="J577" s="186" t="s">
        <v>3951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172</v>
      </c>
      <c r="C578" t="s">
        <v>174</v>
      </c>
      <c r="D578">
        <v>21.5</v>
      </c>
      <c r="E578" t="s">
        <v>3241</v>
      </c>
      <c r="F578" s="186" t="s">
        <v>175</v>
      </c>
      <c r="G578">
        <v>75</v>
      </c>
      <c r="H578" t="b">
        <v>1</v>
      </c>
      <c r="J578" s="186" t="s">
        <v>3951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176</v>
      </c>
      <c r="C579" t="s">
        <v>178</v>
      </c>
      <c r="D579">
        <v>21.5</v>
      </c>
      <c r="E579" t="s">
        <v>3241</v>
      </c>
      <c r="F579" s="186" t="s">
        <v>175</v>
      </c>
      <c r="G579">
        <v>75</v>
      </c>
      <c r="H579" t="b">
        <v>1</v>
      </c>
      <c r="J579" s="186" t="s">
        <v>3951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157</v>
      </c>
      <c r="C580" t="s">
        <v>158</v>
      </c>
      <c r="D580">
        <v>94.350000000000009</v>
      </c>
      <c r="E580" t="s">
        <v>3241</v>
      </c>
      <c r="F580" s="186" t="s">
        <v>159</v>
      </c>
      <c r="G580">
        <v>75</v>
      </c>
      <c r="H580" t="b">
        <v>1</v>
      </c>
      <c r="J580" s="186" t="s">
        <v>3951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160</v>
      </c>
      <c r="C581" t="s">
        <v>161</v>
      </c>
      <c r="D581">
        <v>35.1</v>
      </c>
      <c r="E581" t="s">
        <v>3241</v>
      </c>
      <c r="F581" s="186" t="s">
        <v>159</v>
      </c>
      <c r="G581">
        <v>75</v>
      </c>
      <c r="H581" t="b">
        <v>1</v>
      </c>
      <c r="J581" s="186" t="s">
        <v>3951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142</v>
      </c>
      <c r="C582" s="1" t="s">
        <v>143</v>
      </c>
      <c r="D582">
        <v>64.850000000000009</v>
      </c>
      <c r="E582" t="s">
        <v>3241</v>
      </c>
      <c r="F582" s="186" t="s">
        <v>3245</v>
      </c>
      <c r="G582">
        <v>75</v>
      </c>
      <c r="H582" t="b">
        <v>1</v>
      </c>
      <c r="J582" s="186" t="s">
        <v>3951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145</v>
      </c>
      <c r="C583" s="1" t="s">
        <v>146</v>
      </c>
      <c r="D583">
        <v>67.55</v>
      </c>
      <c r="E583" t="s">
        <v>3241</v>
      </c>
      <c r="F583" s="186" t="s">
        <v>3245</v>
      </c>
      <c r="G583">
        <v>75</v>
      </c>
      <c r="H583" t="b">
        <v>1</v>
      </c>
      <c r="J583" s="186" t="s">
        <v>3951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147</v>
      </c>
      <c r="C584" s="1" t="s">
        <v>148</v>
      </c>
      <c r="D584">
        <v>70.2</v>
      </c>
      <c r="E584" t="s">
        <v>3241</v>
      </c>
      <c r="F584" s="186" t="s">
        <v>3245</v>
      </c>
      <c r="G584">
        <v>75</v>
      </c>
      <c r="H584" t="b">
        <v>1</v>
      </c>
      <c r="J584" s="186" t="s">
        <v>3951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133</v>
      </c>
      <c r="C585" s="1" t="s">
        <v>134</v>
      </c>
      <c r="D585">
        <v>98.800000000000011</v>
      </c>
      <c r="E585" t="s">
        <v>3241</v>
      </c>
      <c r="F585" s="186" t="s">
        <v>3246</v>
      </c>
      <c r="G585">
        <v>75</v>
      </c>
      <c r="H585" t="b">
        <v>1</v>
      </c>
      <c r="J585" s="186" t="s">
        <v>3951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136</v>
      </c>
      <c r="C586" s="1" t="s">
        <v>137</v>
      </c>
      <c r="D586">
        <v>114.7</v>
      </c>
      <c r="E586" t="s">
        <v>3241</v>
      </c>
      <c r="F586" s="186" t="s">
        <v>3246</v>
      </c>
      <c r="G586">
        <v>75</v>
      </c>
      <c r="H586" t="b">
        <v>1</v>
      </c>
      <c r="J586" s="186" t="s">
        <v>3951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138</v>
      </c>
      <c r="C587" s="1" t="s">
        <v>139</v>
      </c>
      <c r="D587">
        <v>125.60000000000001</v>
      </c>
      <c r="E587" t="s">
        <v>3241</v>
      </c>
      <c r="F587" s="186" t="s">
        <v>3246</v>
      </c>
      <c r="G587">
        <v>75</v>
      </c>
      <c r="H587" t="b">
        <v>1</v>
      </c>
      <c r="J587" s="186" t="s">
        <v>3951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140</v>
      </c>
      <c r="C588" s="1" t="s">
        <v>141</v>
      </c>
      <c r="D588">
        <v>135.05000000000001</v>
      </c>
      <c r="E588" t="s">
        <v>3241</v>
      </c>
      <c r="F588" s="186" t="s">
        <v>3246</v>
      </c>
      <c r="G588">
        <v>75</v>
      </c>
      <c r="H588" t="b">
        <v>1</v>
      </c>
      <c r="J588" s="186" t="s">
        <v>3951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486</v>
      </c>
      <c r="B589" t="s">
        <v>487</v>
      </c>
      <c r="C589" t="s">
        <v>487</v>
      </c>
      <c r="D589">
        <v>61.65</v>
      </c>
      <c r="E589" t="s">
        <v>3070</v>
      </c>
      <c r="F589" s="186" t="s">
        <v>527</v>
      </c>
      <c r="H589" t="b">
        <v>1</v>
      </c>
      <c r="I589">
        <v>61.650000000000006</v>
      </c>
      <c r="J589" s="186" t="s">
        <v>464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492</v>
      </c>
      <c r="B590" t="s">
        <v>493</v>
      </c>
      <c r="C590" t="s">
        <v>493</v>
      </c>
      <c r="D590">
        <v>51.6</v>
      </c>
      <c r="E590" t="s">
        <v>3070</v>
      </c>
      <c r="F590" s="186" t="s">
        <v>519</v>
      </c>
      <c r="H590" t="b">
        <v>1</v>
      </c>
      <c r="I590">
        <v>51.6</v>
      </c>
      <c r="J590" s="186" t="s">
        <v>464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505</v>
      </c>
      <c r="B591" t="s">
        <v>506</v>
      </c>
      <c r="C591" t="s">
        <v>506</v>
      </c>
      <c r="D591">
        <v>80.8</v>
      </c>
      <c r="E591" t="s">
        <v>3070</v>
      </c>
      <c r="F591" s="186" t="s">
        <v>3252</v>
      </c>
      <c r="H591" t="b">
        <v>1</v>
      </c>
      <c r="I591">
        <v>80.800000000000011</v>
      </c>
      <c r="J591" s="186" t="s">
        <v>464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498</v>
      </c>
      <c r="B592" t="s">
        <v>499</v>
      </c>
      <c r="C592" t="s">
        <v>499</v>
      </c>
      <c r="D592">
        <v>55.45</v>
      </c>
      <c r="E592" t="s">
        <v>3070</v>
      </c>
      <c r="F592" s="186" t="s">
        <v>3252</v>
      </c>
      <c r="H592" t="b">
        <v>1</v>
      </c>
      <c r="I592">
        <v>55.45</v>
      </c>
      <c r="J592" s="186" t="s">
        <v>464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502</v>
      </c>
      <c r="B593" t="s">
        <v>503</v>
      </c>
      <c r="C593" t="s">
        <v>503</v>
      </c>
      <c r="D593">
        <v>66.349999999999994</v>
      </c>
      <c r="E593" t="s">
        <v>3070</v>
      </c>
      <c r="F593" s="186" t="s">
        <v>3252</v>
      </c>
      <c r="H593" t="b">
        <v>1</v>
      </c>
      <c r="I593">
        <v>66.350000000000009</v>
      </c>
      <c r="J593" s="186" t="s">
        <v>464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522</v>
      </c>
      <c r="B594" t="s">
        <v>3072</v>
      </c>
      <c r="C594" t="s">
        <v>523</v>
      </c>
      <c r="D594">
        <v>55.45</v>
      </c>
      <c r="E594" t="s">
        <v>3070</v>
      </c>
      <c r="F594" s="186" t="s">
        <v>519</v>
      </c>
      <c r="H594" t="b">
        <v>1</v>
      </c>
      <c r="I594">
        <v>55.45</v>
      </c>
      <c r="J594" s="186" t="s">
        <v>464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520</v>
      </c>
      <c r="B595" t="s">
        <v>521</v>
      </c>
      <c r="C595" t="s">
        <v>521</v>
      </c>
      <c r="D595">
        <v>35.700000000000003</v>
      </c>
      <c r="E595" t="s">
        <v>3070</v>
      </c>
      <c r="F595" s="186" t="s">
        <v>519</v>
      </c>
      <c r="H595" t="b">
        <v>1</v>
      </c>
      <c r="I595">
        <v>35.700000000000003</v>
      </c>
      <c r="J595" s="186" t="s">
        <v>464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507</v>
      </c>
      <c r="B596" t="s">
        <v>508</v>
      </c>
      <c r="C596" t="s">
        <v>508</v>
      </c>
      <c r="D596">
        <v>353.2</v>
      </c>
      <c r="E596" t="s">
        <v>3070</v>
      </c>
      <c r="F596" s="186" t="s">
        <v>3252</v>
      </c>
      <c r="H596" t="b">
        <v>1</v>
      </c>
      <c r="I596">
        <v>353.20000000000005</v>
      </c>
      <c r="J596" s="186" t="s">
        <v>464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530</v>
      </c>
      <c r="B597" t="s">
        <v>531</v>
      </c>
      <c r="C597" t="s">
        <v>531</v>
      </c>
      <c r="D597">
        <v>56.9</v>
      </c>
      <c r="E597" t="s">
        <v>3070</v>
      </c>
      <c r="F597" s="186" t="s">
        <v>519</v>
      </c>
      <c r="H597" t="b">
        <v>1</v>
      </c>
      <c r="I597" t="s">
        <v>22</v>
      </c>
      <c r="J597" s="186" t="s">
        <v>464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517</v>
      </c>
      <c r="B598" t="s">
        <v>518</v>
      </c>
      <c r="C598" t="s">
        <v>518</v>
      </c>
      <c r="D598">
        <v>56.05</v>
      </c>
      <c r="E598" t="s">
        <v>3070</v>
      </c>
      <c r="F598" s="186" t="s">
        <v>519</v>
      </c>
      <c r="H598" t="b">
        <v>1</v>
      </c>
      <c r="I598">
        <v>56.050000000000004</v>
      </c>
      <c r="J598" s="186" t="s">
        <v>464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524</v>
      </c>
      <c r="B599" t="s">
        <v>3071</v>
      </c>
      <c r="C599" t="s">
        <v>525</v>
      </c>
      <c r="D599">
        <v>96.7</v>
      </c>
      <c r="E599" t="s">
        <v>3070</v>
      </c>
      <c r="F599" s="186" t="s">
        <v>527</v>
      </c>
      <c r="H599" t="b">
        <v>1</v>
      </c>
      <c r="I599" t="s">
        <v>22</v>
      </c>
      <c r="J599" s="186" t="s">
        <v>464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489</v>
      </c>
      <c r="B600" t="s">
        <v>490</v>
      </c>
      <c r="C600" t="s">
        <v>490</v>
      </c>
      <c r="D600">
        <v>51.6</v>
      </c>
      <c r="E600" t="s">
        <v>3070</v>
      </c>
      <c r="F600" s="186" t="s">
        <v>527</v>
      </c>
      <c r="H600" t="b">
        <v>1</v>
      </c>
      <c r="I600">
        <v>51.6</v>
      </c>
      <c r="J600" s="186" t="s">
        <v>464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528</v>
      </c>
      <c r="B601" t="s">
        <v>529</v>
      </c>
      <c r="C601" t="s">
        <v>529</v>
      </c>
      <c r="D601">
        <v>96.7</v>
      </c>
      <c r="E601" t="s">
        <v>3070</v>
      </c>
      <c r="F601" s="186" t="s">
        <v>527</v>
      </c>
      <c r="H601" t="b">
        <v>1</v>
      </c>
      <c r="I601" t="s">
        <v>22</v>
      </c>
      <c r="J601" s="186" t="s">
        <v>464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483</v>
      </c>
      <c r="B602" t="s">
        <v>484</v>
      </c>
      <c r="C602" t="s">
        <v>484</v>
      </c>
      <c r="D602">
        <v>96.7</v>
      </c>
      <c r="E602" t="s">
        <v>3070</v>
      </c>
      <c r="F602" s="186" t="s">
        <v>527</v>
      </c>
      <c r="H602" t="b">
        <v>1</v>
      </c>
      <c r="I602">
        <v>96.7</v>
      </c>
      <c r="J602" s="186" t="s">
        <v>464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479</v>
      </c>
      <c r="B603" t="s">
        <v>480</v>
      </c>
      <c r="C603" t="s">
        <v>480</v>
      </c>
      <c r="D603">
        <v>53.05</v>
      </c>
      <c r="E603" t="s">
        <v>3070</v>
      </c>
      <c r="F603" s="186" t="s">
        <v>527</v>
      </c>
      <c r="H603" t="b">
        <v>1</v>
      </c>
      <c r="I603">
        <v>53.050000000000004</v>
      </c>
      <c r="J603" s="186" t="s">
        <v>464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514</v>
      </c>
      <c r="B604" t="s">
        <v>515</v>
      </c>
      <c r="C604" t="s">
        <v>515</v>
      </c>
      <c r="D604">
        <v>58.4</v>
      </c>
      <c r="E604" t="s">
        <v>3070</v>
      </c>
      <c r="F604" s="186" t="s">
        <v>513</v>
      </c>
      <c r="H604" t="b">
        <v>1</v>
      </c>
      <c r="I604">
        <v>58.400000000000006</v>
      </c>
      <c r="J604" s="186" t="s">
        <v>464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510</v>
      </c>
      <c r="B605" t="s">
        <v>511</v>
      </c>
      <c r="C605" t="s">
        <v>511</v>
      </c>
      <c r="D605">
        <v>54.3</v>
      </c>
      <c r="E605" t="s">
        <v>3070</v>
      </c>
      <c r="F605" s="186" t="s">
        <v>513</v>
      </c>
      <c r="H605" t="b">
        <v>1</v>
      </c>
      <c r="I605">
        <v>54.300000000000004</v>
      </c>
      <c r="J605" s="186" t="s">
        <v>464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469</v>
      </c>
      <c r="B606" t="s">
        <v>470</v>
      </c>
      <c r="C606" t="s">
        <v>470</v>
      </c>
      <c r="D606">
        <v>10.6</v>
      </c>
      <c r="E606" t="s">
        <v>3070</v>
      </c>
      <c r="F606" s="186" t="s">
        <v>942</v>
      </c>
      <c r="H606" t="b">
        <v>1</v>
      </c>
      <c r="I606">
        <v>10.600000000000001</v>
      </c>
      <c r="J606" s="186" t="s">
        <v>464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495</v>
      </c>
      <c r="B607" t="s">
        <v>496</v>
      </c>
      <c r="C607" t="s">
        <v>496</v>
      </c>
      <c r="D607">
        <v>18.600000000000001</v>
      </c>
      <c r="E607" t="s">
        <v>3070</v>
      </c>
      <c r="F607" s="186" t="s">
        <v>519</v>
      </c>
      <c r="H607" t="b">
        <v>1</v>
      </c>
      <c r="I607">
        <v>18.600000000000001</v>
      </c>
      <c r="J607" s="186" t="s">
        <v>464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536</v>
      </c>
      <c r="B608" t="s">
        <v>537</v>
      </c>
      <c r="C608" t="s">
        <v>537</v>
      </c>
      <c r="D608">
        <v>55.45</v>
      </c>
      <c r="E608" t="s">
        <v>3073</v>
      </c>
      <c r="F608" s="186" t="s">
        <v>527</v>
      </c>
      <c r="H608" t="b">
        <v>1</v>
      </c>
      <c r="I608">
        <v>55.45</v>
      </c>
      <c r="J608" s="186" t="s">
        <v>538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551</v>
      </c>
      <c r="B609" t="s">
        <v>552</v>
      </c>
      <c r="C609" t="s">
        <v>552</v>
      </c>
      <c r="D609">
        <v>74</v>
      </c>
      <c r="E609" t="s">
        <v>3073</v>
      </c>
      <c r="F609" s="186" t="s">
        <v>527</v>
      </c>
      <c r="H609" t="b">
        <v>1</v>
      </c>
      <c r="I609">
        <v>74</v>
      </c>
      <c r="J609" s="186" t="s">
        <v>538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566</v>
      </c>
      <c r="B610" t="s">
        <v>567</v>
      </c>
      <c r="C610" t="s">
        <v>567</v>
      </c>
      <c r="D610">
        <v>42.2</v>
      </c>
      <c r="E610" t="s">
        <v>3073</v>
      </c>
      <c r="F610" s="186" t="s">
        <v>527</v>
      </c>
      <c r="H610" t="b">
        <v>1</v>
      </c>
      <c r="I610">
        <v>42.2</v>
      </c>
      <c r="J610" s="186" t="s">
        <v>538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568</v>
      </c>
      <c r="B611" t="s">
        <v>569</v>
      </c>
      <c r="C611" t="s">
        <v>569</v>
      </c>
      <c r="D611">
        <v>106.15</v>
      </c>
      <c r="E611" t="s">
        <v>3073</v>
      </c>
      <c r="F611" s="186" t="s">
        <v>527</v>
      </c>
      <c r="H611" t="b">
        <v>1</v>
      </c>
      <c r="I611">
        <v>106.15</v>
      </c>
      <c r="J611" s="186" t="s">
        <v>538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542</v>
      </c>
      <c r="B612" t="s">
        <v>543</v>
      </c>
      <c r="C612" t="s">
        <v>543</v>
      </c>
      <c r="D612">
        <v>50.45</v>
      </c>
      <c r="E612" t="s">
        <v>3073</v>
      </c>
      <c r="F612" s="186" t="s">
        <v>527</v>
      </c>
      <c r="H612" t="b">
        <v>1</v>
      </c>
      <c r="I612">
        <v>50.45</v>
      </c>
      <c r="J612" s="186" t="s">
        <v>538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545</v>
      </c>
      <c r="B613" t="s">
        <v>546</v>
      </c>
      <c r="C613" t="s">
        <v>546</v>
      </c>
      <c r="D613">
        <v>56.9</v>
      </c>
      <c r="E613" t="s">
        <v>3073</v>
      </c>
      <c r="F613" s="186" t="s">
        <v>527</v>
      </c>
      <c r="H613" t="b">
        <v>1</v>
      </c>
      <c r="I613">
        <v>56.900000000000006</v>
      </c>
      <c r="J613" s="186" t="s">
        <v>538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680</v>
      </c>
      <c r="B614" t="s">
        <v>681</v>
      </c>
      <c r="C614" t="s">
        <v>681</v>
      </c>
      <c r="D614">
        <v>48.95</v>
      </c>
      <c r="E614" t="s">
        <v>3073</v>
      </c>
      <c r="F614" s="186" t="s">
        <v>527</v>
      </c>
      <c r="H614" t="b">
        <v>1</v>
      </c>
      <c r="I614">
        <v>48.95</v>
      </c>
      <c r="J614" s="186" t="s">
        <v>538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548</v>
      </c>
      <c r="B615" t="s">
        <v>549</v>
      </c>
      <c r="C615" t="s">
        <v>549</v>
      </c>
      <c r="D615">
        <v>50.45</v>
      </c>
      <c r="E615" t="s">
        <v>3073</v>
      </c>
      <c r="F615" s="186" t="s">
        <v>527</v>
      </c>
      <c r="H615" t="b">
        <v>1</v>
      </c>
      <c r="I615">
        <v>50.45</v>
      </c>
      <c r="J615" s="186" t="s">
        <v>538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563</v>
      </c>
      <c r="B616" t="s">
        <v>564</v>
      </c>
      <c r="C616" t="s">
        <v>564</v>
      </c>
      <c r="D616">
        <v>129.4</v>
      </c>
      <c r="E616" t="s">
        <v>3073</v>
      </c>
      <c r="F616" s="186" t="s">
        <v>527</v>
      </c>
      <c r="H616" t="b">
        <v>1</v>
      </c>
      <c r="I616">
        <v>129.4</v>
      </c>
      <c r="J616" s="186" t="s">
        <v>538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560</v>
      </c>
      <c r="B617" t="s">
        <v>561</v>
      </c>
      <c r="C617" t="s">
        <v>561</v>
      </c>
      <c r="D617">
        <v>106.15</v>
      </c>
      <c r="E617" t="s">
        <v>3073</v>
      </c>
      <c r="F617" s="186" t="s">
        <v>527</v>
      </c>
      <c r="H617" t="b">
        <v>1</v>
      </c>
      <c r="I617">
        <v>106.15</v>
      </c>
      <c r="J617" s="186" t="s">
        <v>538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557</v>
      </c>
      <c r="B618" t="s">
        <v>558</v>
      </c>
      <c r="C618" t="s">
        <v>558</v>
      </c>
      <c r="D618">
        <v>81.349999999999994</v>
      </c>
      <c r="E618" t="s">
        <v>3073</v>
      </c>
      <c r="F618" s="186" t="s">
        <v>527</v>
      </c>
      <c r="H618" t="b">
        <v>1</v>
      </c>
      <c r="I618">
        <v>81.350000000000009</v>
      </c>
      <c r="J618" s="186" t="s">
        <v>538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683</v>
      </c>
      <c r="B619" t="s">
        <v>684</v>
      </c>
      <c r="C619" t="s">
        <v>684</v>
      </c>
      <c r="D619">
        <v>70.75</v>
      </c>
      <c r="E619" t="s">
        <v>3073</v>
      </c>
      <c r="F619" s="186" t="s">
        <v>527</v>
      </c>
      <c r="H619" t="b">
        <v>1</v>
      </c>
      <c r="I619">
        <v>70.75</v>
      </c>
      <c r="J619" s="186" t="s">
        <v>538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554</v>
      </c>
      <c r="B620" t="s">
        <v>555</v>
      </c>
      <c r="C620" t="s">
        <v>555</v>
      </c>
      <c r="D620">
        <v>112</v>
      </c>
      <c r="E620" t="s">
        <v>3073</v>
      </c>
      <c r="F620" s="186" t="s">
        <v>527</v>
      </c>
      <c r="H620" t="b">
        <v>1</v>
      </c>
      <c r="I620">
        <v>112</v>
      </c>
      <c r="J620" s="186" t="s">
        <v>538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540</v>
      </c>
      <c r="B621" t="s">
        <v>541</v>
      </c>
      <c r="C621" t="s">
        <v>541</v>
      </c>
      <c r="D621">
        <v>106.15</v>
      </c>
      <c r="E621" t="s">
        <v>3073</v>
      </c>
      <c r="F621" s="186" t="s">
        <v>527</v>
      </c>
      <c r="H621" t="b">
        <v>1</v>
      </c>
      <c r="I621">
        <v>106.15</v>
      </c>
      <c r="J621" s="186" t="s">
        <v>538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676</v>
      </c>
      <c r="B622" t="s">
        <v>677</v>
      </c>
      <c r="C622" t="s">
        <v>677</v>
      </c>
      <c r="D622">
        <v>129.4</v>
      </c>
      <c r="E622" t="s">
        <v>3073</v>
      </c>
      <c r="F622" s="186" t="s">
        <v>527</v>
      </c>
      <c r="H622" t="b">
        <v>1</v>
      </c>
      <c r="I622" t="s">
        <v>22</v>
      </c>
      <c r="J622" s="186" t="s">
        <v>538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686</v>
      </c>
      <c r="B623" t="s">
        <v>687</v>
      </c>
      <c r="C623" t="s">
        <v>687</v>
      </c>
      <c r="D623">
        <v>129.4</v>
      </c>
      <c r="E623" t="s">
        <v>3073</v>
      </c>
      <c r="F623" s="186" t="s">
        <v>527</v>
      </c>
      <c r="H623" t="b">
        <v>1</v>
      </c>
      <c r="I623">
        <v>129.4</v>
      </c>
      <c r="J623" s="186" t="s">
        <v>538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678</v>
      </c>
      <c r="B624" t="s">
        <v>679</v>
      </c>
      <c r="C624" t="s">
        <v>679</v>
      </c>
      <c r="D624">
        <v>129.4</v>
      </c>
      <c r="E624" t="s">
        <v>3073</v>
      </c>
      <c r="F624" s="186" t="s">
        <v>527</v>
      </c>
      <c r="H624" t="b">
        <v>1</v>
      </c>
      <c r="I624" t="s">
        <v>22</v>
      </c>
      <c r="J624" s="186" t="s">
        <v>538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674</v>
      </c>
      <c r="B625" t="s">
        <v>675</v>
      </c>
      <c r="C625" t="s">
        <v>675</v>
      </c>
      <c r="D625">
        <v>112</v>
      </c>
      <c r="E625" t="s">
        <v>3073</v>
      </c>
      <c r="F625" s="186" t="s">
        <v>527</v>
      </c>
      <c r="H625" t="b">
        <v>1</v>
      </c>
      <c r="I625" t="s">
        <v>22</v>
      </c>
      <c r="J625" s="186" t="s">
        <v>538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672</v>
      </c>
      <c r="B626" t="s">
        <v>673</v>
      </c>
      <c r="C626" t="s">
        <v>673</v>
      </c>
      <c r="D626">
        <v>74</v>
      </c>
      <c r="E626" t="s">
        <v>3073</v>
      </c>
      <c r="F626" s="186" t="s">
        <v>527</v>
      </c>
      <c r="H626" t="b">
        <v>1</v>
      </c>
      <c r="I626" t="s">
        <v>22</v>
      </c>
      <c r="J626" s="186" t="s">
        <v>538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3020</v>
      </c>
      <c r="B627" t="s">
        <v>3929</v>
      </c>
      <c r="C627" t="s">
        <v>3021</v>
      </c>
      <c r="D627">
        <v>9.5</v>
      </c>
      <c r="E627" t="s">
        <v>3152</v>
      </c>
      <c r="F627" s="186" t="s">
        <v>942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3042</v>
      </c>
      <c r="B628" t="s">
        <v>3952</v>
      </c>
      <c r="C628" t="s">
        <v>3043</v>
      </c>
      <c r="D628">
        <v>14.15</v>
      </c>
      <c r="E628" t="s">
        <v>3152</v>
      </c>
      <c r="F628" s="186" t="s">
        <v>942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3018</v>
      </c>
      <c r="B629" t="s">
        <v>3933</v>
      </c>
      <c r="C629" t="s">
        <v>3019</v>
      </c>
      <c r="D629">
        <v>3.55</v>
      </c>
      <c r="E629" t="s">
        <v>3152</v>
      </c>
      <c r="F629" s="186" t="s">
        <v>942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3044</v>
      </c>
      <c r="B630" t="s">
        <v>3913</v>
      </c>
      <c r="C630" t="s">
        <v>3045</v>
      </c>
      <c r="D630">
        <v>41.25</v>
      </c>
      <c r="E630" t="s">
        <v>3152</v>
      </c>
      <c r="F630" s="186" t="s">
        <v>942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3022</v>
      </c>
      <c r="B631" t="s">
        <v>3926</v>
      </c>
      <c r="C631" t="s">
        <v>3023</v>
      </c>
      <c r="D631">
        <v>0.5</v>
      </c>
      <c r="E631" t="s">
        <v>3152</v>
      </c>
      <c r="F631" s="186" t="s">
        <v>942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3024</v>
      </c>
      <c r="B632" t="s">
        <v>3916</v>
      </c>
      <c r="C632" t="s">
        <v>3025</v>
      </c>
      <c r="D632">
        <v>5.15</v>
      </c>
      <c r="E632" t="s">
        <v>3152</v>
      </c>
      <c r="F632" s="186" t="s">
        <v>942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3024</v>
      </c>
      <c r="B633" t="s">
        <v>3916</v>
      </c>
      <c r="C633" t="s">
        <v>3026</v>
      </c>
      <c r="D633">
        <v>5.15</v>
      </c>
      <c r="E633" t="s">
        <v>3152</v>
      </c>
      <c r="F633" s="186" t="s">
        <v>942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3024</v>
      </c>
      <c r="B634" t="s">
        <v>3916</v>
      </c>
      <c r="C634" t="s">
        <v>3027</v>
      </c>
      <c r="D634">
        <v>5.15</v>
      </c>
      <c r="E634" t="s">
        <v>3152</v>
      </c>
      <c r="F634" s="186" t="s">
        <v>942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3024</v>
      </c>
      <c r="B635" t="s">
        <v>3916</v>
      </c>
      <c r="C635" t="s">
        <v>3028</v>
      </c>
      <c r="D635">
        <v>5.15</v>
      </c>
      <c r="E635" t="s">
        <v>3152</v>
      </c>
      <c r="F635" s="186" t="s">
        <v>942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3024</v>
      </c>
      <c r="B636" t="s">
        <v>3916</v>
      </c>
      <c r="C636" t="s">
        <v>3029</v>
      </c>
      <c r="D636">
        <v>5.15</v>
      </c>
      <c r="E636" t="s">
        <v>3152</v>
      </c>
      <c r="F636" s="186" t="s">
        <v>942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3024</v>
      </c>
      <c r="B637" t="s">
        <v>3916</v>
      </c>
      <c r="C637" t="s">
        <v>3030</v>
      </c>
      <c r="D637">
        <v>5.15</v>
      </c>
      <c r="E637" t="s">
        <v>3152</v>
      </c>
      <c r="F637" s="186" t="s">
        <v>942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3024</v>
      </c>
      <c r="B638" t="s">
        <v>3916</v>
      </c>
      <c r="C638" t="s">
        <v>3031</v>
      </c>
      <c r="D638">
        <v>5.15</v>
      </c>
      <c r="E638" t="s">
        <v>3152</v>
      </c>
      <c r="F638" s="186" t="s">
        <v>942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3024</v>
      </c>
      <c r="B639" t="s">
        <v>3916</v>
      </c>
      <c r="C639" t="s">
        <v>3032</v>
      </c>
      <c r="D639">
        <v>5.15</v>
      </c>
      <c r="E639" t="s">
        <v>3152</v>
      </c>
      <c r="F639" s="186" t="s">
        <v>942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3024</v>
      </c>
      <c r="B640" t="s">
        <v>3916</v>
      </c>
      <c r="C640" t="s">
        <v>3033</v>
      </c>
      <c r="D640">
        <v>5.15</v>
      </c>
      <c r="E640" t="s">
        <v>3152</v>
      </c>
      <c r="F640" s="186" t="s">
        <v>942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3024</v>
      </c>
      <c r="B641" t="s">
        <v>3916</v>
      </c>
      <c r="C641" t="s">
        <v>3034</v>
      </c>
      <c r="D641">
        <v>5.15</v>
      </c>
      <c r="E641" t="s">
        <v>3152</v>
      </c>
      <c r="F641" s="186" t="s">
        <v>942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3024</v>
      </c>
      <c r="B642" t="s">
        <v>3916</v>
      </c>
      <c r="C642" t="s">
        <v>3035</v>
      </c>
      <c r="D642">
        <v>5.15</v>
      </c>
      <c r="E642" t="s">
        <v>3152</v>
      </c>
      <c r="F642" s="186" t="s">
        <v>942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3024</v>
      </c>
      <c r="B643" t="s">
        <v>3916</v>
      </c>
      <c r="C643" t="s">
        <v>3036</v>
      </c>
      <c r="D643">
        <v>5.15</v>
      </c>
      <c r="E643" t="s">
        <v>3152</v>
      </c>
      <c r="F643" s="186" t="s">
        <v>942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3024</v>
      </c>
      <c r="B644" t="s">
        <v>3916</v>
      </c>
      <c r="C644" t="s">
        <v>3037</v>
      </c>
      <c r="D644">
        <v>5.15</v>
      </c>
      <c r="E644" t="s">
        <v>3152</v>
      </c>
      <c r="F644" s="186" t="s">
        <v>942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3024</v>
      </c>
      <c r="B645" t="s">
        <v>3916</v>
      </c>
      <c r="C645" t="s">
        <v>3038</v>
      </c>
      <c r="D645">
        <v>5.15</v>
      </c>
      <c r="E645" t="s">
        <v>3152</v>
      </c>
      <c r="F645" s="186" t="s">
        <v>942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3024</v>
      </c>
      <c r="B646" t="s">
        <v>3916</v>
      </c>
      <c r="C646" t="s">
        <v>3039</v>
      </c>
      <c r="D646">
        <v>5.15</v>
      </c>
      <c r="E646" t="s">
        <v>3152</v>
      </c>
      <c r="F646" s="186" t="s">
        <v>942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3024</v>
      </c>
      <c r="B647" t="s">
        <v>3916</v>
      </c>
      <c r="C647" t="s">
        <v>3040</v>
      </c>
      <c r="D647">
        <v>10.050000000000001</v>
      </c>
      <c r="E647" t="s">
        <v>3152</v>
      </c>
      <c r="F647" s="186" t="s">
        <v>942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3024</v>
      </c>
      <c r="B648" t="s">
        <v>3916</v>
      </c>
      <c r="C648" t="s">
        <v>3041</v>
      </c>
      <c r="D648">
        <v>15</v>
      </c>
      <c r="E648" t="s">
        <v>3152</v>
      </c>
      <c r="F648" s="186" t="s">
        <v>942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3044</v>
      </c>
      <c r="B649" t="s">
        <v>3913</v>
      </c>
      <c r="C649" t="s">
        <v>3046</v>
      </c>
      <c r="D649">
        <v>5</v>
      </c>
      <c r="E649" t="s">
        <v>3152</v>
      </c>
      <c r="F649" s="186" t="s">
        <v>942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717</v>
      </c>
      <c r="B650" t="s">
        <v>3253</v>
      </c>
      <c r="C650" t="s">
        <v>718</v>
      </c>
      <c r="D650">
        <v>9.85</v>
      </c>
      <c r="E650" t="s">
        <v>3152</v>
      </c>
      <c r="F650" s="186" t="s">
        <v>719</v>
      </c>
      <c r="H650" t="b">
        <v>1</v>
      </c>
      <c r="I650" t="s">
        <v>22</v>
      </c>
      <c r="J650" s="186" t="s">
        <v>538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825</v>
      </c>
      <c r="B651" t="s">
        <v>826</v>
      </c>
      <c r="C651" t="s">
        <v>826</v>
      </c>
      <c r="D651">
        <v>99.65</v>
      </c>
      <c r="E651" t="s">
        <v>3074</v>
      </c>
      <c r="F651" s="186" t="s">
        <v>818</v>
      </c>
      <c r="H651" t="b">
        <v>1</v>
      </c>
      <c r="I651" t="s">
        <v>22</v>
      </c>
      <c r="J651" s="186" t="s">
        <v>735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783</v>
      </c>
      <c r="B652" t="s">
        <v>784</v>
      </c>
      <c r="C652" t="s">
        <v>784</v>
      </c>
      <c r="D652">
        <v>223.4</v>
      </c>
      <c r="E652" t="s">
        <v>3074</v>
      </c>
      <c r="F652" s="186" t="s">
        <v>774</v>
      </c>
      <c r="H652" t="b">
        <v>1</v>
      </c>
      <c r="I652">
        <v>223.4</v>
      </c>
      <c r="J652" s="186" t="s">
        <v>735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744</v>
      </c>
      <c r="B653" t="s">
        <v>745</v>
      </c>
      <c r="C653" t="s">
        <v>745</v>
      </c>
      <c r="D653">
        <v>105.7</v>
      </c>
      <c r="E653" t="s">
        <v>3074</v>
      </c>
      <c r="F653" s="186" t="s">
        <v>818</v>
      </c>
      <c r="H653" t="b">
        <v>1</v>
      </c>
      <c r="I653">
        <v>105.7</v>
      </c>
      <c r="J653" s="186" t="s">
        <v>735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733</v>
      </c>
      <c r="B654" t="s">
        <v>734</v>
      </c>
      <c r="C654" t="s">
        <v>734</v>
      </c>
      <c r="D654">
        <v>26.5</v>
      </c>
      <c r="E654" t="s">
        <v>3074</v>
      </c>
      <c r="F654" s="186" t="s">
        <v>818</v>
      </c>
      <c r="H654" t="b">
        <v>1</v>
      </c>
      <c r="I654">
        <v>26.5</v>
      </c>
      <c r="J654" s="186" t="s">
        <v>735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815</v>
      </c>
      <c r="B655" t="s">
        <v>816</v>
      </c>
      <c r="C655" t="s">
        <v>816</v>
      </c>
      <c r="D655">
        <v>26.5</v>
      </c>
      <c r="E655" t="s">
        <v>3074</v>
      </c>
      <c r="F655" s="186" t="s">
        <v>818</v>
      </c>
      <c r="H655" t="b">
        <v>1</v>
      </c>
      <c r="I655" t="s">
        <v>22</v>
      </c>
      <c r="J655" s="186" t="s">
        <v>735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741</v>
      </c>
      <c r="B656" t="s">
        <v>742</v>
      </c>
      <c r="C656" t="s">
        <v>742</v>
      </c>
      <c r="D656">
        <v>64.849999999999994</v>
      </c>
      <c r="E656" t="s">
        <v>3074</v>
      </c>
      <c r="F656" s="186" t="s">
        <v>818</v>
      </c>
      <c r="H656" t="b">
        <v>1</v>
      </c>
      <c r="I656">
        <v>64.850000000000009</v>
      </c>
      <c r="J656" s="186" t="s">
        <v>735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819</v>
      </c>
      <c r="B657" t="s">
        <v>820</v>
      </c>
      <c r="C657" t="s">
        <v>820</v>
      </c>
      <c r="D657">
        <v>64.849999999999994</v>
      </c>
      <c r="E657" t="s">
        <v>3074</v>
      </c>
      <c r="F657" s="186" t="s">
        <v>818</v>
      </c>
      <c r="H657" t="b">
        <v>1</v>
      </c>
      <c r="I657" t="s">
        <v>22</v>
      </c>
      <c r="J657" s="186" t="s">
        <v>735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823</v>
      </c>
      <c r="B658" t="s">
        <v>824</v>
      </c>
      <c r="C658" t="s">
        <v>824</v>
      </c>
      <c r="D658">
        <v>99.65</v>
      </c>
      <c r="E658" t="s">
        <v>3074</v>
      </c>
      <c r="F658" s="186" t="s">
        <v>818</v>
      </c>
      <c r="H658" t="b">
        <v>1</v>
      </c>
      <c r="I658" t="s">
        <v>22</v>
      </c>
      <c r="J658" s="186" t="s">
        <v>735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802</v>
      </c>
      <c r="B659" t="s">
        <v>803</v>
      </c>
      <c r="C659" t="s">
        <v>803</v>
      </c>
      <c r="D659">
        <v>74</v>
      </c>
      <c r="E659" t="s">
        <v>3074</v>
      </c>
      <c r="F659" s="186" t="s">
        <v>810</v>
      </c>
      <c r="H659" t="b">
        <v>1</v>
      </c>
      <c r="I659">
        <v>74</v>
      </c>
      <c r="J659" s="186" t="s">
        <v>735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805</v>
      </c>
      <c r="B660" t="s">
        <v>806</v>
      </c>
      <c r="C660" t="s">
        <v>806</v>
      </c>
      <c r="D660">
        <v>53.05</v>
      </c>
      <c r="E660" t="s">
        <v>3074</v>
      </c>
      <c r="F660" s="186" t="s">
        <v>810</v>
      </c>
      <c r="H660" t="b">
        <v>1</v>
      </c>
      <c r="I660">
        <v>53.050000000000004</v>
      </c>
      <c r="J660" s="186" t="s">
        <v>735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811</v>
      </c>
      <c r="B661" t="s">
        <v>812</v>
      </c>
      <c r="C661" t="s">
        <v>812</v>
      </c>
      <c r="D661">
        <v>129.15</v>
      </c>
      <c r="E661" t="s">
        <v>3074</v>
      </c>
      <c r="F661" s="186" t="s">
        <v>774</v>
      </c>
      <c r="H661" t="b">
        <v>1</v>
      </c>
      <c r="I661" t="s">
        <v>22</v>
      </c>
      <c r="J661" s="186" t="s">
        <v>735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778</v>
      </c>
      <c r="B662" t="s">
        <v>779</v>
      </c>
      <c r="C662" t="s">
        <v>779</v>
      </c>
      <c r="D662">
        <v>108.5</v>
      </c>
      <c r="E662" t="s">
        <v>3074</v>
      </c>
      <c r="F662" s="186" t="s">
        <v>774</v>
      </c>
      <c r="H662" t="b">
        <v>1</v>
      </c>
      <c r="I662">
        <v>108.5</v>
      </c>
      <c r="J662" s="186" t="s">
        <v>735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780</v>
      </c>
      <c r="B663" t="s">
        <v>781</v>
      </c>
      <c r="C663" t="s">
        <v>781</v>
      </c>
      <c r="D663">
        <v>135.05000000000001</v>
      </c>
      <c r="E663" t="s">
        <v>3074</v>
      </c>
      <c r="F663" s="186" t="s">
        <v>774</v>
      </c>
      <c r="H663" t="b">
        <v>1</v>
      </c>
      <c r="I663">
        <v>135.05000000000001</v>
      </c>
      <c r="J663" s="186" t="s">
        <v>735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786</v>
      </c>
      <c r="B664" t="s">
        <v>787</v>
      </c>
      <c r="C664" t="s">
        <v>787</v>
      </c>
      <c r="D664">
        <v>194.55</v>
      </c>
      <c r="E664" t="s">
        <v>3074</v>
      </c>
      <c r="F664" s="186" t="s">
        <v>774</v>
      </c>
      <c r="H664" t="b">
        <v>1</v>
      </c>
      <c r="I664">
        <v>194.55</v>
      </c>
      <c r="J664" s="186" t="s">
        <v>735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796</v>
      </c>
      <c r="B665" t="s">
        <v>797</v>
      </c>
      <c r="C665" t="s">
        <v>797</v>
      </c>
      <c r="D665">
        <v>82</v>
      </c>
      <c r="E665" t="s">
        <v>3074</v>
      </c>
      <c r="F665" s="186" t="s">
        <v>942</v>
      </c>
      <c r="H665" t="b">
        <v>1</v>
      </c>
      <c r="I665">
        <v>82</v>
      </c>
      <c r="J665" s="186" t="s">
        <v>735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758</v>
      </c>
      <c r="B666" t="s">
        <v>759</v>
      </c>
      <c r="C666" t="s">
        <v>759</v>
      </c>
      <c r="D666">
        <v>61.65</v>
      </c>
      <c r="E666" t="s">
        <v>3074</v>
      </c>
      <c r="F666" s="186" t="s">
        <v>3254</v>
      </c>
      <c r="H666" t="b">
        <v>1</v>
      </c>
      <c r="I666">
        <v>61.650000000000006</v>
      </c>
      <c r="J666" s="186" t="s">
        <v>735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790</v>
      </c>
      <c r="B667" t="s">
        <v>3075</v>
      </c>
      <c r="C667" t="s">
        <v>791</v>
      </c>
      <c r="D667">
        <v>362.15</v>
      </c>
      <c r="E667" t="s">
        <v>3074</v>
      </c>
      <c r="F667" s="186" t="s">
        <v>774</v>
      </c>
      <c r="H667" t="b">
        <v>1</v>
      </c>
      <c r="I667">
        <v>362.15000000000003</v>
      </c>
      <c r="J667" s="186" t="s">
        <v>735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821</v>
      </c>
      <c r="B668" t="s">
        <v>3077</v>
      </c>
      <c r="C668" t="s">
        <v>822</v>
      </c>
      <c r="D668">
        <v>83.45</v>
      </c>
      <c r="E668" t="s">
        <v>3074</v>
      </c>
      <c r="F668" s="186" t="s">
        <v>818</v>
      </c>
      <c r="H668" t="b">
        <v>1</v>
      </c>
      <c r="I668" t="s">
        <v>22</v>
      </c>
      <c r="J668" s="186" t="s">
        <v>735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771</v>
      </c>
      <c r="B669" t="s">
        <v>772</v>
      </c>
      <c r="C669" t="s">
        <v>772</v>
      </c>
      <c r="D669">
        <v>222.6</v>
      </c>
      <c r="E669" t="s">
        <v>3074</v>
      </c>
      <c r="F669" s="186" t="s">
        <v>942</v>
      </c>
      <c r="H669" t="b">
        <v>1</v>
      </c>
      <c r="I669">
        <v>222.60000000000002</v>
      </c>
      <c r="J669" s="186" t="s">
        <v>735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766</v>
      </c>
      <c r="B670" t="s">
        <v>767</v>
      </c>
      <c r="C670" t="s">
        <v>767</v>
      </c>
      <c r="D670">
        <v>128.25</v>
      </c>
      <c r="E670" t="s">
        <v>3074</v>
      </c>
      <c r="F670" s="186" t="s">
        <v>3254</v>
      </c>
      <c r="H670" t="b">
        <v>1</v>
      </c>
      <c r="I670">
        <v>128.25</v>
      </c>
      <c r="J670" s="186" t="s">
        <v>735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747</v>
      </c>
      <c r="B671" t="s">
        <v>748</v>
      </c>
      <c r="C671" t="s">
        <v>748</v>
      </c>
      <c r="D671">
        <v>79.55</v>
      </c>
      <c r="E671" t="s">
        <v>3074</v>
      </c>
      <c r="F671" s="186" t="s">
        <v>818</v>
      </c>
      <c r="H671" t="b">
        <v>1</v>
      </c>
      <c r="I671">
        <v>79.550000000000011</v>
      </c>
      <c r="J671" s="186" t="s">
        <v>735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792</v>
      </c>
      <c r="B672" t="s">
        <v>793</v>
      </c>
      <c r="C672" t="s">
        <v>793</v>
      </c>
      <c r="D672">
        <v>315.45</v>
      </c>
      <c r="E672" t="s">
        <v>3074</v>
      </c>
      <c r="F672" s="186" t="s">
        <v>774</v>
      </c>
      <c r="H672" t="b">
        <v>1</v>
      </c>
      <c r="I672">
        <v>315.45000000000005</v>
      </c>
      <c r="J672" s="186" t="s">
        <v>735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2301</v>
      </c>
      <c r="B673" t="s">
        <v>2302</v>
      </c>
      <c r="C673" t="s">
        <v>2302</v>
      </c>
      <c r="D673">
        <v>33.049999999999997</v>
      </c>
      <c r="E673" t="s">
        <v>3074</v>
      </c>
      <c r="F673" s="186" t="s">
        <v>942</v>
      </c>
      <c r="H673" t="b">
        <v>1</v>
      </c>
      <c r="I673">
        <v>33.050000000000004</v>
      </c>
      <c r="J673" s="186" t="s">
        <v>735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829</v>
      </c>
      <c r="B674" t="s">
        <v>746</v>
      </c>
      <c r="C674" t="s">
        <v>746</v>
      </c>
      <c r="D674">
        <v>105.7</v>
      </c>
      <c r="E674" t="s">
        <v>3074</v>
      </c>
      <c r="F674" s="186" t="s">
        <v>818</v>
      </c>
      <c r="H674" t="b">
        <v>1</v>
      </c>
      <c r="I674" t="s">
        <v>22</v>
      </c>
      <c r="J674" s="186" t="s">
        <v>735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788</v>
      </c>
      <c r="B675" t="s">
        <v>789</v>
      </c>
      <c r="C675" t="s">
        <v>789</v>
      </c>
      <c r="D675">
        <v>193.3</v>
      </c>
      <c r="E675" t="s">
        <v>3074</v>
      </c>
      <c r="F675" s="186" t="s">
        <v>774</v>
      </c>
      <c r="H675" t="b">
        <v>1</v>
      </c>
      <c r="I675">
        <v>193.3</v>
      </c>
      <c r="J675" s="186" t="s">
        <v>735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750</v>
      </c>
      <c r="B676" t="s">
        <v>751</v>
      </c>
      <c r="C676" t="s">
        <v>751</v>
      </c>
      <c r="D676">
        <v>120.3</v>
      </c>
      <c r="E676" t="s">
        <v>3074</v>
      </c>
      <c r="F676" s="186" t="s">
        <v>818</v>
      </c>
      <c r="H676" t="b">
        <v>1</v>
      </c>
      <c r="I676">
        <v>120.30000000000001</v>
      </c>
      <c r="J676" s="186" t="s">
        <v>735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813</v>
      </c>
      <c r="B677" t="s">
        <v>814</v>
      </c>
      <c r="C677" t="s">
        <v>814</v>
      </c>
      <c r="D677">
        <v>82</v>
      </c>
      <c r="E677" t="s">
        <v>3074</v>
      </c>
      <c r="F677" s="186" t="s">
        <v>942</v>
      </c>
      <c r="H677" t="b">
        <v>1</v>
      </c>
      <c r="I677" t="s">
        <v>22</v>
      </c>
      <c r="J677" s="186" t="s">
        <v>735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738</v>
      </c>
      <c r="B678" t="s">
        <v>739</v>
      </c>
      <c r="C678" t="s">
        <v>739</v>
      </c>
      <c r="D678">
        <v>64.849999999999994</v>
      </c>
      <c r="E678" t="s">
        <v>3074</v>
      </c>
      <c r="F678" s="186" t="s">
        <v>818</v>
      </c>
      <c r="H678" t="b">
        <v>1</v>
      </c>
      <c r="I678">
        <v>64.850000000000009</v>
      </c>
      <c r="J678" s="186" t="s">
        <v>735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762</v>
      </c>
      <c r="B679" t="s">
        <v>763</v>
      </c>
      <c r="C679" t="s">
        <v>763</v>
      </c>
      <c r="D679">
        <v>94.35</v>
      </c>
      <c r="E679" t="s">
        <v>3074</v>
      </c>
      <c r="F679" s="186" t="s">
        <v>3254</v>
      </c>
      <c r="H679" t="b">
        <v>1</v>
      </c>
      <c r="I679">
        <v>94.350000000000009</v>
      </c>
      <c r="J679" s="186" t="s">
        <v>735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775</v>
      </c>
      <c r="B680" t="s">
        <v>776</v>
      </c>
      <c r="C680" t="s">
        <v>776</v>
      </c>
      <c r="D680">
        <v>88.45</v>
      </c>
      <c r="E680" t="s">
        <v>3074</v>
      </c>
      <c r="F680" s="186" t="s">
        <v>942</v>
      </c>
      <c r="H680" t="b">
        <v>1</v>
      </c>
      <c r="I680">
        <v>88.45</v>
      </c>
      <c r="J680" s="186" t="s">
        <v>735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755</v>
      </c>
      <c r="B681" t="s">
        <v>756</v>
      </c>
      <c r="C681" t="s">
        <v>756</v>
      </c>
      <c r="D681">
        <v>99.65</v>
      </c>
      <c r="E681" t="s">
        <v>3074</v>
      </c>
      <c r="F681" s="186" t="s">
        <v>818</v>
      </c>
      <c r="H681" t="b">
        <v>1</v>
      </c>
      <c r="I681">
        <v>99.65</v>
      </c>
      <c r="J681" s="186" t="s">
        <v>735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752</v>
      </c>
      <c r="B682" t="s">
        <v>753</v>
      </c>
      <c r="C682" t="s">
        <v>753</v>
      </c>
      <c r="D682">
        <v>85.8</v>
      </c>
      <c r="E682" t="s">
        <v>3074</v>
      </c>
      <c r="F682" s="186" t="s">
        <v>818</v>
      </c>
      <c r="H682" t="b">
        <v>1</v>
      </c>
      <c r="I682">
        <v>85.800000000000011</v>
      </c>
      <c r="J682" s="186" t="s">
        <v>735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794</v>
      </c>
      <c r="B683" t="s">
        <v>795</v>
      </c>
      <c r="C683" t="s">
        <v>795</v>
      </c>
      <c r="D683">
        <v>252.35</v>
      </c>
      <c r="E683" t="s">
        <v>3074</v>
      </c>
      <c r="F683" s="186" t="s">
        <v>774</v>
      </c>
      <c r="H683" t="b">
        <v>1</v>
      </c>
      <c r="I683" t="s">
        <v>22</v>
      </c>
      <c r="J683" s="186" t="s">
        <v>735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807</v>
      </c>
      <c r="B684" t="s">
        <v>808</v>
      </c>
      <c r="C684" t="s">
        <v>808</v>
      </c>
      <c r="D684">
        <v>50</v>
      </c>
      <c r="E684" t="s">
        <v>3074</v>
      </c>
      <c r="F684" s="186" t="s">
        <v>810</v>
      </c>
      <c r="H684" t="b">
        <v>1</v>
      </c>
      <c r="I684" t="s">
        <v>22</v>
      </c>
      <c r="J684" s="186" t="s">
        <v>735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764</v>
      </c>
      <c r="B685" t="s">
        <v>765</v>
      </c>
      <c r="C685" t="s">
        <v>765</v>
      </c>
      <c r="D685">
        <v>133.9</v>
      </c>
      <c r="E685" t="s">
        <v>3074</v>
      </c>
      <c r="F685" s="186" t="s">
        <v>3254</v>
      </c>
      <c r="H685" t="b">
        <v>1</v>
      </c>
      <c r="I685">
        <v>133.9</v>
      </c>
      <c r="J685" s="186" t="s">
        <v>735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985</v>
      </c>
      <c r="B686" t="s">
        <v>986</v>
      </c>
      <c r="C686" t="s">
        <v>986</v>
      </c>
      <c r="D686">
        <v>15.35</v>
      </c>
      <c r="E686" t="s">
        <v>3074</v>
      </c>
      <c r="F686" s="186" t="s">
        <v>942</v>
      </c>
      <c r="H686" t="b">
        <v>1</v>
      </c>
      <c r="I686" t="s">
        <v>22</v>
      </c>
      <c r="J686" s="186" t="s">
        <v>735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827</v>
      </c>
      <c r="B687" t="s">
        <v>3076</v>
      </c>
      <c r="C687" t="s">
        <v>828</v>
      </c>
      <c r="D687">
        <v>99.65</v>
      </c>
      <c r="E687" t="s">
        <v>3074</v>
      </c>
      <c r="F687" s="186" t="s">
        <v>818</v>
      </c>
      <c r="H687" t="b">
        <v>1</v>
      </c>
      <c r="I687" t="s">
        <v>22</v>
      </c>
      <c r="J687" s="186" t="s">
        <v>735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827</v>
      </c>
      <c r="B688" t="s">
        <v>3076</v>
      </c>
      <c r="C688" t="s">
        <v>756</v>
      </c>
      <c r="D688">
        <v>99.65</v>
      </c>
      <c r="E688" t="s">
        <v>3074</v>
      </c>
      <c r="F688" s="186" t="s">
        <v>818</v>
      </c>
      <c r="H688" t="b">
        <v>1</v>
      </c>
      <c r="I688" t="s">
        <v>22</v>
      </c>
      <c r="J688" s="186" t="s">
        <v>735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836</v>
      </c>
      <c r="B689" t="s">
        <v>837</v>
      </c>
      <c r="C689" t="s">
        <v>837</v>
      </c>
      <c r="D689">
        <v>117.95</v>
      </c>
      <c r="E689" t="s">
        <v>3078</v>
      </c>
      <c r="F689" s="186" t="s">
        <v>838</v>
      </c>
      <c r="H689" t="b">
        <v>1</v>
      </c>
      <c r="I689" t="s">
        <v>22</v>
      </c>
      <c r="J689" s="186" t="s">
        <v>832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921</v>
      </c>
      <c r="B690" t="s">
        <v>922</v>
      </c>
      <c r="C690" t="s">
        <v>922</v>
      </c>
      <c r="D690">
        <v>62.25</v>
      </c>
      <c r="E690" t="s">
        <v>3078</v>
      </c>
      <c r="F690" s="186" t="s">
        <v>833</v>
      </c>
      <c r="H690" t="b">
        <v>1</v>
      </c>
      <c r="I690">
        <v>62.25</v>
      </c>
      <c r="J690" s="186" t="s">
        <v>832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924</v>
      </c>
      <c r="B691" t="s">
        <v>925</v>
      </c>
      <c r="C691" t="s">
        <v>925</v>
      </c>
      <c r="D691">
        <v>59.6</v>
      </c>
      <c r="E691" t="s">
        <v>3078</v>
      </c>
      <c r="F691" s="186" t="s">
        <v>833</v>
      </c>
      <c r="H691" t="b">
        <v>1</v>
      </c>
      <c r="I691">
        <v>59.6</v>
      </c>
      <c r="J691" s="186" t="s">
        <v>832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930</v>
      </c>
      <c r="B692" t="s">
        <v>931</v>
      </c>
      <c r="C692" t="s">
        <v>931</v>
      </c>
      <c r="D692">
        <v>87.3</v>
      </c>
      <c r="E692" t="s">
        <v>3078</v>
      </c>
      <c r="F692" s="186" t="s">
        <v>833</v>
      </c>
      <c r="H692" t="b">
        <v>1</v>
      </c>
      <c r="I692">
        <v>87.300000000000011</v>
      </c>
      <c r="J692" s="186" t="s">
        <v>832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830</v>
      </c>
      <c r="B693" t="s">
        <v>831</v>
      </c>
      <c r="C693" t="s">
        <v>831</v>
      </c>
      <c r="D693">
        <v>59.6</v>
      </c>
      <c r="E693" t="s">
        <v>3078</v>
      </c>
      <c r="F693" s="186" t="s">
        <v>833</v>
      </c>
      <c r="H693" t="b">
        <v>1</v>
      </c>
      <c r="I693" t="s">
        <v>22</v>
      </c>
      <c r="J693" s="186" t="s">
        <v>832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937</v>
      </c>
      <c r="B694" t="s">
        <v>938</v>
      </c>
      <c r="C694" t="s">
        <v>938</v>
      </c>
      <c r="D694">
        <v>113.8</v>
      </c>
      <c r="E694" t="s">
        <v>3078</v>
      </c>
      <c r="F694" s="186" t="s">
        <v>833</v>
      </c>
      <c r="H694" t="b">
        <v>1</v>
      </c>
      <c r="I694">
        <v>113.80000000000001</v>
      </c>
      <c r="J694" s="186" t="s">
        <v>832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909</v>
      </c>
      <c r="B695" t="s">
        <v>910</v>
      </c>
      <c r="C695" t="s">
        <v>910</v>
      </c>
      <c r="D695">
        <v>51.6</v>
      </c>
      <c r="E695" t="s">
        <v>3078</v>
      </c>
      <c r="F695" s="186" t="s">
        <v>838</v>
      </c>
      <c r="H695" t="b">
        <v>1</v>
      </c>
      <c r="I695">
        <v>51.6</v>
      </c>
      <c r="J695" s="186" t="s">
        <v>832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905</v>
      </c>
      <c r="B696" t="s">
        <v>906</v>
      </c>
      <c r="C696" t="s">
        <v>906</v>
      </c>
      <c r="D696">
        <v>58.4</v>
      </c>
      <c r="E696" t="s">
        <v>3078</v>
      </c>
      <c r="F696" s="186" t="s">
        <v>838</v>
      </c>
      <c r="H696" t="b">
        <v>1</v>
      </c>
      <c r="I696">
        <v>58.400000000000006</v>
      </c>
      <c r="J696" s="186" t="s">
        <v>832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903</v>
      </c>
      <c r="B697" t="s">
        <v>904</v>
      </c>
      <c r="C697" t="s">
        <v>904</v>
      </c>
      <c r="D697">
        <v>42.2</v>
      </c>
      <c r="E697" t="s">
        <v>3078</v>
      </c>
      <c r="F697" s="186" t="s">
        <v>838</v>
      </c>
      <c r="H697" t="b">
        <v>1</v>
      </c>
      <c r="I697">
        <v>42.2</v>
      </c>
      <c r="J697" s="186" t="s">
        <v>832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899</v>
      </c>
      <c r="B698" t="s">
        <v>900</v>
      </c>
      <c r="C698" t="s">
        <v>900</v>
      </c>
      <c r="D698">
        <v>117.95</v>
      </c>
      <c r="E698" t="s">
        <v>3078</v>
      </c>
      <c r="F698" s="186" t="s">
        <v>838</v>
      </c>
      <c r="H698" t="b">
        <v>1</v>
      </c>
      <c r="I698">
        <v>117.95</v>
      </c>
      <c r="J698" s="186" t="s">
        <v>832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885</v>
      </c>
      <c r="B699" t="s">
        <v>886</v>
      </c>
      <c r="C699" t="s">
        <v>886</v>
      </c>
      <c r="D699">
        <v>51.6</v>
      </c>
      <c r="E699" t="s">
        <v>3078</v>
      </c>
      <c r="F699" s="186" t="s">
        <v>513</v>
      </c>
      <c r="H699" t="b">
        <v>1</v>
      </c>
      <c r="I699">
        <v>51.6</v>
      </c>
      <c r="J699" s="186" t="s">
        <v>832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887</v>
      </c>
      <c r="B700" t="s">
        <v>888</v>
      </c>
      <c r="C700" t="s">
        <v>888</v>
      </c>
      <c r="D700">
        <v>62.25</v>
      </c>
      <c r="E700" t="s">
        <v>3078</v>
      </c>
      <c r="F700" s="186" t="s">
        <v>513</v>
      </c>
      <c r="H700" t="b">
        <v>1</v>
      </c>
      <c r="I700">
        <v>62.25</v>
      </c>
      <c r="J700" s="186" t="s">
        <v>832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934</v>
      </c>
      <c r="B701" t="s">
        <v>935</v>
      </c>
      <c r="C701" t="s">
        <v>935</v>
      </c>
      <c r="D701">
        <v>215.8</v>
      </c>
      <c r="E701" t="s">
        <v>3078</v>
      </c>
      <c r="F701" s="186" t="s">
        <v>833</v>
      </c>
      <c r="H701" t="b">
        <v>1</v>
      </c>
      <c r="I701">
        <v>215.8</v>
      </c>
      <c r="J701" s="186" t="s">
        <v>832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858</v>
      </c>
      <c r="B702" t="s">
        <v>859</v>
      </c>
      <c r="C702" t="s">
        <v>859</v>
      </c>
      <c r="D702">
        <v>25.35</v>
      </c>
      <c r="E702" t="s">
        <v>3078</v>
      </c>
      <c r="F702" s="186" t="s">
        <v>838</v>
      </c>
      <c r="H702" t="b">
        <v>1</v>
      </c>
      <c r="I702">
        <v>25.35</v>
      </c>
      <c r="J702" s="186" t="s">
        <v>832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862</v>
      </c>
      <c r="B703" t="s">
        <v>863</v>
      </c>
      <c r="C703" t="s">
        <v>863</v>
      </c>
      <c r="D703">
        <v>30.7</v>
      </c>
      <c r="E703" t="s">
        <v>3078</v>
      </c>
      <c r="F703" s="186" t="s">
        <v>838</v>
      </c>
      <c r="H703" t="b">
        <v>1</v>
      </c>
      <c r="I703">
        <v>30.700000000000003</v>
      </c>
      <c r="J703" s="186" t="s">
        <v>832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867</v>
      </c>
      <c r="B704" t="s">
        <v>868</v>
      </c>
      <c r="C704" t="s">
        <v>868</v>
      </c>
      <c r="D704">
        <v>119.1</v>
      </c>
      <c r="E704" t="s">
        <v>3078</v>
      </c>
      <c r="F704" s="186" t="s">
        <v>838</v>
      </c>
      <c r="H704" t="b">
        <v>1</v>
      </c>
      <c r="I704">
        <v>119.10000000000001</v>
      </c>
      <c r="J704" s="186" t="s">
        <v>832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907</v>
      </c>
      <c r="B705" t="s">
        <v>908</v>
      </c>
      <c r="C705" t="s">
        <v>908</v>
      </c>
      <c r="D705">
        <v>55.45</v>
      </c>
      <c r="E705" t="s">
        <v>3078</v>
      </c>
      <c r="F705" s="186" t="s">
        <v>838</v>
      </c>
      <c r="H705" t="b">
        <v>1</v>
      </c>
      <c r="I705">
        <v>55.45</v>
      </c>
      <c r="J705" s="186" t="s">
        <v>832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932</v>
      </c>
      <c r="B706" t="s">
        <v>933</v>
      </c>
      <c r="C706" t="s">
        <v>933</v>
      </c>
      <c r="D706">
        <v>161.55000000000001</v>
      </c>
      <c r="E706" t="s">
        <v>3078</v>
      </c>
      <c r="F706" s="186" t="s">
        <v>833</v>
      </c>
      <c r="H706" t="b">
        <v>1</v>
      </c>
      <c r="I706">
        <v>161.55000000000001</v>
      </c>
      <c r="J706" s="186" t="s">
        <v>832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879</v>
      </c>
      <c r="B707" t="s">
        <v>880</v>
      </c>
      <c r="C707" t="s">
        <v>880</v>
      </c>
      <c r="D707">
        <v>211.4</v>
      </c>
      <c r="E707" t="s">
        <v>3078</v>
      </c>
      <c r="F707" s="186" t="s">
        <v>513</v>
      </c>
      <c r="H707" t="b">
        <v>1</v>
      </c>
      <c r="I707">
        <v>211.4</v>
      </c>
      <c r="J707" s="186" t="s">
        <v>832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895</v>
      </c>
      <c r="B708" t="s">
        <v>896</v>
      </c>
      <c r="C708" t="s">
        <v>896</v>
      </c>
      <c r="D708">
        <v>233.5</v>
      </c>
      <c r="E708" t="s">
        <v>3078</v>
      </c>
      <c r="F708" s="186" t="s">
        <v>838</v>
      </c>
      <c r="H708" t="b">
        <v>1</v>
      </c>
      <c r="I708">
        <v>233.5</v>
      </c>
      <c r="J708" s="186" t="s">
        <v>832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845</v>
      </c>
      <c r="B709" t="s">
        <v>846</v>
      </c>
      <c r="C709" t="s">
        <v>846</v>
      </c>
      <c r="D709">
        <v>192.2</v>
      </c>
      <c r="E709" t="s">
        <v>3078</v>
      </c>
      <c r="F709" s="186" t="s">
        <v>513</v>
      </c>
      <c r="H709" t="b">
        <v>1</v>
      </c>
      <c r="I709" t="s">
        <v>22</v>
      </c>
      <c r="J709" s="186" t="s">
        <v>832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847</v>
      </c>
      <c r="B710" t="s">
        <v>848</v>
      </c>
      <c r="C710" t="s">
        <v>848</v>
      </c>
      <c r="D710">
        <v>192.2</v>
      </c>
      <c r="E710" t="s">
        <v>3078</v>
      </c>
      <c r="F710" s="186" t="s">
        <v>513</v>
      </c>
      <c r="H710" t="b">
        <v>1</v>
      </c>
      <c r="I710" t="s">
        <v>22</v>
      </c>
      <c r="J710" s="186" t="s">
        <v>832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839</v>
      </c>
      <c r="B711" t="s">
        <v>920</v>
      </c>
      <c r="C711" t="s">
        <v>840</v>
      </c>
      <c r="D711">
        <v>53.05</v>
      </c>
      <c r="E711" t="s">
        <v>3078</v>
      </c>
      <c r="F711" s="186" t="s">
        <v>838</v>
      </c>
      <c r="H711" t="b">
        <v>1</v>
      </c>
      <c r="I711" t="s">
        <v>22</v>
      </c>
      <c r="J711" s="186" t="s">
        <v>832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869</v>
      </c>
      <c r="B712" t="s">
        <v>870</v>
      </c>
      <c r="C712" t="s">
        <v>870</v>
      </c>
      <c r="D712">
        <v>239.7</v>
      </c>
      <c r="E712" t="s">
        <v>3078</v>
      </c>
      <c r="F712" s="186" t="s">
        <v>838</v>
      </c>
      <c r="H712" t="b">
        <v>1</v>
      </c>
      <c r="I712">
        <v>239.70000000000002</v>
      </c>
      <c r="J712" s="186" t="s">
        <v>832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874</v>
      </c>
      <c r="B713" t="s">
        <v>875</v>
      </c>
      <c r="C713" t="s">
        <v>875</v>
      </c>
      <c r="D713">
        <v>192.2</v>
      </c>
      <c r="E713" t="s">
        <v>3078</v>
      </c>
      <c r="F713" s="186" t="s">
        <v>513</v>
      </c>
      <c r="H713" t="b">
        <v>1</v>
      </c>
      <c r="I713">
        <v>192.20000000000002</v>
      </c>
      <c r="J713" s="186" t="s">
        <v>832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916</v>
      </c>
      <c r="B714" t="s">
        <v>917</v>
      </c>
      <c r="C714" t="s">
        <v>917</v>
      </c>
      <c r="D714">
        <v>341.95</v>
      </c>
      <c r="E714" t="s">
        <v>3078</v>
      </c>
      <c r="F714" s="186" t="s">
        <v>838</v>
      </c>
      <c r="H714" t="b">
        <v>1</v>
      </c>
      <c r="I714">
        <v>341.95000000000005</v>
      </c>
      <c r="J714" s="186" t="s">
        <v>832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850</v>
      </c>
      <c r="B715" t="s">
        <v>851</v>
      </c>
      <c r="C715" t="s">
        <v>851</v>
      </c>
      <c r="D715">
        <v>43.95</v>
      </c>
      <c r="E715" t="s">
        <v>3078</v>
      </c>
      <c r="F715" s="186" t="s">
        <v>513</v>
      </c>
      <c r="H715" t="b">
        <v>1</v>
      </c>
      <c r="I715" t="s">
        <v>22</v>
      </c>
      <c r="J715" s="186" t="s">
        <v>832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871</v>
      </c>
      <c r="B716" t="s">
        <v>872</v>
      </c>
      <c r="C716" t="s">
        <v>872</v>
      </c>
      <c r="D716">
        <v>302.8</v>
      </c>
      <c r="E716" t="s">
        <v>3078</v>
      </c>
      <c r="F716" s="186" t="s">
        <v>838</v>
      </c>
      <c r="H716" t="b">
        <v>1</v>
      </c>
      <c r="I716">
        <v>302.8</v>
      </c>
      <c r="J716" s="186" t="s">
        <v>832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889</v>
      </c>
      <c r="B717" t="s">
        <v>890</v>
      </c>
      <c r="C717" t="s">
        <v>890</v>
      </c>
      <c r="D717">
        <v>30.7</v>
      </c>
      <c r="E717" t="s">
        <v>3078</v>
      </c>
      <c r="F717" s="186" t="s">
        <v>513</v>
      </c>
      <c r="H717" t="b">
        <v>1</v>
      </c>
      <c r="I717">
        <v>30.700000000000003</v>
      </c>
      <c r="J717" s="186" t="s">
        <v>832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891</v>
      </c>
      <c r="B718" t="s">
        <v>892</v>
      </c>
      <c r="C718" t="s">
        <v>892</v>
      </c>
      <c r="D718">
        <v>43.95</v>
      </c>
      <c r="E718" t="s">
        <v>3078</v>
      </c>
      <c r="F718" s="186" t="s">
        <v>513</v>
      </c>
      <c r="H718" t="b">
        <v>1</v>
      </c>
      <c r="I718">
        <v>43.95</v>
      </c>
      <c r="J718" s="186" t="s">
        <v>832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893</v>
      </c>
      <c r="B719" t="s">
        <v>894</v>
      </c>
      <c r="C719" t="s">
        <v>894</v>
      </c>
      <c r="D719">
        <v>43.95</v>
      </c>
      <c r="E719" t="s">
        <v>3078</v>
      </c>
      <c r="F719" s="186" t="s">
        <v>513</v>
      </c>
      <c r="H719" t="b">
        <v>1</v>
      </c>
      <c r="I719">
        <v>43.95</v>
      </c>
      <c r="J719" s="186" t="s">
        <v>832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843</v>
      </c>
      <c r="B720" t="s">
        <v>844</v>
      </c>
      <c r="C720" t="s">
        <v>844</v>
      </c>
      <c r="D720">
        <v>192.2</v>
      </c>
      <c r="E720" t="s">
        <v>3078</v>
      </c>
      <c r="F720" s="186" t="s">
        <v>513</v>
      </c>
      <c r="H720" t="b">
        <v>1</v>
      </c>
      <c r="I720" t="s">
        <v>22</v>
      </c>
      <c r="J720" s="186" t="s">
        <v>832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865</v>
      </c>
      <c r="B721" t="s">
        <v>866</v>
      </c>
      <c r="C721" t="s">
        <v>866</v>
      </c>
      <c r="D721">
        <v>112</v>
      </c>
      <c r="E721" t="s">
        <v>3078</v>
      </c>
      <c r="F721" s="186" t="s">
        <v>838</v>
      </c>
      <c r="H721" t="b">
        <v>1</v>
      </c>
      <c r="I721">
        <v>112</v>
      </c>
      <c r="J721" s="186" t="s">
        <v>832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882</v>
      </c>
      <c r="B722" t="s">
        <v>883</v>
      </c>
      <c r="C722" t="s">
        <v>883</v>
      </c>
      <c r="D722">
        <v>178</v>
      </c>
      <c r="E722" t="s">
        <v>3078</v>
      </c>
      <c r="F722" s="186" t="s">
        <v>838</v>
      </c>
      <c r="H722" t="b">
        <v>1</v>
      </c>
      <c r="I722">
        <v>178</v>
      </c>
      <c r="J722" s="186" t="s">
        <v>832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878</v>
      </c>
      <c r="B723" t="s">
        <v>849</v>
      </c>
      <c r="C723" t="s">
        <v>849</v>
      </c>
      <c r="D723">
        <v>250.3</v>
      </c>
      <c r="E723" t="s">
        <v>3078</v>
      </c>
      <c r="F723" s="186" t="s">
        <v>838</v>
      </c>
      <c r="H723" t="b">
        <v>1</v>
      </c>
      <c r="I723">
        <v>250.3</v>
      </c>
      <c r="J723" s="186" t="s">
        <v>832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841</v>
      </c>
      <c r="B724" t="s">
        <v>3079</v>
      </c>
      <c r="C724" t="s">
        <v>842</v>
      </c>
      <c r="D724">
        <v>500</v>
      </c>
      <c r="E724" t="s">
        <v>3078</v>
      </c>
      <c r="F724" s="186" t="s">
        <v>838</v>
      </c>
      <c r="H724" t="b">
        <v>1</v>
      </c>
      <c r="I724" t="s">
        <v>22</v>
      </c>
      <c r="J724" s="186" t="s">
        <v>832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852</v>
      </c>
      <c r="B725" t="s">
        <v>853</v>
      </c>
      <c r="C725" t="s">
        <v>853</v>
      </c>
      <c r="D725">
        <v>150</v>
      </c>
      <c r="E725" t="s">
        <v>3078</v>
      </c>
      <c r="F725" s="186" t="s">
        <v>513</v>
      </c>
      <c r="H725" t="b">
        <v>1</v>
      </c>
      <c r="I725" t="s">
        <v>22</v>
      </c>
      <c r="J725" s="186" t="s">
        <v>832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854</v>
      </c>
      <c r="B726" t="s">
        <v>855</v>
      </c>
      <c r="C726" t="s">
        <v>855</v>
      </c>
      <c r="D726">
        <v>50</v>
      </c>
      <c r="E726" t="s">
        <v>3078</v>
      </c>
      <c r="F726" s="186" t="s">
        <v>513</v>
      </c>
      <c r="H726" t="b">
        <v>1</v>
      </c>
      <c r="I726" t="s">
        <v>22</v>
      </c>
      <c r="J726" s="186" t="s">
        <v>832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856</v>
      </c>
      <c r="B727" t="s">
        <v>857</v>
      </c>
      <c r="C727" t="s">
        <v>857</v>
      </c>
      <c r="D727">
        <v>50</v>
      </c>
      <c r="E727" t="s">
        <v>3078</v>
      </c>
      <c r="F727" s="186" t="s">
        <v>513</v>
      </c>
      <c r="H727" t="b">
        <v>1</v>
      </c>
      <c r="I727" t="s">
        <v>22</v>
      </c>
      <c r="J727" s="186" t="s">
        <v>832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847</v>
      </c>
      <c r="B728" t="s">
        <v>848</v>
      </c>
      <c r="C728" t="s">
        <v>846</v>
      </c>
      <c r="D728">
        <v>192.2</v>
      </c>
      <c r="E728" t="s">
        <v>3078</v>
      </c>
      <c r="F728" s="186" t="s">
        <v>513</v>
      </c>
      <c r="H728" t="b">
        <v>1</v>
      </c>
      <c r="I728" t="s">
        <v>22</v>
      </c>
      <c r="J728" s="186" t="s">
        <v>832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834</v>
      </c>
      <c r="B729" t="s">
        <v>835</v>
      </c>
      <c r="C729" t="s">
        <v>835</v>
      </c>
      <c r="D729">
        <v>200</v>
      </c>
      <c r="E729" t="s">
        <v>3078</v>
      </c>
      <c r="F729" s="186" t="s">
        <v>833</v>
      </c>
      <c r="H729" t="b">
        <v>1</v>
      </c>
      <c r="I729" t="s">
        <v>22</v>
      </c>
      <c r="J729" s="186" t="s">
        <v>832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847</v>
      </c>
      <c r="B730" t="s">
        <v>848</v>
      </c>
      <c r="C730" t="s">
        <v>849</v>
      </c>
      <c r="D730">
        <v>250.3</v>
      </c>
      <c r="E730" t="s">
        <v>3078</v>
      </c>
      <c r="F730" s="186" t="s">
        <v>513</v>
      </c>
      <c r="H730" t="b">
        <v>1</v>
      </c>
      <c r="I730" t="s">
        <v>22</v>
      </c>
      <c r="J730" s="186" t="s">
        <v>832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847</v>
      </c>
      <c r="B731" t="s">
        <v>848</v>
      </c>
      <c r="C731" t="s">
        <v>844</v>
      </c>
      <c r="D731">
        <v>192.2</v>
      </c>
      <c r="E731" t="s">
        <v>3078</v>
      </c>
      <c r="F731" s="186" t="s">
        <v>513</v>
      </c>
      <c r="H731" t="b">
        <v>1</v>
      </c>
      <c r="I731" t="s">
        <v>22</v>
      </c>
      <c r="J731" s="186" t="s">
        <v>832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1295</v>
      </c>
      <c r="B732" t="s">
        <v>3082</v>
      </c>
      <c r="C732" t="s">
        <v>1296</v>
      </c>
      <c r="D732">
        <v>117.95</v>
      </c>
      <c r="E732" t="s">
        <v>3081</v>
      </c>
      <c r="F732" s="186" t="s">
        <v>1297</v>
      </c>
      <c r="H732" t="b">
        <v>1</v>
      </c>
      <c r="I732">
        <v>117.95</v>
      </c>
      <c r="J732" s="186" t="s">
        <v>1252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1308</v>
      </c>
      <c r="B733" t="s">
        <v>3080</v>
      </c>
      <c r="C733" t="s">
        <v>1309</v>
      </c>
      <c r="D733">
        <v>97.85</v>
      </c>
      <c r="E733" t="s">
        <v>3081</v>
      </c>
      <c r="F733" s="186" t="s">
        <v>1297</v>
      </c>
      <c r="H733" t="b">
        <v>1</v>
      </c>
      <c r="I733">
        <v>97.850000000000009</v>
      </c>
      <c r="J733" s="186" t="s">
        <v>1252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1315</v>
      </c>
      <c r="B734" t="s">
        <v>3083</v>
      </c>
      <c r="C734" t="s">
        <v>1316</v>
      </c>
      <c r="D734">
        <v>79.55</v>
      </c>
      <c r="E734" t="s">
        <v>3081</v>
      </c>
      <c r="F734" s="186" t="s">
        <v>1253</v>
      </c>
      <c r="H734" t="b">
        <v>1</v>
      </c>
      <c r="I734">
        <v>79.550000000000011</v>
      </c>
      <c r="J734" s="186" t="s">
        <v>1252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1317</v>
      </c>
      <c r="B735" t="s">
        <v>1318</v>
      </c>
      <c r="C735" t="s">
        <v>1318</v>
      </c>
      <c r="D735">
        <v>113.8</v>
      </c>
      <c r="E735" t="s">
        <v>3081</v>
      </c>
      <c r="F735" s="186" t="s">
        <v>1253</v>
      </c>
      <c r="H735" t="b">
        <v>1</v>
      </c>
      <c r="I735">
        <v>113.80000000000001</v>
      </c>
      <c r="J735" s="186" t="s">
        <v>1252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1298</v>
      </c>
      <c r="B736" t="s">
        <v>1299</v>
      </c>
      <c r="C736" t="s">
        <v>1299</v>
      </c>
      <c r="D736">
        <v>23.9</v>
      </c>
      <c r="E736" t="s">
        <v>3081</v>
      </c>
      <c r="F736" s="186" t="s">
        <v>1297</v>
      </c>
      <c r="H736" t="b">
        <v>1</v>
      </c>
      <c r="I736">
        <v>23.900000000000002</v>
      </c>
      <c r="J736" s="186" t="s">
        <v>1252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1300</v>
      </c>
      <c r="B737" t="s">
        <v>1301</v>
      </c>
      <c r="C737" t="s">
        <v>1301</v>
      </c>
      <c r="D737">
        <v>35.700000000000003</v>
      </c>
      <c r="E737" t="s">
        <v>3081</v>
      </c>
      <c r="F737" s="186" t="s">
        <v>1297</v>
      </c>
      <c r="H737" t="b">
        <v>1</v>
      </c>
      <c r="I737">
        <v>35.700000000000003</v>
      </c>
      <c r="J737" s="186" t="s">
        <v>1252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1302</v>
      </c>
      <c r="B738" t="s">
        <v>1303</v>
      </c>
      <c r="C738" t="s">
        <v>1303</v>
      </c>
      <c r="D738">
        <v>71.650000000000006</v>
      </c>
      <c r="E738" t="s">
        <v>3081</v>
      </c>
      <c r="F738" s="186" t="s">
        <v>1297</v>
      </c>
      <c r="H738" t="b">
        <v>1</v>
      </c>
      <c r="I738">
        <v>71.650000000000006</v>
      </c>
      <c r="J738" s="186" t="s">
        <v>1252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1321</v>
      </c>
      <c r="B739" t="s">
        <v>1322</v>
      </c>
      <c r="C739" t="s">
        <v>1322</v>
      </c>
      <c r="D739">
        <v>144.6</v>
      </c>
      <c r="E739" t="s">
        <v>3081</v>
      </c>
      <c r="F739" s="186" t="s">
        <v>1253</v>
      </c>
      <c r="H739" t="b">
        <v>1</v>
      </c>
      <c r="I739">
        <v>144.6</v>
      </c>
      <c r="J739" s="186" t="s">
        <v>1252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1305</v>
      </c>
      <c r="B740" t="s">
        <v>1306</v>
      </c>
      <c r="C740" t="s">
        <v>1306</v>
      </c>
      <c r="D740">
        <v>74</v>
      </c>
      <c r="E740" t="s">
        <v>3081</v>
      </c>
      <c r="F740" s="186" t="s">
        <v>1297</v>
      </c>
      <c r="H740" t="b">
        <v>1</v>
      </c>
      <c r="I740">
        <v>74</v>
      </c>
      <c r="J740" s="186" t="s">
        <v>1252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1319</v>
      </c>
      <c r="B741" t="s">
        <v>1320</v>
      </c>
      <c r="C741" t="s">
        <v>1320</v>
      </c>
      <c r="D741">
        <v>128.85</v>
      </c>
      <c r="E741" t="s">
        <v>3081</v>
      </c>
      <c r="F741" s="186" t="s">
        <v>1253</v>
      </c>
      <c r="H741" t="b">
        <v>1</v>
      </c>
      <c r="I741">
        <v>128.85</v>
      </c>
      <c r="J741" s="186" t="s">
        <v>1252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1250</v>
      </c>
      <c r="B742" t="s">
        <v>1251</v>
      </c>
      <c r="C742" t="s">
        <v>1251</v>
      </c>
      <c r="D742">
        <v>79.55</v>
      </c>
      <c r="E742" t="s">
        <v>3081</v>
      </c>
      <c r="F742" s="186" t="s">
        <v>1253</v>
      </c>
      <c r="H742" t="b">
        <v>1</v>
      </c>
      <c r="I742" t="s">
        <v>22</v>
      </c>
      <c r="J742" s="186" t="s">
        <v>1252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1006</v>
      </c>
      <c r="B743" t="s">
        <v>1007</v>
      </c>
      <c r="C743" t="s">
        <v>1007</v>
      </c>
      <c r="D743">
        <v>55.35</v>
      </c>
      <c r="E743" t="s">
        <v>3084</v>
      </c>
      <c r="F743" s="186" t="s">
        <v>989</v>
      </c>
      <c r="H743" t="b">
        <v>1</v>
      </c>
      <c r="I743" t="s">
        <v>22</v>
      </c>
      <c r="J743" s="186" t="s">
        <v>941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999</v>
      </c>
      <c r="B744" t="s">
        <v>1000</v>
      </c>
      <c r="C744" t="s">
        <v>1000</v>
      </c>
      <c r="D744">
        <v>15.95</v>
      </c>
      <c r="E744" t="s">
        <v>3084</v>
      </c>
      <c r="F744" s="186" t="s">
        <v>989</v>
      </c>
      <c r="H744" t="b">
        <v>1</v>
      </c>
      <c r="I744">
        <v>15.950000000000001</v>
      </c>
      <c r="J744" s="186" t="s">
        <v>941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1001</v>
      </c>
      <c r="B745" t="s">
        <v>1002</v>
      </c>
      <c r="C745" t="s">
        <v>1002</v>
      </c>
      <c r="D745">
        <v>18.899999999999999</v>
      </c>
      <c r="E745" t="s">
        <v>3084</v>
      </c>
      <c r="F745" s="186" t="s">
        <v>989</v>
      </c>
      <c r="H745" t="b">
        <v>1</v>
      </c>
      <c r="I745">
        <v>18.900000000000002</v>
      </c>
      <c r="J745" s="186" t="s">
        <v>941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1010</v>
      </c>
      <c r="B746" t="s">
        <v>1011</v>
      </c>
      <c r="C746" t="s">
        <v>1011</v>
      </c>
      <c r="D746">
        <v>19.45</v>
      </c>
      <c r="E746" t="s">
        <v>3084</v>
      </c>
      <c r="F746" s="186" t="s">
        <v>989</v>
      </c>
      <c r="H746" t="b">
        <v>1</v>
      </c>
      <c r="I746">
        <v>19.450000000000003</v>
      </c>
      <c r="J746" s="186" t="s">
        <v>941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1012</v>
      </c>
      <c r="B747" t="s">
        <v>1013</v>
      </c>
      <c r="C747" t="s">
        <v>1013</v>
      </c>
      <c r="D747">
        <v>22.15</v>
      </c>
      <c r="E747" t="s">
        <v>3084</v>
      </c>
      <c r="F747" s="186" t="s">
        <v>989</v>
      </c>
      <c r="H747" t="b">
        <v>1</v>
      </c>
      <c r="I747">
        <v>22.150000000000002</v>
      </c>
      <c r="J747" s="186" t="s">
        <v>941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1004</v>
      </c>
      <c r="B748" t="s">
        <v>947</v>
      </c>
      <c r="C748" t="s">
        <v>947</v>
      </c>
      <c r="D748">
        <v>15.35</v>
      </c>
      <c r="E748" t="s">
        <v>3084</v>
      </c>
      <c r="F748" s="186" t="s">
        <v>942</v>
      </c>
      <c r="H748" t="b">
        <v>1</v>
      </c>
      <c r="I748">
        <v>15.350000000000001</v>
      </c>
      <c r="J748" s="186" t="s">
        <v>941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1015</v>
      </c>
      <c r="B749" t="s">
        <v>1016</v>
      </c>
      <c r="C749" t="s">
        <v>1016</v>
      </c>
      <c r="D749">
        <v>15.35</v>
      </c>
      <c r="E749" t="s">
        <v>3084</v>
      </c>
      <c r="F749" s="186" t="s">
        <v>942</v>
      </c>
      <c r="H749" t="b">
        <v>1</v>
      </c>
      <c r="I749">
        <v>15.350000000000001</v>
      </c>
      <c r="J749" s="186" t="s">
        <v>941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1052</v>
      </c>
      <c r="B750" t="s">
        <v>1053</v>
      </c>
      <c r="C750" t="s">
        <v>1053</v>
      </c>
      <c r="D750">
        <v>54.3</v>
      </c>
      <c r="E750" t="s">
        <v>3084</v>
      </c>
      <c r="F750" s="186" t="s">
        <v>966</v>
      </c>
      <c r="H750" t="b">
        <v>1</v>
      </c>
      <c r="I750">
        <v>54.300000000000004</v>
      </c>
      <c r="J750" s="186" t="s">
        <v>941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1050</v>
      </c>
      <c r="B751" t="s">
        <v>1051</v>
      </c>
      <c r="C751" t="s">
        <v>1051</v>
      </c>
      <c r="D751">
        <v>67.5</v>
      </c>
      <c r="E751" t="s">
        <v>3084</v>
      </c>
      <c r="F751" s="186" t="s">
        <v>966</v>
      </c>
      <c r="H751" t="b">
        <v>1</v>
      </c>
      <c r="I751">
        <v>67.5</v>
      </c>
      <c r="J751" s="186" t="s">
        <v>941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1066</v>
      </c>
      <c r="B752" t="s">
        <v>1067</v>
      </c>
      <c r="C752" t="s">
        <v>1067</v>
      </c>
      <c r="D752">
        <v>61.1</v>
      </c>
      <c r="E752" t="s">
        <v>3084</v>
      </c>
      <c r="F752" s="186" t="s">
        <v>966</v>
      </c>
      <c r="H752" t="b">
        <v>1</v>
      </c>
      <c r="I752">
        <v>61.1</v>
      </c>
      <c r="J752" s="186" t="s">
        <v>941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1020</v>
      </c>
      <c r="B753" t="s">
        <v>1021</v>
      </c>
      <c r="C753" t="s">
        <v>1021</v>
      </c>
      <c r="D753">
        <v>47.5</v>
      </c>
      <c r="E753" t="s">
        <v>3084</v>
      </c>
      <c r="F753" s="186" t="s">
        <v>966</v>
      </c>
      <c r="H753" t="b">
        <v>1</v>
      </c>
      <c r="I753">
        <v>47.5</v>
      </c>
      <c r="J753" s="186" t="s">
        <v>941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1024</v>
      </c>
      <c r="B754" t="s">
        <v>1025</v>
      </c>
      <c r="C754" t="s">
        <v>1025</v>
      </c>
      <c r="D754">
        <v>25.35</v>
      </c>
      <c r="E754" t="s">
        <v>3084</v>
      </c>
      <c r="F754" s="186" t="s">
        <v>966</v>
      </c>
      <c r="H754" t="b">
        <v>1</v>
      </c>
      <c r="I754">
        <v>25.35</v>
      </c>
      <c r="J754" s="186" t="s">
        <v>941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1043</v>
      </c>
      <c r="B755" t="s">
        <v>1044</v>
      </c>
      <c r="C755" t="s">
        <v>1044</v>
      </c>
      <c r="D755">
        <v>149.30000000000001</v>
      </c>
      <c r="E755" t="s">
        <v>3084</v>
      </c>
      <c r="F755" s="186" t="s">
        <v>966</v>
      </c>
      <c r="H755" t="b">
        <v>1</v>
      </c>
      <c r="I755">
        <v>149.30000000000001</v>
      </c>
      <c r="J755" s="186" t="s">
        <v>941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1045</v>
      </c>
      <c r="B756" t="s">
        <v>1046</v>
      </c>
      <c r="C756" t="s">
        <v>1046</v>
      </c>
      <c r="D756">
        <v>130.05000000000001</v>
      </c>
      <c r="E756" t="s">
        <v>3084</v>
      </c>
      <c r="F756" s="186" t="s">
        <v>966</v>
      </c>
      <c r="H756" t="b">
        <v>1</v>
      </c>
      <c r="I756">
        <v>130.05000000000001</v>
      </c>
      <c r="J756" s="186" t="s">
        <v>941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1041</v>
      </c>
      <c r="B757" t="s">
        <v>1042</v>
      </c>
      <c r="C757" t="s">
        <v>1042</v>
      </c>
      <c r="D757">
        <v>107.35</v>
      </c>
      <c r="E757" t="s">
        <v>3084</v>
      </c>
      <c r="F757" s="186" t="s">
        <v>966</v>
      </c>
      <c r="H757" t="b">
        <v>1</v>
      </c>
      <c r="I757">
        <v>107.35000000000001</v>
      </c>
      <c r="J757" s="186" t="s">
        <v>941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1064</v>
      </c>
      <c r="B758" t="s">
        <v>1065</v>
      </c>
      <c r="C758" t="s">
        <v>1065</v>
      </c>
      <c r="D758">
        <v>20.65</v>
      </c>
      <c r="E758" t="s">
        <v>3084</v>
      </c>
      <c r="F758" s="186" t="s">
        <v>966</v>
      </c>
      <c r="H758" t="b">
        <v>1</v>
      </c>
      <c r="I758">
        <v>20.650000000000002</v>
      </c>
      <c r="J758" s="186" t="s">
        <v>941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1070</v>
      </c>
      <c r="B759" t="s">
        <v>1071</v>
      </c>
      <c r="C759" t="s">
        <v>1071</v>
      </c>
      <c r="D759">
        <v>92.9</v>
      </c>
      <c r="E759" t="s">
        <v>3084</v>
      </c>
      <c r="F759" s="186" t="s">
        <v>966</v>
      </c>
      <c r="H759" t="b">
        <v>1</v>
      </c>
      <c r="I759">
        <v>92.9</v>
      </c>
      <c r="J759" s="186" t="s">
        <v>941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1060</v>
      </c>
      <c r="B760" t="s">
        <v>1061</v>
      </c>
      <c r="C760" t="s">
        <v>1061</v>
      </c>
      <c r="D760">
        <v>80.8</v>
      </c>
      <c r="E760" t="s">
        <v>3084</v>
      </c>
      <c r="F760" s="186" t="s">
        <v>966</v>
      </c>
      <c r="H760" t="b">
        <v>1</v>
      </c>
      <c r="I760">
        <v>80.800000000000011</v>
      </c>
      <c r="J760" s="186" t="s">
        <v>941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1038</v>
      </c>
      <c r="B761" t="s">
        <v>3086</v>
      </c>
      <c r="C761" t="s">
        <v>1039</v>
      </c>
      <c r="D761">
        <v>122.1</v>
      </c>
      <c r="E761" t="s">
        <v>3084</v>
      </c>
      <c r="F761" s="186" t="s">
        <v>966</v>
      </c>
      <c r="H761" t="b">
        <v>1</v>
      </c>
      <c r="I761">
        <v>122.10000000000001</v>
      </c>
      <c r="J761" s="186" t="s">
        <v>941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1088</v>
      </c>
      <c r="B762" t="s">
        <v>1089</v>
      </c>
      <c r="C762" t="s">
        <v>1089</v>
      </c>
      <c r="D762">
        <v>25.35</v>
      </c>
      <c r="E762" t="s">
        <v>3084</v>
      </c>
      <c r="F762" s="186" t="s">
        <v>966</v>
      </c>
      <c r="H762" t="b">
        <v>1</v>
      </c>
      <c r="I762">
        <v>25.35</v>
      </c>
      <c r="J762" s="186" t="s">
        <v>941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1079</v>
      </c>
      <c r="B763" t="s">
        <v>1080</v>
      </c>
      <c r="C763" t="s">
        <v>1080</v>
      </c>
      <c r="D763">
        <v>55.45</v>
      </c>
      <c r="E763" t="s">
        <v>3084</v>
      </c>
      <c r="F763" s="186" t="s">
        <v>966</v>
      </c>
      <c r="H763" t="b">
        <v>1</v>
      </c>
      <c r="I763">
        <v>55.45</v>
      </c>
      <c r="J763" s="186" t="s">
        <v>941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1085</v>
      </c>
      <c r="B764" t="s">
        <v>1086</v>
      </c>
      <c r="C764" t="s">
        <v>1086</v>
      </c>
      <c r="D764">
        <v>54.3</v>
      </c>
      <c r="E764" t="s">
        <v>3084</v>
      </c>
      <c r="F764" s="186" t="s">
        <v>966</v>
      </c>
      <c r="H764" t="b">
        <v>1</v>
      </c>
      <c r="I764">
        <v>54.300000000000004</v>
      </c>
      <c r="J764" s="186" t="s">
        <v>941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1057</v>
      </c>
      <c r="B765" t="s">
        <v>1058</v>
      </c>
      <c r="C765" t="s">
        <v>1058</v>
      </c>
      <c r="D765">
        <v>26.5</v>
      </c>
      <c r="E765" t="s">
        <v>3084</v>
      </c>
      <c r="F765" s="186" t="s">
        <v>966</v>
      </c>
      <c r="H765" t="b">
        <v>1</v>
      </c>
      <c r="I765">
        <v>26.5</v>
      </c>
      <c r="J765" s="186" t="s">
        <v>941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1031</v>
      </c>
      <c r="B766" t="s">
        <v>1032</v>
      </c>
      <c r="C766" t="s">
        <v>1032</v>
      </c>
      <c r="D766">
        <v>76.349999999999994</v>
      </c>
      <c r="E766" t="s">
        <v>3084</v>
      </c>
      <c r="F766" s="186" t="s">
        <v>966</v>
      </c>
      <c r="H766" t="b">
        <v>1</v>
      </c>
      <c r="I766">
        <v>76.350000000000009</v>
      </c>
      <c r="J766" s="186" t="s">
        <v>941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1076</v>
      </c>
      <c r="B767" t="s">
        <v>1077</v>
      </c>
      <c r="C767" t="s">
        <v>1077</v>
      </c>
      <c r="D767">
        <v>84.9</v>
      </c>
      <c r="E767" t="s">
        <v>3084</v>
      </c>
      <c r="F767" s="186" t="s">
        <v>966</v>
      </c>
      <c r="H767" t="b">
        <v>1</v>
      </c>
      <c r="I767">
        <v>84.9</v>
      </c>
      <c r="J767" s="186" t="s">
        <v>941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1073</v>
      </c>
      <c r="B768" t="s">
        <v>1074</v>
      </c>
      <c r="C768" t="s">
        <v>1074</v>
      </c>
      <c r="D768">
        <v>58.4</v>
      </c>
      <c r="E768" t="s">
        <v>3084</v>
      </c>
      <c r="F768" s="186" t="s">
        <v>966</v>
      </c>
      <c r="H768" t="b">
        <v>1</v>
      </c>
      <c r="I768">
        <v>58.400000000000006</v>
      </c>
      <c r="J768" s="186" t="s">
        <v>941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1082</v>
      </c>
      <c r="B769" t="s">
        <v>1083</v>
      </c>
      <c r="C769" t="s">
        <v>1083</v>
      </c>
      <c r="D769">
        <v>69.3</v>
      </c>
      <c r="E769" t="s">
        <v>3084</v>
      </c>
      <c r="F769" s="186" t="s">
        <v>966</v>
      </c>
      <c r="H769" t="b">
        <v>1</v>
      </c>
      <c r="I769">
        <v>69.3</v>
      </c>
      <c r="J769" s="186" t="s">
        <v>941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1027</v>
      </c>
      <c r="B770" t="s">
        <v>1028</v>
      </c>
      <c r="C770" t="s">
        <v>1028</v>
      </c>
      <c r="D770">
        <v>65.099999999999994</v>
      </c>
      <c r="E770" t="s">
        <v>3084</v>
      </c>
      <c r="F770" s="186" t="s">
        <v>966</v>
      </c>
      <c r="H770" t="b">
        <v>1</v>
      </c>
      <c r="I770">
        <v>65.100000000000009</v>
      </c>
      <c r="J770" s="186" t="s">
        <v>941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1062</v>
      </c>
      <c r="B771" t="s">
        <v>1063</v>
      </c>
      <c r="C771" t="s">
        <v>1063</v>
      </c>
      <c r="D771">
        <v>107.35</v>
      </c>
      <c r="E771" t="s">
        <v>3084</v>
      </c>
      <c r="F771" s="186" t="s">
        <v>966</v>
      </c>
      <c r="H771" t="b">
        <v>1</v>
      </c>
      <c r="I771">
        <v>107.35000000000001</v>
      </c>
      <c r="J771" s="186" t="s">
        <v>941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987</v>
      </c>
      <c r="B772" t="s">
        <v>988</v>
      </c>
      <c r="C772" t="s">
        <v>988</v>
      </c>
      <c r="D772">
        <v>41.25</v>
      </c>
      <c r="E772" t="s">
        <v>3084</v>
      </c>
      <c r="F772" s="186" t="s">
        <v>989</v>
      </c>
      <c r="H772" t="b">
        <v>1</v>
      </c>
      <c r="I772" t="s">
        <v>22</v>
      </c>
      <c r="J772" s="186" t="s">
        <v>941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997</v>
      </c>
      <c r="B773" t="s">
        <v>998</v>
      </c>
      <c r="C773" t="s">
        <v>998</v>
      </c>
      <c r="D773">
        <v>34.200000000000003</v>
      </c>
      <c r="E773" t="s">
        <v>3084</v>
      </c>
      <c r="F773" s="186" t="s">
        <v>989</v>
      </c>
      <c r="H773" t="b">
        <v>1</v>
      </c>
      <c r="I773">
        <v>34.200000000000003</v>
      </c>
      <c r="J773" s="186" t="s">
        <v>941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1047</v>
      </c>
      <c r="B774" t="s">
        <v>1048</v>
      </c>
      <c r="C774" t="s">
        <v>1048</v>
      </c>
      <c r="D774">
        <v>176.6</v>
      </c>
      <c r="E774" t="s">
        <v>3084</v>
      </c>
      <c r="F774" s="186" t="s">
        <v>966</v>
      </c>
      <c r="H774" t="b">
        <v>1</v>
      </c>
      <c r="I774">
        <v>176.60000000000002</v>
      </c>
      <c r="J774" s="186" t="s">
        <v>941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1036</v>
      </c>
      <c r="B775" t="s">
        <v>1037</v>
      </c>
      <c r="C775" t="s">
        <v>1037</v>
      </c>
      <c r="D775">
        <v>121.2</v>
      </c>
      <c r="E775" t="s">
        <v>3084</v>
      </c>
      <c r="F775" s="186" t="s">
        <v>966</v>
      </c>
      <c r="H775" t="b">
        <v>1</v>
      </c>
      <c r="I775">
        <v>121.2</v>
      </c>
      <c r="J775" s="186" t="s">
        <v>941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943</v>
      </c>
      <c r="B776" t="s">
        <v>3953</v>
      </c>
      <c r="C776" t="s">
        <v>944</v>
      </c>
      <c r="D776">
        <v>14.45</v>
      </c>
      <c r="E776" t="s">
        <v>3084</v>
      </c>
      <c r="F776" s="186" t="s">
        <v>942</v>
      </c>
      <c r="H776" t="b">
        <v>1</v>
      </c>
      <c r="I776" t="s">
        <v>22</v>
      </c>
      <c r="J776" s="186" t="s">
        <v>941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1029</v>
      </c>
      <c r="B777" t="s">
        <v>3085</v>
      </c>
      <c r="C777" t="s">
        <v>1030</v>
      </c>
      <c r="D777">
        <v>116.8</v>
      </c>
      <c r="E777" t="s">
        <v>3084</v>
      </c>
      <c r="F777" s="186" t="s">
        <v>966</v>
      </c>
      <c r="H777" t="b">
        <v>1</v>
      </c>
      <c r="I777">
        <v>116.80000000000001</v>
      </c>
      <c r="J777" s="186" t="s">
        <v>941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990</v>
      </c>
      <c r="B778" t="s">
        <v>991</v>
      </c>
      <c r="C778" t="s">
        <v>991</v>
      </c>
      <c r="D778">
        <v>34.200000000000003</v>
      </c>
      <c r="E778" t="s">
        <v>3084</v>
      </c>
      <c r="F778" s="186" t="s">
        <v>989</v>
      </c>
      <c r="H778" t="b">
        <v>1</v>
      </c>
      <c r="I778" t="s">
        <v>22</v>
      </c>
      <c r="J778" s="186" t="s">
        <v>941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939</v>
      </c>
      <c r="B779" t="s">
        <v>940</v>
      </c>
      <c r="C779" t="s">
        <v>940</v>
      </c>
      <c r="D779">
        <v>25.7</v>
      </c>
      <c r="E779" t="s">
        <v>3084</v>
      </c>
      <c r="F779" s="186" t="s">
        <v>942</v>
      </c>
      <c r="H779" t="b">
        <v>1</v>
      </c>
      <c r="I779" t="s">
        <v>22</v>
      </c>
      <c r="J779" s="186" t="s">
        <v>941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1160</v>
      </c>
      <c r="B780" t="s">
        <v>1161</v>
      </c>
      <c r="C780" t="s">
        <v>1161</v>
      </c>
      <c r="D780">
        <v>30.4</v>
      </c>
      <c r="E780" t="s">
        <v>3084</v>
      </c>
      <c r="F780" s="186" t="s">
        <v>966</v>
      </c>
      <c r="H780" t="b">
        <v>1</v>
      </c>
      <c r="I780">
        <v>30.400000000000002</v>
      </c>
      <c r="J780" s="186" t="s">
        <v>941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1034</v>
      </c>
      <c r="B781" t="s">
        <v>1035</v>
      </c>
      <c r="C781" t="s">
        <v>1035</v>
      </c>
      <c r="D781">
        <v>142.1</v>
      </c>
      <c r="E781" t="s">
        <v>3084</v>
      </c>
      <c r="F781" s="186" t="s">
        <v>966</v>
      </c>
      <c r="H781" t="b">
        <v>1</v>
      </c>
      <c r="I781">
        <v>142.1</v>
      </c>
      <c r="J781" s="186" t="s">
        <v>941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975</v>
      </c>
      <c r="B782" t="s">
        <v>976</v>
      </c>
      <c r="C782" t="s">
        <v>976</v>
      </c>
      <c r="D782">
        <v>191.65</v>
      </c>
      <c r="E782" t="s">
        <v>3084</v>
      </c>
      <c r="F782" s="186" t="s">
        <v>966</v>
      </c>
      <c r="H782" t="b">
        <v>1</v>
      </c>
      <c r="I782" t="s">
        <v>22</v>
      </c>
      <c r="J782" s="186" t="s">
        <v>941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1018</v>
      </c>
      <c r="B783" t="s">
        <v>1019</v>
      </c>
      <c r="C783" t="s">
        <v>1019</v>
      </c>
      <c r="D783">
        <v>66.5</v>
      </c>
      <c r="E783" t="s">
        <v>3084</v>
      </c>
      <c r="F783" s="186" t="s">
        <v>989</v>
      </c>
      <c r="H783" t="b">
        <v>1</v>
      </c>
      <c r="I783">
        <v>66.5</v>
      </c>
      <c r="J783" s="186" t="s">
        <v>941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967</v>
      </c>
      <c r="B784" t="s">
        <v>968</v>
      </c>
      <c r="C784" t="s">
        <v>968</v>
      </c>
      <c r="D784">
        <v>64.849999999999994</v>
      </c>
      <c r="E784" t="s">
        <v>3084</v>
      </c>
      <c r="F784" s="186" t="s">
        <v>966</v>
      </c>
      <c r="H784" t="b">
        <v>1</v>
      </c>
      <c r="I784" t="s">
        <v>22</v>
      </c>
      <c r="J784" s="186" t="s">
        <v>941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1131</v>
      </c>
      <c r="B785" t="s">
        <v>1132</v>
      </c>
      <c r="C785" t="s">
        <v>1132</v>
      </c>
      <c r="D785">
        <v>66.75</v>
      </c>
      <c r="E785" t="s">
        <v>3084</v>
      </c>
      <c r="F785" s="186" t="s">
        <v>966</v>
      </c>
      <c r="H785" t="b">
        <v>1</v>
      </c>
      <c r="I785">
        <v>66.75</v>
      </c>
      <c r="J785" s="186" t="s">
        <v>941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1128</v>
      </c>
      <c r="B786" t="s">
        <v>1129</v>
      </c>
      <c r="C786" t="s">
        <v>1129</v>
      </c>
      <c r="D786">
        <v>165.7</v>
      </c>
      <c r="E786" t="s">
        <v>3084</v>
      </c>
      <c r="F786" s="186" t="s">
        <v>966</v>
      </c>
      <c r="H786" t="b">
        <v>1</v>
      </c>
      <c r="I786">
        <v>165.70000000000002</v>
      </c>
      <c r="J786" s="186" t="s">
        <v>941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1136</v>
      </c>
      <c r="B787" t="s">
        <v>1137</v>
      </c>
      <c r="C787" t="s">
        <v>1137</v>
      </c>
      <c r="D787">
        <v>163.5</v>
      </c>
      <c r="E787" t="s">
        <v>3084</v>
      </c>
      <c r="F787" s="186" t="s">
        <v>966</v>
      </c>
      <c r="H787" t="b">
        <v>1</v>
      </c>
      <c r="I787">
        <v>163.5</v>
      </c>
      <c r="J787" s="186" t="s">
        <v>941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1138</v>
      </c>
      <c r="B788" t="s">
        <v>1139</v>
      </c>
      <c r="C788" t="s">
        <v>1139</v>
      </c>
      <c r="D788">
        <v>180.15</v>
      </c>
      <c r="E788" t="s">
        <v>3084</v>
      </c>
      <c r="F788" s="186" t="s">
        <v>966</v>
      </c>
      <c r="H788" t="b">
        <v>1</v>
      </c>
      <c r="I788">
        <v>180.15</v>
      </c>
      <c r="J788" s="186" t="s">
        <v>941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945</v>
      </c>
      <c r="B789" t="s">
        <v>946</v>
      </c>
      <c r="C789" t="s">
        <v>946</v>
      </c>
      <c r="D789">
        <v>15.35</v>
      </c>
      <c r="E789" t="s">
        <v>3084</v>
      </c>
      <c r="F789" s="186" t="s">
        <v>942</v>
      </c>
      <c r="H789" t="b">
        <v>1</v>
      </c>
      <c r="I789" t="s">
        <v>22</v>
      </c>
      <c r="J789" s="186" t="s">
        <v>941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1008</v>
      </c>
      <c r="B790" t="s">
        <v>1009</v>
      </c>
      <c r="C790" t="s">
        <v>1009</v>
      </c>
      <c r="D790">
        <v>55.35</v>
      </c>
      <c r="E790" t="s">
        <v>3084</v>
      </c>
      <c r="F790" s="186" t="s">
        <v>989</v>
      </c>
      <c r="H790" t="b">
        <v>1</v>
      </c>
      <c r="I790">
        <v>55.35</v>
      </c>
      <c r="J790" s="186" t="s">
        <v>941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981</v>
      </c>
      <c r="B791" t="s">
        <v>982</v>
      </c>
      <c r="C791" t="s">
        <v>982</v>
      </c>
      <c r="D791">
        <v>163.5</v>
      </c>
      <c r="E791" t="s">
        <v>3084</v>
      </c>
      <c r="F791" s="186" t="s">
        <v>966</v>
      </c>
      <c r="H791" t="b">
        <v>1</v>
      </c>
      <c r="I791" t="s">
        <v>22</v>
      </c>
      <c r="J791" s="186" t="s">
        <v>941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945</v>
      </c>
      <c r="B792" t="s">
        <v>946</v>
      </c>
      <c r="C792" t="s">
        <v>947</v>
      </c>
      <c r="D792">
        <v>15.35</v>
      </c>
      <c r="E792" t="s">
        <v>3084</v>
      </c>
      <c r="F792" s="186" t="s">
        <v>942</v>
      </c>
      <c r="H792" t="b">
        <v>1</v>
      </c>
      <c r="I792" t="s">
        <v>22</v>
      </c>
      <c r="J792" s="186" t="s">
        <v>941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971</v>
      </c>
      <c r="B793" t="s">
        <v>972</v>
      </c>
      <c r="C793" t="s">
        <v>972</v>
      </c>
      <c r="D793">
        <v>80</v>
      </c>
      <c r="E793" t="s">
        <v>3084</v>
      </c>
      <c r="F793" s="186" t="s">
        <v>966</v>
      </c>
      <c r="H793" t="b">
        <v>1</v>
      </c>
      <c r="I793" t="s">
        <v>22</v>
      </c>
      <c r="J793" s="186" t="s">
        <v>941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979</v>
      </c>
      <c r="B794" t="s">
        <v>980</v>
      </c>
      <c r="C794" t="s">
        <v>980</v>
      </c>
      <c r="D794">
        <v>61.8</v>
      </c>
      <c r="E794" t="s">
        <v>3084</v>
      </c>
      <c r="F794" s="186" t="s">
        <v>966</v>
      </c>
      <c r="H794" t="b">
        <v>1</v>
      </c>
      <c r="I794" t="s">
        <v>22</v>
      </c>
      <c r="J794" s="186" t="s">
        <v>941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983</v>
      </c>
      <c r="B795" t="s">
        <v>984</v>
      </c>
      <c r="C795" t="s">
        <v>984</v>
      </c>
      <c r="D795">
        <v>51.5</v>
      </c>
      <c r="E795" t="s">
        <v>3084</v>
      </c>
      <c r="F795" s="186" t="s">
        <v>966</v>
      </c>
      <c r="H795" t="b">
        <v>1</v>
      </c>
      <c r="I795" t="s">
        <v>22</v>
      </c>
      <c r="J795" s="186" t="s">
        <v>941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948</v>
      </c>
      <c r="B796" t="s">
        <v>949</v>
      </c>
      <c r="C796" t="s">
        <v>949</v>
      </c>
      <c r="D796">
        <v>15.35</v>
      </c>
      <c r="E796" t="s">
        <v>3084</v>
      </c>
      <c r="F796" s="186" t="s">
        <v>942</v>
      </c>
      <c r="H796" t="b">
        <v>1</v>
      </c>
      <c r="I796" t="s">
        <v>22</v>
      </c>
      <c r="J796" s="186" t="s">
        <v>941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969</v>
      </c>
      <c r="B797" t="s">
        <v>970</v>
      </c>
      <c r="C797" t="s">
        <v>970</v>
      </c>
      <c r="D797">
        <v>80</v>
      </c>
      <c r="E797" t="s">
        <v>3084</v>
      </c>
      <c r="F797" s="186" t="s">
        <v>966</v>
      </c>
      <c r="H797" t="b">
        <v>1</v>
      </c>
      <c r="I797" t="s">
        <v>22</v>
      </c>
      <c r="J797" s="186" t="s">
        <v>941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973</v>
      </c>
      <c r="B798" t="s">
        <v>974</v>
      </c>
      <c r="C798" t="s">
        <v>974</v>
      </c>
      <c r="D798">
        <v>26</v>
      </c>
      <c r="E798" t="s">
        <v>3084</v>
      </c>
      <c r="F798" s="186" t="s">
        <v>966</v>
      </c>
      <c r="H798" t="b">
        <v>1</v>
      </c>
      <c r="I798" t="s">
        <v>22</v>
      </c>
      <c r="J798" s="186" t="s">
        <v>941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977</v>
      </c>
      <c r="B799" t="s">
        <v>978</v>
      </c>
      <c r="C799" t="s">
        <v>978</v>
      </c>
      <c r="D799">
        <v>204.6</v>
      </c>
      <c r="E799" t="s">
        <v>3084</v>
      </c>
      <c r="F799" s="186" t="s">
        <v>966</v>
      </c>
      <c r="H799" t="b">
        <v>1</v>
      </c>
      <c r="I799" t="s">
        <v>22</v>
      </c>
      <c r="J799" s="186" t="s">
        <v>941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964</v>
      </c>
      <c r="B800" t="s">
        <v>965</v>
      </c>
      <c r="C800" t="s">
        <v>965</v>
      </c>
      <c r="D800">
        <v>41.25</v>
      </c>
      <c r="E800" t="s">
        <v>3084</v>
      </c>
      <c r="F800" s="186" t="s">
        <v>966</v>
      </c>
      <c r="H800" t="b">
        <v>1</v>
      </c>
      <c r="I800" t="s">
        <v>22</v>
      </c>
      <c r="J800" s="186" t="s">
        <v>941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571</v>
      </c>
      <c r="B801" t="s">
        <v>572</v>
      </c>
      <c r="C801" t="s">
        <v>572</v>
      </c>
      <c r="D801">
        <v>56.9</v>
      </c>
      <c r="E801" t="s">
        <v>590</v>
      </c>
      <c r="F801" s="186" t="s">
        <v>574</v>
      </c>
      <c r="H801" t="b">
        <v>1</v>
      </c>
      <c r="I801">
        <v>56.900000000000006</v>
      </c>
      <c r="J801" s="186" t="s">
        <v>538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603</v>
      </c>
      <c r="B802" t="s">
        <v>604</v>
      </c>
      <c r="C802" t="s">
        <v>604</v>
      </c>
      <c r="D802">
        <v>47.8</v>
      </c>
      <c r="E802" t="s">
        <v>590</v>
      </c>
      <c r="F802" s="186" t="s">
        <v>590</v>
      </c>
      <c r="H802" t="b">
        <v>1</v>
      </c>
      <c r="I802">
        <v>47.800000000000004</v>
      </c>
      <c r="J802" s="186" t="s">
        <v>538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612</v>
      </c>
      <c r="B803" t="s">
        <v>613</v>
      </c>
      <c r="C803" t="s">
        <v>613</v>
      </c>
      <c r="D803">
        <v>28.35</v>
      </c>
      <c r="E803" t="s">
        <v>590</v>
      </c>
      <c r="F803" s="186" t="s">
        <v>590</v>
      </c>
      <c r="H803" t="b">
        <v>1</v>
      </c>
      <c r="I803">
        <v>28.35</v>
      </c>
      <c r="J803" s="186" t="s">
        <v>538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622</v>
      </c>
      <c r="B804" t="s">
        <v>623</v>
      </c>
      <c r="C804" t="s">
        <v>623</v>
      </c>
      <c r="D804">
        <v>54.3</v>
      </c>
      <c r="E804" t="s">
        <v>590</v>
      </c>
      <c r="F804" s="186" t="s">
        <v>590</v>
      </c>
      <c r="H804" t="b">
        <v>1</v>
      </c>
      <c r="I804">
        <v>54.300000000000004</v>
      </c>
      <c r="J804" s="186" t="s">
        <v>538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599</v>
      </c>
      <c r="B805" t="s">
        <v>3087</v>
      </c>
      <c r="C805" t="s">
        <v>600</v>
      </c>
      <c r="D805">
        <v>43.95</v>
      </c>
      <c r="E805" t="s">
        <v>590</v>
      </c>
      <c r="F805" s="186" t="s">
        <v>590</v>
      </c>
      <c r="H805" t="b">
        <v>1</v>
      </c>
      <c r="I805">
        <v>43.95</v>
      </c>
      <c r="J805" s="186" t="s">
        <v>538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699</v>
      </c>
      <c r="B806" t="s">
        <v>3089</v>
      </c>
      <c r="C806" t="s">
        <v>700</v>
      </c>
      <c r="D806">
        <v>43.95</v>
      </c>
      <c r="E806" t="s">
        <v>590</v>
      </c>
      <c r="F806" s="186" t="s">
        <v>590</v>
      </c>
      <c r="H806" t="b">
        <v>1</v>
      </c>
      <c r="I806" t="s">
        <v>22</v>
      </c>
      <c r="J806" s="186" t="s">
        <v>538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601</v>
      </c>
      <c r="B807" t="s">
        <v>3090</v>
      </c>
      <c r="C807" t="s">
        <v>602</v>
      </c>
      <c r="D807">
        <v>45.1</v>
      </c>
      <c r="E807" t="s">
        <v>590</v>
      </c>
      <c r="F807" s="186" t="s">
        <v>590</v>
      </c>
      <c r="H807" t="b">
        <v>1</v>
      </c>
      <c r="I807">
        <v>45.1</v>
      </c>
      <c r="J807" s="186" t="s">
        <v>538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597</v>
      </c>
      <c r="B808" t="s">
        <v>3088</v>
      </c>
      <c r="C808" t="s">
        <v>598</v>
      </c>
      <c r="D808">
        <v>23.9</v>
      </c>
      <c r="E808" t="s">
        <v>590</v>
      </c>
      <c r="F808" s="186" t="s">
        <v>590</v>
      </c>
      <c r="H808" t="b">
        <v>1</v>
      </c>
      <c r="I808">
        <v>23.900000000000002</v>
      </c>
      <c r="J808" s="186" t="s">
        <v>538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644</v>
      </c>
      <c r="B809" t="s">
        <v>645</v>
      </c>
      <c r="C809" t="s">
        <v>645</v>
      </c>
      <c r="D809">
        <v>48.95</v>
      </c>
      <c r="E809" t="s">
        <v>590</v>
      </c>
      <c r="F809" s="186" t="s">
        <v>535</v>
      </c>
      <c r="H809" t="b">
        <v>1</v>
      </c>
      <c r="I809">
        <v>48.95</v>
      </c>
      <c r="J809" s="186" t="s">
        <v>538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653</v>
      </c>
      <c r="B810" t="s">
        <v>654</v>
      </c>
      <c r="C810" t="s">
        <v>654</v>
      </c>
      <c r="D810">
        <v>110.85</v>
      </c>
      <c r="E810" t="s">
        <v>590</v>
      </c>
      <c r="F810" s="186" t="s">
        <v>535</v>
      </c>
      <c r="H810" t="b">
        <v>1</v>
      </c>
      <c r="I810">
        <v>110.85000000000001</v>
      </c>
      <c r="J810" s="186" t="s">
        <v>538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659</v>
      </c>
      <c r="B811" t="s">
        <v>660</v>
      </c>
      <c r="C811" t="s">
        <v>660</v>
      </c>
      <c r="D811">
        <v>263.89999999999998</v>
      </c>
      <c r="E811" t="s">
        <v>590</v>
      </c>
      <c r="F811" s="186" t="s">
        <v>535</v>
      </c>
      <c r="H811" t="b">
        <v>1</v>
      </c>
      <c r="I811">
        <v>263.90000000000003</v>
      </c>
      <c r="J811" s="186" t="s">
        <v>538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668</v>
      </c>
      <c r="B812" t="s">
        <v>669</v>
      </c>
      <c r="C812" t="s">
        <v>669</v>
      </c>
      <c r="D812">
        <v>117.95</v>
      </c>
      <c r="E812" t="s">
        <v>590</v>
      </c>
      <c r="F812" s="186" t="s">
        <v>535</v>
      </c>
      <c r="H812" t="b">
        <v>1</v>
      </c>
      <c r="I812">
        <v>117.95</v>
      </c>
      <c r="J812" s="186" t="s">
        <v>538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639</v>
      </c>
      <c r="B813" t="s">
        <v>640</v>
      </c>
      <c r="C813" t="s">
        <v>640</v>
      </c>
      <c r="D813">
        <v>54.3</v>
      </c>
      <c r="E813" t="s">
        <v>590</v>
      </c>
      <c r="F813" s="186" t="s">
        <v>535</v>
      </c>
      <c r="H813" t="b">
        <v>1</v>
      </c>
      <c r="I813">
        <v>54.300000000000004</v>
      </c>
      <c r="J813" s="186" t="s">
        <v>538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662</v>
      </c>
      <c r="B814" t="s">
        <v>663</v>
      </c>
      <c r="C814" t="s">
        <v>663</v>
      </c>
      <c r="D814">
        <v>57.2</v>
      </c>
      <c r="E814" t="s">
        <v>590</v>
      </c>
      <c r="F814" s="186" t="s">
        <v>535</v>
      </c>
      <c r="H814" t="b">
        <v>1</v>
      </c>
      <c r="I814">
        <v>57.2</v>
      </c>
      <c r="J814" s="186" t="s">
        <v>538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617</v>
      </c>
      <c r="B815" t="s">
        <v>618</v>
      </c>
      <c r="C815" t="s">
        <v>618</v>
      </c>
      <c r="D815">
        <v>49.85</v>
      </c>
      <c r="E815" t="s">
        <v>590</v>
      </c>
      <c r="F815" s="186" t="s">
        <v>535</v>
      </c>
      <c r="H815" t="b">
        <v>1</v>
      </c>
      <c r="I815">
        <v>49.85</v>
      </c>
      <c r="J815" s="186" t="s">
        <v>538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705</v>
      </c>
      <c r="B816" t="s">
        <v>706</v>
      </c>
      <c r="C816" t="s">
        <v>706</v>
      </c>
      <c r="D816">
        <v>47.8</v>
      </c>
      <c r="E816" t="s">
        <v>590</v>
      </c>
      <c r="F816" s="186" t="s">
        <v>535</v>
      </c>
      <c r="H816" t="b">
        <v>1</v>
      </c>
      <c r="I816">
        <v>47.800000000000004</v>
      </c>
      <c r="J816" s="186" t="s">
        <v>538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633</v>
      </c>
      <c r="B817" t="s">
        <v>634</v>
      </c>
      <c r="C817" t="s">
        <v>634</v>
      </c>
      <c r="D817">
        <v>39.200000000000003</v>
      </c>
      <c r="E817" t="s">
        <v>590</v>
      </c>
      <c r="F817" s="186" t="s">
        <v>535</v>
      </c>
      <c r="H817" t="b">
        <v>1</v>
      </c>
      <c r="I817">
        <v>39.200000000000003</v>
      </c>
      <c r="J817" s="186" t="s">
        <v>538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695</v>
      </c>
      <c r="B818" t="s">
        <v>696</v>
      </c>
      <c r="C818" t="s">
        <v>696</v>
      </c>
      <c r="D818">
        <v>33.35</v>
      </c>
      <c r="E818" t="s">
        <v>590</v>
      </c>
      <c r="F818" s="186" t="s">
        <v>535</v>
      </c>
      <c r="H818" t="b">
        <v>1</v>
      </c>
      <c r="I818" t="s">
        <v>22</v>
      </c>
      <c r="J818" s="186" t="s">
        <v>538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578</v>
      </c>
      <c r="B819" t="s">
        <v>579</v>
      </c>
      <c r="C819" t="s">
        <v>579</v>
      </c>
      <c r="D819">
        <v>53.05</v>
      </c>
      <c r="E819" t="s">
        <v>590</v>
      </c>
      <c r="F819" s="186" t="s">
        <v>574</v>
      </c>
      <c r="H819" t="b">
        <v>1</v>
      </c>
      <c r="I819">
        <v>53.050000000000004</v>
      </c>
      <c r="J819" s="186" t="s">
        <v>538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670</v>
      </c>
      <c r="B820" t="s">
        <v>671</v>
      </c>
      <c r="C820" t="s">
        <v>671</v>
      </c>
      <c r="D820">
        <v>138.9</v>
      </c>
      <c r="E820" t="s">
        <v>590</v>
      </c>
      <c r="F820" s="186" t="s">
        <v>535</v>
      </c>
      <c r="H820" t="b">
        <v>1</v>
      </c>
      <c r="I820">
        <v>138.9</v>
      </c>
      <c r="J820" s="186" t="s">
        <v>538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665</v>
      </c>
      <c r="B821" t="s">
        <v>666</v>
      </c>
      <c r="C821" t="s">
        <v>666</v>
      </c>
      <c r="D821">
        <v>23.5</v>
      </c>
      <c r="E821" t="s">
        <v>590</v>
      </c>
      <c r="F821" s="186" t="s">
        <v>535</v>
      </c>
      <c r="H821" t="b">
        <v>1</v>
      </c>
      <c r="I821">
        <v>23.5</v>
      </c>
      <c r="J821" s="186" t="s">
        <v>538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693</v>
      </c>
      <c r="B822" t="s">
        <v>694</v>
      </c>
      <c r="C822" t="s">
        <v>694</v>
      </c>
      <c r="D822">
        <v>74.95</v>
      </c>
      <c r="E822" t="s">
        <v>590</v>
      </c>
      <c r="F822" s="186" t="s">
        <v>574</v>
      </c>
      <c r="H822" t="b">
        <v>1</v>
      </c>
      <c r="I822" t="s">
        <v>22</v>
      </c>
      <c r="J822" s="186" t="s">
        <v>538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720</v>
      </c>
      <c r="B823" t="s">
        <v>721</v>
      </c>
      <c r="C823" t="s">
        <v>721</v>
      </c>
      <c r="D823">
        <v>263.89999999999998</v>
      </c>
      <c r="E823" t="s">
        <v>590</v>
      </c>
      <c r="F823" s="186" t="s">
        <v>535</v>
      </c>
      <c r="H823" t="b">
        <v>1</v>
      </c>
      <c r="I823" t="s">
        <v>22</v>
      </c>
      <c r="J823" s="186" t="s">
        <v>538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628</v>
      </c>
      <c r="B824" t="s">
        <v>629</v>
      </c>
      <c r="C824" t="s">
        <v>629</v>
      </c>
      <c r="D824">
        <v>63.7</v>
      </c>
      <c r="E824" t="s">
        <v>590</v>
      </c>
      <c r="F824" s="186" t="s">
        <v>590</v>
      </c>
      <c r="H824" t="b">
        <v>1</v>
      </c>
      <c r="I824">
        <v>63.7</v>
      </c>
      <c r="J824" s="186" t="s">
        <v>538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625</v>
      </c>
      <c r="B825" t="s">
        <v>626</v>
      </c>
      <c r="C825" t="s">
        <v>626</v>
      </c>
      <c r="D825">
        <v>58.15</v>
      </c>
      <c r="E825" t="s">
        <v>590</v>
      </c>
      <c r="F825" s="186" t="s">
        <v>590</v>
      </c>
      <c r="H825" t="b">
        <v>1</v>
      </c>
      <c r="I825">
        <v>58.150000000000006</v>
      </c>
      <c r="J825" s="186" t="s">
        <v>538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581</v>
      </c>
      <c r="B826" t="s">
        <v>582</v>
      </c>
      <c r="C826" t="s">
        <v>582</v>
      </c>
      <c r="D826">
        <v>58.4</v>
      </c>
      <c r="E826" t="s">
        <v>590</v>
      </c>
      <c r="F826" s="186" t="s">
        <v>574</v>
      </c>
      <c r="H826" t="b">
        <v>1</v>
      </c>
      <c r="I826">
        <v>58.400000000000006</v>
      </c>
      <c r="J826" s="186" t="s">
        <v>538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647</v>
      </c>
      <c r="B827" t="s">
        <v>648</v>
      </c>
      <c r="C827" t="s">
        <v>648</v>
      </c>
      <c r="D827">
        <v>100.2</v>
      </c>
      <c r="E827" t="s">
        <v>590</v>
      </c>
      <c r="F827" s="186" t="s">
        <v>535</v>
      </c>
      <c r="H827" t="b">
        <v>1</v>
      </c>
      <c r="I827">
        <v>100.2</v>
      </c>
      <c r="J827" s="186" t="s">
        <v>538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650</v>
      </c>
      <c r="B828" t="s">
        <v>651</v>
      </c>
      <c r="C828" t="s">
        <v>651</v>
      </c>
      <c r="D828">
        <v>76.650000000000006</v>
      </c>
      <c r="E828" t="s">
        <v>590</v>
      </c>
      <c r="F828" s="186" t="s">
        <v>535</v>
      </c>
      <c r="H828" t="b">
        <v>1</v>
      </c>
      <c r="I828">
        <v>76.650000000000006</v>
      </c>
      <c r="J828" s="186" t="s">
        <v>538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636</v>
      </c>
      <c r="B829" t="s">
        <v>637</v>
      </c>
      <c r="C829" t="s">
        <v>637</v>
      </c>
      <c r="D829">
        <v>47.15</v>
      </c>
      <c r="E829" t="s">
        <v>590</v>
      </c>
      <c r="F829" s="186" t="s">
        <v>590</v>
      </c>
      <c r="H829" t="b">
        <v>1</v>
      </c>
      <c r="I829">
        <v>47.150000000000006</v>
      </c>
      <c r="J829" s="186" t="s">
        <v>538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710</v>
      </c>
      <c r="B830" t="s">
        <v>711</v>
      </c>
      <c r="C830" t="s">
        <v>711</v>
      </c>
      <c r="D830">
        <v>13.3</v>
      </c>
      <c r="E830" t="s">
        <v>590</v>
      </c>
      <c r="F830" s="186" t="s">
        <v>590</v>
      </c>
      <c r="H830" t="b">
        <v>1</v>
      </c>
      <c r="I830" t="s">
        <v>22</v>
      </c>
      <c r="J830" s="186" t="s">
        <v>538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707</v>
      </c>
      <c r="B831" t="s">
        <v>708</v>
      </c>
      <c r="C831" t="s">
        <v>708</v>
      </c>
      <c r="D831">
        <v>37.15</v>
      </c>
      <c r="E831" t="s">
        <v>590</v>
      </c>
      <c r="F831" s="186" t="s">
        <v>590</v>
      </c>
      <c r="H831" t="b">
        <v>1</v>
      </c>
      <c r="I831">
        <v>37.15</v>
      </c>
      <c r="J831" s="186" t="s">
        <v>538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614</v>
      </c>
      <c r="B832" t="s">
        <v>615</v>
      </c>
      <c r="C832" t="s">
        <v>615</v>
      </c>
      <c r="D832">
        <v>35</v>
      </c>
      <c r="E832" t="s">
        <v>590</v>
      </c>
      <c r="F832" s="186" t="s">
        <v>590</v>
      </c>
      <c r="H832" t="b">
        <v>1</v>
      </c>
      <c r="I832">
        <v>35</v>
      </c>
      <c r="J832" s="186" t="s">
        <v>538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594</v>
      </c>
      <c r="B833" t="s">
        <v>595</v>
      </c>
      <c r="C833" t="s">
        <v>595</v>
      </c>
      <c r="D833">
        <v>69.8</v>
      </c>
      <c r="E833" t="s">
        <v>590</v>
      </c>
      <c r="F833" s="186" t="s">
        <v>590</v>
      </c>
      <c r="H833" t="b">
        <v>1</v>
      </c>
      <c r="I833">
        <v>69.8</v>
      </c>
      <c r="J833" s="186" t="s">
        <v>538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591</v>
      </c>
      <c r="B834" t="s">
        <v>592</v>
      </c>
      <c r="C834" t="s">
        <v>592</v>
      </c>
      <c r="D834">
        <v>65.099999999999994</v>
      </c>
      <c r="E834" t="s">
        <v>590</v>
      </c>
      <c r="F834" s="186" t="s">
        <v>590</v>
      </c>
      <c r="H834" t="b">
        <v>1</v>
      </c>
      <c r="I834">
        <v>65.100000000000009</v>
      </c>
      <c r="J834" s="186" t="s">
        <v>538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606</v>
      </c>
      <c r="B835" t="s">
        <v>607</v>
      </c>
      <c r="C835" t="s">
        <v>607</v>
      </c>
      <c r="D835">
        <v>54.45</v>
      </c>
      <c r="E835" t="s">
        <v>590</v>
      </c>
      <c r="F835" s="186" t="s">
        <v>590</v>
      </c>
      <c r="H835" t="b">
        <v>1</v>
      </c>
      <c r="I835">
        <v>54.45</v>
      </c>
      <c r="J835" s="186" t="s">
        <v>538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587</v>
      </c>
      <c r="B836" t="s">
        <v>588</v>
      </c>
      <c r="C836" t="s">
        <v>588</v>
      </c>
      <c r="D836">
        <v>63.7</v>
      </c>
      <c r="E836" t="s">
        <v>590</v>
      </c>
      <c r="F836" s="186" t="s">
        <v>590</v>
      </c>
      <c r="H836" t="b">
        <v>1</v>
      </c>
      <c r="I836">
        <v>63.7</v>
      </c>
      <c r="J836" s="186" t="s">
        <v>538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609</v>
      </c>
      <c r="B837" t="s">
        <v>610</v>
      </c>
      <c r="C837" t="s">
        <v>610</v>
      </c>
      <c r="D837">
        <v>54.3</v>
      </c>
      <c r="E837" t="s">
        <v>590</v>
      </c>
      <c r="F837" s="186" t="s">
        <v>590</v>
      </c>
      <c r="H837" t="b">
        <v>1</v>
      </c>
      <c r="I837">
        <v>54.300000000000004</v>
      </c>
      <c r="J837" s="186" t="s">
        <v>538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584</v>
      </c>
      <c r="B838" t="s">
        <v>585</v>
      </c>
      <c r="C838" t="s">
        <v>585</v>
      </c>
      <c r="D838">
        <v>74.95</v>
      </c>
      <c r="E838" t="s">
        <v>590</v>
      </c>
      <c r="F838" s="186" t="s">
        <v>574</v>
      </c>
      <c r="H838" t="b">
        <v>1</v>
      </c>
      <c r="I838">
        <v>74.95</v>
      </c>
      <c r="J838" s="186" t="s">
        <v>538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697</v>
      </c>
      <c r="B839" t="s">
        <v>698</v>
      </c>
      <c r="C839" t="s">
        <v>698</v>
      </c>
      <c r="D839">
        <v>63.7</v>
      </c>
      <c r="E839" t="s">
        <v>590</v>
      </c>
      <c r="F839" s="186" t="s">
        <v>590</v>
      </c>
      <c r="H839" t="b">
        <v>1</v>
      </c>
      <c r="I839" t="s">
        <v>22</v>
      </c>
      <c r="J839" s="186" t="s">
        <v>538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703</v>
      </c>
      <c r="B840" t="s">
        <v>704</v>
      </c>
      <c r="C840" t="s">
        <v>704</v>
      </c>
      <c r="D840">
        <v>58.15</v>
      </c>
      <c r="E840" t="s">
        <v>590</v>
      </c>
      <c r="F840" s="186" t="s">
        <v>590</v>
      </c>
      <c r="H840" t="b">
        <v>1</v>
      </c>
      <c r="I840" t="s">
        <v>22</v>
      </c>
      <c r="J840" s="186" t="s">
        <v>538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691</v>
      </c>
      <c r="B841" t="s">
        <v>692</v>
      </c>
      <c r="C841" t="s">
        <v>692</v>
      </c>
      <c r="D841">
        <v>65</v>
      </c>
      <c r="E841" t="s">
        <v>590</v>
      </c>
      <c r="F841" s="186" t="s">
        <v>574</v>
      </c>
      <c r="H841" t="b">
        <v>1</v>
      </c>
      <c r="I841" t="s">
        <v>22</v>
      </c>
      <c r="J841" s="186" t="s">
        <v>538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731</v>
      </c>
      <c r="B842" t="s">
        <v>732</v>
      </c>
      <c r="C842" t="s">
        <v>732</v>
      </c>
      <c r="D842">
        <v>189</v>
      </c>
      <c r="E842" t="s">
        <v>590</v>
      </c>
      <c r="F842" s="186" t="s">
        <v>535</v>
      </c>
      <c r="H842" t="b">
        <v>1</v>
      </c>
      <c r="I842" t="s">
        <v>22</v>
      </c>
      <c r="J842" s="186" t="s">
        <v>538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713</v>
      </c>
      <c r="B843" t="s">
        <v>714</v>
      </c>
      <c r="C843" t="s">
        <v>714</v>
      </c>
      <c r="D843">
        <v>13.3</v>
      </c>
      <c r="E843" t="s">
        <v>590</v>
      </c>
      <c r="F843" s="186" t="s">
        <v>712</v>
      </c>
      <c r="H843" t="b">
        <v>1</v>
      </c>
      <c r="I843" t="s">
        <v>22</v>
      </c>
      <c r="J843" s="186" t="s">
        <v>538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715</v>
      </c>
      <c r="B844" t="s">
        <v>716</v>
      </c>
      <c r="C844" t="s">
        <v>716</v>
      </c>
      <c r="D844">
        <v>13.3</v>
      </c>
      <c r="E844" t="s">
        <v>590</v>
      </c>
      <c r="F844" s="186" t="s">
        <v>712</v>
      </c>
      <c r="H844" t="b">
        <v>1</v>
      </c>
      <c r="I844" t="s">
        <v>22</v>
      </c>
      <c r="J844" s="186" t="s">
        <v>538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723</v>
      </c>
      <c r="B845" t="s">
        <v>724</v>
      </c>
      <c r="C845" t="s">
        <v>724</v>
      </c>
      <c r="D845">
        <v>100.2</v>
      </c>
      <c r="E845" t="s">
        <v>590</v>
      </c>
      <c r="F845" s="186" t="s">
        <v>535</v>
      </c>
      <c r="H845" t="b">
        <v>1</v>
      </c>
      <c r="I845" t="s">
        <v>22</v>
      </c>
      <c r="J845" s="186" t="s">
        <v>538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689</v>
      </c>
      <c r="B846" t="s">
        <v>690</v>
      </c>
      <c r="C846" t="s">
        <v>690</v>
      </c>
      <c r="D846">
        <v>61</v>
      </c>
      <c r="E846" t="s">
        <v>590</v>
      </c>
      <c r="F846" s="186" t="s">
        <v>574</v>
      </c>
      <c r="H846" t="b">
        <v>1</v>
      </c>
      <c r="I846" t="s">
        <v>22</v>
      </c>
      <c r="J846" s="186" t="s">
        <v>538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725</v>
      </c>
      <c r="B847" t="s">
        <v>726</v>
      </c>
      <c r="C847" t="s">
        <v>726</v>
      </c>
      <c r="D847">
        <v>76.75</v>
      </c>
      <c r="E847" t="s">
        <v>590</v>
      </c>
      <c r="F847" s="186" t="s">
        <v>535</v>
      </c>
      <c r="H847" t="b">
        <v>1</v>
      </c>
      <c r="I847" t="s">
        <v>22</v>
      </c>
      <c r="J847" s="186" t="s">
        <v>538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701</v>
      </c>
      <c r="B848" t="s">
        <v>702</v>
      </c>
      <c r="C848" t="s">
        <v>702</v>
      </c>
      <c r="D848">
        <v>66</v>
      </c>
      <c r="E848" t="s">
        <v>590</v>
      </c>
      <c r="F848" s="186" t="s">
        <v>590</v>
      </c>
      <c r="H848" t="b">
        <v>1</v>
      </c>
      <c r="I848" t="s">
        <v>22</v>
      </c>
      <c r="J848" s="186" t="s">
        <v>538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727</v>
      </c>
      <c r="B849" t="s">
        <v>728</v>
      </c>
      <c r="C849" t="s">
        <v>728</v>
      </c>
      <c r="D849">
        <v>200</v>
      </c>
      <c r="E849" t="s">
        <v>590</v>
      </c>
      <c r="F849" s="186" t="s">
        <v>535</v>
      </c>
      <c r="H849" t="b">
        <v>1</v>
      </c>
      <c r="I849" t="s">
        <v>22</v>
      </c>
      <c r="J849" s="186" t="s">
        <v>538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729</v>
      </c>
      <c r="B850" t="s">
        <v>730</v>
      </c>
      <c r="C850" t="s">
        <v>730</v>
      </c>
      <c r="D850">
        <v>100</v>
      </c>
      <c r="E850" t="s">
        <v>590</v>
      </c>
      <c r="F850" s="186" t="s">
        <v>535</v>
      </c>
      <c r="H850" t="b">
        <v>1</v>
      </c>
      <c r="I850" t="s">
        <v>22</v>
      </c>
      <c r="J850" s="186" t="s">
        <v>538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1207</v>
      </c>
      <c r="B851" t="s">
        <v>1208</v>
      </c>
      <c r="C851" t="s">
        <v>1208</v>
      </c>
      <c r="D851">
        <v>70.45</v>
      </c>
      <c r="E851" t="s">
        <v>3091</v>
      </c>
      <c r="F851" s="186" t="s">
        <v>1183</v>
      </c>
      <c r="H851" t="b">
        <v>1</v>
      </c>
      <c r="I851">
        <v>70.45</v>
      </c>
      <c r="J851" s="186" t="s">
        <v>1177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1213</v>
      </c>
      <c r="B852" t="s">
        <v>1214</v>
      </c>
      <c r="C852" t="s">
        <v>1214</v>
      </c>
      <c r="D852">
        <v>67.5</v>
      </c>
      <c r="E852" t="s">
        <v>3091</v>
      </c>
      <c r="F852" s="186" t="s">
        <v>1183</v>
      </c>
      <c r="H852" t="b">
        <v>1</v>
      </c>
      <c r="I852">
        <v>67.5</v>
      </c>
      <c r="J852" s="186" t="s">
        <v>1177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1204</v>
      </c>
      <c r="B853" t="s">
        <v>1205</v>
      </c>
      <c r="C853" t="s">
        <v>1205</v>
      </c>
      <c r="D853">
        <v>67.5</v>
      </c>
      <c r="E853" t="s">
        <v>3091</v>
      </c>
      <c r="F853" s="186" t="s">
        <v>1183</v>
      </c>
      <c r="H853" t="b">
        <v>1</v>
      </c>
      <c r="I853">
        <v>67.5</v>
      </c>
      <c r="J853" s="186" t="s">
        <v>1177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1218</v>
      </c>
      <c r="B854" t="s">
        <v>1219</v>
      </c>
      <c r="C854" t="s">
        <v>1219</v>
      </c>
      <c r="D854">
        <v>54.3</v>
      </c>
      <c r="E854" t="s">
        <v>3091</v>
      </c>
      <c r="F854" s="186" t="s">
        <v>1183</v>
      </c>
      <c r="H854" t="b">
        <v>1</v>
      </c>
      <c r="I854">
        <v>54.300000000000004</v>
      </c>
      <c r="J854" s="186" t="s">
        <v>1177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1221</v>
      </c>
      <c r="B855" t="s">
        <v>1222</v>
      </c>
      <c r="C855" t="s">
        <v>1222</v>
      </c>
      <c r="D855">
        <v>61.1</v>
      </c>
      <c r="E855" t="s">
        <v>3091</v>
      </c>
      <c r="F855" s="186" t="s">
        <v>1178</v>
      </c>
      <c r="H855" t="b">
        <v>1</v>
      </c>
      <c r="I855">
        <v>61.1</v>
      </c>
      <c r="J855" s="186" t="s">
        <v>1177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1227</v>
      </c>
      <c r="B856" t="s">
        <v>1228</v>
      </c>
      <c r="C856" t="s">
        <v>1228</v>
      </c>
      <c r="D856">
        <v>46</v>
      </c>
      <c r="E856" t="s">
        <v>3091</v>
      </c>
      <c r="F856" s="186" t="s">
        <v>1178</v>
      </c>
      <c r="H856" t="b">
        <v>1</v>
      </c>
      <c r="I856">
        <v>46</v>
      </c>
      <c r="J856" s="186" t="s">
        <v>1177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1242</v>
      </c>
      <c r="B857" t="s">
        <v>1243</v>
      </c>
      <c r="C857" t="s">
        <v>1243</v>
      </c>
      <c r="D857">
        <v>35.700000000000003</v>
      </c>
      <c r="E857" t="s">
        <v>3091</v>
      </c>
      <c r="F857" s="186" t="s">
        <v>1178</v>
      </c>
      <c r="H857" t="b">
        <v>1</v>
      </c>
      <c r="I857">
        <v>35.700000000000003</v>
      </c>
      <c r="J857" s="186" t="s">
        <v>1177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1224</v>
      </c>
      <c r="B858" t="s">
        <v>1225</v>
      </c>
      <c r="C858" t="s">
        <v>1225</v>
      </c>
      <c r="D858">
        <v>43.05</v>
      </c>
      <c r="E858" t="s">
        <v>3091</v>
      </c>
      <c r="F858" s="186" t="s">
        <v>1178</v>
      </c>
      <c r="H858" t="b">
        <v>1</v>
      </c>
      <c r="I858">
        <v>43.050000000000004</v>
      </c>
      <c r="J858" s="186" t="s">
        <v>1177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1201</v>
      </c>
      <c r="B859" t="s">
        <v>1202</v>
      </c>
      <c r="C859" t="s">
        <v>1202</v>
      </c>
      <c r="D859">
        <v>77.849999999999994</v>
      </c>
      <c r="E859" t="s">
        <v>3091</v>
      </c>
      <c r="F859" s="186" t="s">
        <v>1183</v>
      </c>
      <c r="H859" t="b">
        <v>1</v>
      </c>
      <c r="I859">
        <v>77.850000000000009</v>
      </c>
      <c r="J859" s="186" t="s">
        <v>1177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1184</v>
      </c>
      <c r="B860" t="s">
        <v>1185</v>
      </c>
      <c r="C860" t="s">
        <v>1185</v>
      </c>
      <c r="D860">
        <v>70.45</v>
      </c>
      <c r="E860" t="s">
        <v>3091</v>
      </c>
      <c r="F860" s="186" t="s">
        <v>1183</v>
      </c>
      <c r="H860" t="b">
        <v>1</v>
      </c>
      <c r="I860" t="s">
        <v>22</v>
      </c>
      <c r="J860" s="186" t="s">
        <v>1177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1230</v>
      </c>
      <c r="B861" t="s">
        <v>1231</v>
      </c>
      <c r="C861" t="s">
        <v>1231</v>
      </c>
      <c r="D861">
        <v>61.35</v>
      </c>
      <c r="E861" t="s">
        <v>3091</v>
      </c>
      <c r="F861" s="186" t="s">
        <v>1178</v>
      </c>
      <c r="H861" t="b">
        <v>1</v>
      </c>
      <c r="I861">
        <v>61.35</v>
      </c>
      <c r="J861" s="186" t="s">
        <v>1177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1215</v>
      </c>
      <c r="B862" t="s">
        <v>3954</v>
      </c>
      <c r="C862" t="s">
        <v>1216</v>
      </c>
      <c r="D862">
        <v>43.95</v>
      </c>
      <c r="E862" t="s">
        <v>3091</v>
      </c>
      <c r="F862" s="186" t="s">
        <v>1183</v>
      </c>
      <c r="H862" t="b">
        <v>1</v>
      </c>
      <c r="I862">
        <v>43.95</v>
      </c>
      <c r="J862" s="186" t="s">
        <v>1177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1248</v>
      </c>
      <c r="B863" t="s">
        <v>1249</v>
      </c>
      <c r="C863" t="s">
        <v>1249</v>
      </c>
      <c r="D863">
        <v>68.150000000000006</v>
      </c>
      <c r="E863" t="s">
        <v>3091</v>
      </c>
      <c r="F863" s="186" t="s">
        <v>1178</v>
      </c>
      <c r="H863" t="b">
        <v>1</v>
      </c>
      <c r="I863">
        <v>68.150000000000006</v>
      </c>
      <c r="J863" s="186" t="s">
        <v>1177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1192</v>
      </c>
      <c r="B864" t="s">
        <v>1193</v>
      </c>
      <c r="C864" t="s">
        <v>1193</v>
      </c>
      <c r="D864">
        <v>48.65</v>
      </c>
      <c r="E864" t="s">
        <v>3091</v>
      </c>
      <c r="F864" s="186" t="s">
        <v>1183</v>
      </c>
      <c r="H864" t="b">
        <v>1</v>
      </c>
      <c r="I864" t="s">
        <v>22</v>
      </c>
      <c r="J864" s="186" t="s">
        <v>1177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1175</v>
      </c>
      <c r="B865" t="s">
        <v>1176</v>
      </c>
      <c r="C865" t="s">
        <v>1176</v>
      </c>
      <c r="D865">
        <v>50.1</v>
      </c>
      <c r="E865" t="s">
        <v>3091</v>
      </c>
      <c r="F865" s="186" t="s">
        <v>1178</v>
      </c>
      <c r="H865" t="b">
        <v>1</v>
      </c>
      <c r="I865" t="s">
        <v>22</v>
      </c>
      <c r="J865" s="186" t="s">
        <v>1177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1233</v>
      </c>
      <c r="B866" t="s">
        <v>1234</v>
      </c>
      <c r="C866" t="s">
        <v>1234</v>
      </c>
      <c r="D866">
        <v>48.95</v>
      </c>
      <c r="E866" t="s">
        <v>3091</v>
      </c>
      <c r="F866" s="186" t="s">
        <v>1178</v>
      </c>
      <c r="H866" t="b">
        <v>1</v>
      </c>
      <c r="I866">
        <v>48.95</v>
      </c>
      <c r="J866" s="186" t="s">
        <v>1177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1196</v>
      </c>
      <c r="B867" t="s">
        <v>1197</v>
      </c>
      <c r="C867" t="s">
        <v>1197</v>
      </c>
      <c r="D867">
        <v>57.3</v>
      </c>
      <c r="E867" t="s">
        <v>3091</v>
      </c>
      <c r="F867" s="186" t="s">
        <v>1183</v>
      </c>
      <c r="H867" t="b">
        <v>1</v>
      </c>
      <c r="I867">
        <v>57.300000000000004</v>
      </c>
      <c r="J867" s="186" t="s">
        <v>1177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1236</v>
      </c>
      <c r="B868" t="s">
        <v>1237</v>
      </c>
      <c r="C868" t="s">
        <v>1237</v>
      </c>
      <c r="D868">
        <v>56.05</v>
      </c>
      <c r="E868" t="s">
        <v>3091</v>
      </c>
      <c r="F868" s="186" t="s">
        <v>1178</v>
      </c>
      <c r="H868" t="b">
        <v>1</v>
      </c>
      <c r="I868">
        <v>56.050000000000004</v>
      </c>
      <c r="J868" s="186" t="s">
        <v>1177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1190</v>
      </c>
      <c r="B869" t="s">
        <v>1191</v>
      </c>
      <c r="C869" t="s">
        <v>1191</v>
      </c>
      <c r="D869">
        <v>48.95</v>
      </c>
      <c r="E869" t="s">
        <v>3091</v>
      </c>
      <c r="F869" s="186" t="s">
        <v>1183</v>
      </c>
      <c r="H869" t="b">
        <v>1</v>
      </c>
      <c r="I869" t="s">
        <v>22</v>
      </c>
      <c r="J869" s="186" t="s">
        <v>1177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1179</v>
      </c>
      <c r="B870" t="s">
        <v>1180</v>
      </c>
      <c r="C870" t="s">
        <v>1180</v>
      </c>
      <c r="D870">
        <v>50.1</v>
      </c>
      <c r="E870" t="s">
        <v>3091</v>
      </c>
      <c r="F870" s="186" t="s">
        <v>1178</v>
      </c>
      <c r="H870" t="b">
        <v>1</v>
      </c>
      <c r="I870" t="s">
        <v>22</v>
      </c>
      <c r="J870" s="186" t="s">
        <v>1177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1239</v>
      </c>
      <c r="B871" t="s">
        <v>1240</v>
      </c>
      <c r="C871" t="s">
        <v>1240</v>
      </c>
      <c r="D871">
        <v>65.349999999999994</v>
      </c>
      <c r="E871" t="s">
        <v>3091</v>
      </c>
      <c r="F871" s="186" t="s">
        <v>1178</v>
      </c>
      <c r="H871" t="b">
        <v>1</v>
      </c>
      <c r="I871">
        <v>65.350000000000009</v>
      </c>
      <c r="J871" s="186" t="s">
        <v>1177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1245</v>
      </c>
      <c r="B872" t="s">
        <v>1246</v>
      </c>
      <c r="C872" t="s">
        <v>1246</v>
      </c>
      <c r="D872">
        <v>68.400000000000006</v>
      </c>
      <c r="E872" t="s">
        <v>3091</v>
      </c>
      <c r="F872" s="186" t="s">
        <v>1178</v>
      </c>
      <c r="H872" t="b">
        <v>1</v>
      </c>
      <c r="I872">
        <v>68.400000000000006</v>
      </c>
      <c r="J872" s="186" t="s">
        <v>1177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1186</v>
      </c>
      <c r="B873" t="s">
        <v>1187</v>
      </c>
      <c r="C873" t="s">
        <v>1187</v>
      </c>
      <c r="D873">
        <v>57.3</v>
      </c>
      <c r="E873" t="s">
        <v>3091</v>
      </c>
      <c r="F873" s="186" t="s">
        <v>1183</v>
      </c>
      <c r="H873" t="b">
        <v>1</v>
      </c>
      <c r="I873" t="s">
        <v>22</v>
      </c>
      <c r="J873" s="186" t="s">
        <v>1177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1181</v>
      </c>
      <c r="B874" t="s">
        <v>3092</v>
      </c>
      <c r="C874" t="s">
        <v>1182</v>
      </c>
      <c r="D874">
        <v>70.45</v>
      </c>
      <c r="E874" t="s">
        <v>3091</v>
      </c>
      <c r="F874" s="186" t="s">
        <v>1183</v>
      </c>
      <c r="H874" t="b">
        <v>1</v>
      </c>
      <c r="I874" t="s">
        <v>22</v>
      </c>
      <c r="J874" s="186" t="s">
        <v>1177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1194</v>
      </c>
      <c r="B875" t="s">
        <v>1195</v>
      </c>
      <c r="C875" t="s">
        <v>1195</v>
      </c>
      <c r="D875">
        <v>77.849999999999994</v>
      </c>
      <c r="E875" t="s">
        <v>3091</v>
      </c>
      <c r="F875" s="186" t="s">
        <v>1183</v>
      </c>
      <c r="H875" t="b">
        <v>1</v>
      </c>
      <c r="I875" t="s">
        <v>22</v>
      </c>
      <c r="J875" s="186" t="s">
        <v>1177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1188</v>
      </c>
      <c r="B876" t="s">
        <v>1189</v>
      </c>
      <c r="C876" t="s">
        <v>1189</v>
      </c>
      <c r="D876">
        <v>67.5</v>
      </c>
      <c r="E876" t="s">
        <v>3091</v>
      </c>
      <c r="F876" s="186" t="s">
        <v>1183</v>
      </c>
      <c r="H876" t="b">
        <v>1</v>
      </c>
      <c r="I876" t="s">
        <v>22</v>
      </c>
      <c r="J876" s="186" t="s">
        <v>1177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1291</v>
      </c>
      <c r="B877" t="s">
        <v>1292</v>
      </c>
      <c r="C877" t="s">
        <v>1292</v>
      </c>
      <c r="D877">
        <v>16.850000000000001</v>
      </c>
      <c r="E877" t="s">
        <v>3093</v>
      </c>
      <c r="F877" s="186" t="s">
        <v>1256</v>
      </c>
      <c r="H877" t="b">
        <v>1</v>
      </c>
      <c r="I877">
        <v>16.850000000000001</v>
      </c>
      <c r="J877" s="186" t="s">
        <v>1252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1273</v>
      </c>
      <c r="B878" t="s">
        <v>1274</v>
      </c>
      <c r="C878" t="s">
        <v>1274</v>
      </c>
      <c r="D878">
        <v>22.4</v>
      </c>
      <c r="E878" t="s">
        <v>3093</v>
      </c>
      <c r="F878" s="186" t="s">
        <v>1256</v>
      </c>
      <c r="H878" t="b">
        <v>1</v>
      </c>
      <c r="I878">
        <v>22.400000000000002</v>
      </c>
      <c r="J878" s="186" t="s">
        <v>1252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1271</v>
      </c>
      <c r="B879" t="s">
        <v>3094</v>
      </c>
      <c r="C879" t="s">
        <v>1272</v>
      </c>
      <c r="D879">
        <v>48.95</v>
      </c>
      <c r="E879" t="s">
        <v>3093</v>
      </c>
      <c r="F879" s="186" t="s">
        <v>1256</v>
      </c>
      <c r="H879" t="b">
        <v>1</v>
      </c>
      <c r="I879">
        <v>48.95</v>
      </c>
      <c r="J879" s="186" t="s">
        <v>1252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1293</v>
      </c>
      <c r="B880" t="s">
        <v>1294</v>
      </c>
      <c r="C880" t="s">
        <v>1294</v>
      </c>
      <c r="D880">
        <v>16.850000000000001</v>
      </c>
      <c r="E880" t="s">
        <v>3093</v>
      </c>
      <c r="F880" s="186" t="s">
        <v>1256</v>
      </c>
      <c r="H880" t="b">
        <v>1</v>
      </c>
      <c r="I880">
        <v>16.850000000000001</v>
      </c>
      <c r="J880" s="186" t="s">
        <v>1252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1286</v>
      </c>
      <c r="B881" t="s">
        <v>1287</v>
      </c>
      <c r="C881" t="s">
        <v>1287</v>
      </c>
      <c r="D881">
        <v>35.700000000000003</v>
      </c>
      <c r="E881" t="s">
        <v>3093</v>
      </c>
      <c r="F881" s="186" t="s">
        <v>1256</v>
      </c>
      <c r="H881" t="b">
        <v>1</v>
      </c>
      <c r="I881">
        <v>35.700000000000003</v>
      </c>
      <c r="J881" s="186" t="s">
        <v>1252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1254</v>
      </c>
      <c r="B882" t="s">
        <v>1255</v>
      </c>
      <c r="C882" t="s">
        <v>1255</v>
      </c>
      <c r="D882">
        <v>35.700000000000003</v>
      </c>
      <c r="E882" t="s">
        <v>3093</v>
      </c>
      <c r="F882" s="186" t="s">
        <v>1256</v>
      </c>
      <c r="H882" t="b">
        <v>0</v>
      </c>
      <c r="I882" t="s">
        <v>22</v>
      </c>
      <c r="J882" s="186" t="s">
        <v>1252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1257</v>
      </c>
      <c r="B883" t="s">
        <v>3095</v>
      </c>
      <c r="C883" t="s">
        <v>1258</v>
      </c>
      <c r="D883">
        <v>66.349999999999994</v>
      </c>
      <c r="E883" t="s">
        <v>3093</v>
      </c>
      <c r="F883" s="186" t="s">
        <v>1256</v>
      </c>
      <c r="H883" t="b">
        <v>0</v>
      </c>
      <c r="I883" t="s">
        <v>22</v>
      </c>
      <c r="J883" s="186" t="s">
        <v>1252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1267</v>
      </c>
      <c r="B884" t="s">
        <v>1268</v>
      </c>
      <c r="C884" t="s">
        <v>1268</v>
      </c>
      <c r="D884">
        <v>66.349999999999994</v>
      </c>
      <c r="E884" t="s">
        <v>3093</v>
      </c>
      <c r="F884" s="186" t="s">
        <v>1256</v>
      </c>
      <c r="H884" t="b">
        <v>1</v>
      </c>
      <c r="I884">
        <v>66.350000000000009</v>
      </c>
      <c r="J884" s="186" t="s">
        <v>1252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1259</v>
      </c>
      <c r="B885" t="s">
        <v>3096</v>
      </c>
      <c r="C885" t="s">
        <v>1260</v>
      </c>
      <c r="D885">
        <v>102</v>
      </c>
      <c r="E885" t="s">
        <v>3093</v>
      </c>
      <c r="F885" s="186" t="s">
        <v>1256</v>
      </c>
      <c r="H885" t="b">
        <v>0</v>
      </c>
      <c r="I885" t="s">
        <v>22</v>
      </c>
      <c r="J885" s="186" t="s">
        <v>1252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1283</v>
      </c>
      <c r="B886" t="s">
        <v>1284</v>
      </c>
      <c r="C886" t="s">
        <v>1284</v>
      </c>
      <c r="D886">
        <v>61.1</v>
      </c>
      <c r="E886" t="s">
        <v>3093</v>
      </c>
      <c r="F886" s="186" t="s">
        <v>1256</v>
      </c>
      <c r="H886" t="b">
        <v>1</v>
      </c>
      <c r="I886">
        <v>61.1</v>
      </c>
      <c r="J886" s="186" t="s">
        <v>1252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1263</v>
      </c>
      <c r="B887" t="s">
        <v>1264</v>
      </c>
      <c r="C887" t="s">
        <v>1264</v>
      </c>
      <c r="D887">
        <v>61.1</v>
      </c>
      <c r="E887" t="s">
        <v>3093</v>
      </c>
      <c r="F887" s="186" t="s">
        <v>1256</v>
      </c>
      <c r="H887" t="b">
        <v>0</v>
      </c>
      <c r="I887" t="s">
        <v>22</v>
      </c>
      <c r="J887" s="186" t="s">
        <v>1252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1311</v>
      </c>
      <c r="B888" t="s">
        <v>1312</v>
      </c>
      <c r="C888" t="s">
        <v>1312</v>
      </c>
      <c r="D888">
        <v>88.45</v>
      </c>
      <c r="E888" t="s">
        <v>3093</v>
      </c>
      <c r="F888" s="186" t="s">
        <v>3955</v>
      </c>
      <c r="H888" t="b">
        <v>1</v>
      </c>
      <c r="I888">
        <v>88.45</v>
      </c>
      <c r="J888" s="186" t="s">
        <v>1252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1289</v>
      </c>
      <c r="B889" t="s">
        <v>1290</v>
      </c>
      <c r="C889" t="s">
        <v>1290</v>
      </c>
      <c r="D889">
        <v>104.95</v>
      </c>
      <c r="E889" t="s">
        <v>3093</v>
      </c>
      <c r="F889" s="186" t="s">
        <v>1256</v>
      </c>
      <c r="H889" t="b">
        <v>1</v>
      </c>
      <c r="I889">
        <v>104.95</v>
      </c>
      <c r="J889" s="186" t="s">
        <v>1252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1279</v>
      </c>
      <c r="B890" t="s">
        <v>1280</v>
      </c>
      <c r="C890" t="s">
        <v>1280</v>
      </c>
      <c r="D890">
        <v>48.95</v>
      </c>
      <c r="E890" t="s">
        <v>3093</v>
      </c>
      <c r="F890" s="186" t="s">
        <v>1256</v>
      </c>
      <c r="H890" t="b">
        <v>1</v>
      </c>
      <c r="I890">
        <v>48.95</v>
      </c>
      <c r="J890" s="186" t="s">
        <v>1252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1276</v>
      </c>
      <c r="B891" t="s">
        <v>1277</v>
      </c>
      <c r="C891" t="s">
        <v>1277</v>
      </c>
      <c r="D891">
        <v>222.5</v>
      </c>
      <c r="E891" t="s">
        <v>3093</v>
      </c>
      <c r="F891" s="186" t="s">
        <v>1256</v>
      </c>
      <c r="H891" t="b">
        <v>1</v>
      </c>
      <c r="I891">
        <v>222.5</v>
      </c>
      <c r="J891" s="186" t="s">
        <v>1252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1261</v>
      </c>
      <c r="B892" t="s">
        <v>1262</v>
      </c>
      <c r="C892" t="s">
        <v>1262</v>
      </c>
      <c r="D892">
        <v>133.9</v>
      </c>
      <c r="E892" t="s">
        <v>3093</v>
      </c>
      <c r="F892" s="186" t="s">
        <v>1256</v>
      </c>
      <c r="H892" t="b">
        <v>1</v>
      </c>
      <c r="I892" t="s">
        <v>22</v>
      </c>
      <c r="J892" s="186" t="s">
        <v>1252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1265</v>
      </c>
      <c r="B893" t="s">
        <v>1266</v>
      </c>
      <c r="C893" t="s">
        <v>1266</v>
      </c>
      <c r="D893">
        <v>133.9</v>
      </c>
      <c r="E893" t="s">
        <v>3093</v>
      </c>
      <c r="F893" s="186" t="s">
        <v>1256</v>
      </c>
      <c r="H893" t="b">
        <v>0</v>
      </c>
      <c r="I893" t="s">
        <v>22</v>
      </c>
      <c r="J893" s="186" t="s">
        <v>1252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3055</v>
      </c>
      <c r="B894" t="s">
        <v>3056</v>
      </c>
      <c r="C894" t="s">
        <v>3056</v>
      </c>
      <c r="E894" t="s">
        <v>3098</v>
      </c>
      <c r="F894" s="186" t="s">
        <v>1414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3053</v>
      </c>
      <c r="B895" t="s">
        <v>3054</v>
      </c>
      <c r="C895" t="s">
        <v>3054</v>
      </c>
      <c r="E895" t="s">
        <v>3098</v>
      </c>
      <c r="F895" s="186" t="s">
        <v>1414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3059</v>
      </c>
      <c r="B896" t="s">
        <v>3060</v>
      </c>
      <c r="C896" t="s">
        <v>3060</v>
      </c>
      <c r="E896" t="s">
        <v>3098</v>
      </c>
      <c r="F896" s="186" t="s">
        <v>1414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3047</v>
      </c>
      <c r="B897" t="s">
        <v>3048</v>
      </c>
      <c r="C897" t="s">
        <v>3048</v>
      </c>
      <c r="E897" t="s">
        <v>3098</v>
      </c>
      <c r="F897" s="186" t="s">
        <v>1414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3057</v>
      </c>
      <c r="B898" t="s">
        <v>3099</v>
      </c>
      <c r="C898" t="s">
        <v>3058</v>
      </c>
      <c r="E898" t="s">
        <v>3098</v>
      </c>
      <c r="F898" s="186" t="s">
        <v>1414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3051</v>
      </c>
      <c r="B899" t="s">
        <v>3052</v>
      </c>
      <c r="C899" t="s">
        <v>3052</v>
      </c>
      <c r="E899" t="s">
        <v>3098</v>
      </c>
      <c r="F899" s="186" t="s">
        <v>1414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3061</v>
      </c>
      <c r="B900" t="s">
        <v>3097</v>
      </c>
      <c r="C900" t="s">
        <v>3050</v>
      </c>
      <c r="E900" t="s">
        <v>3098</v>
      </c>
      <c r="F900" s="186" t="s">
        <v>1414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3049</v>
      </c>
      <c r="B901" t="s">
        <v>3956</v>
      </c>
      <c r="C901" t="s">
        <v>3050</v>
      </c>
      <c r="E901" t="s">
        <v>3098</v>
      </c>
      <c r="F901" s="186" t="s">
        <v>1414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1337</v>
      </c>
      <c r="B902" t="s">
        <v>1338</v>
      </c>
      <c r="C902" t="s">
        <v>1338</v>
      </c>
      <c r="D902">
        <v>68.7</v>
      </c>
      <c r="E902" t="s">
        <v>3100</v>
      </c>
      <c r="F902" s="186" t="s">
        <v>1326</v>
      </c>
      <c r="H902" t="b">
        <v>1</v>
      </c>
      <c r="I902">
        <v>68.7</v>
      </c>
      <c r="J902" s="186" t="s">
        <v>1325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1358</v>
      </c>
      <c r="B903" t="s">
        <v>3101</v>
      </c>
      <c r="C903" t="s">
        <v>1359</v>
      </c>
      <c r="D903">
        <v>18.600000000000001</v>
      </c>
      <c r="E903" t="s">
        <v>3100</v>
      </c>
      <c r="F903" s="186" t="s">
        <v>719</v>
      </c>
      <c r="H903" t="b">
        <v>1</v>
      </c>
      <c r="I903">
        <v>18.600000000000001</v>
      </c>
      <c r="J903" s="186" t="s">
        <v>1325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1348</v>
      </c>
      <c r="B904" t="s">
        <v>1349</v>
      </c>
      <c r="C904" t="s">
        <v>1349</v>
      </c>
      <c r="D904">
        <v>68.7</v>
      </c>
      <c r="E904" t="s">
        <v>3100</v>
      </c>
      <c r="F904" s="186" t="s">
        <v>1326</v>
      </c>
      <c r="H904" t="b">
        <v>1</v>
      </c>
      <c r="I904">
        <v>68.7</v>
      </c>
      <c r="J904" s="186" t="s">
        <v>1325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1350</v>
      </c>
      <c r="B905" t="s">
        <v>1351</v>
      </c>
      <c r="C905" t="s">
        <v>1351</v>
      </c>
      <c r="D905">
        <v>78.849999999999994</v>
      </c>
      <c r="E905" t="s">
        <v>3100</v>
      </c>
      <c r="F905" s="186" t="s">
        <v>1326</v>
      </c>
      <c r="H905" t="b">
        <v>1</v>
      </c>
      <c r="I905">
        <v>78.850000000000009</v>
      </c>
      <c r="J905" s="186" t="s">
        <v>1325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1360</v>
      </c>
      <c r="B906" t="s">
        <v>1361</v>
      </c>
      <c r="C906" t="s">
        <v>1361</v>
      </c>
      <c r="D906">
        <v>21.25</v>
      </c>
      <c r="E906" t="s">
        <v>3100</v>
      </c>
      <c r="F906" s="186" t="s">
        <v>719</v>
      </c>
      <c r="H906" t="b">
        <v>1</v>
      </c>
      <c r="I906">
        <v>21.25</v>
      </c>
      <c r="J906" s="186" t="s">
        <v>1325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1342</v>
      </c>
      <c r="B907" t="s">
        <v>1343</v>
      </c>
      <c r="C907" t="s">
        <v>1343</v>
      </c>
      <c r="D907">
        <v>62.25</v>
      </c>
      <c r="E907" t="s">
        <v>3100</v>
      </c>
      <c r="F907" s="186" t="s">
        <v>1326</v>
      </c>
      <c r="H907" t="b">
        <v>1</v>
      </c>
      <c r="I907">
        <v>62.25</v>
      </c>
      <c r="J907" s="186" t="s">
        <v>1325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1346</v>
      </c>
      <c r="B908" t="s">
        <v>1347</v>
      </c>
      <c r="C908" t="s">
        <v>1347</v>
      </c>
      <c r="D908">
        <v>70.45</v>
      </c>
      <c r="E908" t="s">
        <v>3100</v>
      </c>
      <c r="F908" s="186" t="s">
        <v>1326</v>
      </c>
      <c r="H908" t="b">
        <v>1</v>
      </c>
      <c r="I908">
        <v>70.45</v>
      </c>
      <c r="J908" s="186" t="s">
        <v>1325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1352</v>
      </c>
      <c r="B909" t="s">
        <v>1353</v>
      </c>
      <c r="C909" t="s">
        <v>1353</v>
      </c>
      <c r="D909">
        <v>53.05</v>
      </c>
      <c r="E909" t="s">
        <v>3100</v>
      </c>
      <c r="F909" s="186" t="s">
        <v>1326</v>
      </c>
      <c r="H909" t="b">
        <v>1</v>
      </c>
      <c r="I909">
        <v>53.050000000000004</v>
      </c>
      <c r="J909" s="186" t="s">
        <v>1325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1334</v>
      </c>
      <c r="B910" t="s">
        <v>1335</v>
      </c>
      <c r="C910" t="s">
        <v>1335</v>
      </c>
      <c r="D910">
        <v>172.2</v>
      </c>
      <c r="E910" t="s">
        <v>3100</v>
      </c>
      <c r="F910" s="186" t="s">
        <v>1326</v>
      </c>
      <c r="H910" t="b">
        <v>1</v>
      </c>
      <c r="I910">
        <v>172.20000000000002</v>
      </c>
      <c r="J910" s="186" t="s">
        <v>1325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1369</v>
      </c>
      <c r="B911" t="s">
        <v>1370</v>
      </c>
      <c r="C911" t="s">
        <v>1370</v>
      </c>
      <c r="D911">
        <v>107.35</v>
      </c>
      <c r="E911" t="s">
        <v>3100</v>
      </c>
      <c r="F911" s="186" t="s">
        <v>719</v>
      </c>
      <c r="H911" t="b">
        <v>1</v>
      </c>
      <c r="I911">
        <v>107.35000000000001</v>
      </c>
      <c r="J911" s="186" t="s">
        <v>1325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1355</v>
      </c>
      <c r="B912" t="s">
        <v>1356</v>
      </c>
      <c r="C912" t="s">
        <v>1356</v>
      </c>
      <c r="D912">
        <v>98.15</v>
      </c>
      <c r="E912" t="s">
        <v>3100</v>
      </c>
      <c r="F912" s="186" t="s">
        <v>719</v>
      </c>
      <c r="H912" t="b">
        <v>1</v>
      </c>
      <c r="I912">
        <v>98.15</v>
      </c>
      <c r="J912" s="186" t="s">
        <v>1325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1331</v>
      </c>
      <c r="B913" t="s">
        <v>1332</v>
      </c>
      <c r="C913" t="s">
        <v>1332</v>
      </c>
      <c r="D913">
        <v>95.2</v>
      </c>
      <c r="E913" t="s">
        <v>3100</v>
      </c>
      <c r="F913" s="186" t="s">
        <v>1326</v>
      </c>
      <c r="H913" t="b">
        <v>0</v>
      </c>
      <c r="I913">
        <v>95.2</v>
      </c>
      <c r="J913" s="186" t="s">
        <v>1325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1344</v>
      </c>
      <c r="B914" t="s">
        <v>1345</v>
      </c>
      <c r="C914" t="s">
        <v>1345</v>
      </c>
      <c r="D914">
        <v>62.25</v>
      </c>
      <c r="E914" t="s">
        <v>3100</v>
      </c>
      <c r="F914" s="186" t="s">
        <v>1326</v>
      </c>
      <c r="H914" t="b">
        <v>1</v>
      </c>
      <c r="I914">
        <v>62.25</v>
      </c>
      <c r="J914" s="186" t="s">
        <v>1325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1339</v>
      </c>
      <c r="B915" t="s">
        <v>1340</v>
      </c>
      <c r="C915" t="s">
        <v>1340</v>
      </c>
      <c r="D915">
        <v>68.7</v>
      </c>
      <c r="E915" t="s">
        <v>3100</v>
      </c>
      <c r="F915" s="186" t="s">
        <v>1326</v>
      </c>
      <c r="H915" t="b">
        <v>1</v>
      </c>
      <c r="I915">
        <v>68.7</v>
      </c>
      <c r="J915" s="186" t="s">
        <v>1325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1323</v>
      </c>
      <c r="B916" t="s">
        <v>1324</v>
      </c>
      <c r="C916" t="s">
        <v>1324</v>
      </c>
      <c r="D916">
        <v>78.849999999999994</v>
      </c>
      <c r="E916" t="s">
        <v>3100</v>
      </c>
      <c r="F916" s="186" t="s">
        <v>1326</v>
      </c>
      <c r="H916" t="b">
        <v>1</v>
      </c>
      <c r="I916" t="s">
        <v>22</v>
      </c>
      <c r="J916" s="186" t="s">
        <v>1325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1327</v>
      </c>
      <c r="B917" t="s">
        <v>1328</v>
      </c>
      <c r="C917" t="s">
        <v>1328</v>
      </c>
      <c r="D917">
        <v>78.849999999999994</v>
      </c>
      <c r="E917" t="s">
        <v>3100</v>
      </c>
      <c r="F917" s="186" t="s">
        <v>1326</v>
      </c>
      <c r="H917" t="b">
        <v>1</v>
      </c>
      <c r="I917" t="s">
        <v>22</v>
      </c>
      <c r="J917" s="186" t="s">
        <v>1325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1329</v>
      </c>
      <c r="B918" t="s">
        <v>1330</v>
      </c>
      <c r="C918" t="s">
        <v>1330</v>
      </c>
      <c r="D918">
        <v>133.9</v>
      </c>
      <c r="E918" t="s">
        <v>3100</v>
      </c>
      <c r="F918" s="186" t="s">
        <v>1326</v>
      </c>
      <c r="H918" t="b">
        <v>1</v>
      </c>
      <c r="I918" t="s">
        <v>22</v>
      </c>
      <c r="J918" s="186" t="s">
        <v>1325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1584</v>
      </c>
      <c r="B919" t="s">
        <v>1585</v>
      </c>
      <c r="C919" t="s">
        <v>1585</v>
      </c>
      <c r="D919">
        <v>73.45</v>
      </c>
      <c r="E919" t="s">
        <v>3102</v>
      </c>
      <c r="F919" s="186" t="s">
        <v>1456</v>
      </c>
      <c r="H919" t="b">
        <v>1</v>
      </c>
      <c r="I919">
        <v>73.45</v>
      </c>
      <c r="J919" s="186" t="s">
        <v>1377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1403</v>
      </c>
      <c r="B920" t="s">
        <v>1404</v>
      </c>
      <c r="C920" t="s">
        <v>1404</v>
      </c>
      <c r="D920">
        <v>33.049999999999997</v>
      </c>
      <c r="E920" t="s">
        <v>3102</v>
      </c>
      <c r="F920" s="186" t="s">
        <v>1384</v>
      </c>
      <c r="H920" t="b">
        <v>0</v>
      </c>
      <c r="I920" t="s">
        <v>22</v>
      </c>
      <c r="J920" s="186" t="s">
        <v>1377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1539</v>
      </c>
      <c r="B921" t="s">
        <v>1540</v>
      </c>
      <c r="C921" t="s">
        <v>1540</v>
      </c>
      <c r="D921">
        <v>176.6</v>
      </c>
      <c r="E921" t="s">
        <v>3102</v>
      </c>
      <c r="F921" s="186" t="s">
        <v>1384</v>
      </c>
      <c r="H921" t="b">
        <v>1</v>
      </c>
      <c r="I921">
        <v>176.60000000000002</v>
      </c>
      <c r="J921" s="186" t="s">
        <v>1377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1536</v>
      </c>
      <c r="B922" t="s">
        <v>1537</v>
      </c>
      <c r="C922" t="s">
        <v>1537</v>
      </c>
      <c r="D922">
        <v>33.049999999999997</v>
      </c>
      <c r="E922" t="s">
        <v>3102</v>
      </c>
      <c r="F922" s="186" t="s">
        <v>1384</v>
      </c>
      <c r="H922" t="b">
        <v>1</v>
      </c>
      <c r="I922">
        <v>33.050000000000004</v>
      </c>
      <c r="J922" s="186" t="s">
        <v>1377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1621</v>
      </c>
      <c r="B923" t="s">
        <v>1622</v>
      </c>
      <c r="C923" t="s">
        <v>1622</v>
      </c>
      <c r="D923">
        <v>72.849999999999994</v>
      </c>
      <c r="E923" t="s">
        <v>3102</v>
      </c>
      <c r="F923" s="186" t="s">
        <v>1456</v>
      </c>
      <c r="H923" t="b">
        <v>1</v>
      </c>
      <c r="I923">
        <v>72.850000000000009</v>
      </c>
      <c r="J923" s="186" t="s">
        <v>1377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1409</v>
      </c>
      <c r="B924" t="s">
        <v>3104</v>
      </c>
      <c r="C924" t="s">
        <v>1410</v>
      </c>
      <c r="D924">
        <v>31.9</v>
      </c>
      <c r="E924" t="s">
        <v>3102</v>
      </c>
      <c r="F924" s="186" t="s">
        <v>1384</v>
      </c>
      <c r="H924" t="b">
        <v>0</v>
      </c>
      <c r="I924">
        <v>31.900000000000002</v>
      </c>
      <c r="J924" s="186" t="s">
        <v>1377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1382</v>
      </c>
      <c r="B925" t="s">
        <v>3105</v>
      </c>
      <c r="C925" t="s">
        <v>1383</v>
      </c>
      <c r="D925">
        <v>44.55</v>
      </c>
      <c r="E925" t="s">
        <v>3102</v>
      </c>
      <c r="F925" s="186" t="s">
        <v>1384</v>
      </c>
      <c r="H925" t="b">
        <v>0</v>
      </c>
      <c r="I925" t="s">
        <v>22</v>
      </c>
      <c r="J925" s="186" t="s">
        <v>1377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1385</v>
      </c>
      <c r="B926" t="s">
        <v>3106</v>
      </c>
      <c r="C926" t="s">
        <v>1386</v>
      </c>
      <c r="D926">
        <v>57.2</v>
      </c>
      <c r="E926" t="s">
        <v>3102</v>
      </c>
      <c r="F926" s="186" t="s">
        <v>1384</v>
      </c>
      <c r="H926" t="b">
        <v>0</v>
      </c>
      <c r="I926" t="s">
        <v>22</v>
      </c>
      <c r="J926" s="186" t="s">
        <v>1377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1387</v>
      </c>
      <c r="B927" t="s">
        <v>3103</v>
      </c>
      <c r="C927" t="s">
        <v>1388</v>
      </c>
      <c r="D927">
        <v>69.599999999999994</v>
      </c>
      <c r="E927" t="s">
        <v>3102</v>
      </c>
      <c r="F927" s="186" t="s">
        <v>1384</v>
      </c>
      <c r="H927" t="b">
        <v>0</v>
      </c>
      <c r="I927" t="s">
        <v>22</v>
      </c>
      <c r="J927" s="186" t="s">
        <v>1377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1463</v>
      </c>
      <c r="B928" t="s">
        <v>3108</v>
      </c>
      <c r="C928" t="s">
        <v>1464</v>
      </c>
      <c r="D928">
        <v>45.1</v>
      </c>
      <c r="E928" t="s">
        <v>3102</v>
      </c>
      <c r="F928" s="186" t="s">
        <v>1384</v>
      </c>
      <c r="H928" t="b">
        <v>1</v>
      </c>
      <c r="I928">
        <v>45.1</v>
      </c>
      <c r="J928" s="186" t="s">
        <v>1377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1391</v>
      </c>
      <c r="B929" t="s">
        <v>3109</v>
      </c>
      <c r="C929" t="s">
        <v>1392</v>
      </c>
      <c r="D929">
        <v>57.8</v>
      </c>
      <c r="E929" t="s">
        <v>3102</v>
      </c>
      <c r="F929" s="186" t="s">
        <v>1384</v>
      </c>
      <c r="H929" t="b">
        <v>0</v>
      </c>
      <c r="I929" t="s">
        <v>22</v>
      </c>
      <c r="J929" s="186" t="s">
        <v>1377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1393</v>
      </c>
      <c r="B930" t="s">
        <v>3110</v>
      </c>
      <c r="C930" t="s">
        <v>1394</v>
      </c>
      <c r="D930">
        <v>70.45</v>
      </c>
      <c r="E930" t="s">
        <v>3102</v>
      </c>
      <c r="F930" s="186" t="s">
        <v>1384</v>
      </c>
      <c r="H930" t="b">
        <v>0</v>
      </c>
      <c r="I930" t="s">
        <v>22</v>
      </c>
      <c r="J930" s="186" t="s">
        <v>1377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1395</v>
      </c>
      <c r="B931" t="s">
        <v>3107</v>
      </c>
      <c r="C931" t="s">
        <v>1396</v>
      </c>
      <c r="D931">
        <v>82.85</v>
      </c>
      <c r="E931" t="s">
        <v>3102</v>
      </c>
      <c r="F931" s="186" t="s">
        <v>1384</v>
      </c>
      <c r="H931" t="b">
        <v>0</v>
      </c>
      <c r="I931" t="s">
        <v>22</v>
      </c>
      <c r="J931" s="186" t="s">
        <v>1377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1397</v>
      </c>
      <c r="B932" t="s">
        <v>3111</v>
      </c>
      <c r="C932" t="s">
        <v>1398</v>
      </c>
      <c r="D932">
        <v>66.95</v>
      </c>
      <c r="E932" t="s">
        <v>3102</v>
      </c>
      <c r="F932" s="186" t="s">
        <v>1384</v>
      </c>
      <c r="H932" t="b">
        <v>0</v>
      </c>
      <c r="I932" t="s">
        <v>22</v>
      </c>
      <c r="J932" s="186" t="s">
        <v>1377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1568</v>
      </c>
      <c r="B933" t="s">
        <v>1569</v>
      </c>
      <c r="C933" t="s">
        <v>1569</v>
      </c>
      <c r="D933">
        <v>17.399999999999999</v>
      </c>
      <c r="E933" t="s">
        <v>3102</v>
      </c>
      <c r="F933" s="186" t="s">
        <v>1384</v>
      </c>
      <c r="H933" t="b">
        <v>1</v>
      </c>
      <c r="I933">
        <v>17.400000000000002</v>
      </c>
      <c r="J933" s="186" t="s">
        <v>1377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1501</v>
      </c>
      <c r="B934" t="s">
        <v>1502</v>
      </c>
      <c r="C934" t="s">
        <v>1502</v>
      </c>
      <c r="D934">
        <v>146.25</v>
      </c>
      <c r="E934" t="s">
        <v>3102</v>
      </c>
      <c r="F934" s="186" t="s">
        <v>1384</v>
      </c>
      <c r="H934" t="b">
        <v>1</v>
      </c>
      <c r="I934">
        <v>146.25</v>
      </c>
      <c r="J934" s="186" t="s">
        <v>1377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1505</v>
      </c>
      <c r="B935" t="s">
        <v>1506</v>
      </c>
      <c r="C935" t="s">
        <v>1506</v>
      </c>
      <c r="D935">
        <v>166.5</v>
      </c>
      <c r="E935" t="s">
        <v>3102</v>
      </c>
      <c r="F935" s="186" t="s">
        <v>1384</v>
      </c>
      <c r="H935" t="b">
        <v>1</v>
      </c>
      <c r="I935">
        <v>166.5</v>
      </c>
      <c r="J935" s="186" t="s">
        <v>1377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1488</v>
      </c>
      <c r="B936" t="s">
        <v>1489</v>
      </c>
      <c r="C936" t="s">
        <v>1489</v>
      </c>
      <c r="D936">
        <v>28.95</v>
      </c>
      <c r="E936" t="s">
        <v>3102</v>
      </c>
      <c r="F936" s="186" t="s">
        <v>1384</v>
      </c>
      <c r="H936" t="b">
        <v>1</v>
      </c>
      <c r="I936">
        <v>28.950000000000003</v>
      </c>
      <c r="J936" s="186" t="s">
        <v>1377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1544</v>
      </c>
      <c r="B937" t="s">
        <v>1545</v>
      </c>
      <c r="C937" t="s">
        <v>1545</v>
      </c>
      <c r="D937">
        <v>226.45</v>
      </c>
      <c r="E937" t="s">
        <v>3102</v>
      </c>
      <c r="F937" s="186" t="s">
        <v>1384</v>
      </c>
      <c r="H937" t="b">
        <v>1</v>
      </c>
      <c r="I937">
        <v>226.45000000000002</v>
      </c>
      <c r="J937" s="186" t="s">
        <v>1377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1615</v>
      </c>
      <c r="B938" t="s">
        <v>1616</v>
      </c>
      <c r="C938" t="s">
        <v>1616</v>
      </c>
      <c r="D938">
        <v>46.4</v>
      </c>
      <c r="E938" t="s">
        <v>3102</v>
      </c>
      <c r="F938" s="186" t="s">
        <v>1456</v>
      </c>
      <c r="H938" t="b">
        <v>1</v>
      </c>
      <c r="I938">
        <v>46.400000000000006</v>
      </c>
      <c r="J938" s="186" t="s">
        <v>1377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1598</v>
      </c>
      <c r="B939" t="s">
        <v>1599</v>
      </c>
      <c r="C939" t="s">
        <v>1599</v>
      </c>
      <c r="D939">
        <v>33.65</v>
      </c>
      <c r="E939" t="s">
        <v>3102</v>
      </c>
      <c r="F939" s="186" t="s">
        <v>1456</v>
      </c>
      <c r="H939" t="b">
        <v>1</v>
      </c>
      <c r="I939">
        <v>33.65</v>
      </c>
      <c r="J939" s="186" t="s">
        <v>1377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1581</v>
      </c>
      <c r="B940" t="s">
        <v>1582</v>
      </c>
      <c r="C940" t="s">
        <v>1582</v>
      </c>
      <c r="D940">
        <v>51.65</v>
      </c>
      <c r="E940" t="s">
        <v>3102</v>
      </c>
      <c r="F940" s="186" t="s">
        <v>1456</v>
      </c>
      <c r="H940" t="b">
        <v>1</v>
      </c>
      <c r="I940">
        <v>51.650000000000006</v>
      </c>
      <c r="J940" s="186" t="s">
        <v>1377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1586</v>
      </c>
      <c r="B941" t="s">
        <v>1587</v>
      </c>
      <c r="C941" t="s">
        <v>1587</v>
      </c>
      <c r="D941">
        <v>64.849999999999994</v>
      </c>
      <c r="E941" t="s">
        <v>3102</v>
      </c>
      <c r="F941" s="186" t="s">
        <v>1456</v>
      </c>
      <c r="H941" t="b">
        <v>1</v>
      </c>
      <c r="I941">
        <v>64.850000000000009</v>
      </c>
      <c r="J941" s="186" t="s">
        <v>1377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1593</v>
      </c>
      <c r="B942" t="s">
        <v>1594</v>
      </c>
      <c r="C942" t="s">
        <v>1594</v>
      </c>
      <c r="D942">
        <v>125.75</v>
      </c>
      <c r="E942" t="s">
        <v>3102</v>
      </c>
      <c r="F942" s="186" t="s">
        <v>1456</v>
      </c>
      <c r="H942" t="b">
        <v>1</v>
      </c>
      <c r="I942">
        <v>125.75</v>
      </c>
      <c r="J942" s="186" t="s">
        <v>1377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1578</v>
      </c>
      <c r="B943" t="s">
        <v>1579</v>
      </c>
      <c r="C943" t="s">
        <v>1579</v>
      </c>
      <c r="D943">
        <v>28.95</v>
      </c>
      <c r="E943" t="s">
        <v>3102</v>
      </c>
      <c r="F943" s="186" t="s">
        <v>1456</v>
      </c>
      <c r="H943" t="b">
        <v>1</v>
      </c>
      <c r="I943">
        <v>28.950000000000003</v>
      </c>
      <c r="J943" s="186" t="s">
        <v>1377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1533</v>
      </c>
      <c r="B944" t="s">
        <v>3114</v>
      </c>
      <c r="C944" t="s">
        <v>1534</v>
      </c>
      <c r="D944">
        <v>136.65</v>
      </c>
      <c r="E944" t="s">
        <v>3102</v>
      </c>
      <c r="F944" s="186" t="s">
        <v>1384</v>
      </c>
      <c r="H944" t="b">
        <v>1</v>
      </c>
      <c r="I944">
        <v>136.65</v>
      </c>
      <c r="J944" s="186" t="s">
        <v>1377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1486</v>
      </c>
      <c r="B945" t="s">
        <v>1487</v>
      </c>
      <c r="C945" t="s">
        <v>1487</v>
      </c>
      <c r="D945">
        <v>74</v>
      </c>
      <c r="E945" t="s">
        <v>3102</v>
      </c>
      <c r="F945" s="186" t="s">
        <v>1384</v>
      </c>
      <c r="H945" t="b">
        <v>1</v>
      </c>
      <c r="I945">
        <v>74</v>
      </c>
      <c r="J945" s="186" t="s">
        <v>1377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1606</v>
      </c>
      <c r="B946" t="s">
        <v>1607</v>
      </c>
      <c r="C946" t="s">
        <v>1607</v>
      </c>
      <c r="D946">
        <v>22.4</v>
      </c>
      <c r="E946" t="s">
        <v>3102</v>
      </c>
      <c r="F946" s="186" t="s">
        <v>1456</v>
      </c>
      <c r="H946" t="b">
        <v>1</v>
      </c>
      <c r="I946">
        <v>22.400000000000002</v>
      </c>
      <c r="J946" s="186" t="s">
        <v>1377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1613</v>
      </c>
      <c r="B947" t="s">
        <v>1614</v>
      </c>
      <c r="C947" t="s">
        <v>1614</v>
      </c>
      <c r="D947">
        <v>43.95</v>
      </c>
      <c r="E947" t="s">
        <v>3102</v>
      </c>
      <c r="F947" s="186" t="s">
        <v>1456</v>
      </c>
      <c r="H947" t="b">
        <v>1</v>
      </c>
      <c r="I947">
        <v>43.95</v>
      </c>
      <c r="J947" s="186" t="s">
        <v>1377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1574</v>
      </c>
      <c r="B948" t="s">
        <v>1575</v>
      </c>
      <c r="C948" t="s">
        <v>1575</v>
      </c>
      <c r="D948">
        <v>41</v>
      </c>
      <c r="E948" t="s">
        <v>3102</v>
      </c>
      <c r="F948" s="186" t="s">
        <v>1384</v>
      </c>
      <c r="H948" t="b">
        <v>1</v>
      </c>
      <c r="I948">
        <v>41</v>
      </c>
      <c r="J948" s="186" t="s">
        <v>1377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1467</v>
      </c>
      <c r="B949" t="s">
        <v>3957</v>
      </c>
      <c r="C949" t="s">
        <v>1468</v>
      </c>
      <c r="D949">
        <v>54.3</v>
      </c>
      <c r="E949" t="s">
        <v>3102</v>
      </c>
      <c r="F949" s="186" t="s">
        <v>1384</v>
      </c>
      <c r="H949" t="b">
        <v>1</v>
      </c>
      <c r="I949">
        <v>54.300000000000004</v>
      </c>
      <c r="J949" s="186" t="s">
        <v>1377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1457</v>
      </c>
      <c r="B950" t="s">
        <v>1458</v>
      </c>
      <c r="C950" t="s">
        <v>1458</v>
      </c>
      <c r="D950">
        <v>51.65</v>
      </c>
      <c r="E950" t="s">
        <v>3102</v>
      </c>
      <c r="F950" s="186" t="s">
        <v>1456</v>
      </c>
      <c r="H950" t="b">
        <v>1</v>
      </c>
      <c r="I950" t="s">
        <v>22</v>
      </c>
      <c r="J950" s="186" t="s">
        <v>1377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1589</v>
      </c>
      <c r="B951" t="s">
        <v>1590</v>
      </c>
      <c r="C951" t="s">
        <v>1590</v>
      </c>
      <c r="D951">
        <v>74.650000000000006</v>
      </c>
      <c r="E951" t="s">
        <v>3102</v>
      </c>
      <c r="F951" s="186" t="s">
        <v>1456</v>
      </c>
      <c r="H951" t="b">
        <v>1</v>
      </c>
      <c r="I951">
        <v>74.650000000000006</v>
      </c>
      <c r="J951" s="186" t="s">
        <v>1377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1461</v>
      </c>
      <c r="B952" t="s">
        <v>1462</v>
      </c>
      <c r="C952" t="s">
        <v>1462</v>
      </c>
      <c r="D952">
        <v>74.95</v>
      </c>
      <c r="E952" t="s">
        <v>3102</v>
      </c>
      <c r="F952" s="186" t="s">
        <v>1456</v>
      </c>
      <c r="H952" t="b">
        <v>1</v>
      </c>
      <c r="I952" t="s">
        <v>22</v>
      </c>
      <c r="J952" s="186" t="s">
        <v>1377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1637</v>
      </c>
      <c r="B953" t="s">
        <v>1638</v>
      </c>
      <c r="C953" t="s">
        <v>1638</v>
      </c>
      <c r="D953">
        <v>53.05</v>
      </c>
      <c r="E953" t="s">
        <v>3102</v>
      </c>
      <c r="F953" s="186" t="s">
        <v>1456</v>
      </c>
      <c r="H953" t="b">
        <v>1</v>
      </c>
      <c r="I953">
        <v>53.050000000000004</v>
      </c>
      <c r="J953" s="186" t="s">
        <v>1377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1528</v>
      </c>
      <c r="B954" t="s">
        <v>1529</v>
      </c>
      <c r="C954" t="s">
        <v>1529</v>
      </c>
      <c r="D954">
        <v>135.05000000000001</v>
      </c>
      <c r="E954" t="s">
        <v>3102</v>
      </c>
      <c r="F954" s="186" t="s">
        <v>1384</v>
      </c>
      <c r="H954" t="b">
        <v>1</v>
      </c>
      <c r="I954">
        <v>135.05000000000001</v>
      </c>
      <c r="J954" s="186" t="s">
        <v>1377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1562</v>
      </c>
      <c r="B955" t="s">
        <v>1563</v>
      </c>
      <c r="C955" t="s">
        <v>1563</v>
      </c>
      <c r="D955">
        <v>82</v>
      </c>
      <c r="E955" t="s">
        <v>3102</v>
      </c>
      <c r="F955" s="186" t="s">
        <v>1384</v>
      </c>
      <c r="H955" t="b">
        <v>1</v>
      </c>
      <c r="I955">
        <v>82</v>
      </c>
      <c r="J955" s="186" t="s">
        <v>1377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1608</v>
      </c>
      <c r="B956" t="s">
        <v>1609</v>
      </c>
      <c r="C956" t="s">
        <v>1609</v>
      </c>
      <c r="D956">
        <v>30.7</v>
      </c>
      <c r="E956" t="s">
        <v>3102</v>
      </c>
      <c r="F956" s="186" t="s">
        <v>1456</v>
      </c>
      <c r="H956" t="b">
        <v>1</v>
      </c>
      <c r="I956">
        <v>30.700000000000003</v>
      </c>
      <c r="J956" s="186" t="s">
        <v>1377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1399</v>
      </c>
      <c r="B957" t="s">
        <v>1400</v>
      </c>
      <c r="C957" t="s">
        <v>1400</v>
      </c>
      <c r="D957">
        <v>83.75</v>
      </c>
      <c r="E957" t="s">
        <v>3102</v>
      </c>
      <c r="F957" s="186" t="s">
        <v>1384</v>
      </c>
      <c r="H957" t="b">
        <v>1</v>
      </c>
      <c r="I957" t="s">
        <v>22</v>
      </c>
      <c r="J957" s="186" t="s">
        <v>1377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1401</v>
      </c>
      <c r="B958" t="s">
        <v>1402</v>
      </c>
      <c r="C958" t="s">
        <v>1402</v>
      </c>
      <c r="D958">
        <v>123.55</v>
      </c>
      <c r="E958" t="s">
        <v>3102</v>
      </c>
      <c r="F958" s="186" t="s">
        <v>1384</v>
      </c>
      <c r="H958" t="b">
        <v>1</v>
      </c>
      <c r="I958" t="s">
        <v>22</v>
      </c>
      <c r="J958" s="186" t="s">
        <v>1377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1565</v>
      </c>
      <c r="B959" t="s">
        <v>1566</v>
      </c>
      <c r="C959" t="s">
        <v>1566</v>
      </c>
      <c r="D959">
        <v>73.7</v>
      </c>
      <c r="E959" t="s">
        <v>3102</v>
      </c>
      <c r="F959" s="186" t="s">
        <v>1384</v>
      </c>
      <c r="H959" t="b">
        <v>1</v>
      </c>
      <c r="I959">
        <v>73.7</v>
      </c>
      <c r="J959" s="186" t="s">
        <v>1377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1572</v>
      </c>
      <c r="B960" t="s">
        <v>1573</v>
      </c>
      <c r="C960" t="s">
        <v>1573</v>
      </c>
      <c r="D960">
        <v>25.35</v>
      </c>
      <c r="E960" t="s">
        <v>3102</v>
      </c>
      <c r="F960" s="186" t="s">
        <v>1384</v>
      </c>
      <c r="H960" t="b">
        <v>1</v>
      </c>
      <c r="I960">
        <v>25.35</v>
      </c>
      <c r="J960" s="186" t="s">
        <v>1377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1470</v>
      </c>
      <c r="B961" t="s">
        <v>1471</v>
      </c>
      <c r="C961" t="s">
        <v>1471</v>
      </c>
      <c r="D961">
        <v>27.75</v>
      </c>
      <c r="E961" t="s">
        <v>3102</v>
      </c>
      <c r="F961" s="186" t="s">
        <v>1384</v>
      </c>
      <c r="H961" t="b">
        <v>1</v>
      </c>
      <c r="I961">
        <v>27.75</v>
      </c>
      <c r="J961" s="186" t="s">
        <v>1377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1520</v>
      </c>
      <c r="B962" t="s">
        <v>1521</v>
      </c>
      <c r="C962" t="s">
        <v>1521</v>
      </c>
      <c r="D962">
        <v>106.15</v>
      </c>
      <c r="E962" t="s">
        <v>3102</v>
      </c>
      <c r="F962" s="186" t="s">
        <v>1384</v>
      </c>
      <c r="H962" t="b">
        <v>1</v>
      </c>
      <c r="I962">
        <v>106.15</v>
      </c>
      <c r="J962" s="186" t="s">
        <v>1377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1389</v>
      </c>
      <c r="B963" t="s">
        <v>1390</v>
      </c>
      <c r="C963" t="s">
        <v>1390</v>
      </c>
      <c r="D963">
        <v>88.45</v>
      </c>
      <c r="E963" t="s">
        <v>3102</v>
      </c>
      <c r="F963" s="186" t="s">
        <v>1384</v>
      </c>
      <c r="H963" t="b">
        <v>1</v>
      </c>
      <c r="I963" t="s">
        <v>22</v>
      </c>
      <c r="J963" s="186" t="s">
        <v>1377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1517</v>
      </c>
      <c r="B964" t="s">
        <v>1518</v>
      </c>
      <c r="C964" t="s">
        <v>1518</v>
      </c>
      <c r="D964">
        <v>25.35</v>
      </c>
      <c r="E964" t="s">
        <v>3102</v>
      </c>
      <c r="F964" s="186" t="s">
        <v>1384</v>
      </c>
      <c r="H964" t="b">
        <v>1</v>
      </c>
      <c r="I964">
        <v>25.35</v>
      </c>
      <c r="J964" s="186" t="s">
        <v>1377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1524</v>
      </c>
      <c r="B965" t="s">
        <v>1525</v>
      </c>
      <c r="C965" t="s">
        <v>1525</v>
      </c>
      <c r="D965">
        <v>32.75</v>
      </c>
      <c r="E965" t="s">
        <v>3102</v>
      </c>
      <c r="F965" s="186" t="s">
        <v>1384</v>
      </c>
      <c r="H965" t="b">
        <v>1</v>
      </c>
      <c r="I965">
        <v>32.75</v>
      </c>
      <c r="J965" s="186" t="s">
        <v>1377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1632</v>
      </c>
      <c r="B966" t="s">
        <v>1633</v>
      </c>
      <c r="C966" t="s">
        <v>1633</v>
      </c>
      <c r="D966">
        <v>113.5</v>
      </c>
      <c r="E966" t="s">
        <v>3102</v>
      </c>
      <c r="F966" s="186" t="s">
        <v>1456</v>
      </c>
      <c r="H966" t="b">
        <v>1</v>
      </c>
      <c r="I966">
        <v>113.5</v>
      </c>
      <c r="J966" s="186" t="s">
        <v>1377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1624</v>
      </c>
      <c r="B967" t="s">
        <v>1625</v>
      </c>
      <c r="C967" t="s">
        <v>1625</v>
      </c>
      <c r="D967">
        <v>69.599999999999994</v>
      </c>
      <c r="E967" t="s">
        <v>3102</v>
      </c>
      <c r="F967" s="186" t="s">
        <v>1456</v>
      </c>
      <c r="H967" t="b">
        <v>1</v>
      </c>
      <c r="I967">
        <v>69.600000000000009</v>
      </c>
      <c r="J967" s="186" t="s">
        <v>1377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1508</v>
      </c>
      <c r="B968" t="s">
        <v>1509</v>
      </c>
      <c r="C968" t="s">
        <v>1509</v>
      </c>
      <c r="D968">
        <v>172.05</v>
      </c>
      <c r="E968" t="s">
        <v>3102</v>
      </c>
      <c r="F968" s="186" t="s">
        <v>1384</v>
      </c>
      <c r="H968" t="b">
        <v>1</v>
      </c>
      <c r="I968">
        <v>172.05</v>
      </c>
      <c r="J968" s="186" t="s">
        <v>1377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1511</v>
      </c>
      <c r="B969" t="s">
        <v>1512</v>
      </c>
      <c r="C969" t="s">
        <v>1512</v>
      </c>
      <c r="D969">
        <v>177.35</v>
      </c>
      <c r="E969" t="s">
        <v>3102</v>
      </c>
      <c r="F969" s="186" t="s">
        <v>1384</v>
      </c>
      <c r="H969" t="b">
        <v>1</v>
      </c>
      <c r="I969">
        <v>177.35000000000002</v>
      </c>
      <c r="J969" s="186" t="s">
        <v>1377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1459</v>
      </c>
      <c r="B970" t="s">
        <v>1460</v>
      </c>
      <c r="C970" t="s">
        <v>1460</v>
      </c>
      <c r="D970">
        <v>28.95</v>
      </c>
      <c r="E970" t="s">
        <v>3102</v>
      </c>
      <c r="F970" s="186" t="s">
        <v>1456</v>
      </c>
      <c r="H970" t="b">
        <v>1</v>
      </c>
      <c r="I970" t="s">
        <v>22</v>
      </c>
      <c r="J970" s="186" t="s">
        <v>1377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1542</v>
      </c>
      <c r="B971" t="s">
        <v>1543</v>
      </c>
      <c r="C971" t="s">
        <v>1543</v>
      </c>
      <c r="D971">
        <v>189.25</v>
      </c>
      <c r="E971" t="s">
        <v>3102</v>
      </c>
      <c r="F971" s="186" t="s">
        <v>1384</v>
      </c>
      <c r="H971" t="b">
        <v>1</v>
      </c>
      <c r="I971">
        <v>189.25</v>
      </c>
      <c r="J971" s="186" t="s">
        <v>1377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1630</v>
      </c>
      <c r="B972" t="s">
        <v>1631</v>
      </c>
      <c r="C972" t="s">
        <v>1631</v>
      </c>
      <c r="D972">
        <v>25.35</v>
      </c>
      <c r="E972" t="s">
        <v>3102</v>
      </c>
      <c r="F972" s="186" t="s">
        <v>1456</v>
      </c>
      <c r="H972" t="b">
        <v>1</v>
      </c>
      <c r="I972">
        <v>25.35</v>
      </c>
      <c r="J972" s="186" t="s">
        <v>1377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1407</v>
      </c>
      <c r="B973" t="s">
        <v>1408</v>
      </c>
      <c r="C973" t="s">
        <v>1408</v>
      </c>
      <c r="D973">
        <v>224.05</v>
      </c>
      <c r="E973" t="s">
        <v>3102</v>
      </c>
      <c r="F973" s="186" t="s">
        <v>1384</v>
      </c>
      <c r="H973" t="b">
        <v>1</v>
      </c>
      <c r="I973" t="s">
        <v>22</v>
      </c>
      <c r="J973" s="186" t="s">
        <v>1377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1405</v>
      </c>
      <c r="B974" t="s">
        <v>1406</v>
      </c>
      <c r="C974" t="s">
        <v>1406</v>
      </c>
      <c r="D974">
        <v>39.549999999999997</v>
      </c>
      <c r="E974" t="s">
        <v>3102</v>
      </c>
      <c r="F974" s="186" t="s">
        <v>1384</v>
      </c>
      <c r="H974" t="b">
        <v>1</v>
      </c>
      <c r="I974" t="s">
        <v>22</v>
      </c>
      <c r="J974" s="186" t="s">
        <v>1377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1454</v>
      </c>
      <c r="B975" t="s">
        <v>1455</v>
      </c>
      <c r="C975" t="s">
        <v>1455</v>
      </c>
      <c r="D975">
        <v>33.65</v>
      </c>
      <c r="E975" t="s">
        <v>3102</v>
      </c>
      <c r="F975" s="186" t="s">
        <v>1456</v>
      </c>
      <c r="H975" t="b">
        <v>1</v>
      </c>
      <c r="I975" t="s">
        <v>22</v>
      </c>
      <c r="J975" s="186" t="s">
        <v>1377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1600</v>
      </c>
      <c r="B976" t="s">
        <v>1601</v>
      </c>
      <c r="C976" t="s">
        <v>1601</v>
      </c>
      <c r="D976">
        <v>33.65</v>
      </c>
      <c r="E976" t="s">
        <v>3102</v>
      </c>
      <c r="F976" s="186" t="s">
        <v>1456</v>
      </c>
      <c r="H976" t="b">
        <v>1</v>
      </c>
      <c r="I976">
        <v>33.65</v>
      </c>
      <c r="J976" s="186" t="s">
        <v>1377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1618</v>
      </c>
      <c r="B977" t="s">
        <v>1619</v>
      </c>
      <c r="C977" t="s">
        <v>1619</v>
      </c>
      <c r="D977">
        <v>46.4</v>
      </c>
      <c r="E977" t="s">
        <v>3102</v>
      </c>
      <c r="F977" s="186" t="s">
        <v>1456</v>
      </c>
      <c r="H977" t="b">
        <v>1</v>
      </c>
      <c r="I977">
        <v>46.400000000000006</v>
      </c>
      <c r="J977" s="186" t="s">
        <v>1377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1602</v>
      </c>
      <c r="B978" t="s">
        <v>1603</v>
      </c>
      <c r="C978" t="s">
        <v>1603</v>
      </c>
      <c r="D978">
        <v>41.1</v>
      </c>
      <c r="E978" t="s">
        <v>3102</v>
      </c>
      <c r="F978" s="186" t="s">
        <v>1456</v>
      </c>
      <c r="H978" t="b">
        <v>1</v>
      </c>
      <c r="I978">
        <v>41.1</v>
      </c>
      <c r="J978" s="186" t="s">
        <v>1377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1591</v>
      </c>
      <c r="B979" t="s">
        <v>1592</v>
      </c>
      <c r="C979" t="s">
        <v>1592</v>
      </c>
      <c r="D979">
        <v>80.900000000000006</v>
      </c>
      <c r="E979" t="s">
        <v>3102</v>
      </c>
      <c r="F979" s="186" t="s">
        <v>1456</v>
      </c>
      <c r="H979" t="b">
        <v>1</v>
      </c>
      <c r="I979">
        <v>80.900000000000006</v>
      </c>
      <c r="J979" s="186" t="s">
        <v>1377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1423</v>
      </c>
      <c r="B980" t="s">
        <v>3113</v>
      </c>
      <c r="C980" t="s">
        <v>1424</v>
      </c>
      <c r="D980">
        <v>360</v>
      </c>
      <c r="E980" t="s">
        <v>3102</v>
      </c>
      <c r="F980" s="186" t="s">
        <v>1414</v>
      </c>
      <c r="H980" t="b">
        <v>0</v>
      </c>
      <c r="I980" t="s">
        <v>22</v>
      </c>
      <c r="J980" s="186" t="s">
        <v>1377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1531</v>
      </c>
      <c r="B981" t="s">
        <v>1532</v>
      </c>
      <c r="C981" t="s">
        <v>1532</v>
      </c>
      <c r="D981">
        <v>68.95</v>
      </c>
      <c r="E981" t="s">
        <v>3102</v>
      </c>
      <c r="F981" s="186" t="s">
        <v>1456</v>
      </c>
      <c r="H981" t="b">
        <v>1</v>
      </c>
      <c r="I981">
        <v>68.95</v>
      </c>
      <c r="J981" s="186" t="s">
        <v>1377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1522</v>
      </c>
      <c r="B982" t="s">
        <v>1523</v>
      </c>
      <c r="C982" t="s">
        <v>1523</v>
      </c>
      <c r="D982">
        <v>111.45</v>
      </c>
      <c r="E982" t="s">
        <v>3102</v>
      </c>
      <c r="F982" s="186" t="s">
        <v>1414</v>
      </c>
      <c r="H982" t="b">
        <v>1</v>
      </c>
      <c r="I982">
        <v>111.45</v>
      </c>
      <c r="J982" s="186" t="s">
        <v>1377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1576</v>
      </c>
      <c r="B983" t="s">
        <v>1577</v>
      </c>
      <c r="C983" t="s">
        <v>1577</v>
      </c>
      <c r="D983">
        <v>113.3</v>
      </c>
      <c r="E983" t="s">
        <v>3102</v>
      </c>
      <c r="F983" s="186" t="s">
        <v>1414</v>
      </c>
      <c r="H983" t="b">
        <v>1</v>
      </c>
      <c r="I983">
        <v>113.30000000000001</v>
      </c>
      <c r="J983" s="186" t="s">
        <v>1377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1628</v>
      </c>
      <c r="B984" t="s">
        <v>1629</v>
      </c>
      <c r="C984" t="s">
        <v>1629</v>
      </c>
      <c r="D984">
        <v>30.7</v>
      </c>
      <c r="E984" t="s">
        <v>3102</v>
      </c>
      <c r="F984" s="186" t="s">
        <v>1414</v>
      </c>
      <c r="H984" t="b">
        <v>1</v>
      </c>
      <c r="I984">
        <v>30.700000000000003</v>
      </c>
      <c r="J984" s="186" t="s">
        <v>1377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1596</v>
      </c>
      <c r="B985" t="s">
        <v>1416</v>
      </c>
      <c r="C985" t="s">
        <v>1416</v>
      </c>
      <c r="D985">
        <v>229.95</v>
      </c>
      <c r="E985" t="s">
        <v>3102</v>
      </c>
      <c r="F985" s="186" t="s">
        <v>1456</v>
      </c>
      <c r="H985" t="b">
        <v>1</v>
      </c>
      <c r="I985">
        <v>229.95000000000002</v>
      </c>
      <c r="J985" s="186" t="s">
        <v>1377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1604</v>
      </c>
      <c r="B986" t="s">
        <v>1605</v>
      </c>
      <c r="C986" t="s">
        <v>1605</v>
      </c>
      <c r="D986">
        <v>41.1</v>
      </c>
      <c r="E986" t="s">
        <v>3102</v>
      </c>
      <c r="F986" s="186" t="s">
        <v>1456</v>
      </c>
      <c r="H986" t="b">
        <v>1</v>
      </c>
      <c r="I986">
        <v>41.1</v>
      </c>
      <c r="J986" s="186" t="s">
        <v>1377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1423</v>
      </c>
      <c r="B987" t="s">
        <v>3113</v>
      </c>
      <c r="C987" t="s">
        <v>1425</v>
      </c>
      <c r="D987">
        <v>500</v>
      </c>
      <c r="E987" t="s">
        <v>3102</v>
      </c>
      <c r="F987" s="186" t="s">
        <v>1414</v>
      </c>
      <c r="H987" t="b">
        <v>0</v>
      </c>
      <c r="I987" t="s">
        <v>22</v>
      </c>
      <c r="J987" s="186" t="s">
        <v>1377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1423</v>
      </c>
      <c r="B988" t="s">
        <v>3113</v>
      </c>
      <c r="C988" t="s">
        <v>1426</v>
      </c>
      <c r="D988">
        <v>500</v>
      </c>
      <c r="E988" t="s">
        <v>3102</v>
      </c>
      <c r="F988" s="186" t="s">
        <v>1414</v>
      </c>
      <c r="H988" t="b">
        <v>0</v>
      </c>
      <c r="I988" t="s">
        <v>22</v>
      </c>
      <c r="J988" s="186" t="s">
        <v>1377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1423</v>
      </c>
      <c r="B989" t="s">
        <v>3113</v>
      </c>
      <c r="C989" t="s">
        <v>1427</v>
      </c>
      <c r="D989">
        <v>500</v>
      </c>
      <c r="E989" t="s">
        <v>3102</v>
      </c>
      <c r="F989" s="186" t="s">
        <v>1414</v>
      </c>
      <c r="H989" t="b">
        <v>0</v>
      </c>
      <c r="I989" t="s">
        <v>22</v>
      </c>
      <c r="J989" s="186" t="s">
        <v>1377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1423</v>
      </c>
      <c r="B990" t="s">
        <v>3113</v>
      </c>
      <c r="C990" t="s">
        <v>1428</v>
      </c>
      <c r="D990">
        <v>500</v>
      </c>
      <c r="E990" t="s">
        <v>3102</v>
      </c>
      <c r="F990" s="186" t="s">
        <v>1414</v>
      </c>
      <c r="H990" t="b">
        <v>0</v>
      </c>
      <c r="I990" t="s">
        <v>22</v>
      </c>
      <c r="J990" s="186" t="s">
        <v>1377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1423</v>
      </c>
      <c r="B991" t="s">
        <v>3113</v>
      </c>
      <c r="C991" t="s">
        <v>1429</v>
      </c>
      <c r="D991">
        <v>500</v>
      </c>
      <c r="E991" t="s">
        <v>3102</v>
      </c>
      <c r="F991" s="186" t="s">
        <v>1414</v>
      </c>
      <c r="H991" t="b">
        <v>0</v>
      </c>
      <c r="I991" t="s">
        <v>22</v>
      </c>
      <c r="J991" s="186" t="s">
        <v>1377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1423</v>
      </c>
      <c r="B992" t="s">
        <v>3113</v>
      </c>
      <c r="C992" t="s">
        <v>1430</v>
      </c>
      <c r="D992">
        <v>500</v>
      </c>
      <c r="E992" t="s">
        <v>3102</v>
      </c>
      <c r="F992" s="186" t="s">
        <v>1414</v>
      </c>
      <c r="H992" t="b">
        <v>0</v>
      </c>
      <c r="I992" t="s">
        <v>22</v>
      </c>
      <c r="J992" s="186" t="s">
        <v>1377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1423</v>
      </c>
      <c r="B993" t="s">
        <v>3113</v>
      </c>
      <c r="C993" t="s">
        <v>1431</v>
      </c>
      <c r="D993">
        <v>500</v>
      </c>
      <c r="E993" t="s">
        <v>3102</v>
      </c>
      <c r="F993" s="186" t="s">
        <v>1414</v>
      </c>
      <c r="H993" t="b">
        <v>0</v>
      </c>
      <c r="I993" t="s">
        <v>22</v>
      </c>
      <c r="J993" s="186" t="s">
        <v>1377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1423</v>
      </c>
      <c r="B994" t="s">
        <v>3113</v>
      </c>
      <c r="C994" t="s">
        <v>1432</v>
      </c>
      <c r="D994">
        <v>500</v>
      </c>
      <c r="E994" t="s">
        <v>3102</v>
      </c>
      <c r="F994" s="186" t="s">
        <v>1414</v>
      </c>
      <c r="H994" t="b">
        <v>0</v>
      </c>
      <c r="I994" t="s">
        <v>22</v>
      </c>
      <c r="J994" s="186" t="s">
        <v>1377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1423</v>
      </c>
      <c r="B995" t="s">
        <v>3113</v>
      </c>
      <c r="C995" t="s">
        <v>1433</v>
      </c>
      <c r="D995">
        <v>500</v>
      </c>
      <c r="E995" t="s">
        <v>3102</v>
      </c>
      <c r="F995" s="186" t="s">
        <v>1414</v>
      </c>
      <c r="H995" t="b">
        <v>0</v>
      </c>
      <c r="I995" t="s">
        <v>22</v>
      </c>
      <c r="J995" s="186" t="s">
        <v>1377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1423</v>
      </c>
      <c r="B996" t="s">
        <v>3113</v>
      </c>
      <c r="C996" t="s">
        <v>1434</v>
      </c>
      <c r="D996">
        <v>500</v>
      </c>
      <c r="E996" t="s">
        <v>3102</v>
      </c>
      <c r="F996" s="186" t="s">
        <v>1414</v>
      </c>
      <c r="H996" t="b">
        <v>0</v>
      </c>
      <c r="I996" t="s">
        <v>22</v>
      </c>
      <c r="J996" s="186" t="s">
        <v>1377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1423</v>
      </c>
      <c r="B997" t="s">
        <v>3113</v>
      </c>
      <c r="C997" t="s">
        <v>1435</v>
      </c>
      <c r="D997">
        <v>500</v>
      </c>
      <c r="E997" t="s">
        <v>3102</v>
      </c>
      <c r="F997" s="186" t="s">
        <v>1414</v>
      </c>
      <c r="H997" t="b">
        <v>0</v>
      </c>
      <c r="I997" t="s">
        <v>22</v>
      </c>
      <c r="J997" s="186" t="s">
        <v>1377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1423</v>
      </c>
      <c r="B998" t="s">
        <v>3113</v>
      </c>
      <c r="C998" t="s">
        <v>1436</v>
      </c>
      <c r="D998">
        <v>500</v>
      </c>
      <c r="E998" t="s">
        <v>3102</v>
      </c>
      <c r="F998" s="186" t="s">
        <v>1414</v>
      </c>
      <c r="H998" t="b">
        <v>0</v>
      </c>
      <c r="I998" t="s">
        <v>22</v>
      </c>
      <c r="J998" s="186" t="s">
        <v>1377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1423</v>
      </c>
      <c r="B999" t="s">
        <v>3113</v>
      </c>
      <c r="C999" t="s">
        <v>1437</v>
      </c>
      <c r="D999">
        <v>500</v>
      </c>
      <c r="E999" t="s">
        <v>3102</v>
      </c>
      <c r="F999" s="186" t="s">
        <v>1414</v>
      </c>
      <c r="H999" t="b">
        <v>0</v>
      </c>
      <c r="I999" t="s">
        <v>22</v>
      </c>
      <c r="J999" s="186" t="s">
        <v>1377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1423</v>
      </c>
      <c r="B1000" t="s">
        <v>3113</v>
      </c>
      <c r="C1000" t="s">
        <v>1438</v>
      </c>
      <c r="D1000">
        <v>500</v>
      </c>
      <c r="E1000" t="s">
        <v>3102</v>
      </c>
      <c r="F1000" s="186" t="s">
        <v>1414</v>
      </c>
      <c r="H1000" t="b">
        <v>0</v>
      </c>
      <c r="I1000" t="s">
        <v>22</v>
      </c>
      <c r="J1000" s="186" t="s">
        <v>1377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1423</v>
      </c>
      <c r="B1001" t="s">
        <v>3113</v>
      </c>
      <c r="C1001" t="s">
        <v>1439</v>
      </c>
      <c r="D1001">
        <v>500</v>
      </c>
      <c r="E1001" t="s">
        <v>3102</v>
      </c>
      <c r="F1001" s="186" t="s">
        <v>1414</v>
      </c>
      <c r="H1001" t="b">
        <v>0</v>
      </c>
      <c r="I1001" t="s">
        <v>22</v>
      </c>
      <c r="J1001" s="186" t="s">
        <v>1377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1423</v>
      </c>
      <c r="B1002" t="s">
        <v>3113</v>
      </c>
      <c r="C1002" t="s">
        <v>1440</v>
      </c>
      <c r="D1002">
        <v>500</v>
      </c>
      <c r="E1002" t="s">
        <v>3102</v>
      </c>
      <c r="F1002" s="186" t="s">
        <v>1414</v>
      </c>
      <c r="H1002" t="b">
        <v>0</v>
      </c>
      <c r="I1002" t="s">
        <v>22</v>
      </c>
      <c r="J1002" s="186" t="s">
        <v>1377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1423</v>
      </c>
      <c r="B1003" t="s">
        <v>3113</v>
      </c>
      <c r="C1003" t="s">
        <v>1441</v>
      </c>
      <c r="D1003">
        <v>500</v>
      </c>
      <c r="E1003" t="s">
        <v>3102</v>
      </c>
      <c r="F1003" s="186" t="s">
        <v>1414</v>
      </c>
      <c r="H1003" t="b">
        <v>0</v>
      </c>
      <c r="I1003" t="s">
        <v>22</v>
      </c>
      <c r="J1003" s="186" t="s">
        <v>1377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1423</v>
      </c>
      <c r="B1004" t="s">
        <v>3113</v>
      </c>
      <c r="C1004" t="s">
        <v>1442</v>
      </c>
      <c r="D1004">
        <v>500</v>
      </c>
      <c r="E1004" t="s">
        <v>3102</v>
      </c>
      <c r="F1004" s="186" t="s">
        <v>1414</v>
      </c>
      <c r="H1004" t="b">
        <v>0</v>
      </c>
      <c r="I1004" t="s">
        <v>22</v>
      </c>
      <c r="J1004" s="186" t="s">
        <v>1377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1423</v>
      </c>
      <c r="B1005" t="s">
        <v>3113</v>
      </c>
      <c r="C1005" t="s">
        <v>1443</v>
      </c>
      <c r="D1005">
        <v>500</v>
      </c>
      <c r="E1005" t="s">
        <v>3102</v>
      </c>
      <c r="F1005" s="186" t="s">
        <v>1414</v>
      </c>
      <c r="H1005" t="b">
        <v>0</v>
      </c>
      <c r="I1005" t="s">
        <v>22</v>
      </c>
      <c r="J1005" s="186" t="s">
        <v>1377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1423</v>
      </c>
      <c r="B1006" t="s">
        <v>3113</v>
      </c>
      <c r="C1006" t="s">
        <v>1444</v>
      </c>
      <c r="D1006">
        <v>500</v>
      </c>
      <c r="E1006" t="s">
        <v>3102</v>
      </c>
      <c r="F1006" s="186" t="s">
        <v>1414</v>
      </c>
      <c r="H1006" t="b">
        <v>0</v>
      </c>
      <c r="I1006" t="s">
        <v>22</v>
      </c>
      <c r="J1006" s="186" t="s">
        <v>1377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1423</v>
      </c>
      <c r="B1007" t="s">
        <v>3113</v>
      </c>
      <c r="C1007" t="s">
        <v>1445</v>
      </c>
      <c r="D1007">
        <v>500</v>
      </c>
      <c r="E1007" t="s">
        <v>3102</v>
      </c>
      <c r="F1007" s="186" t="s">
        <v>1414</v>
      </c>
      <c r="H1007" t="b">
        <v>0</v>
      </c>
      <c r="I1007" t="s">
        <v>22</v>
      </c>
      <c r="J1007" s="186" t="s">
        <v>1377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1423</v>
      </c>
      <c r="B1008" t="s">
        <v>3113</v>
      </c>
      <c r="C1008" t="s">
        <v>1446</v>
      </c>
      <c r="D1008">
        <v>500</v>
      </c>
      <c r="E1008" t="s">
        <v>3102</v>
      </c>
      <c r="F1008" s="186" t="s">
        <v>1414</v>
      </c>
      <c r="H1008" t="b">
        <v>0</v>
      </c>
      <c r="I1008" t="s">
        <v>22</v>
      </c>
      <c r="J1008" s="186" t="s">
        <v>1377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1423</v>
      </c>
      <c r="B1009" t="s">
        <v>3113</v>
      </c>
      <c r="C1009" t="s">
        <v>1447</v>
      </c>
      <c r="D1009">
        <v>500</v>
      </c>
      <c r="E1009" t="s">
        <v>3102</v>
      </c>
      <c r="F1009" s="186" t="s">
        <v>1414</v>
      </c>
      <c r="H1009" t="b">
        <v>0</v>
      </c>
      <c r="I1009" t="s">
        <v>22</v>
      </c>
      <c r="J1009" s="186" t="s">
        <v>1377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1423</v>
      </c>
      <c r="B1010" t="s">
        <v>3113</v>
      </c>
      <c r="C1010" t="s">
        <v>1448</v>
      </c>
      <c r="D1010">
        <v>500</v>
      </c>
      <c r="E1010" t="s">
        <v>3102</v>
      </c>
      <c r="F1010" s="186" t="s">
        <v>1414</v>
      </c>
      <c r="H1010" t="b">
        <v>0</v>
      </c>
      <c r="I1010" t="s">
        <v>22</v>
      </c>
      <c r="J1010" s="186" t="s">
        <v>1377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1423</v>
      </c>
      <c r="B1011" t="s">
        <v>3113</v>
      </c>
      <c r="C1011" t="s">
        <v>1449</v>
      </c>
      <c r="D1011">
        <v>500</v>
      </c>
      <c r="E1011" t="s">
        <v>3102</v>
      </c>
      <c r="F1011" s="186" t="s">
        <v>1414</v>
      </c>
      <c r="H1011" t="b">
        <v>0</v>
      </c>
      <c r="I1011" t="s">
        <v>22</v>
      </c>
      <c r="J1011" s="186" t="s">
        <v>1377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1423</v>
      </c>
      <c r="B1012" t="s">
        <v>3113</v>
      </c>
      <c r="C1012" t="s">
        <v>1450</v>
      </c>
      <c r="D1012">
        <v>500</v>
      </c>
      <c r="E1012" t="s">
        <v>3102</v>
      </c>
      <c r="F1012" s="186" t="s">
        <v>1414</v>
      </c>
      <c r="H1012" t="b">
        <v>0</v>
      </c>
      <c r="I1012" t="s">
        <v>22</v>
      </c>
      <c r="J1012" s="186" t="s">
        <v>1377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1423</v>
      </c>
      <c r="B1013" t="s">
        <v>3113</v>
      </c>
      <c r="C1013" t="s">
        <v>1451</v>
      </c>
      <c r="D1013">
        <v>500</v>
      </c>
      <c r="E1013" t="s">
        <v>3102</v>
      </c>
      <c r="F1013" s="186" t="s">
        <v>1414</v>
      </c>
      <c r="H1013" t="b">
        <v>0</v>
      </c>
      <c r="I1013" t="s">
        <v>22</v>
      </c>
      <c r="J1013" s="186" t="s">
        <v>1377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1423</v>
      </c>
      <c r="B1014" t="s">
        <v>3113</v>
      </c>
      <c r="C1014" t="s">
        <v>1452</v>
      </c>
      <c r="D1014">
        <v>500</v>
      </c>
      <c r="E1014" t="s">
        <v>3102</v>
      </c>
      <c r="F1014" s="186" t="s">
        <v>1414</v>
      </c>
      <c r="H1014" t="b">
        <v>0</v>
      </c>
      <c r="I1014" t="s">
        <v>22</v>
      </c>
      <c r="J1014" s="186" t="s">
        <v>1377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1423</v>
      </c>
      <c r="B1015" t="s">
        <v>3113</v>
      </c>
      <c r="C1015" t="s">
        <v>1453</v>
      </c>
      <c r="D1015">
        <v>500</v>
      </c>
      <c r="E1015" t="s">
        <v>3102</v>
      </c>
      <c r="F1015" s="186" t="s">
        <v>1414</v>
      </c>
      <c r="H1015" t="b">
        <v>0</v>
      </c>
      <c r="I1015" t="s">
        <v>22</v>
      </c>
      <c r="J1015" s="186" t="s">
        <v>1377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1635</v>
      </c>
      <c r="B1016" t="s">
        <v>1636</v>
      </c>
      <c r="C1016" t="s">
        <v>1636</v>
      </c>
      <c r="D1016">
        <v>151.55000000000001</v>
      </c>
      <c r="E1016" t="s">
        <v>3102</v>
      </c>
      <c r="F1016" s="186" t="s">
        <v>1414</v>
      </c>
      <c r="H1016" t="b">
        <v>1</v>
      </c>
      <c r="I1016">
        <v>151.55000000000001</v>
      </c>
      <c r="J1016" s="186" t="s">
        <v>1377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1421</v>
      </c>
      <c r="B1017" t="s">
        <v>1422</v>
      </c>
      <c r="C1017" t="s">
        <v>1422</v>
      </c>
      <c r="D1017">
        <v>133.9</v>
      </c>
      <c r="E1017" t="s">
        <v>3102</v>
      </c>
      <c r="F1017" s="186" t="s">
        <v>1414</v>
      </c>
      <c r="H1017" t="b">
        <v>1</v>
      </c>
      <c r="I1017" t="s">
        <v>22</v>
      </c>
      <c r="J1017" s="186" t="s">
        <v>1377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1611</v>
      </c>
      <c r="B1018" t="s">
        <v>1612</v>
      </c>
      <c r="C1018" t="s">
        <v>1612</v>
      </c>
      <c r="D1018">
        <v>25.35</v>
      </c>
      <c r="E1018" t="s">
        <v>3102</v>
      </c>
      <c r="F1018" s="186" t="s">
        <v>1414</v>
      </c>
      <c r="H1018" t="b">
        <v>1</v>
      </c>
      <c r="I1018">
        <v>25.35</v>
      </c>
      <c r="J1018" s="186" t="s">
        <v>1377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1415</v>
      </c>
      <c r="B1019" t="s">
        <v>1416</v>
      </c>
      <c r="C1019" t="s">
        <v>1416</v>
      </c>
      <c r="D1019">
        <v>229.95</v>
      </c>
      <c r="E1019" t="s">
        <v>3102</v>
      </c>
      <c r="F1019" s="186" t="s">
        <v>1414</v>
      </c>
      <c r="H1019" t="b">
        <v>1</v>
      </c>
      <c r="I1019" t="s">
        <v>22</v>
      </c>
      <c r="J1019" s="186" t="s">
        <v>1377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1419</v>
      </c>
      <c r="B1020" t="s">
        <v>1420</v>
      </c>
      <c r="C1020" t="s">
        <v>1420</v>
      </c>
      <c r="D1020">
        <v>65</v>
      </c>
      <c r="E1020" t="s">
        <v>3102</v>
      </c>
      <c r="F1020" s="186" t="s">
        <v>1414</v>
      </c>
      <c r="H1020" t="b">
        <v>1</v>
      </c>
      <c r="I1020" t="s">
        <v>22</v>
      </c>
      <c r="J1020" s="186" t="s">
        <v>1377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1412</v>
      </c>
      <c r="B1021" t="s">
        <v>1413</v>
      </c>
      <c r="C1021" t="s">
        <v>1413</v>
      </c>
      <c r="D1021">
        <v>50.45</v>
      </c>
      <c r="E1021" t="s">
        <v>3102</v>
      </c>
      <c r="F1021" s="186" t="s">
        <v>1414</v>
      </c>
      <c r="H1021" t="b">
        <v>1</v>
      </c>
      <c r="I1021" t="s">
        <v>22</v>
      </c>
      <c r="J1021" s="186" t="s">
        <v>1377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1417</v>
      </c>
      <c r="B1022" t="s">
        <v>1418</v>
      </c>
      <c r="C1022" t="s">
        <v>1418</v>
      </c>
      <c r="D1022">
        <v>87.55</v>
      </c>
      <c r="E1022" t="s">
        <v>3102</v>
      </c>
      <c r="F1022" s="186" t="s">
        <v>1414</v>
      </c>
      <c r="H1022" t="b">
        <v>1</v>
      </c>
      <c r="I1022" t="s">
        <v>22</v>
      </c>
      <c r="J1022" s="186" t="s">
        <v>1377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1684</v>
      </c>
      <c r="B1023" t="s">
        <v>1685</v>
      </c>
      <c r="C1023" t="s">
        <v>1685</v>
      </c>
      <c r="D1023">
        <v>22.75</v>
      </c>
      <c r="E1023" t="s">
        <v>3116</v>
      </c>
      <c r="F1023" s="186" t="s">
        <v>1658</v>
      </c>
      <c r="H1023" t="b">
        <v>1</v>
      </c>
      <c r="I1023">
        <v>22.75</v>
      </c>
      <c r="J1023" s="186" t="s">
        <v>1657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1693</v>
      </c>
      <c r="B1024" t="s">
        <v>1694</v>
      </c>
      <c r="C1024" t="s">
        <v>1694</v>
      </c>
      <c r="D1024">
        <v>35.700000000000003</v>
      </c>
      <c r="E1024" t="s">
        <v>3116</v>
      </c>
      <c r="F1024" s="186" t="s">
        <v>1658</v>
      </c>
      <c r="H1024" t="b">
        <v>1</v>
      </c>
      <c r="I1024">
        <v>35.700000000000003</v>
      </c>
      <c r="J1024" s="186" t="s">
        <v>1657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1705</v>
      </c>
      <c r="B1025" t="s">
        <v>1706</v>
      </c>
      <c r="C1025" t="s">
        <v>1706</v>
      </c>
      <c r="D1025">
        <v>18.899999999999999</v>
      </c>
      <c r="E1025" t="s">
        <v>3116</v>
      </c>
      <c r="F1025" s="186" t="s">
        <v>1658</v>
      </c>
      <c r="H1025" t="b">
        <v>1</v>
      </c>
      <c r="I1025">
        <v>18.900000000000002</v>
      </c>
      <c r="J1025" s="186" t="s">
        <v>1657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1655</v>
      </c>
      <c r="B1026" t="s">
        <v>1656</v>
      </c>
      <c r="C1026" t="s">
        <v>1656</v>
      </c>
      <c r="D1026">
        <v>48.65</v>
      </c>
      <c r="E1026" t="s">
        <v>3116</v>
      </c>
      <c r="F1026" s="186" t="s">
        <v>1658</v>
      </c>
      <c r="H1026" t="b">
        <v>0</v>
      </c>
      <c r="I1026" t="s">
        <v>22</v>
      </c>
      <c r="J1026" s="186" t="s">
        <v>1657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1716</v>
      </c>
      <c r="B1027" t="s">
        <v>3117</v>
      </c>
      <c r="C1027" t="s">
        <v>1717</v>
      </c>
      <c r="D1027">
        <v>7.4</v>
      </c>
      <c r="E1027" t="s">
        <v>3116</v>
      </c>
      <c r="F1027" s="186" t="s">
        <v>1658</v>
      </c>
      <c r="H1027" t="b">
        <v>1</v>
      </c>
      <c r="I1027">
        <v>7.4</v>
      </c>
      <c r="J1027" s="186" t="s">
        <v>1657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1661</v>
      </c>
      <c r="B1028" t="s">
        <v>1662</v>
      </c>
      <c r="C1028" t="s">
        <v>1662</v>
      </c>
      <c r="D1028">
        <v>23.9</v>
      </c>
      <c r="E1028" t="s">
        <v>3116</v>
      </c>
      <c r="F1028" s="186" t="s">
        <v>1658</v>
      </c>
      <c r="H1028" t="b">
        <v>0</v>
      </c>
      <c r="I1028" t="s">
        <v>22</v>
      </c>
      <c r="J1028" s="186" t="s">
        <v>1657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1707</v>
      </c>
      <c r="B1029" t="s">
        <v>1708</v>
      </c>
      <c r="C1029" t="s">
        <v>1708</v>
      </c>
      <c r="D1029">
        <v>57.2</v>
      </c>
      <c r="E1029" t="s">
        <v>3116</v>
      </c>
      <c r="F1029" s="186" t="s">
        <v>1658</v>
      </c>
      <c r="H1029" t="b">
        <v>1</v>
      </c>
      <c r="I1029">
        <v>57.2</v>
      </c>
      <c r="J1029" s="186" t="s">
        <v>1657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1710</v>
      </c>
      <c r="B1030" t="s">
        <v>1711</v>
      </c>
      <c r="C1030" t="s">
        <v>1711</v>
      </c>
      <c r="D1030">
        <v>28.4</v>
      </c>
      <c r="E1030" t="s">
        <v>3116</v>
      </c>
      <c r="F1030" s="186" t="s">
        <v>1658</v>
      </c>
      <c r="H1030" t="b">
        <v>1</v>
      </c>
      <c r="I1030">
        <v>28.400000000000002</v>
      </c>
      <c r="J1030" s="186" t="s">
        <v>1657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1678</v>
      </c>
      <c r="B1031" t="s">
        <v>1679</v>
      </c>
      <c r="C1031" t="s">
        <v>1679</v>
      </c>
      <c r="D1031">
        <v>69.3</v>
      </c>
      <c r="E1031" t="s">
        <v>3116</v>
      </c>
      <c r="F1031" s="186" t="s">
        <v>1658</v>
      </c>
      <c r="H1031" t="b">
        <v>1</v>
      </c>
      <c r="I1031">
        <v>69.3</v>
      </c>
      <c r="J1031" s="186" t="s">
        <v>1657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1696</v>
      </c>
      <c r="B1032" t="s">
        <v>1697</v>
      </c>
      <c r="C1032" t="s">
        <v>1697</v>
      </c>
      <c r="D1032">
        <v>45.05</v>
      </c>
      <c r="E1032" t="s">
        <v>3116</v>
      </c>
      <c r="F1032" s="186" t="s">
        <v>1658</v>
      </c>
      <c r="H1032" t="b">
        <v>1</v>
      </c>
      <c r="I1032">
        <v>45.050000000000004</v>
      </c>
      <c r="J1032" s="186" t="s">
        <v>1657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1713</v>
      </c>
      <c r="B1033" t="s">
        <v>1714</v>
      </c>
      <c r="C1033" t="s">
        <v>1714</v>
      </c>
      <c r="D1033">
        <v>23.9</v>
      </c>
      <c r="E1033" t="s">
        <v>3116</v>
      </c>
      <c r="F1033" s="186" t="s">
        <v>1658</v>
      </c>
      <c r="H1033" t="b">
        <v>1</v>
      </c>
      <c r="I1033">
        <v>23.900000000000002</v>
      </c>
      <c r="J1033" s="186" t="s">
        <v>1657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1681</v>
      </c>
      <c r="B1034" t="s">
        <v>1682</v>
      </c>
      <c r="C1034" t="s">
        <v>1682</v>
      </c>
      <c r="D1034">
        <v>27.75</v>
      </c>
      <c r="E1034" t="s">
        <v>3116</v>
      </c>
      <c r="F1034" s="186" t="s">
        <v>1658</v>
      </c>
      <c r="H1034" t="b">
        <v>1</v>
      </c>
      <c r="I1034">
        <v>27.75</v>
      </c>
      <c r="J1034" s="186" t="s">
        <v>1657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1687</v>
      </c>
      <c r="B1035" t="s">
        <v>1688</v>
      </c>
      <c r="C1035" t="s">
        <v>1688</v>
      </c>
      <c r="D1035">
        <v>24</v>
      </c>
      <c r="E1035" t="s">
        <v>3116</v>
      </c>
      <c r="F1035" s="186" t="s">
        <v>1658</v>
      </c>
      <c r="H1035" t="b">
        <v>1</v>
      </c>
      <c r="I1035">
        <v>24</v>
      </c>
      <c r="J1035" s="186" t="s">
        <v>1657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1690</v>
      </c>
      <c r="B1036" t="s">
        <v>1691</v>
      </c>
      <c r="C1036" t="s">
        <v>1691</v>
      </c>
      <c r="D1036">
        <v>43.95</v>
      </c>
      <c r="E1036" t="s">
        <v>3116</v>
      </c>
      <c r="F1036" s="186" t="s">
        <v>1658</v>
      </c>
      <c r="H1036" t="b">
        <v>1</v>
      </c>
      <c r="I1036">
        <v>43.95</v>
      </c>
      <c r="J1036" s="186" t="s">
        <v>1657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1671</v>
      </c>
      <c r="B1037" t="s">
        <v>3118</v>
      </c>
      <c r="C1037" t="s">
        <v>1672</v>
      </c>
      <c r="D1037">
        <v>500</v>
      </c>
      <c r="E1037" t="s">
        <v>3116</v>
      </c>
      <c r="F1037" s="186" t="s">
        <v>1658</v>
      </c>
      <c r="H1037" t="b">
        <v>0</v>
      </c>
      <c r="I1037" t="s">
        <v>22</v>
      </c>
      <c r="J1037" s="186" t="s">
        <v>1657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1671</v>
      </c>
      <c r="B1038" t="s">
        <v>3118</v>
      </c>
      <c r="C1038" t="s">
        <v>1673</v>
      </c>
      <c r="D1038">
        <v>500</v>
      </c>
      <c r="E1038" t="s">
        <v>3116</v>
      </c>
      <c r="F1038" s="186" t="s">
        <v>1658</v>
      </c>
      <c r="H1038" t="b">
        <v>0</v>
      </c>
      <c r="I1038" t="s">
        <v>22</v>
      </c>
      <c r="J1038" s="186" t="s">
        <v>1657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1698</v>
      </c>
      <c r="B1039" t="s">
        <v>1699</v>
      </c>
      <c r="C1039" t="s">
        <v>1699</v>
      </c>
      <c r="D1039">
        <v>14.45</v>
      </c>
      <c r="E1039" t="s">
        <v>3116</v>
      </c>
      <c r="F1039" s="186" t="s">
        <v>1658</v>
      </c>
      <c r="H1039" t="b">
        <v>1</v>
      </c>
      <c r="I1039">
        <v>14.450000000000001</v>
      </c>
      <c r="J1039" s="186" t="s">
        <v>1657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1702</v>
      </c>
      <c r="B1040" t="s">
        <v>1703</v>
      </c>
      <c r="C1040" t="s">
        <v>1703</v>
      </c>
      <c r="D1040">
        <v>23.9</v>
      </c>
      <c r="E1040" t="s">
        <v>3116</v>
      </c>
      <c r="F1040" s="186" t="s">
        <v>1658</v>
      </c>
      <c r="H1040" t="b">
        <v>1</v>
      </c>
      <c r="I1040">
        <v>23.900000000000002</v>
      </c>
      <c r="J1040" s="186" t="s">
        <v>1657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1667</v>
      </c>
      <c r="B1041" t="s">
        <v>1668</v>
      </c>
      <c r="C1041" t="s">
        <v>1668</v>
      </c>
      <c r="D1041">
        <v>23</v>
      </c>
      <c r="E1041" t="s">
        <v>3116</v>
      </c>
      <c r="F1041" s="186" t="s">
        <v>1658</v>
      </c>
      <c r="H1041" t="b">
        <v>0</v>
      </c>
      <c r="I1041" t="s">
        <v>22</v>
      </c>
      <c r="J1041" s="186" t="s">
        <v>1657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1669</v>
      </c>
      <c r="B1042" t="s">
        <v>1670</v>
      </c>
      <c r="C1042" t="s">
        <v>1670</v>
      </c>
      <c r="D1042">
        <v>27.75</v>
      </c>
      <c r="E1042" t="s">
        <v>3116</v>
      </c>
      <c r="F1042" s="186" t="s">
        <v>1658</v>
      </c>
      <c r="H1042" t="b">
        <v>0</v>
      </c>
      <c r="I1042" t="s">
        <v>22</v>
      </c>
      <c r="J1042" s="186" t="s">
        <v>1657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1674</v>
      </c>
      <c r="B1043" t="s">
        <v>1675</v>
      </c>
      <c r="C1043" t="s">
        <v>1675</v>
      </c>
      <c r="D1043">
        <v>22.4</v>
      </c>
      <c r="E1043" t="s">
        <v>3116</v>
      </c>
      <c r="F1043" s="186" t="s">
        <v>1658</v>
      </c>
      <c r="H1043" t="b">
        <v>1</v>
      </c>
      <c r="I1043">
        <v>22.400000000000002</v>
      </c>
      <c r="J1043" s="186" t="s">
        <v>1657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1663</v>
      </c>
      <c r="B1044" t="s">
        <v>1664</v>
      </c>
      <c r="C1044" t="s">
        <v>1664</v>
      </c>
      <c r="D1044">
        <v>61.8</v>
      </c>
      <c r="E1044" t="s">
        <v>3116</v>
      </c>
      <c r="F1044" s="186" t="s">
        <v>1658</v>
      </c>
      <c r="H1044" t="b">
        <v>1</v>
      </c>
      <c r="I1044" t="s">
        <v>22</v>
      </c>
      <c r="J1044" s="186" t="s">
        <v>1657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1665</v>
      </c>
      <c r="B1045" t="s">
        <v>1666</v>
      </c>
      <c r="C1045" t="s">
        <v>1666</v>
      </c>
      <c r="D1045">
        <v>61.8</v>
      </c>
      <c r="E1045" t="s">
        <v>3116</v>
      </c>
      <c r="F1045" s="186" t="s">
        <v>1658</v>
      </c>
      <c r="H1045" t="b">
        <v>1</v>
      </c>
      <c r="I1045" t="s">
        <v>22</v>
      </c>
      <c r="J1045" s="186" t="s">
        <v>1657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1659</v>
      </c>
      <c r="B1046" t="s">
        <v>1660</v>
      </c>
      <c r="C1046" t="s">
        <v>1660</v>
      </c>
      <c r="D1046">
        <v>61.8</v>
      </c>
      <c r="E1046" t="s">
        <v>3116</v>
      </c>
      <c r="F1046" s="186" t="s">
        <v>1658</v>
      </c>
      <c r="H1046" t="b">
        <v>1</v>
      </c>
      <c r="I1046" t="s">
        <v>22</v>
      </c>
      <c r="J1046" s="186" t="s">
        <v>1657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1725</v>
      </c>
      <c r="B1047" t="s">
        <v>1726</v>
      </c>
      <c r="C1047" t="s">
        <v>1726</v>
      </c>
      <c r="D1047">
        <v>199.9</v>
      </c>
      <c r="E1047" t="s">
        <v>3119</v>
      </c>
      <c r="F1047" s="186" t="s">
        <v>1722</v>
      </c>
      <c r="H1047" t="b">
        <v>1</v>
      </c>
      <c r="I1047">
        <v>199.9</v>
      </c>
      <c r="J1047" s="186" t="s">
        <v>1721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1744</v>
      </c>
      <c r="B1048" t="s">
        <v>1745</v>
      </c>
      <c r="C1048" t="s">
        <v>1745</v>
      </c>
      <c r="D1048">
        <v>26.5</v>
      </c>
      <c r="E1048" t="s">
        <v>3119</v>
      </c>
      <c r="F1048" s="186" t="s">
        <v>1722</v>
      </c>
      <c r="H1048" t="b">
        <v>1</v>
      </c>
      <c r="I1048">
        <v>26.5</v>
      </c>
      <c r="J1048" s="186" t="s">
        <v>1721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1740</v>
      </c>
      <c r="B1049" t="s">
        <v>1741</v>
      </c>
      <c r="C1049" t="s">
        <v>1741</v>
      </c>
      <c r="D1049">
        <v>70.45</v>
      </c>
      <c r="E1049" t="s">
        <v>3119</v>
      </c>
      <c r="F1049" s="186" t="s">
        <v>1722</v>
      </c>
      <c r="H1049" t="b">
        <v>1</v>
      </c>
      <c r="I1049">
        <v>70.45</v>
      </c>
      <c r="J1049" s="186" t="s">
        <v>1721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1733</v>
      </c>
      <c r="B1050" t="s">
        <v>1734</v>
      </c>
      <c r="C1050" t="s">
        <v>1734</v>
      </c>
      <c r="D1050">
        <v>41</v>
      </c>
      <c r="E1050" t="s">
        <v>3119</v>
      </c>
      <c r="F1050" s="186" t="s">
        <v>1722</v>
      </c>
      <c r="H1050" t="b">
        <v>1</v>
      </c>
      <c r="I1050">
        <v>41</v>
      </c>
      <c r="J1050" s="186" t="s">
        <v>1721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1723</v>
      </c>
      <c r="B1051" t="s">
        <v>1724</v>
      </c>
      <c r="C1051" t="s">
        <v>1724</v>
      </c>
      <c r="D1051">
        <v>41</v>
      </c>
      <c r="E1051" t="s">
        <v>3119</v>
      </c>
      <c r="F1051" s="186" t="s">
        <v>1722</v>
      </c>
      <c r="H1051" t="b">
        <v>0</v>
      </c>
      <c r="I1051" t="s">
        <v>22</v>
      </c>
      <c r="J1051" s="186" t="s">
        <v>1721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1747</v>
      </c>
      <c r="B1052" t="s">
        <v>1748</v>
      </c>
      <c r="C1052" t="s">
        <v>1748</v>
      </c>
      <c r="D1052">
        <v>19.8</v>
      </c>
      <c r="E1052" t="s">
        <v>3119</v>
      </c>
      <c r="F1052" s="186" t="s">
        <v>1722</v>
      </c>
      <c r="H1052" t="b">
        <v>1</v>
      </c>
      <c r="I1052">
        <v>19.8</v>
      </c>
      <c r="J1052" s="186" t="s">
        <v>1721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1719</v>
      </c>
      <c r="B1053" t="s">
        <v>1720</v>
      </c>
      <c r="C1053" t="s">
        <v>1720</v>
      </c>
      <c r="D1053">
        <v>82</v>
      </c>
      <c r="E1053" t="s">
        <v>3119</v>
      </c>
      <c r="F1053" s="186" t="s">
        <v>1722</v>
      </c>
      <c r="H1053" t="b">
        <v>0</v>
      </c>
      <c r="I1053" t="s">
        <v>22</v>
      </c>
      <c r="J1053" s="186" t="s">
        <v>1721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1742</v>
      </c>
      <c r="B1054" t="s">
        <v>1743</v>
      </c>
      <c r="C1054" t="s">
        <v>1743</v>
      </c>
      <c r="D1054">
        <v>94.55</v>
      </c>
      <c r="E1054" t="s">
        <v>3119</v>
      </c>
      <c r="F1054" s="186" t="s">
        <v>1722</v>
      </c>
      <c r="H1054" t="b">
        <v>1</v>
      </c>
      <c r="I1054">
        <v>94.550000000000011</v>
      </c>
      <c r="J1054" s="186" t="s">
        <v>1721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1836</v>
      </c>
      <c r="B1055" t="s">
        <v>1837</v>
      </c>
      <c r="C1055" t="s">
        <v>1837</v>
      </c>
      <c r="D1055">
        <v>51.6</v>
      </c>
      <c r="E1055" t="s">
        <v>3120</v>
      </c>
      <c r="F1055" s="186" t="s">
        <v>3920</v>
      </c>
      <c r="H1055" t="b">
        <v>1</v>
      </c>
      <c r="I1055">
        <v>51.6</v>
      </c>
      <c r="J1055" s="186" t="s">
        <v>1769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1833</v>
      </c>
      <c r="B1056" t="s">
        <v>1834</v>
      </c>
      <c r="C1056" t="s">
        <v>1834</v>
      </c>
      <c r="D1056">
        <v>45.1</v>
      </c>
      <c r="E1056" t="s">
        <v>3120</v>
      </c>
      <c r="F1056" s="186" t="s">
        <v>1770</v>
      </c>
      <c r="H1056" t="b">
        <v>1</v>
      </c>
      <c r="I1056">
        <v>45.1</v>
      </c>
      <c r="J1056" s="186" t="s">
        <v>1769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1829</v>
      </c>
      <c r="B1057" t="s">
        <v>1830</v>
      </c>
      <c r="C1057" t="s">
        <v>1830</v>
      </c>
      <c r="D1057">
        <v>151.25</v>
      </c>
      <c r="E1057" t="s">
        <v>3120</v>
      </c>
      <c r="F1057" s="186" t="s">
        <v>1770</v>
      </c>
      <c r="H1057" t="b">
        <v>1</v>
      </c>
      <c r="I1057">
        <v>151.25</v>
      </c>
      <c r="J1057" s="186" t="s">
        <v>1769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1823</v>
      </c>
      <c r="B1058" t="s">
        <v>1824</v>
      </c>
      <c r="C1058" t="s">
        <v>1824</v>
      </c>
      <c r="D1058">
        <v>18.600000000000001</v>
      </c>
      <c r="E1058" t="s">
        <v>3120</v>
      </c>
      <c r="F1058" s="186" t="s">
        <v>1770</v>
      </c>
      <c r="H1058" t="b">
        <v>1</v>
      </c>
      <c r="I1058">
        <v>18.600000000000001</v>
      </c>
      <c r="J1058" s="186" t="s">
        <v>1769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1825</v>
      </c>
      <c r="B1059" t="s">
        <v>1826</v>
      </c>
      <c r="C1059" t="s">
        <v>1826</v>
      </c>
      <c r="D1059">
        <v>23.9</v>
      </c>
      <c r="E1059" t="s">
        <v>3120</v>
      </c>
      <c r="F1059" s="186" t="s">
        <v>1770</v>
      </c>
      <c r="H1059" t="b">
        <v>1</v>
      </c>
      <c r="I1059">
        <v>23.900000000000002</v>
      </c>
      <c r="J1059" s="186" t="s">
        <v>1769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1797</v>
      </c>
      <c r="B1060" t="s">
        <v>1798</v>
      </c>
      <c r="C1060" t="s">
        <v>1798</v>
      </c>
      <c r="D1060">
        <v>53.05</v>
      </c>
      <c r="E1060" t="s">
        <v>3120</v>
      </c>
      <c r="F1060" s="186" t="s">
        <v>1770</v>
      </c>
      <c r="H1060" t="b">
        <v>1</v>
      </c>
      <c r="I1060">
        <v>53.050000000000004</v>
      </c>
      <c r="J1060" s="186" t="s">
        <v>1769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1778</v>
      </c>
      <c r="B1061" t="s">
        <v>1779</v>
      </c>
      <c r="C1061" t="s">
        <v>1779</v>
      </c>
      <c r="D1061">
        <v>91.35</v>
      </c>
      <c r="E1061" t="s">
        <v>3120</v>
      </c>
      <c r="F1061" s="186" t="s">
        <v>1770</v>
      </c>
      <c r="H1061" t="b">
        <v>1</v>
      </c>
      <c r="I1061">
        <v>91.350000000000009</v>
      </c>
      <c r="J1061" s="186" t="s">
        <v>1769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1781</v>
      </c>
      <c r="B1062" t="s">
        <v>1782</v>
      </c>
      <c r="C1062" t="s">
        <v>1782</v>
      </c>
      <c r="D1062">
        <v>131.19999999999999</v>
      </c>
      <c r="E1062" t="s">
        <v>3120</v>
      </c>
      <c r="F1062" s="186" t="s">
        <v>1770</v>
      </c>
      <c r="H1062" t="b">
        <v>1</v>
      </c>
      <c r="I1062">
        <v>131.20000000000002</v>
      </c>
      <c r="J1062" s="186" t="s">
        <v>1769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1784</v>
      </c>
      <c r="B1063" t="s">
        <v>1785</v>
      </c>
      <c r="C1063" t="s">
        <v>1785</v>
      </c>
      <c r="D1063">
        <v>148.25</v>
      </c>
      <c r="E1063" t="s">
        <v>3120</v>
      </c>
      <c r="F1063" s="186" t="s">
        <v>1770</v>
      </c>
      <c r="H1063" t="b">
        <v>1</v>
      </c>
      <c r="I1063">
        <v>148.25</v>
      </c>
      <c r="J1063" s="186" t="s">
        <v>1769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1771</v>
      </c>
      <c r="B1064" t="s">
        <v>1772</v>
      </c>
      <c r="C1064" t="s">
        <v>1772</v>
      </c>
      <c r="D1064">
        <v>45.1</v>
      </c>
      <c r="E1064" t="s">
        <v>3120</v>
      </c>
      <c r="F1064" s="186" t="s">
        <v>1770</v>
      </c>
      <c r="H1064" t="b">
        <v>1</v>
      </c>
      <c r="I1064">
        <v>45.1</v>
      </c>
      <c r="J1064" s="186" t="s">
        <v>1769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1775</v>
      </c>
      <c r="B1065" t="s">
        <v>1776</v>
      </c>
      <c r="C1065" t="s">
        <v>1776</v>
      </c>
      <c r="D1065">
        <v>45.1</v>
      </c>
      <c r="E1065" t="s">
        <v>3120</v>
      </c>
      <c r="F1065" s="186" t="s">
        <v>1770</v>
      </c>
      <c r="H1065" t="b">
        <v>1</v>
      </c>
      <c r="I1065">
        <v>45.1</v>
      </c>
      <c r="J1065" s="186" t="s">
        <v>1769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1809</v>
      </c>
      <c r="B1066" t="s">
        <v>1810</v>
      </c>
      <c r="C1066" t="s">
        <v>1810</v>
      </c>
      <c r="D1066">
        <v>43.95</v>
      </c>
      <c r="E1066" t="s">
        <v>3120</v>
      </c>
      <c r="F1066" s="186" t="s">
        <v>1770</v>
      </c>
      <c r="H1066" t="b">
        <v>1</v>
      </c>
      <c r="I1066">
        <v>43.95</v>
      </c>
      <c r="J1066" s="186" t="s">
        <v>1769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1800</v>
      </c>
      <c r="B1067" t="s">
        <v>1801</v>
      </c>
      <c r="C1067" t="s">
        <v>1801</v>
      </c>
      <c r="D1067">
        <v>46.35</v>
      </c>
      <c r="E1067" t="s">
        <v>3120</v>
      </c>
      <c r="F1067" s="186" t="s">
        <v>1770</v>
      </c>
      <c r="H1067" t="b">
        <v>1</v>
      </c>
      <c r="I1067">
        <v>46.35</v>
      </c>
      <c r="J1067" s="186" t="s">
        <v>1769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1813</v>
      </c>
      <c r="B1068" t="s">
        <v>1814</v>
      </c>
      <c r="C1068" t="s">
        <v>1814</v>
      </c>
      <c r="D1068">
        <v>46.35</v>
      </c>
      <c r="E1068" t="s">
        <v>3120</v>
      </c>
      <c r="F1068" s="186" t="s">
        <v>1770</v>
      </c>
      <c r="H1068" t="b">
        <v>1</v>
      </c>
      <c r="I1068">
        <v>46.35</v>
      </c>
      <c r="J1068" s="186" t="s">
        <v>1769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1811</v>
      </c>
      <c r="B1069" t="s">
        <v>1812</v>
      </c>
      <c r="C1069" t="s">
        <v>1812</v>
      </c>
      <c r="D1069">
        <v>57.2</v>
      </c>
      <c r="E1069" t="s">
        <v>3120</v>
      </c>
      <c r="F1069" s="186" t="s">
        <v>1770</v>
      </c>
      <c r="H1069" t="b">
        <v>1</v>
      </c>
      <c r="I1069">
        <v>57.2</v>
      </c>
      <c r="J1069" s="186" t="s">
        <v>1769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1919</v>
      </c>
      <c r="B1070" t="s">
        <v>1920</v>
      </c>
      <c r="C1070" t="s">
        <v>1920</v>
      </c>
      <c r="D1070">
        <v>205.55</v>
      </c>
      <c r="E1070" t="s">
        <v>3120</v>
      </c>
      <c r="F1070" s="186" t="s">
        <v>1898</v>
      </c>
      <c r="H1070" t="b">
        <v>1</v>
      </c>
      <c r="I1070">
        <v>205.55</v>
      </c>
      <c r="J1070" s="186" t="s">
        <v>1869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1792</v>
      </c>
      <c r="B1071" t="s">
        <v>1793</v>
      </c>
      <c r="C1071" t="s">
        <v>1793</v>
      </c>
      <c r="D1071">
        <v>70.75</v>
      </c>
      <c r="E1071" t="s">
        <v>3120</v>
      </c>
      <c r="F1071" s="186" t="s">
        <v>1770</v>
      </c>
      <c r="H1071" t="b">
        <v>1</v>
      </c>
      <c r="I1071">
        <v>70.75</v>
      </c>
      <c r="J1071" s="186" t="s">
        <v>1769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1794</v>
      </c>
      <c r="B1072" t="s">
        <v>1795</v>
      </c>
      <c r="C1072" t="s">
        <v>1795</v>
      </c>
      <c r="D1072">
        <v>21.55</v>
      </c>
      <c r="E1072" t="s">
        <v>3120</v>
      </c>
      <c r="F1072" s="186" t="s">
        <v>1770</v>
      </c>
      <c r="H1072" t="b">
        <v>1</v>
      </c>
      <c r="I1072">
        <v>21.55</v>
      </c>
      <c r="J1072" s="186" t="s">
        <v>1769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1790</v>
      </c>
      <c r="B1073" t="s">
        <v>1791</v>
      </c>
      <c r="C1073" t="s">
        <v>1791</v>
      </c>
      <c r="D1073">
        <v>58.15</v>
      </c>
      <c r="E1073" t="s">
        <v>3120</v>
      </c>
      <c r="F1073" s="186" t="s">
        <v>1770</v>
      </c>
      <c r="H1073" t="b">
        <v>1</v>
      </c>
      <c r="I1073">
        <v>58.150000000000006</v>
      </c>
      <c r="J1073" s="186" t="s">
        <v>1769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1827</v>
      </c>
      <c r="B1074" t="s">
        <v>1828</v>
      </c>
      <c r="C1074" t="s">
        <v>1828</v>
      </c>
      <c r="D1074">
        <v>25.35</v>
      </c>
      <c r="E1074" t="s">
        <v>3120</v>
      </c>
      <c r="F1074" s="186" t="s">
        <v>1770</v>
      </c>
      <c r="H1074" t="b">
        <v>1</v>
      </c>
      <c r="I1074">
        <v>25.35</v>
      </c>
      <c r="J1074" s="186" t="s">
        <v>1769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1804</v>
      </c>
      <c r="B1075" t="s">
        <v>1805</v>
      </c>
      <c r="C1075" t="s">
        <v>1805</v>
      </c>
      <c r="D1075">
        <v>106.15</v>
      </c>
      <c r="E1075" t="s">
        <v>3120</v>
      </c>
      <c r="F1075" s="186" t="s">
        <v>1770</v>
      </c>
      <c r="H1075" t="b">
        <v>1</v>
      </c>
      <c r="I1075">
        <v>106.15</v>
      </c>
      <c r="J1075" s="186" t="s">
        <v>1769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1806</v>
      </c>
      <c r="B1076" t="s">
        <v>1807</v>
      </c>
      <c r="C1076" t="s">
        <v>1807</v>
      </c>
      <c r="D1076">
        <v>49.3</v>
      </c>
      <c r="E1076" t="s">
        <v>3120</v>
      </c>
      <c r="F1076" s="186" t="s">
        <v>1770</v>
      </c>
      <c r="H1076" t="b">
        <v>1</v>
      </c>
      <c r="I1076">
        <v>49.300000000000004</v>
      </c>
      <c r="J1076" s="186" t="s">
        <v>1769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1767</v>
      </c>
      <c r="B1077" t="s">
        <v>3958</v>
      </c>
      <c r="C1077" t="s">
        <v>1768</v>
      </c>
      <c r="D1077">
        <v>58.15</v>
      </c>
      <c r="E1077" t="s">
        <v>3120</v>
      </c>
      <c r="F1077" s="186" t="s">
        <v>1770</v>
      </c>
      <c r="H1077" t="b">
        <v>0</v>
      </c>
      <c r="I1077" t="s">
        <v>22</v>
      </c>
      <c r="J1077" s="186" t="s">
        <v>1769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1896</v>
      </c>
      <c r="B1078" t="s">
        <v>3121</v>
      </c>
      <c r="C1078" t="s">
        <v>1897</v>
      </c>
      <c r="D1078">
        <v>500</v>
      </c>
      <c r="E1078" t="s">
        <v>3120</v>
      </c>
      <c r="F1078" s="186" t="s">
        <v>1898</v>
      </c>
      <c r="H1078" t="b">
        <v>0</v>
      </c>
      <c r="I1078" t="s">
        <v>22</v>
      </c>
      <c r="J1078" s="186" t="s">
        <v>1869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1896</v>
      </c>
      <c r="B1079" t="s">
        <v>3121</v>
      </c>
      <c r="C1079" t="s">
        <v>1899</v>
      </c>
      <c r="D1079">
        <v>500</v>
      </c>
      <c r="E1079" t="s">
        <v>3120</v>
      </c>
      <c r="F1079" s="186" t="s">
        <v>1898</v>
      </c>
      <c r="H1079" t="b">
        <v>0</v>
      </c>
      <c r="I1079" t="s">
        <v>22</v>
      </c>
      <c r="J1079" s="186" t="s">
        <v>1869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1749</v>
      </c>
      <c r="B1080" t="s">
        <v>3959</v>
      </c>
      <c r="C1080" t="s">
        <v>1750</v>
      </c>
      <c r="D1080">
        <v>500</v>
      </c>
      <c r="E1080" t="s">
        <v>1752</v>
      </c>
      <c r="F1080" s="186" t="s">
        <v>1752</v>
      </c>
      <c r="H1080" t="b">
        <v>0</v>
      </c>
      <c r="I1080" t="s">
        <v>22</v>
      </c>
      <c r="J1080" s="186" t="s">
        <v>1751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1749</v>
      </c>
      <c r="B1081" t="s">
        <v>3959</v>
      </c>
      <c r="C1081" t="s">
        <v>1753</v>
      </c>
      <c r="D1081">
        <v>500</v>
      </c>
      <c r="E1081" t="s">
        <v>1752</v>
      </c>
      <c r="F1081" s="186" t="s">
        <v>1752</v>
      </c>
      <c r="H1081" t="b">
        <v>0</v>
      </c>
      <c r="I1081" t="s">
        <v>22</v>
      </c>
      <c r="J1081" s="186" t="s">
        <v>1751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1749</v>
      </c>
      <c r="B1082" t="s">
        <v>3959</v>
      </c>
      <c r="C1082" t="s">
        <v>1754</v>
      </c>
      <c r="D1082">
        <v>500</v>
      </c>
      <c r="E1082" t="s">
        <v>1752</v>
      </c>
      <c r="F1082" s="186" t="s">
        <v>1752</v>
      </c>
      <c r="H1082" t="b">
        <v>0</v>
      </c>
      <c r="I1082" t="s">
        <v>22</v>
      </c>
      <c r="J1082" s="186" t="s">
        <v>1751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1749</v>
      </c>
      <c r="B1083" t="s">
        <v>3959</v>
      </c>
      <c r="C1083" t="s">
        <v>1755</v>
      </c>
      <c r="D1083">
        <v>500</v>
      </c>
      <c r="E1083" t="s">
        <v>1752</v>
      </c>
      <c r="F1083" s="186" t="s">
        <v>1752</v>
      </c>
      <c r="H1083" t="b">
        <v>0</v>
      </c>
      <c r="I1083" t="s">
        <v>22</v>
      </c>
      <c r="J1083" s="186" t="s">
        <v>1751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1749</v>
      </c>
      <c r="B1084" t="s">
        <v>3959</v>
      </c>
      <c r="C1084" t="s">
        <v>1756</v>
      </c>
      <c r="D1084">
        <v>500</v>
      </c>
      <c r="E1084" t="s">
        <v>1752</v>
      </c>
      <c r="F1084" s="186" t="s">
        <v>1752</v>
      </c>
      <c r="H1084" t="b">
        <v>0</v>
      </c>
      <c r="I1084" t="s">
        <v>22</v>
      </c>
      <c r="J1084" s="186" t="s">
        <v>1751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1749</v>
      </c>
      <c r="B1085" t="s">
        <v>3959</v>
      </c>
      <c r="C1085" t="s">
        <v>1757</v>
      </c>
      <c r="D1085">
        <v>500</v>
      </c>
      <c r="E1085" t="s">
        <v>1752</v>
      </c>
      <c r="F1085" s="186" t="s">
        <v>1752</v>
      </c>
      <c r="H1085" t="b">
        <v>0</v>
      </c>
      <c r="I1085" t="s">
        <v>22</v>
      </c>
      <c r="J1085" s="186" t="s">
        <v>1751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1749</v>
      </c>
      <c r="B1086" t="s">
        <v>3959</v>
      </c>
      <c r="C1086" t="s">
        <v>1758</v>
      </c>
      <c r="D1086">
        <v>500</v>
      </c>
      <c r="E1086" t="s">
        <v>1752</v>
      </c>
      <c r="F1086" s="186" t="s">
        <v>1752</v>
      </c>
      <c r="H1086" t="b">
        <v>0</v>
      </c>
      <c r="I1086" t="s">
        <v>22</v>
      </c>
      <c r="J1086" s="186" t="s">
        <v>1751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1749</v>
      </c>
      <c r="B1087" t="s">
        <v>3959</v>
      </c>
      <c r="C1087" t="s">
        <v>1759</v>
      </c>
      <c r="D1087">
        <v>500</v>
      </c>
      <c r="E1087" t="s">
        <v>1752</v>
      </c>
      <c r="F1087" s="186" t="s">
        <v>1752</v>
      </c>
      <c r="H1087" t="b">
        <v>0</v>
      </c>
      <c r="I1087" t="s">
        <v>22</v>
      </c>
      <c r="J1087" s="186" t="s">
        <v>1751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1749</v>
      </c>
      <c r="B1088" t="s">
        <v>3959</v>
      </c>
      <c r="C1088" t="s">
        <v>1760</v>
      </c>
      <c r="D1088">
        <v>500</v>
      </c>
      <c r="E1088" t="s">
        <v>1752</v>
      </c>
      <c r="F1088" s="186" t="s">
        <v>1752</v>
      </c>
      <c r="H1088" t="b">
        <v>0</v>
      </c>
      <c r="I1088" t="s">
        <v>22</v>
      </c>
      <c r="J1088" s="186" t="s">
        <v>1751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1749</v>
      </c>
      <c r="B1089" t="s">
        <v>3959</v>
      </c>
      <c r="C1089" t="s">
        <v>1761</v>
      </c>
      <c r="D1089">
        <v>500</v>
      </c>
      <c r="E1089" t="s">
        <v>1752</v>
      </c>
      <c r="F1089" s="186" t="s">
        <v>1752</v>
      </c>
      <c r="H1089" t="b">
        <v>0</v>
      </c>
      <c r="I1089" t="s">
        <v>22</v>
      </c>
      <c r="J1089" s="186" t="s">
        <v>1751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1749</v>
      </c>
      <c r="B1090" t="s">
        <v>3959</v>
      </c>
      <c r="C1090" t="s">
        <v>1762</v>
      </c>
      <c r="D1090">
        <v>500</v>
      </c>
      <c r="E1090" t="s">
        <v>1752</v>
      </c>
      <c r="F1090" s="186" t="s">
        <v>1752</v>
      </c>
      <c r="H1090" t="b">
        <v>0</v>
      </c>
      <c r="I1090" t="s">
        <v>22</v>
      </c>
      <c r="J1090" s="186" t="s">
        <v>1751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1749</v>
      </c>
      <c r="B1091" t="s">
        <v>3959</v>
      </c>
      <c r="C1091" t="s">
        <v>1763</v>
      </c>
      <c r="D1091">
        <v>500</v>
      </c>
      <c r="E1091" t="s">
        <v>1752</v>
      </c>
      <c r="F1091" s="186" t="s">
        <v>1752</v>
      </c>
      <c r="H1091" t="b">
        <v>0</v>
      </c>
      <c r="I1091" t="s">
        <v>22</v>
      </c>
      <c r="J1091" s="186" t="s">
        <v>1751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1749</v>
      </c>
      <c r="B1092" t="s">
        <v>3959</v>
      </c>
      <c r="C1092" t="s">
        <v>1764</v>
      </c>
      <c r="D1092">
        <v>500</v>
      </c>
      <c r="E1092" t="s">
        <v>1752</v>
      </c>
      <c r="F1092" s="186" t="s">
        <v>1752</v>
      </c>
      <c r="H1092" t="b">
        <v>0</v>
      </c>
      <c r="I1092" t="s">
        <v>22</v>
      </c>
      <c r="J1092" s="186" t="s">
        <v>1751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1749</v>
      </c>
      <c r="B1093" t="s">
        <v>3959</v>
      </c>
      <c r="C1093" t="s">
        <v>1765</v>
      </c>
      <c r="D1093">
        <v>500</v>
      </c>
      <c r="E1093" t="s">
        <v>1752</v>
      </c>
      <c r="F1093" s="186" t="s">
        <v>1752</v>
      </c>
      <c r="H1093" t="b">
        <v>0</v>
      </c>
      <c r="I1093" t="s">
        <v>22</v>
      </c>
      <c r="J1093" s="186" t="s">
        <v>1751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1749</v>
      </c>
      <c r="B1094" t="s">
        <v>3959</v>
      </c>
      <c r="C1094" t="s">
        <v>1766</v>
      </c>
      <c r="D1094">
        <v>500</v>
      </c>
      <c r="E1094" t="s">
        <v>1752</v>
      </c>
      <c r="F1094" s="186" t="s">
        <v>1752</v>
      </c>
      <c r="H1094" t="b">
        <v>0</v>
      </c>
      <c r="I1094" t="s">
        <v>22</v>
      </c>
      <c r="J1094" s="186" t="s">
        <v>1751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1749</v>
      </c>
      <c r="B1095" t="s">
        <v>3959</v>
      </c>
      <c r="C1095" t="s">
        <v>2215</v>
      </c>
      <c r="D1095">
        <v>500</v>
      </c>
      <c r="E1095" t="s">
        <v>1752</v>
      </c>
      <c r="F1095" s="186" t="s">
        <v>1414</v>
      </c>
      <c r="H1095" t="b">
        <v>0</v>
      </c>
      <c r="I1095" t="s">
        <v>22</v>
      </c>
      <c r="J1095" s="186" t="s">
        <v>2216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1749</v>
      </c>
      <c r="B1096" t="s">
        <v>3959</v>
      </c>
      <c r="C1096" t="s">
        <v>2217</v>
      </c>
      <c r="D1096">
        <v>500</v>
      </c>
      <c r="E1096" t="s">
        <v>1752</v>
      </c>
      <c r="F1096" s="186" t="s">
        <v>1414</v>
      </c>
      <c r="H1096" t="b">
        <v>0</v>
      </c>
      <c r="I1096" t="s">
        <v>22</v>
      </c>
      <c r="J1096" s="186" t="s">
        <v>2216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3947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3947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3947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3947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3122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3947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3122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3947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3122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3947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3122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3947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3947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3122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3947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3122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3947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3122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3947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3122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3947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3122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3947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3122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3947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3122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3947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3122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3947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3122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3947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3122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3947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3122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3947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3122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3947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3122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3947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3947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3257</v>
      </c>
      <c r="F1120" s="186" t="s">
        <v>55</v>
      </c>
      <c r="H1120" t="b">
        <v>0</v>
      </c>
      <c r="I1120" t="s">
        <v>22</v>
      </c>
      <c r="J1120" s="186" t="s">
        <v>3947</v>
      </c>
      <c r="K1120" t="s">
        <v>3257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1990</v>
      </c>
      <c r="B1121" t="s">
        <v>1991</v>
      </c>
      <c r="C1121" t="s">
        <v>1991</v>
      </c>
      <c r="D1121">
        <v>62.25</v>
      </c>
      <c r="E1121" t="s">
        <v>1976</v>
      </c>
      <c r="F1121" s="186" t="s">
        <v>1976</v>
      </c>
      <c r="H1121" t="b">
        <v>1</v>
      </c>
      <c r="I1121">
        <v>62.25</v>
      </c>
      <c r="J1121" s="186" t="s">
        <v>1975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1984</v>
      </c>
      <c r="B1122" t="s">
        <v>1985</v>
      </c>
      <c r="C1122" t="s">
        <v>1985</v>
      </c>
      <c r="D1122">
        <v>64.849999999999994</v>
      </c>
      <c r="E1122" t="s">
        <v>1976</v>
      </c>
      <c r="F1122" s="186" t="s">
        <v>1976</v>
      </c>
      <c r="H1122" t="b">
        <v>1</v>
      </c>
      <c r="I1122">
        <v>64.850000000000009</v>
      </c>
      <c r="J1122" s="186" t="s">
        <v>1975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1987</v>
      </c>
      <c r="B1123" t="s">
        <v>1988</v>
      </c>
      <c r="C1123" t="s">
        <v>1988</v>
      </c>
      <c r="D1123">
        <v>74</v>
      </c>
      <c r="E1123" t="s">
        <v>1976</v>
      </c>
      <c r="F1123" s="186" t="s">
        <v>1976</v>
      </c>
      <c r="H1123" t="b">
        <v>1</v>
      </c>
      <c r="I1123">
        <v>74</v>
      </c>
      <c r="J1123" s="186" t="s">
        <v>1975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1977</v>
      </c>
      <c r="B1124" t="s">
        <v>1978</v>
      </c>
      <c r="C1124" t="s">
        <v>1978</v>
      </c>
      <c r="D1124">
        <v>96.7</v>
      </c>
      <c r="E1124" t="s">
        <v>1976</v>
      </c>
      <c r="F1124" s="186" t="s">
        <v>1976</v>
      </c>
      <c r="H1124" t="b">
        <v>0</v>
      </c>
      <c r="I1124" t="s">
        <v>22</v>
      </c>
      <c r="J1124" s="186" t="s">
        <v>1975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1996</v>
      </c>
      <c r="B1125" t="s">
        <v>1997</v>
      </c>
      <c r="C1125" t="s">
        <v>1997</v>
      </c>
      <c r="D1125">
        <v>143.25</v>
      </c>
      <c r="E1125" t="s">
        <v>1976</v>
      </c>
      <c r="F1125" s="186" t="s">
        <v>1976</v>
      </c>
      <c r="H1125" t="b">
        <v>1</v>
      </c>
      <c r="I1125">
        <v>143.25</v>
      </c>
      <c r="J1125" s="186" t="s">
        <v>1975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1981</v>
      </c>
      <c r="B1126" t="s">
        <v>1982</v>
      </c>
      <c r="C1126" t="s">
        <v>1982</v>
      </c>
      <c r="D1126">
        <v>64.849999999999994</v>
      </c>
      <c r="E1126" t="s">
        <v>1976</v>
      </c>
      <c r="F1126" s="186" t="s">
        <v>1976</v>
      </c>
      <c r="H1126" t="b">
        <v>1</v>
      </c>
      <c r="I1126">
        <v>64.850000000000009</v>
      </c>
      <c r="J1126" s="186" t="s">
        <v>1975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1993</v>
      </c>
      <c r="B1127" t="s">
        <v>1994</v>
      </c>
      <c r="C1127" t="s">
        <v>1994</v>
      </c>
      <c r="D1127">
        <v>136.19999999999999</v>
      </c>
      <c r="E1127" t="s">
        <v>1976</v>
      </c>
      <c r="F1127" s="186" t="s">
        <v>1976</v>
      </c>
      <c r="H1127" t="b">
        <v>1</v>
      </c>
      <c r="I1127">
        <v>136.20000000000002</v>
      </c>
      <c r="J1127" s="186" t="s">
        <v>1975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1979</v>
      </c>
      <c r="B1128" t="s">
        <v>1980</v>
      </c>
      <c r="C1128" t="s">
        <v>1980</v>
      </c>
      <c r="D1128">
        <v>53.05</v>
      </c>
      <c r="E1128" t="s">
        <v>1976</v>
      </c>
      <c r="F1128" s="186" t="s">
        <v>1976</v>
      </c>
      <c r="H1128" t="b">
        <v>0</v>
      </c>
      <c r="I1128" t="s">
        <v>22</v>
      </c>
      <c r="J1128" s="186" t="s">
        <v>1975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1973</v>
      </c>
      <c r="B1129" t="s">
        <v>1974</v>
      </c>
      <c r="C1129" t="s">
        <v>1974</v>
      </c>
      <c r="D1129">
        <v>81.900000000000006</v>
      </c>
      <c r="E1129" t="s">
        <v>1976</v>
      </c>
      <c r="F1129" s="186" t="s">
        <v>1976</v>
      </c>
      <c r="H1129" t="b">
        <v>1</v>
      </c>
      <c r="I1129" t="s">
        <v>22</v>
      </c>
      <c r="J1129" s="186" t="s">
        <v>1975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1860</v>
      </c>
      <c r="B1130" t="s">
        <v>1861</v>
      </c>
      <c r="C1130" t="s">
        <v>1861</v>
      </c>
      <c r="D1130">
        <v>18.600000000000001</v>
      </c>
      <c r="E1130" t="s">
        <v>3123</v>
      </c>
      <c r="F1130" s="186" t="s">
        <v>719</v>
      </c>
      <c r="H1130" t="b">
        <v>1</v>
      </c>
      <c r="I1130">
        <v>18.600000000000001</v>
      </c>
      <c r="J1130" s="186" t="s">
        <v>2004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1863</v>
      </c>
      <c r="B1131" t="s">
        <v>1864</v>
      </c>
      <c r="C1131" t="s">
        <v>1864</v>
      </c>
      <c r="D1131">
        <v>21.25</v>
      </c>
      <c r="E1131" t="s">
        <v>3123</v>
      </c>
      <c r="F1131" s="186" t="s">
        <v>719</v>
      </c>
      <c r="H1131" t="b">
        <v>1</v>
      </c>
      <c r="I1131">
        <v>21.25</v>
      </c>
      <c r="J1131" s="186" t="s">
        <v>2004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1865</v>
      </c>
      <c r="B1132" t="s">
        <v>1866</v>
      </c>
      <c r="C1132" t="s">
        <v>1866</v>
      </c>
      <c r="D1132">
        <v>34.549999999999997</v>
      </c>
      <c r="E1132" t="s">
        <v>3123</v>
      </c>
      <c r="F1132" s="186" t="s">
        <v>719</v>
      </c>
      <c r="H1132" t="b">
        <v>1</v>
      </c>
      <c r="I1132">
        <v>34.550000000000004</v>
      </c>
      <c r="J1132" s="186" t="s">
        <v>2004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2185</v>
      </c>
      <c r="B1133" t="s">
        <v>2186</v>
      </c>
      <c r="C1133" t="s">
        <v>2186</v>
      </c>
      <c r="D1133">
        <v>33.049999999999997</v>
      </c>
      <c r="E1133" t="s">
        <v>3124</v>
      </c>
      <c r="F1133" s="186" t="s">
        <v>2066</v>
      </c>
      <c r="H1133" t="b">
        <v>1</v>
      </c>
      <c r="I1133">
        <v>33.050000000000004</v>
      </c>
      <c r="J1133" s="186" t="s">
        <v>2060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2188</v>
      </c>
      <c r="B1134" t="s">
        <v>2189</v>
      </c>
      <c r="C1134" t="s">
        <v>2189</v>
      </c>
      <c r="D1134">
        <v>42.2</v>
      </c>
      <c r="E1134" t="s">
        <v>3124</v>
      </c>
      <c r="F1134" s="186" t="s">
        <v>2066</v>
      </c>
      <c r="H1134" t="b">
        <v>1</v>
      </c>
      <c r="I1134">
        <v>42.2</v>
      </c>
      <c r="J1134" s="186" t="s">
        <v>2060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2194</v>
      </c>
      <c r="B1135" t="s">
        <v>2195</v>
      </c>
      <c r="C1135" t="s">
        <v>2195</v>
      </c>
      <c r="D1135">
        <v>33.049999999999997</v>
      </c>
      <c r="E1135" t="s">
        <v>3124</v>
      </c>
      <c r="F1135" s="186" t="s">
        <v>2066</v>
      </c>
      <c r="H1135" t="b">
        <v>1</v>
      </c>
      <c r="I1135">
        <v>33.050000000000004</v>
      </c>
      <c r="J1135" s="186" t="s">
        <v>2060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2191</v>
      </c>
      <c r="B1136" t="s">
        <v>2192</v>
      </c>
      <c r="C1136" t="s">
        <v>2192</v>
      </c>
      <c r="D1136">
        <v>78.150000000000006</v>
      </c>
      <c r="E1136" t="s">
        <v>3124</v>
      </c>
      <c r="F1136" s="186" t="s">
        <v>2066</v>
      </c>
      <c r="H1136" t="b">
        <v>1</v>
      </c>
      <c r="I1136">
        <v>78.150000000000006</v>
      </c>
      <c r="J1136" s="186" t="s">
        <v>2060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2205</v>
      </c>
      <c r="B1137" t="s">
        <v>2206</v>
      </c>
      <c r="C1137" t="s">
        <v>2206</v>
      </c>
      <c r="D1137">
        <v>63.6</v>
      </c>
      <c r="E1137" t="s">
        <v>3124</v>
      </c>
      <c r="F1137" s="186" t="s">
        <v>2066</v>
      </c>
      <c r="H1137" t="b">
        <v>1</v>
      </c>
      <c r="I1137">
        <v>63.6</v>
      </c>
      <c r="J1137" s="186" t="s">
        <v>2060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2157</v>
      </c>
      <c r="B1138" t="s">
        <v>2158</v>
      </c>
      <c r="C1138" t="s">
        <v>2158</v>
      </c>
      <c r="D1138">
        <v>31.9</v>
      </c>
      <c r="E1138" t="s">
        <v>3124</v>
      </c>
      <c r="F1138" s="186" t="s">
        <v>535</v>
      </c>
      <c r="H1138" t="b">
        <v>1</v>
      </c>
      <c r="I1138">
        <v>31.900000000000002</v>
      </c>
      <c r="J1138" s="186" t="s">
        <v>2060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2165</v>
      </c>
      <c r="B1139" t="s">
        <v>2166</v>
      </c>
      <c r="C1139" t="s">
        <v>2166</v>
      </c>
      <c r="D1139">
        <v>31.9</v>
      </c>
      <c r="E1139" t="s">
        <v>3124</v>
      </c>
      <c r="F1139" s="186" t="s">
        <v>535</v>
      </c>
      <c r="H1139" t="b">
        <v>1</v>
      </c>
      <c r="I1139">
        <v>31.900000000000002</v>
      </c>
      <c r="J1139" s="186" t="s">
        <v>2060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2154</v>
      </c>
      <c r="B1140" t="s">
        <v>2155</v>
      </c>
      <c r="C1140" t="s">
        <v>2155</v>
      </c>
      <c r="D1140">
        <v>53.05</v>
      </c>
      <c r="E1140" t="s">
        <v>3124</v>
      </c>
      <c r="F1140" s="186" t="s">
        <v>2061</v>
      </c>
      <c r="H1140" t="b">
        <v>1</v>
      </c>
      <c r="I1140">
        <v>53.050000000000004</v>
      </c>
      <c r="J1140" s="186" t="s">
        <v>2060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2208</v>
      </c>
      <c r="B1141" t="s">
        <v>2209</v>
      </c>
      <c r="C1141" t="s">
        <v>2209</v>
      </c>
      <c r="D1141">
        <v>46.35</v>
      </c>
      <c r="E1141" t="s">
        <v>3124</v>
      </c>
      <c r="F1141" s="186" t="s">
        <v>535</v>
      </c>
      <c r="H1141" t="b">
        <v>1</v>
      </c>
      <c r="I1141">
        <v>46.35</v>
      </c>
      <c r="J1141" s="186" t="s">
        <v>2060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2196</v>
      </c>
      <c r="B1142" t="s">
        <v>2197</v>
      </c>
      <c r="C1142" t="s">
        <v>2197</v>
      </c>
      <c r="D1142">
        <v>46.35</v>
      </c>
      <c r="E1142" t="s">
        <v>3124</v>
      </c>
      <c r="F1142" s="186" t="s">
        <v>535</v>
      </c>
      <c r="H1142" t="b">
        <v>1</v>
      </c>
      <c r="I1142">
        <v>46.35</v>
      </c>
      <c r="J1142" s="186" t="s">
        <v>2060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2199</v>
      </c>
      <c r="B1143" t="s">
        <v>2200</v>
      </c>
      <c r="C1143" t="s">
        <v>2200</v>
      </c>
      <c r="D1143">
        <v>46.6</v>
      </c>
      <c r="E1143" t="s">
        <v>3124</v>
      </c>
      <c r="F1143" s="186" t="s">
        <v>535</v>
      </c>
      <c r="H1143" t="b">
        <v>1</v>
      </c>
      <c r="I1143">
        <v>46.6</v>
      </c>
      <c r="J1143" s="186" t="s">
        <v>2060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2202</v>
      </c>
      <c r="B1144" t="s">
        <v>2203</v>
      </c>
      <c r="C1144" t="s">
        <v>2203</v>
      </c>
      <c r="D1144">
        <v>82.55</v>
      </c>
      <c r="E1144" t="s">
        <v>3124</v>
      </c>
      <c r="F1144" s="186" t="s">
        <v>2066</v>
      </c>
      <c r="H1144" t="b">
        <v>1</v>
      </c>
      <c r="I1144">
        <v>82.550000000000011</v>
      </c>
      <c r="J1144" s="186" t="s">
        <v>2060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2071</v>
      </c>
      <c r="B1145" t="s">
        <v>2072</v>
      </c>
      <c r="C1145" t="s">
        <v>2072</v>
      </c>
      <c r="D1145">
        <v>10.6</v>
      </c>
      <c r="E1145" t="s">
        <v>3124</v>
      </c>
      <c r="F1145" s="186" t="s">
        <v>535</v>
      </c>
      <c r="H1145" t="b">
        <v>1</v>
      </c>
      <c r="I1145" t="s">
        <v>22</v>
      </c>
      <c r="J1145" s="186" t="s">
        <v>2060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2067</v>
      </c>
      <c r="B1146" t="s">
        <v>2068</v>
      </c>
      <c r="C1146" t="s">
        <v>2068</v>
      </c>
      <c r="D1146">
        <v>78.150000000000006</v>
      </c>
      <c r="E1146" t="s">
        <v>3124</v>
      </c>
      <c r="F1146" s="186" t="s">
        <v>2066</v>
      </c>
      <c r="H1146" t="b">
        <v>1</v>
      </c>
      <c r="I1146" t="s">
        <v>22</v>
      </c>
      <c r="J1146" s="186" t="s">
        <v>2060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2064</v>
      </c>
      <c r="B1147" t="s">
        <v>2065</v>
      </c>
      <c r="C1147" t="s">
        <v>2065</v>
      </c>
      <c r="D1147">
        <v>42.2</v>
      </c>
      <c r="E1147" t="s">
        <v>3124</v>
      </c>
      <c r="F1147" s="186" t="s">
        <v>2066</v>
      </c>
      <c r="H1147" t="b">
        <v>1</v>
      </c>
      <c r="I1147" t="s">
        <v>22</v>
      </c>
      <c r="J1147" s="186" t="s">
        <v>2060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2062</v>
      </c>
      <c r="B1148" t="s">
        <v>2063</v>
      </c>
      <c r="C1148" t="s">
        <v>2063</v>
      </c>
      <c r="D1148">
        <v>21.1</v>
      </c>
      <c r="E1148" t="s">
        <v>3124</v>
      </c>
      <c r="F1148" s="186" t="s">
        <v>2061</v>
      </c>
      <c r="H1148" t="b">
        <v>1</v>
      </c>
      <c r="I1148" t="s">
        <v>22</v>
      </c>
      <c r="J1148" s="186" t="s">
        <v>2060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2069</v>
      </c>
      <c r="B1149" t="s">
        <v>2070</v>
      </c>
      <c r="C1149" t="s">
        <v>2070</v>
      </c>
      <c r="D1149">
        <v>120</v>
      </c>
      <c r="E1149" t="s">
        <v>3124</v>
      </c>
      <c r="F1149" s="186" t="s">
        <v>2066</v>
      </c>
      <c r="H1149" t="b">
        <v>1</v>
      </c>
      <c r="I1149" t="s">
        <v>22</v>
      </c>
      <c r="J1149" s="186" t="s">
        <v>2060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2058</v>
      </c>
      <c r="B1150" t="s">
        <v>2059</v>
      </c>
      <c r="C1150" t="s">
        <v>2059</v>
      </c>
      <c r="D1150">
        <v>68.150000000000006</v>
      </c>
      <c r="E1150" t="s">
        <v>3124</v>
      </c>
      <c r="F1150" s="186" t="s">
        <v>2061</v>
      </c>
      <c r="H1150" t="b">
        <v>1</v>
      </c>
      <c r="I1150" t="s">
        <v>22</v>
      </c>
      <c r="J1150" s="186" t="s">
        <v>2060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3127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3947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3947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3126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3947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3947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3125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3947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3947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2229</v>
      </c>
      <c r="B1157" t="s">
        <v>2230</v>
      </c>
      <c r="C1157" t="s">
        <v>2230</v>
      </c>
      <c r="D1157">
        <v>42.5</v>
      </c>
      <c r="E1157" t="s">
        <v>3128</v>
      </c>
      <c r="F1157" s="186" t="s">
        <v>2221</v>
      </c>
      <c r="H1157" t="b">
        <v>1</v>
      </c>
      <c r="I1157">
        <v>42.5</v>
      </c>
      <c r="J1157" s="186" t="s">
        <v>2216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2227</v>
      </c>
      <c r="B1158" t="s">
        <v>2228</v>
      </c>
      <c r="C1158" t="s">
        <v>2228</v>
      </c>
      <c r="D1158">
        <v>42.2</v>
      </c>
      <c r="E1158" t="s">
        <v>3128</v>
      </c>
      <c r="F1158" s="186" t="s">
        <v>2221</v>
      </c>
      <c r="H1158" t="b">
        <v>1</v>
      </c>
      <c r="I1158">
        <v>42.2</v>
      </c>
      <c r="J1158" s="186" t="s">
        <v>2216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2236</v>
      </c>
      <c r="B1159" t="s">
        <v>2237</v>
      </c>
      <c r="C1159" t="s">
        <v>2237</v>
      </c>
      <c r="D1159">
        <v>97.6</v>
      </c>
      <c r="E1159" t="s">
        <v>3128</v>
      </c>
      <c r="F1159" s="186" t="s">
        <v>2221</v>
      </c>
      <c r="H1159" t="b">
        <v>1</v>
      </c>
      <c r="I1159">
        <v>97.600000000000009</v>
      </c>
      <c r="J1159" s="186" t="s">
        <v>2216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2214</v>
      </c>
      <c r="B1160" t="s">
        <v>3129</v>
      </c>
      <c r="C1160" t="s">
        <v>2215</v>
      </c>
      <c r="D1160">
        <v>500</v>
      </c>
      <c r="E1160" t="s">
        <v>3128</v>
      </c>
      <c r="F1160" s="186" t="s">
        <v>1414</v>
      </c>
      <c r="H1160" t="b">
        <v>0</v>
      </c>
      <c r="I1160" t="s">
        <v>22</v>
      </c>
      <c r="J1160" s="186" t="s">
        <v>2216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2214</v>
      </c>
      <c r="B1161" t="s">
        <v>3129</v>
      </c>
      <c r="C1161" t="s">
        <v>2217</v>
      </c>
      <c r="D1161">
        <v>500</v>
      </c>
      <c r="E1161" t="s">
        <v>3128</v>
      </c>
      <c r="F1161" s="186" t="s">
        <v>1414</v>
      </c>
      <c r="H1161" t="b">
        <v>0</v>
      </c>
      <c r="I1161" t="s">
        <v>22</v>
      </c>
      <c r="J1161" s="186" t="s">
        <v>2216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462</v>
      </c>
      <c r="B1162" t="s">
        <v>463</v>
      </c>
      <c r="C1162" t="s">
        <v>463</v>
      </c>
      <c r="D1162">
        <v>219.9</v>
      </c>
      <c r="E1162" t="s">
        <v>3130</v>
      </c>
      <c r="F1162" s="186" t="s">
        <v>466</v>
      </c>
      <c r="H1162" t="b">
        <v>1</v>
      </c>
      <c r="I1162">
        <v>219.9</v>
      </c>
      <c r="J1162" s="186" t="s">
        <v>464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472</v>
      </c>
      <c r="B1163" t="s">
        <v>473</v>
      </c>
      <c r="C1163" t="s">
        <v>473</v>
      </c>
      <c r="D1163">
        <v>90.25</v>
      </c>
      <c r="E1163" t="s">
        <v>3130</v>
      </c>
      <c r="F1163" s="186" t="s">
        <v>466</v>
      </c>
      <c r="H1163" t="b">
        <v>1</v>
      </c>
      <c r="I1163">
        <v>90.25</v>
      </c>
      <c r="J1163" s="186" t="s">
        <v>464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1939</v>
      </c>
      <c r="B1164" t="s">
        <v>1940</v>
      </c>
      <c r="C1164" t="s">
        <v>1940</v>
      </c>
      <c r="D1164">
        <v>66.349999999999994</v>
      </c>
      <c r="E1164" t="s">
        <v>3130</v>
      </c>
      <c r="F1164" s="186" t="s">
        <v>1895</v>
      </c>
      <c r="H1164" t="b">
        <v>1</v>
      </c>
      <c r="I1164">
        <v>66.350000000000009</v>
      </c>
      <c r="J1164" s="186" t="s">
        <v>1869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1970</v>
      </c>
      <c r="B1165" t="s">
        <v>1971</v>
      </c>
      <c r="C1165" t="s">
        <v>1971</v>
      </c>
      <c r="D1165">
        <v>33.049999999999997</v>
      </c>
      <c r="E1165" t="s">
        <v>3130</v>
      </c>
      <c r="F1165" s="186" t="s">
        <v>1870</v>
      </c>
      <c r="H1165" t="b">
        <v>1</v>
      </c>
      <c r="I1165">
        <v>33.050000000000004</v>
      </c>
      <c r="J1165" s="186" t="s">
        <v>1869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1900</v>
      </c>
      <c r="B1166" t="s">
        <v>3134</v>
      </c>
      <c r="C1166" t="s">
        <v>3134</v>
      </c>
      <c r="D1166">
        <v>70.45</v>
      </c>
      <c r="E1166" t="s">
        <v>3130</v>
      </c>
      <c r="F1166" s="186" t="s">
        <v>1875</v>
      </c>
      <c r="H1166" t="b">
        <v>1</v>
      </c>
      <c r="I1166">
        <v>70.45</v>
      </c>
      <c r="J1166" s="186" t="s">
        <v>1869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1958</v>
      </c>
      <c r="B1167" t="s">
        <v>1959</v>
      </c>
      <c r="C1167" t="s">
        <v>1959</v>
      </c>
      <c r="D1167">
        <v>14.45</v>
      </c>
      <c r="E1167" t="s">
        <v>3130</v>
      </c>
      <c r="F1167" s="186" t="s">
        <v>1870</v>
      </c>
      <c r="H1167" t="b">
        <v>1</v>
      </c>
      <c r="I1167">
        <v>14.450000000000001</v>
      </c>
      <c r="J1167" s="186" t="s">
        <v>1869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1961</v>
      </c>
      <c r="B1168" t="s">
        <v>1962</v>
      </c>
      <c r="C1168" t="s">
        <v>1962</v>
      </c>
      <c r="D1168">
        <v>33.049999999999997</v>
      </c>
      <c r="E1168" t="s">
        <v>3130</v>
      </c>
      <c r="F1168" s="186" t="s">
        <v>1870</v>
      </c>
      <c r="H1168" t="b">
        <v>1</v>
      </c>
      <c r="I1168">
        <v>33.050000000000004</v>
      </c>
      <c r="J1168" s="186" t="s">
        <v>1869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1964</v>
      </c>
      <c r="B1169" t="s">
        <v>1965</v>
      </c>
      <c r="C1169" t="s">
        <v>1965</v>
      </c>
      <c r="D1169">
        <v>33.049999999999997</v>
      </c>
      <c r="E1169" t="s">
        <v>3130</v>
      </c>
      <c r="F1169" s="186" t="s">
        <v>1870</v>
      </c>
      <c r="H1169" t="b">
        <v>1</v>
      </c>
      <c r="I1169">
        <v>33.050000000000004</v>
      </c>
      <c r="J1169" s="186" t="s">
        <v>1869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1967</v>
      </c>
      <c r="B1170" t="s">
        <v>1968</v>
      </c>
      <c r="C1170" t="s">
        <v>1968</v>
      </c>
      <c r="D1170">
        <v>35.700000000000003</v>
      </c>
      <c r="E1170" t="s">
        <v>3130</v>
      </c>
      <c r="F1170" s="186" t="s">
        <v>1870</v>
      </c>
      <c r="H1170" t="b">
        <v>1</v>
      </c>
      <c r="I1170">
        <v>35.700000000000003</v>
      </c>
      <c r="J1170" s="186" t="s">
        <v>1869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1927</v>
      </c>
      <c r="B1171" t="s">
        <v>1928</v>
      </c>
      <c r="C1171" t="s">
        <v>1928</v>
      </c>
      <c r="D1171">
        <v>38.700000000000003</v>
      </c>
      <c r="E1171" t="s">
        <v>3130</v>
      </c>
      <c r="F1171" s="186" t="s">
        <v>1895</v>
      </c>
      <c r="H1171" t="b">
        <v>1</v>
      </c>
      <c r="I1171">
        <v>38.700000000000003</v>
      </c>
      <c r="J1171" s="186" t="s">
        <v>1869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1929</v>
      </c>
      <c r="B1172" t="s">
        <v>1930</v>
      </c>
      <c r="C1172" t="s">
        <v>1930</v>
      </c>
      <c r="D1172">
        <v>14.45</v>
      </c>
      <c r="E1172" t="s">
        <v>3130</v>
      </c>
      <c r="F1172" s="186" t="s">
        <v>1895</v>
      </c>
      <c r="H1172" t="b">
        <v>1</v>
      </c>
      <c r="I1172">
        <v>14.450000000000001</v>
      </c>
      <c r="J1172" s="186" t="s">
        <v>1869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1933</v>
      </c>
      <c r="B1173" t="s">
        <v>1934</v>
      </c>
      <c r="C1173" t="s">
        <v>1934</v>
      </c>
      <c r="D1173">
        <v>27.75</v>
      </c>
      <c r="E1173" t="s">
        <v>3130</v>
      </c>
      <c r="F1173" s="186" t="s">
        <v>1895</v>
      </c>
      <c r="H1173" t="b">
        <v>1</v>
      </c>
      <c r="I1173">
        <v>27.75</v>
      </c>
      <c r="J1173" s="186" t="s">
        <v>1869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1936</v>
      </c>
      <c r="B1174" t="s">
        <v>1937</v>
      </c>
      <c r="C1174" t="s">
        <v>1937</v>
      </c>
      <c r="D1174">
        <v>54.3</v>
      </c>
      <c r="E1174" t="s">
        <v>3130</v>
      </c>
      <c r="F1174" s="186" t="s">
        <v>1895</v>
      </c>
      <c r="H1174" t="b">
        <v>1</v>
      </c>
      <c r="I1174">
        <v>54.300000000000004</v>
      </c>
      <c r="J1174" s="186" t="s">
        <v>1869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1909</v>
      </c>
      <c r="B1175" t="s">
        <v>3138</v>
      </c>
      <c r="C1175" t="s">
        <v>3138</v>
      </c>
      <c r="D1175">
        <v>262.35000000000002</v>
      </c>
      <c r="E1175" t="s">
        <v>3130</v>
      </c>
      <c r="F1175" s="186" t="s">
        <v>1875</v>
      </c>
      <c r="H1175" t="b">
        <v>1</v>
      </c>
      <c r="I1175">
        <v>262.35000000000002</v>
      </c>
      <c r="J1175" s="186" t="s">
        <v>1869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1915</v>
      </c>
      <c r="B1176" t="s">
        <v>3132</v>
      </c>
      <c r="C1176" t="s">
        <v>3132</v>
      </c>
      <c r="D1176">
        <v>312.45</v>
      </c>
      <c r="E1176" t="s">
        <v>3130</v>
      </c>
      <c r="F1176" s="186" t="s">
        <v>1875</v>
      </c>
      <c r="H1176" t="b">
        <v>1</v>
      </c>
      <c r="I1176">
        <v>312.45000000000005</v>
      </c>
      <c r="J1176" s="186" t="s">
        <v>1869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467</v>
      </c>
      <c r="B1177" t="s">
        <v>468</v>
      </c>
      <c r="C1177" t="s">
        <v>468</v>
      </c>
      <c r="D1177">
        <v>312.89999999999998</v>
      </c>
      <c r="E1177" t="s">
        <v>3130</v>
      </c>
      <c r="F1177" s="186" t="s">
        <v>466</v>
      </c>
      <c r="H1177" t="b">
        <v>1</v>
      </c>
      <c r="I1177">
        <v>312.90000000000003</v>
      </c>
      <c r="J1177" s="186" t="s">
        <v>464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1867</v>
      </c>
      <c r="B1178" t="s">
        <v>1868</v>
      </c>
      <c r="C1178" t="s">
        <v>1868</v>
      </c>
      <c r="D1178">
        <v>13.9</v>
      </c>
      <c r="E1178" t="s">
        <v>3130</v>
      </c>
      <c r="F1178" s="186" t="s">
        <v>1870</v>
      </c>
      <c r="H1178" t="b">
        <v>0</v>
      </c>
      <c r="I1178" t="s">
        <v>22</v>
      </c>
      <c r="J1178" s="186" t="s">
        <v>1869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1876</v>
      </c>
      <c r="B1179" t="s">
        <v>1877</v>
      </c>
      <c r="C1179" t="s">
        <v>1877</v>
      </c>
      <c r="D1179">
        <v>138.9</v>
      </c>
      <c r="E1179" t="s">
        <v>3130</v>
      </c>
      <c r="F1179" s="186" t="s">
        <v>1875</v>
      </c>
      <c r="H1179" t="b">
        <v>1</v>
      </c>
      <c r="I1179" t="s">
        <v>22</v>
      </c>
      <c r="J1179" s="186" t="s">
        <v>1869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1904</v>
      </c>
      <c r="B1180" t="s">
        <v>3135</v>
      </c>
      <c r="C1180" t="s">
        <v>3135</v>
      </c>
      <c r="D1180">
        <v>117.95</v>
      </c>
      <c r="E1180" t="s">
        <v>3130</v>
      </c>
      <c r="F1180" s="186" t="s">
        <v>1875</v>
      </c>
      <c r="H1180" t="b">
        <v>1</v>
      </c>
      <c r="I1180">
        <v>117.95</v>
      </c>
      <c r="J1180" s="186" t="s">
        <v>1869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1906</v>
      </c>
      <c r="B1181" t="s">
        <v>3136</v>
      </c>
      <c r="C1181" t="s">
        <v>3136</v>
      </c>
      <c r="D1181">
        <v>210.8</v>
      </c>
      <c r="E1181" t="s">
        <v>3130</v>
      </c>
      <c r="F1181" s="186" t="s">
        <v>1875</v>
      </c>
      <c r="H1181" t="b">
        <v>1</v>
      </c>
      <c r="I1181">
        <v>210.8</v>
      </c>
      <c r="J1181" s="186" t="s">
        <v>1869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1911</v>
      </c>
      <c r="B1182" t="s">
        <v>3131</v>
      </c>
      <c r="C1182" t="s">
        <v>3131</v>
      </c>
      <c r="D1182">
        <v>294.2</v>
      </c>
      <c r="E1182" t="s">
        <v>3130</v>
      </c>
      <c r="F1182" s="186" t="s">
        <v>1875</v>
      </c>
      <c r="H1182" t="b">
        <v>1</v>
      </c>
      <c r="I1182">
        <v>294.2</v>
      </c>
      <c r="J1182" s="186" t="s">
        <v>1869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1913</v>
      </c>
      <c r="B1183" t="s">
        <v>3140</v>
      </c>
      <c r="C1183" t="s">
        <v>1914</v>
      </c>
      <c r="D1183">
        <v>311.45</v>
      </c>
      <c r="E1183" t="s">
        <v>3130</v>
      </c>
      <c r="F1183" s="186" t="s">
        <v>1875</v>
      </c>
      <c r="H1183" t="b">
        <v>1</v>
      </c>
      <c r="I1183" t="s">
        <v>22</v>
      </c>
      <c r="J1183" s="186" t="s">
        <v>1869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1931</v>
      </c>
      <c r="B1184" t="s">
        <v>1932</v>
      </c>
      <c r="C1184" t="s">
        <v>1932</v>
      </c>
      <c r="D1184">
        <v>14.45</v>
      </c>
      <c r="E1184" t="s">
        <v>3130</v>
      </c>
      <c r="F1184" s="186" t="s">
        <v>1895</v>
      </c>
      <c r="H1184" t="b">
        <v>1</v>
      </c>
      <c r="I1184">
        <v>14.450000000000001</v>
      </c>
      <c r="J1184" s="186" t="s">
        <v>1869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1953</v>
      </c>
      <c r="B1185" t="s">
        <v>1954</v>
      </c>
      <c r="C1185" t="s">
        <v>1954</v>
      </c>
      <c r="D1185">
        <v>13.9</v>
      </c>
      <c r="E1185" t="s">
        <v>3130</v>
      </c>
      <c r="F1185" s="186" t="s">
        <v>1870</v>
      </c>
      <c r="H1185" t="b">
        <v>1</v>
      </c>
      <c r="I1185">
        <v>13.9</v>
      </c>
      <c r="J1185" s="186" t="s">
        <v>1869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1902</v>
      </c>
      <c r="B1186" t="s">
        <v>3137</v>
      </c>
      <c r="C1186" t="s">
        <v>3137</v>
      </c>
      <c r="D1186">
        <v>141.5</v>
      </c>
      <c r="E1186" t="s">
        <v>3130</v>
      </c>
      <c r="F1186" s="186" t="s">
        <v>1875</v>
      </c>
      <c r="H1186" t="b">
        <v>1</v>
      </c>
      <c r="I1186">
        <v>141.5</v>
      </c>
      <c r="J1186" s="186" t="s">
        <v>1869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1956</v>
      </c>
      <c r="B1187" t="s">
        <v>1957</v>
      </c>
      <c r="C1187" t="s">
        <v>1957</v>
      </c>
      <c r="D1187">
        <v>2.7</v>
      </c>
      <c r="E1187" t="s">
        <v>3130</v>
      </c>
      <c r="F1187" s="186" t="s">
        <v>1870</v>
      </c>
      <c r="H1187" t="b">
        <v>1</v>
      </c>
      <c r="I1187">
        <v>2.7</v>
      </c>
      <c r="J1187" s="186" t="s">
        <v>1869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1906</v>
      </c>
      <c r="B1188" t="s">
        <v>3136</v>
      </c>
      <c r="C1188" t="s">
        <v>3258</v>
      </c>
      <c r="D1188">
        <v>276.5</v>
      </c>
      <c r="E1188" t="s">
        <v>3130</v>
      </c>
      <c r="F1188" s="186" t="s">
        <v>1875</v>
      </c>
      <c r="H1188" t="b">
        <v>1</v>
      </c>
      <c r="I1188">
        <v>210.8</v>
      </c>
      <c r="J1188" s="186" t="s">
        <v>1869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1917</v>
      </c>
      <c r="B1189" t="s">
        <v>3133</v>
      </c>
      <c r="C1189" t="s">
        <v>1918</v>
      </c>
      <c r="D1189">
        <v>447</v>
      </c>
      <c r="E1189" t="s">
        <v>3130</v>
      </c>
      <c r="F1189" s="186" t="s">
        <v>1875</v>
      </c>
      <c r="H1189" t="b">
        <v>1</v>
      </c>
      <c r="I1189">
        <v>447</v>
      </c>
      <c r="J1189" s="186" t="s">
        <v>1869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1880</v>
      </c>
      <c r="B1190" t="s">
        <v>3139</v>
      </c>
      <c r="C1190" t="s">
        <v>1881</v>
      </c>
      <c r="D1190">
        <v>500</v>
      </c>
      <c r="E1190" t="s">
        <v>3130</v>
      </c>
      <c r="F1190" s="186" t="s">
        <v>1414</v>
      </c>
      <c r="H1190" t="b">
        <v>0</v>
      </c>
      <c r="I1190" t="s">
        <v>22</v>
      </c>
      <c r="J1190" s="186" t="s">
        <v>1869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1880</v>
      </c>
      <c r="B1191" t="s">
        <v>3139</v>
      </c>
      <c r="C1191" t="s">
        <v>1882</v>
      </c>
      <c r="D1191">
        <v>500</v>
      </c>
      <c r="E1191" t="s">
        <v>3130</v>
      </c>
      <c r="F1191" s="186" t="s">
        <v>1414</v>
      </c>
      <c r="H1191" t="b">
        <v>0</v>
      </c>
      <c r="I1191" t="s">
        <v>22</v>
      </c>
      <c r="J1191" s="186" t="s">
        <v>1869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1880</v>
      </c>
      <c r="B1192" t="s">
        <v>3139</v>
      </c>
      <c r="C1192" t="s">
        <v>1883</v>
      </c>
      <c r="D1192">
        <v>500</v>
      </c>
      <c r="E1192" t="s">
        <v>3130</v>
      </c>
      <c r="F1192" s="186" t="s">
        <v>1414</v>
      </c>
      <c r="H1192" t="b">
        <v>0</v>
      </c>
      <c r="I1192" t="s">
        <v>22</v>
      </c>
      <c r="J1192" s="186" t="s">
        <v>1869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1880</v>
      </c>
      <c r="B1193" t="s">
        <v>3139</v>
      </c>
      <c r="C1193" t="s">
        <v>1884</v>
      </c>
      <c r="D1193">
        <v>500</v>
      </c>
      <c r="E1193" t="s">
        <v>3130</v>
      </c>
      <c r="F1193" s="186" t="s">
        <v>1414</v>
      </c>
      <c r="H1193" t="b">
        <v>0</v>
      </c>
      <c r="I1193" t="s">
        <v>22</v>
      </c>
      <c r="J1193" s="186" t="s">
        <v>1869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1880</v>
      </c>
      <c r="B1194" t="s">
        <v>3139</v>
      </c>
      <c r="C1194" t="s">
        <v>1885</v>
      </c>
      <c r="D1194">
        <v>500</v>
      </c>
      <c r="E1194" t="s">
        <v>3130</v>
      </c>
      <c r="F1194" s="186" t="s">
        <v>1414</v>
      </c>
      <c r="H1194" t="b">
        <v>0</v>
      </c>
      <c r="I1194" t="s">
        <v>22</v>
      </c>
      <c r="J1194" s="186" t="s">
        <v>1869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1880</v>
      </c>
      <c r="B1195" t="s">
        <v>3139</v>
      </c>
      <c r="C1195" t="s">
        <v>1886</v>
      </c>
      <c r="D1195">
        <v>500</v>
      </c>
      <c r="E1195" t="s">
        <v>3130</v>
      </c>
      <c r="F1195" s="186" t="s">
        <v>1414</v>
      </c>
      <c r="H1195" t="b">
        <v>0</v>
      </c>
      <c r="I1195" t="s">
        <v>22</v>
      </c>
      <c r="J1195" s="186" t="s">
        <v>1869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1880</v>
      </c>
      <c r="B1196" t="s">
        <v>3139</v>
      </c>
      <c r="C1196" t="s">
        <v>1887</v>
      </c>
      <c r="D1196">
        <v>500</v>
      </c>
      <c r="E1196" t="s">
        <v>3130</v>
      </c>
      <c r="F1196" s="186" t="s">
        <v>1414</v>
      </c>
      <c r="H1196" t="b">
        <v>0</v>
      </c>
      <c r="I1196" t="s">
        <v>22</v>
      </c>
      <c r="J1196" s="186" t="s">
        <v>1869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1880</v>
      </c>
      <c r="B1197" t="s">
        <v>3139</v>
      </c>
      <c r="C1197" t="s">
        <v>1888</v>
      </c>
      <c r="D1197">
        <v>500</v>
      </c>
      <c r="E1197" t="s">
        <v>3130</v>
      </c>
      <c r="F1197" s="186" t="s">
        <v>1414</v>
      </c>
      <c r="H1197" t="b">
        <v>0</v>
      </c>
      <c r="I1197" t="s">
        <v>22</v>
      </c>
      <c r="J1197" s="186" t="s">
        <v>1869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1880</v>
      </c>
      <c r="B1198" t="s">
        <v>3139</v>
      </c>
      <c r="C1198" t="s">
        <v>1889</v>
      </c>
      <c r="D1198">
        <v>500</v>
      </c>
      <c r="E1198" t="s">
        <v>3130</v>
      </c>
      <c r="F1198" s="186" t="s">
        <v>1414</v>
      </c>
      <c r="H1198" t="b">
        <v>0</v>
      </c>
      <c r="I1198" t="s">
        <v>22</v>
      </c>
      <c r="J1198" s="186" t="s">
        <v>1869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1880</v>
      </c>
      <c r="B1199" t="s">
        <v>3139</v>
      </c>
      <c r="C1199" t="s">
        <v>1890</v>
      </c>
      <c r="D1199">
        <v>500</v>
      </c>
      <c r="E1199" t="s">
        <v>3130</v>
      </c>
      <c r="F1199" s="186" t="s">
        <v>1414</v>
      </c>
      <c r="H1199" t="b">
        <v>0</v>
      </c>
      <c r="I1199" t="s">
        <v>22</v>
      </c>
      <c r="J1199" s="186" t="s">
        <v>1869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1880</v>
      </c>
      <c r="B1200" t="s">
        <v>3139</v>
      </c>
      <c r="C1200" t="s">
        <v>1891</v>
      </c>
      <c r="D1200">
        <v>500</v>
      </c>
      <c r="E1200" t="s">
        <v>3130</v>
      </c>
      <c r="F1200" s="186" t="s">
        <v>1414</v>
      </c>
      <c r="H1200" t="b">
        <v>0</v>
      </c>
      <c r="I1200" t="s">
        <v>22</v>
      </c>
      <c r="J1200" s="186" t="s">
        <v>1869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1880</v>
      </c>
      <c r="B1201" t="s">
        <v>3139</v>
      </c>
      <c r="C1201" t="s">
        <v>1892</v>
      </c>
      <c r="D1201">
        <v>500</v>
      </c>
      <c r="E1201" t="s">
        <v>3130</v>
      </c>
      <c r="F1201" s="186" t="s">
        <v>1414</v>
      </c>
      <c r="H1201" t="b">
        <v>0</v>
      </c>
      <c r="I1201" t="s">
        <v>22</v>
      </c>
      <c r="J1201" s="186" t="s">
        <v>1869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1893</v>
      </c>
      <c r="B1202" t="s">
        <v>1894</v>
      </c>
      <c r="C1202" t="s">
        <v>1894</v>
      </c>
      <c r="D1202">
        <v>20.45</v>
      </c>
      <c r="E1202" t="s">
        <v>3130</v>
      </c>
      <c r="F1202" s="186" t="s">
        <v>1895</v>
      </c>
      <c r="H1202" t="b">
        <v>1</v>
      </c>
      <c r="I1202" t="s">
        <v>22</v>
      </c>
      <c r="J1202" s="186" t="s">
        <v>1869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1873</v>
      </c>
      <c r="B1203" t="s">
        <v>3960</v>
      </c>
      <c r="C1203" t="s">
        <v>1874</v>
      </c>
      <c r="E1203" t="s">
        <v>3130</v>
      </c>
      <c r="F1203" s="186" t="s">
        <v>1875</v>
      </c>
      <c r="H1203" t="b">
        <v>0</v>
      </c>
      <c r="I1203" t="s">
        <v>22</v>
      </c>
      <c r="J1203" s="186" t="s">
        <v>1869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1871</v>
      </c>
      <c r="B1204" t="s">
        <v>1872</v>
      </c>
      <c r="C1204" t="s">
        <v>1872</v>
      </c>
      <c r="D1204">
        <v>13.9</v>
      </c>
      <c r="E1204" t="s">
        <v>3130</v>
      </c>
      <c r="F1204" s="186" t="s">
        <v>1870</v>
      </c>
      <c r="H1204" t="b">
        <v>1</v>
      </c>
      <c r="I1204" t="s">
        <v>22</v>
      </c>
      <c r="J1204" s="186" t="s">
        <v>1869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1878</v>
      </c>
      <c r="B1205" t="s">
        <v>1879</v>
      </c>
      <c r="C1205" t="s">
        <v>1879</v>
      </c>
      <c r="D1205">
        <v>95</v>
      </c>
      <c r="E1205" t="s">
        <v>3130</v>
      </c>
      <c r="F1205" s="186" t="s">
        <v>1875</v>
      </c>
      <c r="H1205" t="b">
        <v>1</v>
      </c>
      <c r="I1205" t="s">
        <v>22</v>
      </c>
      <c r="J1205" s="186" t="s">
        <v>1869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2310</v>
      </c>
      <c r="B1206" t="s">
        <v>2311</v>
      </c>
      <c r="C1206" t="s">
        <v>2311</v>
      </c>
      <c r="D1206">
        <v>181.35</v>
      </c>
      <c r="E1206" t="s">
        <v>3142</v>
      </c>
      <c r="F1206" s="186" t="s">
        <v>2288</v>
      </c>
      <c r="H1206" t="b">
        <v>1</v>
      </c>
      <c r="I1206">
        <v>181.35000000000002</v>
      </c>
      <c r="J1206" s="186" t="s">
        <v>2287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2285</v>
      </c>
      <c r="B1207" t="s">
        <v>2286</v>
      </c>
      <c r="C1207" t="s">
        <v>2286</v>
      </c>
      <c r="D1207">
        <v>181.35</v>
      </c>
      <c r="E1207" t="s">
        <v>3142</v>
      </c>
      <c r="F1207" s="186" t="s">
        <v>2288</v>
      </c>
      <c r="H1207" t="b">
        <v>1</v>
      </c>
      <c r="I1207" t="s">
        <v>22</v>
      </c>
      <c r="J1207" s="186" t="s">
        <v>2287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2313</v>
      </c>
      <c r="B1208" t="s">
        <v>2314</v>
      </c>
      <c r="C1208" t="s">
        <v>2314</v>
      </c>
      <c r="D1208">
        <v>117.95</v>
      </c>
      <c r="E1208" t="s">
        <v>3142</v>
      </c>
      <c r="F1208" s="186" t="s">
        <v>2288</v>
      </c>
      <c r="H1208" t="b">
        <v>1</v>
      </c>
      <c r="I1208">
        <v>117.95</v>
      </c>
      <c r="J1208" s="186" t="s">
        <v>2287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2289</v>
      </c>
      <c r="B1209" t="s">
        <v>2290</v>
      </c>
      <c r="C1209" t="s">
        <v>2290</v>
      </c>
      <c r="D1209">
        <v>75.5</v>
      </c>
      <c r="E1209" t="s">
        <v>3142</v>
      </c>
      <c r="F1209" s="186" t="s">
        <v>3961</v>
      </c>
      <c r="H1209" t="b">
        <v>1</v>
      </c>
      <c r="I1209">
        <v>75.5</v>
      </c>
      <c r="J1209" s="186" t="s">
        <v>2287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2307</v>
      </c>
      <c r="B1210" t="s">
        <v>2308</v>
      </c>
      <c r="C1210" t="s">
        <v>2308</v>
      </c>
      <c r="D1210">
        <v>67.5</v>
      </c>
      <c r="E1210" t="s">
        <v>3142</v>
      </c>
      <c r="F1210" s="186" t="s">
        <v>3961</v>
      </c>
      <c r="H1210" t="b">
        <v>1</v>
      </c>
      <c r="I1210">
        <v>67.5</v>
      </c>
      <c r="J1210" s="186" t="s">
        <v>2287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2295</v>
      </c>
      <c r="B1211" t="s">
        <v>2296</v>
      </c>
      <c r="C1211" t="s">
        <v>2296</v>
      </c>
      <c r="D1211">
        <v>149.19999999999999</v>
      </c>
      <c r="E1211" t="s">
        <v>3142</v>
      </c>
      <c r="F1211" s="186" t="s">
        <v>2288</v>
      </c>
      <c r="H1211" t="b">
        <v>1</v>
      </c>
      <c r="I1211">
        <v>149.20000000000002</v>
      </c>
      <c r="J1211" s="186" t="s">
        <v>2287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2304</v>
      </c>
      <c r="B1212" t="s">
        <v>2305</v>
      </c>
      <c r="C1212" t="s">
        <v>2305</v>
      </c>
      <c r="D1212">
        <v>156.25</v>
      </c>
      <c r="E1212" t="s">
        <v>3142</v>
      </c>
      <c r="F1212" s="186" t="s">
        <v>2288</v>
      </c>
      <c r="H1212" t="b">
        <v>1</v>
      </c>
      <c r="I1212">
        <v>156.25</v>
      </c>
      <c r="J1212" s="186" t="s">
        <v>2287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2315</v>
      </c>
      <c r="B1213" t="s">
        <v>2316</v>
      </c>
      <c r="C1213" t="s">
        <v>2316</v>
      </c>
      <c r="D1213">
        <v>150.05000000000001</v>
      </c>
      <c r="E1213" t="s">
        <v>3142</v>
      </c>
      <c r="F1213" s="186" t="s">
        <v>2288</v>
      </c>
      <c r="H1213" t="b">
        <v>1</v>
      </c>
      <c r="I1213">
        <v>150.05000000000001</v>
      </c>
      <c r="J1213" s="186" t="s">
        <v>2287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2292</v>
      </c>
      <c r="B1214" t="s">
        <v>2293</v>
      </c>
      <c r="C1214" t="s">
        <v>2293</v>
      </c>
      <c r="D1214">
        <v>141.5</v>
      </c>
      <c r="E1214" t="s">
        <v>3142</v>
      </c>
      <c r="F1214" s="186" t="s">
        <v>3961</v>
      </c>
      <c r="H1214" t="b">
        <v>1</v>
      </c>
      <c r="I1214">
        <v>141.5</v>
      </c>
      <c r="J1214" s="186" t="s">
        <v>2287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2332</v>
      </c>
      <c r="B1215" t="s">
        <v>2333</v>
      </c>
      <c r="C1215" t="s">
        <v>2333</v>
      </c>
      <c r="D1215">
        <v>77</v>
      </c>
      <c r="E1215" t="s">
        <v>3143</v>
      </c>
      <c r="F1215" s="186" t="s">
        <v>3962</v>
      </c>
      <c r="H1215" t="b">
        <v>1</v>
      </c>
      <c r="I1215">
        <v>77</v>
      </c>
      <c r="J1215" s="186" t="s">
        <v>2320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2336</v>
      </c>
      <c r="B1216" t="s">
        <v>2337</v>
      </c>
      <c r="C1216" t="s">
        <v>2337</v>
      </c>
      <c r="D1216">
        <v>72.849999999999994</v>
      </c>
      <c r="E1216" t="s">
        <v>3143</v>
      </c>
      <c r="F1216" s="186" t="s">
        <v>3962</v>
      </c>
      <c r="H1216" t="b">
        <v>1</v>
      </c>
      <c r="I1216">
        <v>72.850000000000009</v>
      </c>
      <c r="J1216" s="186" t="s">
        <v>2320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2353</v>
      </c>
      <c r="B1217" t="s">
        <v>2354</v>
      </c>
      <c r="C1217" t="s">
        <v>2354</v>
      </c>
      <c r="D1217">
        <v>25.35</v>
      </c>
      <c r="E1217" t="s">
        <v>3143</v>
      </c>
      <c r="F1217" s="186" t="s">
        <v>3962</v>
      </c>
      <c r="H1217" t="b">
        <v>1</v>
      </c>
      <c r="I1217">
        <v>25.35</v>
      </c>
      <c r="J1217" s="186" t="s">
        <v>2320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2367</v>
      </c>
      <c r="B1218" t="s">
        <v>2368</v>
      </c>
      <c r="C1218" t="s">
        <v>2368</v>
      </c>
      <c r="D1218">
        <v>66.349999999999994</v>
      </c>
      <c r="E1218" t="s">
        <v>3143</v>
      </c>
      <c r="F1218" s="186" t="s">
        <v>2321</v>
      </c>
      <c r="H1218" t="b">
        <v>1</v>
      </c>
      <c r="I1218">
        <v>66.350000000000009</v>
      </c>
      <c r="J1218" s="186" t="s">
        <v>2320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2378</v>
      </c>
      <c r="B1219" t="s">
        <v>2379</v>
      </c>
      <c r="C1219" t="s">
        <v>2379</v>
      </c>
      <c r="D1219">
        <v>16.55</v>
      </c>
      <c r="E1219" t="s">
        <v>3143</v>
      </c>
      <c r="F1219" s="186" t="s">
        <v>2321</v>
      </c>
      <c r="H1219" t="b">
        <v>1</v>
      </c>
      <c r="I1219">
        <v>16.55</v>
      </c>
      <c r="J1219" s="186" t="s">
        <v>2320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2338</v>
      </c>
      <c r="B1220" t="s">
        <v>2339</v>
      </c>
      <c r="C1220" t="s">
        <v>2339</v>
      </c>
      <c r="D1220">
        <v>31.9</v>
      </c>
      <c r="E1220" t="s">
        <v>3143</v>
      </c>
      <c r="F1220" s="186" t="s">
        <v>2321</v>
      </c>
      <c r="H1220" t="b">
        <v>1</v>
      </c>
      <c r="I1220">
        <v>31.900000000000002</v>
      </c>
      <c r="J1220" s="186" t="s">
        <v>2320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2344</v>
      </c>
      <c r="B1221" t="s">
        <v>2345</v>
      </c>
      <c r="C1221" t="s">
        <v>2345</v>
      </c>
      <c r="D1221">
        <v>78.150000000000006</v>
      </c>
      <c r="E1221" t="s">
        <v>3143</v>
      </c>
      <c r="F1221" s="186" t="s">
        <v>2321</v>
      </c>
      <c r="H1221" t="b">
        <v>1</v>
      </c>
      <c r="I1221">
        <v>78.150000000000006</v>
      </c>
      <c r="J1221" s="186" t="s">
        <v>2320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2356</v>
      </c>
      <c r="B1222" t="s">
        <v>2357</v>
      </c>
      <c r="C1222" t="s">
        <v>2357</v>
      </c>
      <c r="D1222">
        <v>36.6</v>
      </c>
      <c r="E1222" t="s">
        <v>3143</v>
      </c>
      <c r="F1222" s="186" t="s">
        <v>2321</v>
      </c>
      <c r="H1222" t="b">
        <v>1</v>
      </c>
      <c r="I1222">
        <v>36.6</v>
      </c>
      <c r="J1222" s="186" t="s">
        <v>2320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2371</v>
      </c>
      <c r="B1223" t="s">
        <v>2372</v>
      </c>
      <c r="C1223" t="s">
        <v>2372</v>
      </c>
      <c r="D1223">
        <v>49.3</v>
      </c>
      <c r="E1223" t="s">
        <v>3143</v>
      </c>
      <c r="F1223" s="186" t="s">
        <v>2321</v>
      </c>
      <c r="H1223" t="b">
        <v>1</v>
      </c>
      <c r="I1223">
        <v>49.300000000000004</v>
      </c>
      <c r="J1223" s="186" t="s">
        <v>2320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2327</v>
      </c>
      <c r="B1224" t="s">
        <v>2328</v>
      </c>
      <c r="C1224" t="s">
        <v>2328</v>
      </c>
      <c r="E1224" t="s">
        <v>3143</v>
      </c>
      <c r="F1224" s="186" t="s">
        <v>2321</v>
      </c>
      <c r="H1224" t="b">
        <v>0</v>
      </c>
      <c r="I1224" t="s">
        <v>22</v>
      </c>
      <c r="J1224" s="186" t="s">
        <v>2320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2362</v>
      </c>
      <c r="B1225" t="s">
        <v>2363</v>
      </c>
      <c r="C1225" t="s">
        <v>2363</v>
      </c>
      <c r="D1225">
        <v>30.4</v>
      </c>
      <c r="E1225" t="s">
        <v>3143</v>
      </c>
      <c r="F1225" s="186" t="s">
        <v>2321</v>
      </c>
      <c r="H1225" t="b">
        <v>1</v>
      </c>
      <c r="I1225">
        <v>30.400000000000002</v>
      </c>
      <c r="J1225" s="186" t="s">
        <v>2320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2365</v>
      </c>
      <c r="B1226" t="s">
        <v>2366</v>
      </c>
      <c r="C1226" t="s">
        <v>2366</v>
      </c>
      <c r="D1226">
        <v>32.25</v>
      </c>
      <c r="E1226" t="s">
        <v>3143</v>
      </c>
      <c r="F1226" s="186" t="s">
        <v>2321</v>
      </c>
      <c r="H1226" t="b">
        <v>1</v>
      </c>
      <c r="I1226">
        <v>32.25</v>
      </c>
      <c r="J1226" s="186" t="s">
        <v>2320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2341</v>
      </c>
      <c r="B1227" t="s">
        <v>2342</v>
      </c>
      <c r="C1227" t="s">
        <v>2342</v>
      </c>
      <c r="D1227">
        <v>214.65</v>
      </c>
      <c r="E1227" t="s">
        <v>3143</v>
      </c>
      <c r="F1227" s="186" t="s">
        <v>2321</v>
      </c>
      <c r="H1227" t="b">
        <v>1</v>
      </c>
      <c r="I1227">
        <v>214.65</v>
      </c>
      <c r="J1227" s="186" t="s">
        <v>2320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2346</v>
      </c>
      <c r="B1228" t="s">
        <v>2347</v>
      </c>
      <c r="C1228" t="s">
        <v>2347</v>
      </c>
      <c r="D1228">
        <v>113.5</v>
      </c>
      <c r="E1228" t="s">
        <v>3143</v>
      </c>
      <c r="F1228" s="186" t="s">
        <v>2321</v>
      </c>
      <c r="H1228" t="b">
        <v>1</v>
      </c>
      <c r="I1228">
        <v>113.5</v>
      </c>
      <c r="J1228" s="186" t="s">
        <v>2320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2358</v>
      </c>
      <c r="B1229" t="s">
        <v>2359</v>
      </c>
      <c r="C1229" t="s">
        <v>2359</v>
      </c>
      <c r="D1229">
        <v>36.6</v>
      </c>
      <c r="E1229" t="s">
        <v>3143</v>
      </c>
      <c r="F1229" s="186" t="s">
        <v>2321</v>
      </c>
      <c r="H1229" t="b">
        <v>1</v>
      </c>
      <c r="I1229">
        <v>36.6</v>
      </c>
      <c r="J1229" s="186" t="s">
        <v>2320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2375</v>
      </c>
      <c r="B1230" t="s">
        <v>2376</v>
      </c>
      <c r="C1230" t="s">
        <v>2376</v>
      </c>
      <c r="D1230">
        <v>211.4</v>
      </c>
      <c r="E1230" t="s">
        <v>3143</v>
      </c>
      <c r="F1230" s="186" t="s">
        <v>2321</v>
      </c>
      <c r="H1230" t="b">
        <v>1</v>
      </c>
      <c r="I1230">
        <v>211.4</v>
      </c>
      <c r="J1230" s="186" t="s">
        <v>2320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2325</v>
      </c>
      <c r="B1231" t="s">
        <v>2326</v>
      </c>
      <c r="C1231" t="s">
        <v>2326</v>
      </c>
      <c r="D1231">
        <v>25.35</v>
      </c>
      <c r="E1231" t="s">
        <v>3143</v>
      </c>
      <c r="F1231" s="186" t="s">
        <v>2321</v>
      </c>
      <c r="H1231" t="b">
        <v>1</v>
      </c>
      <c r="I1231" t="s">
        <v>22</v>
      </c>
      <c r="J1231" s="186" t="s">
        <v>2320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2373</v>
      </c>
      <c r="B1232" t="s">
        <v>3144</v>
      </c>
      <c r="C1232" t="s">
        <v>2322</v>
      </c>
      <c r="D1232">
        <v>170.7</v>
      </c>
      <c r="E1232" t="s">
        <v>3143</v>
      </c>
      <c r="F1232" s="186" t="s">
        <v>2321</v>
      </c>
      <c r="H1232" t="b">
        <v>1</v>
      </c>
      <c r="I1232">
        <v>170.70000000000002</v>
      </c>
      <c r="J1232" s="186" t="s">
        <v>2320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2351</v>
      </c>
      <c r="B1233" t="s">
        <v>2352</v>
      </c>
      <c r="C1233" t="s">
        <v>2352</v>
      </c>
      <c r="D1233">
        <v>116.2</v>
      </c>
      <c r="E1233" t="s">
        <v>3143</v>
      </c>
      <c r="F1233" s="186" t="s">
        <v>2321</v>
      </c>
      <c r="H1233" t="b">
        <v>1</v>
      </c>
      <c r="I1233">
        <v>116.2</v>
      </c>
      <c r="J1233" s="186" t="s">
        <v>2320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2349</v>
      </c>
      <c r="B1234" t="s">
        <v>3145</v>
      </c>
      <c r="C1234" t="s">
        <v>2350</v>
      </c>
      <c r="D1234">
        <v>33.35</v>
      </c>
      <c r="E1234" t="s">
        <v>3143</v>
      </c>
      <c r="F1234" s="186" t="s">
        <v>2321</v>
      </c>
      <c r="H1234" t="b">
        <v>1</v>
      </c>
      <c r="I1234">
        <v>33.35</v>
      </c>
      <c r="J1234" s="186" t="s">
        <v>2320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2360</v>
      </c>
      <c r="B1235" t="s">
        <v>2361</v>
      </c>
      <c r="C1235" t="s">
        <v>2361</v>
      </c>
      <c r="D1235">
        <v>61.9</v>
      </c>
      <c r="E1235" t="s">
        <v>3143</v>
      </c>
      <c r="F1235" s="186" t="s">
        <v>2321</v>
      </c>
      <c r="H1235" t="b">
        <v>1</v>
      </c>
      <c r="I1235">
        <v>61.900000000000006</v>
      </c>
      <c r="J1235" s="186" t="s">
        <v>2320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2329</v>
      </c>
      <c r="B1236" t="s">
        <v>3146</v>
      </c>
      <c r="C1236" t="s">
        <v>2330</v>
      </c>
      <c r="D1236">
        <v>500</v>
      </c>
      <c r="E1236" t="s">
        <v>3143</v>
      </c>
      <c r="F1236" s="186" t="s">
        <v>2321</v>
      </c>
      <c r="H1236" t="b">
        <v>0</v>
      </c>
      <c r="I1236" t="s">
        <v>22</v>
      </c>
      <c r="J1236" s="186" t="s">
        <v>2320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2329</v>
      </c>
      <c r="B1237" t="s">
        <v>3146</v>
      </c>
      <c r="C1237" t="s">
        <v>2331</v>
      </c>
      <c r="D1237">
        <v>500</v>
      </c>
      <c r="E1237" t="s">
        <v>3143</v>
      </c>
      <c r="F1237" s="186" t="s">
        <v>2321</v>
      </c>
      <c r="H1237" t="b">
        <v>0</v>
      </c>
      <c r="I1237" t="s">
        <v>22</v>
      </c>
      <c r="J1237" s="186" t="s">
        <v>2320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2323</v>
      </c>
      <c r="B1238" t="s">
        <v>2324</v>
      </c>
      <c r="C1238" t="s">
        <v>2324</v>
      </c>
      <c r="D1238">
        <v>95</v>
      </c>
      <c r="E1238" t="s">
        <v>3143</v>
      </c>
      <c r="F1238" s="186" t="s">
        <v>2321</v>
      </c>
      <c r="H1238" t="b">
        <v>1</v>
      </c>
      <c r="I1238" t="s">
        <v>22</v>
      </c>
      <c r="J1238" s="186" t="s">
        <v>2320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2318</v>
      </c>
      <c r="B1239" t="s">
        <v>2319</v>
      </c>
      <c r="C1239" t="s">
        <v>2319</v>
      </c>
      <c r="D1239">
        <v>170.7</v>
      </c>
      <c r="E1239" t="s">
        <v>3143</v>
      </c>
      <c r="F1239" s="186" t="s">
        <v>2321</v>
      </c>
      <c r="H1239" t="b">
        <v>1</v>
      </c>
      <c r="I1239" t="s">
        <v>22</v>
      </c>
      <c r="J1239" s="186" t="s">
        <v>2320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2318</v>
      </c>
      <c r="B1240" t="s">
        <v>2319</v>
      </c>
      <c r="C1240" t="s">
        <v>2322</v>
      </c>
      <c r="D1240">
        <v>170.7</v>
      </c>
      <c r="E1240" t="s">
        <v>3143</v>
      </c>
      <c r="F1240" s="186" t="s">
        <v>2321</v>
      </c>
      <c r="H1240" t="b">
        <v>1</v>
      </c>
      <c r="I1240" t="s">
        <v>22</v>
      </c>
      <c r="J1240" s="186" t="s">
        <v>2320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1126</v>
      </c>
      <c r="B1241" t="s">
        <v>1127</v>
      </c>
      <c r="C1241" t="s">
        <v>1127</v>
      </c>
      <c r="D1241">
        <v>55.05</v>
      </c>
      <c r="E1241" t="s">
        <v>3147</v>
      </c>
      <c r="F1241" s="186" t="s">
        <v>952</v>
      </c>
      <c r="H1241" t="b">
        <v>1</v>
      </c>
      <c r="I1241">
        <v>55.050000000000004</v>
      </c>
      <c r="J1241" s="186" t="s">
        <v>941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953</v>
      </c>
      <c r="B1242" t="s">
        <v>954</v>
      </c>
      <c r="C1242" t="s">
        <v>954</v>
      </c>
      <c r="D1242">
        <v>43.3</v>
      </c>
      <c r="E1242" t="s">
        <v>3147</v>
      </c>
      <c r="F1242" s="186" t="s">
        <v>952</v>
      </c>
      <c r="H1242" t="b">
        <v>1</v>
      </c>
      <c r="I1242" t="s">
        <v>22</v>
      </c>
      <c r="J1242" s="186" t="s">
        <v>941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1102</v>
      </c>
      <c r="B1243" t="s">
        <v>3150</v>
      </c>
      <c r="C1243" t="s">
        <v>1103</v>
      </c>
      <c r="D1243">
        <v>39.799999999999997</v>
      </c>
      <c r="E1243" t="s">
        <v>3147</v>
      </c>
      <c r="F1243" s="186" t="s">
        <v>952</v>
      </c>
      <c r="H1243" t="b">
        <v>1</v>
      </c>
      <c r="I1243">
        <v>39.800000000000004</v>
      </c>
      <c r="J1243" s="186" t="s">
        <v>941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1108</v>
      </c>
      <c r="B1244" t="s">
        <v>1109</v>
      </c>
      <c r="C1244" t="s">
        <v>1109</v>
      </c>
      <c r="D1244">
        <v>36</v>
      </c>
      <c r="E1244" t="s">
        <v>3147</v>
      </c>
      <c r="F1244" s="186" t="s">
        <v>952</v>
      </c>
      <c r="H1244" t="b">
        <v>1</v>
      </c>
      <c r="I1244">
        <v>36</v>
      </c>
      <c r="J1244" s="186" t="s">
        <v>941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1165</v>
      </c>
      <c r="B1245" t="s">
        <v>1166</v>
      </c>
      <c r="C1245" t="s">
        <v>1166</v>
      </c>
      <c r="D1245">
        <v>63.7</v>
      </c>
      <c r="E1245" t="s">
        <v>3147</v>
      </c>
      <c r="F1245" s="186" t="s">
        <v>952</v>
      </c>
      <c r="H1245" t="b">
        <v>1</v>
      </c>
      <c r="I1245">
        <v>63.7</v>
      </c>
      <c r="J1245" s="186" t="s">
        <v>941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1173</v>
      </c>
      <c r="B1246" t="s">
        <v>1174</v>
      </c>
      <c r="C1246" t="s">
        <v>1174</v>
      </c>
      <c r="D1246">
        <v>50.45</v>
      </c>
      <c r="E1246" t="s">
        <v>3147</v>
      </c>
      <c r="F1246" s="186" t="s">
        <v>994</v>
      </c>
      <c r="H1246" t="b">
        <v>1</v>
      </c>
      <c r="I1246">
        <v>50.45</v>
      </c>
      <c r="J1246" s="186" t="s">
        <v>941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2426</v>
      </c>
      <c r="B1247" t="s">
        <v>2427</v>
      </c>
      <c r="C1247" t="s">
        <v>2427</v>
      </c>
      <c r="D1247">
        <v>41</v>
      </c>
      <c r="E1247" t="s">
        <v>3147</v>
      </c>
      <c r="F1247" s="186" t="s">
        <v>2384</v>
      </c>
      <c r="H1247" t="b">
        <v>1</v>
      </c>
      <c r="I1247">
        <v>41</v>
      </c>
      <c r="J1247" s="186" t="s">
        <v>2383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1111</v>
      </c>
      <c r="B1248" t="s">
        <v>1112</v>
      </c>
      <c r="C1248" t="s">
        <v>1112</v>
      </c>
      <c r="D1248">
        <v>27.75</v>
      </c>
      <c r="E1248" t="s">
        <v>3147</v>
      </c>
      <c r="F1248" s="186" t="s">
        <v>952</v>
      </c>
      <c r="H1248" t="b">
        <v>1</v>
      </c>
      <c r="I1248">
        <v>27.75</v>
      </c>
      <c r="J1248" s="186" t="s">
        <v>941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1114</v>
      </c>
      <c r="B1249" t="s">
        <v>1115</v>
      </c>
      <c r="C1249" t="s">
        <v>1115</v>
      </c>
      <c r="D1249">
        <v>31.25</v>
      </c>
      <c r="E1249" t="s">
        <v>3147</v>
      </c>
      <c r="F1249" s="186" t="s">
        <v>952</v>
      </c>
      <c r="H1249" t="b">
        <v>1</v>
      </c>
      <c r="I1249">
        <v>31.25</v>
      </c>
      <c r="J1249" s="186" t="s">
        <v>941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1117</v>
      </c>
      <c r="B1250" t="s">
        <v>1118</v>
      </c>
      <c r="C1250" t="s">
        <v>1118</v>
      </c>
      <c r="D1250">
        <v>31.25</v>
      </c>
      <c r="E1250" t="s">
        <v>3147</v>
      </c>
      <c r="F1250" s="186" t="s">
        <v>952</v>
      </c>
      <c r="H1250" t="b">
        <v>1</v>
      </c>
      <c r="I1250">
        <v>31.25</v>
      </c>
      <c r="J1250" s="186" t="s">
        <v>941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1090</v>
      </c>
      <c r="B1251" t="s">
        <v>1091</v>
      </c>
      <c r="C1251" t="s">
        <v>1091</v>
      </c>
      <c r="D1251">
        <v>84.9</v>
      </c>
      <c r="E1251" t="s">
        <v>3147</v>
      </c>
      <c r="F1251" s="186" t="s">
        <v>952</v>
      </c>
      <c r="H1251" t="b">
        <v>1</v>
      </c>
      <c r="I1251">
        <v>84.9</v>
      </c>
      <c r="J1251" s="186" t="s">
        <v>941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1094</v>
      </c>
      <c r="B1252" t="s">
        <v>1095</v>
      </c>
      <c r="C1252" t="s">
        <v>1095</v>
      </c>
      <c r="D1252">
        <v>91.35</v>
      </c>
      <c r="E1252" t="s">
        <v>3147</v>
      </c>
      <c r="F1252" s="186" t="s">
        <v>952</v>
      </c>
      <c r="H1252" t="b">
        <v>1</v>
      </c>
      <c r="I1252">
        <v>91.350000000000009</v>
      </c>
      <c r="J1252" s="186" t="s">
        <v>941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1099</v>
      </c>
      <c r="B1253" t="s">
        <v>3148</v>
      </c>
      <c r="C1253" t="s">
        <v>1100</v>
      </c>
      <c r="D1253">
        <v>84.9</v>
      </c>
      <c r="E1253" t="s">
        <v>3147</v>
      </c>
      <c r="F1253" s="186" t="s">
        <v>952</v>
      </c>
      <c r="H1253" t="b">
        <v>1</v>
      </c>
      <c r="I1253">
        <v>84.9</v>
      </c>
      <c r="J1253" s="186" t="s">
        <v>941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961</v>
      </c>
      <c r="B1254" t="s">
        <v>962</v>
      </c>
      <c r="C1254" t="s">
        <v>962</v>
      </c>
      <c r="D1254">
        <v>93.45</v>
      </c>
      <c r="E1254" t="s">
        <v>3147</v>
      </c>
      <c r="F1254" s="186" t="s">
        <v>952</v>
      </c>
      <c r="H1254" t="b">
        <v>0</v>
      </c>
      <c r="I1254">
        <v>93.45</v>
      </c>
      <c r="J1254" s="186" t="s">
        <v>941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2424</v>
      </c>
      <c r="B1255" t="s">
        <v>2425</v>
      </c>
      <c r="C1255" t="s">
        <v>2425</v>
      </c>
      <c r="D1255">
        <v>34.549999999999997</v>
      </c>
      <c r="E1255" t="s">
        <v>3147</v>
      </c>
      <c r="F1255" s="186" t="s">
        <v>2384</v>
      </c>
      <c r="H1255" t="b">
        <v>1</v>
      </c>
      <c r="I1255">
        <v>34.550000000000004</v>
      </c>
      <c r="J1255" s="186" t="s">
        <v>2383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1162</v>
      </c>
      <c r="B1256" t="s">
        <v>1163</v>
      </c>
      <c r="C1256" t="s">
        <v>1163</v>
      </c>
      <c r="D1256">
        <v>63.7</v>
      </c>
      <c r="E1256" t="s">
        <v>3147</v>
      </c>
      <c r="F1256" s="186" t="s">
        <v>994</v>
      </c>
      <c r="H1256" t="b">
        <v>1</v>
      </c>
      <c r="I1256">
        <v>63.7</v>
      </c>
      <c r="J1256" s="186" t="s">
        <v>941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2432</v>
      </c>
      <c r="B1257" t="s">
        <v>2433</v>
      </c>
      <c r="C1257" t="s">
        <v>2433</v>
      </c>
      <c r="D1257">
        <v>57.2</v>
      </c>
      <c r="E1257" t="s">
        <v>3147</v>
      </c>
      <c r="F1257" s="186" t="s">
        <v>2384</v>
      </c>
      <c r="H1257" t="b">
        <v>1</v>
      </c>
      <c r="I1257">
        <v>57.2</v>
      </c>
      <c r="J1257" s="186" t="s">
        <v>2383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2429</v>
      </c>
      <c r="B1258" t="s">
        <v>2430</v>
      </c>
      <c r="C1258" t="s">
        <v>2430</v>
      </c>
      <c r="D1258">
        <v>91.35</v>
      </c>
      <c r="E1258" t="s">
        <v>3147</v>
      </c>
      <c r="F1258" s="186" t="s">
        <v>2384</v>
      </c>
      <c r="H1258" t="b">
        <v>1</v>
      </c>
      <c r="I1258">
        <v>91.350000000000009</v>
      </c>
      <c r="J1258" s="186" t="s">
        <v>2383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1140</v>
      </c>
      <c r="B1259" t="s">
        <v>1141</v>
      </c>
      <c r="C1259" t="s">
        <v>1141</v>
      </c>
      <c r="D1259">
        <v>23.35</v>
      </c>
      <c r="E1259" t="s">
        <v>3147</v>
      </c>
      <c r="F1259" s="186" t="s">
        <v>994</v>
      </c>
      <c r="H1259" t="b">
        <v>1</v>
      </c>
      <c r="I1259">
        <v>23.35</v>
      </c>
      <c r="J1259" s="186" t="s">
        <v>941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1171</v>
      </c>
      <c r="B1260" t="s">
        <v>1172</v>
      </c>
      <c r="C1260" t="s">
        <v>1172</v>
      </c>
      <c r="D1260">
        <v>38.700000000000003</v>
      </c>
      <c r="E1260" t="s">
        <v>3147</v>
      </c>
      <c r="F1260" s="186" t="s">
        <v>994</v>
      </c>
      <c r="H1260" t="b">
        <v>1</v>
      </c>
      <c r="I1260">
        <v>38.700000000000003</v>
      </c>
      <c r="J1260" s="186" t="s">
        <v>941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2418</v>
      </c>
      <c r="B1261" t="s">
        <v>2419</v>
      </c>
      <c r="C1261" t="s">
        <v>2419</v>
      </c>
      <c r="D1261">
        <v>28.95</v>
      </c>
      <c r="E1261" t="s">
        <v>3147</v>
      </c>
      <c r="F1261" s="186" t="s">
        <v>2384</v>
      </c>
      <c r="H1261" t="b">
        <v>1</v>
      </c>
      <c r="I1261">
        <v>28.950000000000003</v>
      </c>
      <c r="J1261" s="186" t="s">
        <v>2383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2391</v>
      </c>
      <c r="B1262" t="s">
        <v>2392</v>
      </c>
      <c r="C1262" t="s">
        <v>2392</v>
      </c>
      <c r="D1262">
        <v>44.55</v>
      </c>
      <c r="E1262" t="s">
        <v>3147</v>
      </c>
      <c r="F1262" s="186" t="s">
        <v>2388</v>
      </c>
      <c r="H1262" t="b">
        <v>1</v>
      </c>
      <c r="I1262">
        <v>44.550000000000004</v>
      </c>
      <c r="J1262" s="186" t="s">
        <v>2383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2415</v>
      </c>
      <c r="B1263" t="s">
        <v>2416</v>
      </c>
      <c r="C1263" t="s">
        <v>2416</v>
      </c>
      <c r="D1263">
        <v>12.1</v>
      </c>
      <c r="E1263" t="s">
        <v>3147</v>
      </c>
      <c r="F1263" s="186" t="s">
        <v>2384</v>
      </c>
      <c r="H1263" t="b">
        <v>1</v>
      </c>
      <c r="I1263">
        <v>12.100000000000001</v>
      </c>
      <c r="J1263" s="186" t="s">
        <v>2383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2389</v>
      </c>
      <c r="B1264" t="s">
        <v>2390</v>
      </c>
      <c r="C1264" t="s">
        <v>2390</v>
      </c>
      <c r="D1264">
        <v>39.799999999999997</v>
      </c>
      <c r="E1264" t="s">
        <v>3147</v>
      </c>
      <c r="F1264" s="186" t="s">
        <v>2388</v>
      </c>
      <c r="H1264" t="b">
        <v>1</v>
      </c>
      <c r="I1264">
        <v>39.800000000000004</v>
      </c>
      <c r="J1264" s="186" t="s">
        <v>2383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2386</v>
      </c>
      <c r="B1265" t="s">
        <v>2387</v>
      </c>
      <c r="C1265" t="s">
        <v>2387</v>
      </c>
      <c r="D1265">
        <v>39.799999999999997</v>
      </c>
      <c r="E1265" t="s">
        <v>3147</v>
      </c>
      <c r="F1265" s="186" t="s">
        <v>2388</v>
      </c>
      <c r="H1265" t="b">
        <v>1</v>
      </c>
      <c r="I1265">
        <v>39.800000000000004</v>
      </c>
      <c r="J1265" s="186" t="s">
        <v>2383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1133</v>
      </c>
      <c r="B1266" t="s">
        <v>1134</v>
      </c>
      <c r="C1266" t="s">
        <v>1134</v>
      </c>
      <c r="D1266">
        <v>68.7</v>
      </c>
      <c r="E1266" t="s">
        <v>3147</v>
      </c>
      <c r="F1266" s="186" t="s">
        <v>994</v>
      </c>
      <c r="H1266" t="b">
        <v>1</v>
      </c>
      <c r="I1266">
        <v>68.7</v>
      </c>
      <c r="J1266" s="186" t="s">
        <v>941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1168</v>
      </c>
      <c r="B1267" t="s">
        <v>1169</v>
      </c>
      <c r="C1267" t="s">
        <v>1169</v>
      </c>
      <c r="D1267">
        <v>42.2</v>
      </c>
      <c r="E1267" t="s">
        <v>3147</v>
      </c>
      <c r="F1267" s="186" t="s">
        <v>994</v>
      </c>
      <c r="H1267" t="b">
        <v>1</v>
      </c>
      <c r="I1267">
        <v>42.2</v>
      </c>
      <c r="J1267" s="186" t="s">
        <v>941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1143</v>
      </c>
      <c r="B1268" t="s">
        <v>1144</v>
      </c>
      <c r="C1268" t="s">
        <v>1144</v>
      </c>
      <c r="D1268">
        <v>25.95</v>
      </c>
      <c r="E1268" t="s">
        <v>3147</v>
      </c>
      <c r="F1268" s="186" t="s">
        <v>994</v>
      </c>
      <c r="H1268" t="b">
        <v>1</v>
      </c>
      <c r="I1268">
        <v>25.950000000000003</v>
      </c>
      <c r="J1268" s="186" t="s">
        <v>941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1123</v>
      </c>
      <c r="B1269" t="s">
        <v>1124</v>
      </c>
      <c r="C1269" t="s">
        <v>1124</v>
      </c>
      <c r="D1269">
        <v>43.35</v>
      </c>
      <c r="E1269" t="s">
        <v>3147</v>
      </c>
      <c r="F1269" s="186" t="s">
        <v>952</v>
      </c>
      <c r="H1269" t="b">
        <v>1</v>
      </c>
      <c r="I1269">
        <v>43.35</v>
      </c>
      <c r="J1269" s="186" t="s">
        <v>2383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2394</v>
      </c>
      <c r="B1270" t="s">
        <v>2395</v>
      </c>
      <c r="C1270" t="s">
        <v>2395</v>
      </c>
      <c r="D1270">
        <v>64.849999999999994</v>
      </c>
      <c r="E1270" t="s">
        <v>3147</v>
      </c>
      <c r="F1270" s="186" t="s">
        <v>2388</v>
      </c>
      <c r="H1270" t="b">
        <v>1</v>
      </c>
      <c r="I1270">
        <v>64.850000000000009</v>
      </c>
      <c r="J1270" s="186" t="s">
        <v>2383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1146</v>
      </c>
      <c r="B1271" t="s">
        <v>1147</v>
      </c>
      <c r="C1271" t="s">
        <v>1147</v>
      </c>
      <c r="D1271">
        <v>46.35</v>
      </c>
      <c r="E1271" t="s">
        <v>3147</v>
      </c>
      <c r="F1271" s="186" t="s">
        <v>994</v>
      </c>
      <c r="H1271" t="b">
        <v>1</v>
      </c>
      <c r="I1271">
        <v>46.35</v>
      </c>
      <c r="J1271" s="186" t="s">
        <v>941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2421</v>
      </c>
      <c r="B1272" t="s">
        <v>2422</v>
      </c>
      <c r="C1272" t="s">
        <v>2422</v>
      </c>
      <c r="D1272">
        <v>37.75</v>
      </c>
      <c r="E1272" t="s">
        <v>3147</v>
      </c>
      <c r="F1272" s="186" t="s">
        <v>2384</v>
      </c>
      <c r="H1272" t="b">
        <v>1</v>
      </c>
      <c r="I1272">
        <v>37.75</v>
      </c>
      <c r="J1272" s="186" t="s">
        <v>2383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957</v>
      </c>
      <c r="B1273" t="s">
        <v>958</v>
      </c>
      <c r="C1273" t="s">
        <v>2385</v>
      </c>
      <c r="D1273">
        <v>74.05</v>
      </c>
      <c r="E1273" t="s">
        <v>3147</v>
      </c>
      <c r="F1273" s="186" t="s">
        <v>2384</v>
      </c>
      <c r="H1273" t="b">
        <v>1</v>
      </c>
      <c r="I1273" t="s">
        <v>22</v>
      </c>
      <c r="J1273" s="186" t="s">
        <v>2383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1151</v>
      </c>
      <c r="B1274" t="s">
        <v>1152</v>
      </c>
      <c r="C1274" t="s">
        <v>1152</v>
      </c>
      <c r="D1274">
        <v>59.6</v>
      </c>
      <c r="E1274" t="s">
        <v>3147</v>
      </c>
      <c r="F1274" s="186" t="s">
        <v>994</v>
      </c>
      <c r="H1274" t="b">
        <v>1</v>
      </c>
      <c r="I1274">
        <v>59.6</v>
      </c>
      <c r="J1274" s="186" t="s">
        <v>941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1148</v>
      </c>
      <c r="B1275" t="s">
        <v>1149</v>
      </c>
      <c r="C1275" t="s">
        <v>1149</v>
      </c>
      <c r="D1275">
        <v>51</v>
      </c>
      <c r="E1275" t="s">
        <v>3147</v>
      </c>
      <c r="F1275" s="186" t="s">
        <v>994</v>
      </c>
      <c r="H1275" t="b">
        <v>1</v>
      </c>
      <c r="I1275">
        <v>51</v>
      </c>
      <c r="J1275" s="186" t="s">
        <v>941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1120</v>
      </c>
      <c r="B1276" t="s">
        <v>1121</v>
      </c>
      <c r="C1276" t="s">
        <v>1121</v>
      </c>
      <c r="D1276">
        <v>43.3</v>
      </c>
      <c r="E1276" t="s">
        <v>3147</v>
      </c>
      <c r="F1276" s="186" t="s">
        <v>952</v>
      </c>
      <c r="H1276" t="b">
        <v>1</v>
      </c>
      <c r="I1276">
        <v>43.300000000000004</v>
      </c>
      <c r="J1276" s="186" t="s">
        <v>941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950</v>
      </c>
      <c r="B1277" t="s">
        <v>951</v>
      </c>
      <c r="C1277" t="s">
        <v>951</v>
      </c>
      <c r="D1277">
        <v>41</v>
      </c>
      <c r="E1277" t="s">
        <v>3147</v>
      </c>
      <c r="F1277" s="186" t="s">
        <v>952</v>
      </c>
      <c r="H1277" t="b">
        <v>1</v>
      </c>
      <c r="I1277" t="s">
        <v>22</v>
      </c>
      <c r="J1277" s="186" t="s">
        <v>941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1154</v>
      </c>
      <c r="B1278" t="s">
        <v>3149</v>
      </c>
      <c r="C1278" t="s">
        <v>1155</v>
      </c>
      <c r="D1278">
        <v>82</v>
      </c>
      <c r="E1278" t="s">
        <v>3147</v>
      </c>
      <c r="F1278" s="186" t="s">
        <v>994</v>
      </c>
      <c r="H1278" t="b">
        <v>1</v>
      </c>
      <c r="I1278">
        <v>82</v>
      </c>
      <c r="J1278" s="186" t="s">
        <v>941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2399</v>
      </c>
      <c r="B1279" t="s">
        <v>2400</v>
      </c>
      <c r="C1279" t="s">
        <v>2400</v>
      </c>
      <c r="D1279">
        <v>7.1</v>
      </c>
      <c r="E1279" t="s">
        <v>3147</v>
      </c>
      <c r="F1279" s="186" t="s">
        <v>2388</v>
      </c>
      <c r="H1279" t="b">
        <v>1</v>
      </c>
      <c r="I1279">
        <v>7.1000000000000005</v>
      </c>
      <c r="J1279" s="186" t="s">
        <v>2383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1157</v>
      </c>
      <c r="B1280" t="s">
        <v>1158</v>
      </c>
      <c r="C1280" t="s">
        <v>1158</v>
      </c>
      <c r="D1280">
        <v>75.599999999999994</v>
      </c>
      <c r="E1280" t="s">
        <v>3147</v>
      </c>
      <c r="F1280" s="186" t="s">
        <v>994</v>
      </c>
      <c r="H1280" t="b">
        <v>1</v>
      </c>
      <c r="I1280">
        <v>75.600000000000009</v>
      </c>
      <c r="J1280" s="186" t="s">
        <v>941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2435</v>
      </c>
      <c r="B1281" t="s">
        <v>2436</v>
      </c>
      <c r="C1281" t="s">
        <v>2436</v>
      </c>
      <c r="D1281">
        <v>47.05</v>
      </c>
      <c r="E1281" t="s">
        <v>3147</v>
      </c>
      <c r="F1281" s="186" t="s">
        <v>2384</v>
      </c>
      <c r="H1281" t="b">
        <v>1</v>
      </c>
      <c r="I1281">
        <v>47.050000000000004</v>
      </c>
      <c r="J1281" s="186" t="s">
        <v>2383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2397</v>
      </c>
      <c r="B1282" t="s">
        <v>2398</v>
      </c>
      <c r="C1282" t="s">
        <v>2398</v>
      </c>
      <c r="D1282">
        <v>73.7</v>
      </c>
      <c r="E1282" t="s">
        <v>3147</v>
      </c>
      <c r="F1282" s="186" t="s">
        <v>2388</v>
      </c>
      <c r="H1282" t="b">
        <v>1</v>
      </c>
      <c r="I1282">
        <v>73.7</v>
      </c>
      <c r="J1282" s="186" t="s">
        <v>2383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995</v>
      </c>
      <c r="B1283" t="s">
        <v>996</v>
      </c>
      <c r="C1283" t="s">
        <v>996</v>
      </c>
      <c r="D1283">
        <v>52.65</v>
      </c>
      <c r="E1283" t="s">
        <v>3147</v>
      </c>
      <c r="F1283" s="186" t="s">
        <v>994</v>
      </c>
      <c r="H1283" t="b">
        <v>1</v>
      </c>
      <c r="I1283" t="s">
        <v>22</v>
      </c>
      <c r="J1283" s="186" t="s">
        <v>941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2437</v>
      </c>
      <c r="B1284" t="s">
        <v>2438</v>
      </c>
      <c r="C1284" t="s">
        <v>2438</v>
      </c>
      <c r="D1284">
        <v>74.05</v>
      </c>
      <c r="E1284" t="s">
        <v>3147</v>
      </c>
      <c r="F1284" s="186" t="s">
        <v>2384</v>
      </c>
      <c r="H1284" t="b">
        <v>1</v>
      </c>
      <c r="I1284">
        <v>74.05</v>
      </c>
      <c r="J1284" s="186" t="s">
        <v>2383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959</v>
      </c>
      <c r="B1285" t="s">
        <v>960</v>
      </c>
      <c r="C1285" t="s">
        <v>960</v>
      </c>
      <c r="D1285">
        <v>96.2</v>
      </c>
      <c r="E1285" t="s">
        <v>3147</v>
      </c>
      <c r="F1285" s="186" t="s">
        <v>952</v>
      </c>
      <c r="H1285" t="b">
        <v>1</v>
      </c>
      <c r="I1285" t="s">
        <v>22</v>
      </c>
      <c r="J1285" s="186" t="s">
        <v>941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1105</v>
      </c>
      <c r="B1286" t="s">
        <v>1106</v>
      </c>
      <c r="C1286" t="s">
        <v>1106</v>
      </c>
      <c r="D1286">
        <v>96.2</v>
      </c>
      <c r="E1286" t="s">
        <v>3147</v>
      </c>
      <c r="F1286" s="186" t="s">
        <v>952</v>
      </c>
      <c r="H1286" t="b">
        <v>1</v>
      </c>
      <c r="I1286">
        <v>96.2</v>
      </c>
      <c r="J1286" s="186" t="s">
        <v>941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1097</v>
      </c>
      <c r="B1287" t="s">
        <v>3148</v>
      </c>
      <c r="C1287" t="s">
        <v>1098</v>
      </c>
      <c r="D1287">
        <v>84.9</v>
      </c>
      <c r="E1287" t="s">
        <v>3147</v>
      </c>
      <c r="F1287" s="186" t="s">
        <v>952</v>
      </c>
      <c r="H1287" t="b">
        <v>1</v>
      </c>
      <c r="I1287" t="s">
        <v>22</v>
      </c>
      <c r="J1287" s="186" t="s">
        <v>941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2381</v>
      </c>
      <c r="B1288" t="s">
        <v>2382</v>
      </c>
      <c r="C1288" t="s">
        <v>2382</v>
      </c>
      <c r="D1288">
        <v>42.3</v>
      </c>
      <c r="E1288" t="s">
        <v>3147</v>
      </c>
      <c r="F1288" s="186" t="s">
        <v>2384</v>
      </c>
      <c r="H1288" t="b">
        <v>1</v>
      </c>
      <c r="I1288" t="s">
        <v>22</v>
      </c>
      <c r="J1288" s="186" t="s">
        <v>2383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992</v>
      </c>
      <c r="B1289" t="s">
        <v>993</v>
      </c>
      <c r="C1289" t="s">
        <v>993</v>
      </c>
      <c r="D1289">
        <v>90.15</v>
      </c>
      <c r="E1289" t="s">
        <v>3147</v>
      </c>
      <c r="F1289" s="186" t="s">
        <v>994</v>
      </c>
      <c r="H1289" t="b">
        <v>1</v>
      </c>
      <c r="I1289" t="s">
        <v>22</v>
      </c>
      <c r="J1289" s="186" t="s">
        <v>941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955</v>
      </c>
      <c r="B1290" t="s">
        <v>956</v>
      </c>
      <c r="C1290" t="s">
        <v>956</v>
      </c>
      <c r="D1290">
        <v>38.65</v>
      </c>
      <c r="E1290" t="s">
        <v>3147</v>
      </c>
      <c r="F1290" s="186" t="s">
        <v>952</v>
      </c>
      <c r="H1290" t="b">
        <v>1</v>
      </c>
      <c r="I1290" t="s">
        <v>22</v>
      </c>
      <c r="J1290" s="186" t="s">
        <v>941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957</v>
      </c>
      <c r="B1291" t="s">
        <v>958</v>
      </c>
      <c r="C1291" t="s">
        <v>958</v>
      </c>
      <c r="D1291">
        <v>74.05</v>
      </c>
      <c r="E1291" t="s">
        <v>3147</v>
      </c>
      <c r="F1291" s="186" t="s">
        <v>952</v>
      </c>
      <c r="H1291" t="b">
        <v>1</v>
      </c>
      <c r="I1291" t="s">
        <v>22</v>
      </c>
      <c r="J1291" s="186" t="s">
        <v>941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2112</v>
      </c>
      <c r="B1292" t="s">
        <v>2113</v>
      </c>
      <c r="C1292" t="s">
        <v>2113</v>
      </c>
      <c r="D1292">
        <v>51</v>
      </c>
      <c r="E1292" t="s">
        <v>3151</v>
      </c>
      <c r="F1292" s="186" t="s">
        <v>2115</v>
      </c>
      <c r="H1292" t="b">
        <v>1</v>
      </c>
      <c r="I1292">
        <v>51</v>
      </c>
      <c r="J1292" s="186" t="s">
        <v>2060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2119</v>
      </c>
      <c r="B1293" t="s">
        <v>2120</v>
      </c>
      <c r="C1293" t="s">
        <v>2120</v>
      </c>
      <c r="D1293">
        <v>63.15</v>
      </c>
      <c r="E1293" t="s">
        <v>3151</v>
      </c>
      <c r="F1293" s="186" t="s">
        <v>2115</v>
      </c>
      <c r="H1293" t="b">
        <v>1</v>
      </c>
      <c r="I1293">
        <v>63.150000000000006</v>
      </c>
      <c r="J1293" s="186" t="s">
        <v>2060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2122</v>
      </c>
      <c r="B1294" t="s">
        <v>2123</v>
      </c>
      <c r="C1294" t="s">
        <v>2123</v>
      </c>
      <c r="D1294">
        <v>65.75</v>
      </c>
      <c r="E1294" t="s">
        <v>3151</v>
      </c>
      <c r="F1294" s="186" t="s">
        <v>2115</v>
      </c>
      <c r="H1294" t="b">
        <v>1</v>
      </c>
      <c r="I1294">
        <v>65.75</v>
      </c>
      <c r="J1294" s="186" t="s">
        <v>2060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2116</v>
      </c>
      <c r="B1295" t="s">
        <v>2117</v>
      </c>
      <c r="C1295" t="s">
        <v>2117</v>
      </c>
      <c r="D1295">
        <v>57.8</v>
      </c>
      <c r="E1295" t="s">
        <v>3151</v>
      </c>
      <c r="F1295" s="186" t="s">
        <v>2115</v>
      </c>
      <c r="H1295" t="b">
        <v>1</v>
      </c>
      <c r="I1295">
        <v>57.800000000000004</v>
      </c>
      <c r="J1295" s="186" t="s">
        <v>2060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2130</v>
      </c>
      <c r="B1296" t="s">
        <v>2131</v>
      </c>
      <c r="C1296" t="s">
        <v>2131</v>
      </c>
      <c r="D1296">
        <v>174.3</v>
      </c>
      <c r="E1296" t="s">
        <v>3151</v>
      </c>
      <c r="F1296" s="186" t="s">
        <v>2115</v>
      </c>
      <c r="H1296" t="b">
        <v>1</v>
      </c>
      <c r="I1296">
        <v>174.3</v>
      </c>
      <c r="J1296" s="186" t="s">
        <v>2060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2128</v>
      </c>
      <c r="B1297" t="s">
        <v>2129</v>
      </c>
      <c r="C1297" t="s">
        <v>2129</v>
      </c>
      <c r="D1297">
        <v>141.19999999999999</v>
      </c>
      <c r="E1297" t="s">
        <v>3151</v>
      </c>
      <c r="F1297" s="186" t="s">
        <v>2115</v>
      </c>
      <c r="H1297" t="b">
        <v>1</v>
      </c>
      <c r="I1297">
        <v>141.20000000000002</v>
      </c>
      <c r="J1297" s="186" t="s">
        <v>2060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2125</v>
      </c>
      <c r="B1298" t="s">
        <v>2126</v>
      </c>
      <c r="C1298" t="s">
        <v>2126</v>
      </c>
      <c r="D1298">
        <v>107.35</v>
      </c>
      <c r="E1298" t="s">
        <v>3151</v>
      </c>
      <c r="F1298" s="186" t="s">
        <v>2115</v>
      </c>
      <c r="H1298" t="b">
        <v>1</v>
      </c>
      <c r="I1298">
        <v>107.35000000000001</v>
      </c>
      <c r="J1298" s="186" t="s">
        <v>2060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2132</v>
      </c>
      <c r="B1299" t="s">
        <v>2133</v>
      </c>
      <c r="C1299" t="s">
        <v>2133</v>
      </c>
      <c r="D1299">
        <v>181.6</v>
      </c>
      <c r="E1299" t="s">
        <v>3151</v>
      </c>
      <c r="F1299" s="186" t="s">
        <v>2115</v>
      </c>
      <c r="H1299" t="b">
        <v>1</v>
      </c>
      <c r="I1299">
        <v>181.60000000000002</v>
      </c>
      <c r="J1299" s="186" t="s">
        <v>2060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2135</v>
      </c>
      <c r="B1300" t="s">
        <v>2136</v>
      </c>
      <c r="C1300" t="s">
        <v>2136</v>
      </c>
      <c r="D1300">
        <v>71.150000000000006</v>
      </c>
      <c r="E1300" t="s">
        <v>3151</v>
      </c>
      <c r="F1300" s="186" t="s">
        <v>2115</v>
      </c>
      <c r="H1300" t="b">
        <v>1</v>
      </c>
      <c r="I1300">
        <v>71.150000000000006</v>
      </c>
      <c r="J1300" s="186" t="s">
        <v>2060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  <If_x0020_Other_x002c__x0020_who_x003f_ xmlns="067b745f-aaba-4178-8a38-dcdc642717ae" xsi:nil="true"/>
    <Who_x0020_deals_x0020_with_x0020_this_x003f_ xmlns="067b745f-aaba-4178-8a38-dcdc642717ae" xsi:nil="true"/>
    <Frequently_x0020_asked_x0020_question_x0020_by_x0020_customer_x003a_ xmlns="067b745f-aaba-4178-8a38-dcdc642717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22" ma:contentTypeDescription="Create a new document." ma:contentTypeScope="" ma:versionID="ab3d14502f9558a79ef6063981964be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b47995d545c5fc83d70bc23334382c2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  <xsd:element ref="ns2:Frequently_x0020_asked_x0020_question_x0020_by_x0020_customer_x003a_" minOccurs="0"/>
                <xsd:element ref="ns2:Who_x0020_deals_x0020_with_x0020_this_x003f_" minOccurs="0"/>
                <xsd:element ref="ns2:If_x0020_Other_x002c__x0020_who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Frequently_x0020_asked_x0020_question_x0020_by_x0020_customer_x003a_" ma:index="27" nillable="true" ma:displayName="Frequently asked question by customer:" ma:internalName="Frequently_x0020_asked_x0020_question_x0020_by_x0020_customer_x003a_">
      <xsd:simpleType>
        <xsd:restriction base="dms:Note">
          <xsd:maxLength value="255"/>
        </xsd:restriction>
      </xsd:simpleType>
    </xsd:element>
    <xsd:element name="Who_x0020_deals_x0020_with_x0020_this_x003f_" ma:index="28" nillable="true" ma:displayName="Who deals with this?" ma:internalName="Who_x0020_deals_x0020_with_x0020_this_x003f_">
      <xsd:simpleType>
        <xsd:restriction base="dms:Choice">
          <xsd:enumeration value="Hire Controller"/>
          <xsd:enumeration value="Manager"/>
          <xsd:enumeration value="Accounts team or other dept"/>
          <xsd:enumeration value="Senior Hire Controller"/>
          <xsd:enumeration value="Other"/>
        </xsd:restriction>
      </xsd:simpleType>
    </xsd:element>
    <xsd:element name="If_x0020_Other_x002c__x0020_who_x003f_" ma:index="29" nillable="true" ma:displayName="If Other, who?" ma:internalName="If_x0020_Other_x002c__x0020_who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6626A59A-3AF3-4623-93E4-A2FEFB5D69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2026-07-22T12:59:41Z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